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https://d.docs.live.net/6d2f7bf421620843/培训资料/2.0 运营培训/运营基础/3-推广计划/"/>
    </mc:Choice>
  </mc:AlternateContent>
  <xr:revisionPtr revIDLastSave="2" documentId="13_ncr:1_{F0CC61FA-7F35-481C-A43F-B26350B68548}" xr6:coauthVersionLast="47" xr6:coauthVersionMax="47" xr10:uidLastSave="{1F78D902-BDC1-4DCF-9242-E4A36DBF14E4}"/>
  <bookViews>
    <workbookView xWindow="-108" yWindow="-108" windowWidth="23256" windowHeight="13896" firstSheet="1" activeTab="7" xr2:uid="{00000000-000D-0000-FFFF-FFFF00000000}"/>
  </bookViews>
  <sheets>
    <sheet name="10-11月" sheetId="1" state="hidden" r:id="rId1"/>
    <sheet name="推广计划" sheetId="4" r:id="rId2"/>
    <sheet name="关键词库" sheetId="36" r:id="rId3"/>
    <sheet name="1-文案准备" sheetId="28" r:id="rId4"/>
    <sheet name="2-测评安排" sheetId="14" r:id="rId5"/>
    <sheet name="3-库存跟进" sheetId="29" r:id="rId6"/>
    <sheet name="4-活动申报" sheetId="19" r:id="rId7"/>
    <sheet name="5-竞品跟踪" sheetId="34" r:id="rId8"/>
  </sheets>
  <definedNames>
    <definedName name="_xlnm._FilterDatabase" localSheetId="2" hidden="1">关键词库!$A$1:$N$249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1" i="4" l="1"/>
  <c r="Q42" i="4" s="1"/>
  <c r="P41" i="4"/>
  <c r="P42" i="4" s="1"/>
  <c r="O41" i="4"/>
  <c r="O42" i="4" s="1"/>
  <c r="N41" i="4"/>
  <c r="N42" i="4" s="1"/>
  <c r="M41" i="4"/>
  <c r="M42" i="4" s="1"/>
  <c r="L41" i="4"/>
  <c r="L42" i="4" s="1"/>
  <c r="K41" i="4"/>
  <c r="K42" i="4" s="1"/>
  <c r="J41" i="4"/>
  <c r="J42" i="4" s="1"/>
  <c r="I41" i="4"/>
  <c r="I42" i="4" s="1"/>
  <c r="H41" i="4"/>
  <c r="H42" i="4" s="1"/>
  <c r="R39" i="4"/>
  <c r="R38" i="4"/>
  <c r="R37" i="4"/>
  <c r="R36" i="4"/>
  <c r="R35" i="4"/>
  <c r="O30" i="4"/>
  <c r="N30" i="4"/>
  <c r="Q29" i="4"/>
  <c r="Q30" i="4" s="1"/>
  <c r="P29" i="4"/>
  <c r="P30" i="4" s="1"/>
  <c r="O29" i="4"/>
  <c r="N29" i="4"/>
  <c r="M29" i="4"/>
  <c r="M30" i="4" s="1"/>
  <c r="L29" i="4"/>
  <c r="L30" i="4" s="1"/>
  <c r="K29" i="4"/>
  <c r="K30" i="4" s="1"/>
  <c r="J29" i="4"/>
  <c r="J30" i="4" s="1"/>
  <c r="I29" i="4"/>
  <c r="I30" i="4" s="1"/>
  <c r="H29" i="4"/>
  <c r="H30" i="4" s="1"/>
  <c r="BL17" i="4"/>
  <c r="BJ17" i="4"/>
  <c r="BI17" i="4"/>
  <c r="BH17" i="4"/>
  <c r="BG17" i="4"/>
  <c r="BF17" i="4"/>
  <c r="BE17" i="4"/>
  <c r="BD17" i="4"/>
  <c r="BB17" i="4"/>
  <c r="AZ17" i="4"/>
  <c r="AX17" i="4"/>
  <c r="AV17" i="4"/>
  <c r="AT17" i="4"/>
  <c r="AR17" i="4"/>
  <c r="AQ17" i="4"/>
  <c r="AP17" i="4"/>
  <c r="AO17" i="4"/>
  <c r="AN17" i="4"/>
  <c r="AM17" i="4"/>
  <c r="AL17" i="4"/>
  <c r="AK17" i="4"/>
  <c r="AJ17" i="4"/>
  <c r="AI17" i="4"/>
  <c r="AH17" i="4"/>
  <c r="H17" i="4"/>
  <c r="G17" i="4"/>
  <c r="F17" i="4"/>
  <c r="E17" i="4"/>
  <c r="BK16" i="4"/>
  <c r="BA16" i="4"/>
  <c r="K16" i="4"/>
  <c r="I16" i="4"/>
  <c r="BK15" i="4"/>
  <c r="AW15" i="4"/>
  <c r="K15" i="4"/>
  <c r="I15" i="4"/>
  <c r="BK14" i="4"/>
  <c r="AS14" i="4"/>
  <c r="X13" i="4" s="1"/>
  <c r="G27" i="4" s="1"/>
  <c r="K14" i="4"/>
  <c r="I14" i="4"/>
  <c r="BK13" i="4"/>
  <c r="V13" i="4" s="1"/>
  <c r="G25" i="4" s="1"/>
  <c r="BA13" i="4"/>
  <c r="Y13" i="4"/>
  <c r="G39" i="4" s="1"/>
  <c r="W13" i="4"/>
  <c r="G37" i="4" s="1"/>
  <c r="U13" i="4"/>
  <c r="G36" i="4" s="1"/>
  <c r="T13" i="4"/>
  <c r="G24" i="4" s="1"/>
  <c r="S13" i="4"/>
  <c r="R13" i="4"/>
  <c r="Z13" i="4" s="1"/>
  <c r="G26" i="4" s="1"/>
  <c r="K13" i="4"/>
  <c r="I13" i="4"/>
  <c r="BK12" i="4"/>
  <c r="AW12" i="4"/>
  <c r="K12" i="4"/>
  <c r="I12" i="4"/>
  <c r="BK11" i="4"/>
  <c r="AS11" i="4"/>
  <c r="X9" i="4" s="1"/>
  <c r="F27" i="4" s="1"/>
  <c r="K11" i="4"/>
  <c r="I11" i="4"/>
  <c r="BK10" i="4"/>
  <c r="BA10" i="4"/>
  <c r="K10" i="4"/>
  <c r="I10" i="4"/>
  <c r="BK9" i="4"/>
  <c r="AW9" i="4"/>
  <c r="Y9" i="4"/>
  <c r="F39" i="4" s="1"/>
  <c r="W9" i="4"/>
  <c r="F37" i="4" s="1"/>
  <c r="U9" i="4"/>
  <c r="F36" i="4" s="1"/>
  <c r="T9" i="4"/>
  <c r="F24" i="4" s="1"/>
  <c r="S9" i="4"/>
  <c r="S17" i="4" s="1"/>
  <c r="R9" i="4"/>
  <c r="F23" i="4" s="1"/>
  <c r="K9" i="4"/>
  <c r="I9" i="4"/>
  <c r="BK8" i="4"/>
  <c r="AS8" i="4"/>
  <c r="X5" i="4" s="1"/>
  <c r="E27" i="4" s="1"/>
  <c r="K8" i="4"/>
  <c r="I8" i="4"/>
  <c r="BK7" i="4"/>
  <c r="K7" i="4"/>
  <c r="I7" i="4"/>
  <c r="BK6" i="4"/>
  <c r="K6" i="4"/>
  <c r="I6" i="4"/>
  <c r="BK5" i="4"/>
  <c r="Y5" i="4"/>
  <c r="W5" i="4"/>
  <c r="E37" i="4" s="1"/>
  <c r="U5" i="4"/>
  <c r="U17" i="4" s="1"/>
  <c r="T5" i="4"/>
  <c r="S5" i="4"/>
  <c r="E35" i="4" s="1"/>
  <c r="R5" i="4"/>
  <c r="E23" i="4" s="1"/>
  <c r="K5" i="4"/>
  <c r="I5" i="4"/>
  <c r="C5" i="4"/>
  <c r="C6" i="4" s="1"/>
  <c r="Q2" i="4"/>
  <c r="M14" i="4" s="1"/>
  <c r="N14" i="4" s="1"/>
  <c r="L34" i="1"/>
  <c r="J34" i="1"/>
  <c r="P33" i="1"/>
  <c r="O33" i="1"/>
  <c r="N33" i="1"/>
  <c r="M33" i="1"/>
  <c r="K33" i="1"/>
  <c r="I33" i="1"/>
  <c r="S33" i="1" s="1"/>
  <c r="H33" i="1"/>
  <c r="G33" i="1"/>
  <c r="F33" i="1"/>
  <c r="E33" i="1"/>
  <c r="P32" i="1"/>
  <c r="O32" i="1"/>
  <c r="T32" i="1" s="1"/>
  <c r="N32" i="1"/>
  <c r="M32" i="1"/>
  <c r="K32" i="1"/>
  <c r="I32" i="1"/>
  <c r="S32" i="1" s="1"/>
  <c r="H32" i="1"/>
  <c r="G32" i="1"/>
  <c r="F32" i="1"/>
  <c r="E32" i="1"/>
  <c r="P31" i="1"/>
  <c r="O31" i="1"/>
  <c r="N31" i="1"/>
  <c r="M31" i="1"/>
  <c r="K31" i="1"/>
  <c r="I31" i="1"/>
  <c r="S31" i="1" s="1"/>
  <c r="H31" i="1"/>
  <c r="G31" i="1"/>
  <c r="F31" i="1"/>
  <c r="E31" i="1"/>
  <c r="P30" i="1"/>
  <c r="O30" i="1"/>
  <c r="T30" i="1" s="1"/>
  <c r="N30" i="1"/>
  <c r="M30" i="1"/>
  <c r="K30" i="1"/>
  <c r="I30" i="1"/>
  <c r="S30" i="1" s="1"/>
  <c r="H30" i="1"/>
  <c r="G30" i="1"/>
  <c r="F30" i="1"/>
  <c r="E30" i="1"/>
  <c r="P29" i="1"/>
  <c r="O29" i="1"/>
  <c r="N29" i="1"/>
  <c r="M29" i="1"/>
  <c r="K29" i="1"/>
  <c r="I29" i="1"/>
  <c r="H29" i="1"/>
  <c r="G29" i="1"/>
  <c r="F29" i="1"/>
  <c r="E29" i="1"/>
  <c r="Q29" i="1" s="1"/>
  <c r="R29" i="1" s="1"/>
  <c r="P28" i="1"/>
  <c r="O28" i="1"/>
  <c r="T28" i="1" s="1"/>
  <c r="N28" i="1"/>
  <c r="M28" i="1"/>
  <c r="K28" i="1"/>
  <c r="I28" i="1"/>
  <c r="S28" i="1" s="1"/>
  <c r="H28" i="1"/>
  <c r="G28" i="1"/>
  <c r="F28" i="1"/>
  <c r="E28" i="1"/>
  <c r="P27" i="1"/>
  <c r="O27" i="1"/>
  <c r="N27" i="1"/>
  <c r="M27" i="1"/>
  <c r="K27" i="1"/>
  <c r="I27" i="1"/>
  <c r="H27" i="1"/>
  <c r="G27" i="1"/>
  <c r="F27" i="1"/>
  <c r="E27" i="1"/>
  <c r="P26" i="1"/>
  <c r="O26" i="1"/>
  <c r="T26" i="1" s="1"/>
  <c r="N26" i="1"/>
  <c r="M26" i="1"/>
  <c r="K26" i="1"/>
  <c r="I26" i="1"/>
  <c r="H26" i="1"/>
  <c r="G26" i="1"/>
  <c r="F26" i="1"/>
  <c r="E26" i="1"/>
  <c r="P25" i="1"/>
  <c r="O25" i="1"/>
  <c r="N25" i="1"/>
  <c r="M25" i="1"/>
  <c r="K25" i="1"/>
  <c r="I25" i="1"/>
  <c r="H25" i="1"/>
  <c r="G25" i="1"/>
  <c r="F25" i="1"/>
  <c r="E25" i="1"/>
  <c r="P24" i="1"/>
  <c r="O24" i="1"/>
  <c r="T24" i="1" s="1"/>
  <c r="N24" i="1"/>
  <c r="M24" i="1"/>
  <c r="K24" i="1"/>
  <c r="K34" i="1" s="1"/>
  <c r="I24" i="1"/>
  <c r="H24" i="1"/>
  <c r="G24" i="1"/>
  <c r="F24" i="1"/>
  <c r="E24" i="1"/>
  <c r="L23" i="1"/>
  <c r="J23" i="1"/>
  <c r="P22" i="1"/>
  <c r="O22" i="1"/>
  <c r="N22" i="1"/>
  <c r="M22" i="1"/>
  <c r="K22" i="1"/>
  <c r="I22" i="1"/>
  <c r="H22" i="1"/>
  <c r="G22" i="1"/>
  <c r="Q22" i="1" s="1"/>
  <c r="R22" i="1" s="1"/>
  <c r="F22" i="1"/>
  <c r="E22" i="1"/>
  <c r="P21" i="1"/>
  <c r="O21" i="1"/>
  <c r="N21" i="1"/>
  <c r="M21" i="1"/>
  <c r="K21" i="1"/>
  <c r="I21" i="1"/>
  <c r="S21" i="1" s="1"/>
  <c r="H21" i="1"/>
  <c r="G21" i="1"/>
  <c r="F21" i="1"/>
  <c r="E21" i="1"/>
  <c r="P20" i="1"/>
  <c r="O20" i="1"/>
  <c r="N20" i="1"/>
  <c r="M20" i="1"/>
  <c r="K20" i="1"/>
  <c r="I20" i="1"/>
  <c r="S20" i="1" s="1"/>
  <c r="H20" i="1"/>
  <c r="G20" i="1"/>
  <c r="F20" i="1"/>
  <c r="E20" i="1"/>
  <c r="P19" i="1"/>
  <c r="O19" i="1"/>
  <c r="N19" i="1"/>
  <c r="M19" i="1"/>
  <c r="K19" i="1"/>
  <c r="I19" i="1"/>
  <c r="H19" i="1"/>
  <c r="G19" i="1"/>
  <c r="F19" i="1"/>
  <c r="E19" i="1"/>
  <c r="Q19" i="1" s="1"/>
  <c r="R19" i="1" s="1"/>
  <c r="P18" i="1"/>
  <c r="O18" i="1"/>
  <c r="N18" i="1"/>
  <c r="M18" i="1"/>
  <c r="K18" i="1"/>
  <c r="I18" i="1"/>
  <c r="H18" i="1"/>
  <c r="G18" i="1"/>
  <c r="Q18" i="1" s="1"/>
  <c r="R18" i="1" s="1"/>
  <c r="F18" i="1"/>
  <c r="E18" i="1"/>
  <c r="P17" i="1"/>
  <c r="O17" i="1"/>
  <c r="N17" i="1"/>
  <c r="M17" i="1"/>
  <c r="K17" i="1"/>
  <c r="I17" i="1"/>
  <c r="S17" i="1" s="1"/>
  <c r="H17" i="1"/>
  <c r="G17" i="1"/>
  <c r="F17" i="1"/>
  <c r="E17" i="1"/>
  <c r="P16" i="1"/>
  <c r="O16" i="1"/>
  <c r="N16" i="1"/>
  <c r="M16" i="1"/>
  <c r="K16" i="1"/>
  <c r="I16" i="1"/>
  <c r="S16" i="1" s="1"/>
  <c r="H16" i="1"/>
  <c r="G16" i="1"/>
  <c r="F16" i="1"/>
  <c r="E16" i="1"/>
  <c r="P15" i="1"/>
  <c r="O15" i="1"/>
  <c r="N15" i="1"/>
  <c r="M15" i="1"/>
  <c r="K15" i="1"/>
  <c r="I15" i="1"/>
  <c r="H15" i="1"/>
  <c r="G15" i="1"/>
  <c r="F15" i="1"/>
  <c r="E15" i="1"/>
  <c r="Q15" i="1" s="1"/>
  <c r="R15" i="1" s="1"/>
  <c r="P14" i="1"/>
  <c r="O14" i="1"/>
  <c r="N14" i="1"/>
  <c r="M14" i="1"/>
  <c r="K14" i="1"/>
  <c r="I14" i="1"/>
  <c r="H14" i="1"/>
  <c r="G14" i="1"/>
  <c r="Q14" i="1" s="1"/>
  <c r="R14" i="1" s="1"/>
  <c r="F14" i="1"/>
  <c r="E14" i="1"/>
  <c r="P13" i="1"/>
  <c r="O13" i="1"/>
  <c r="N13" i="1"/>
  <c r="M13" i="1"/>
  <c r="K13" i="1"/>
  <c r="K23" i="1" s="1"/>
  <c r="I13" i="1"/>
  <c r="S13" i="1" s="1"/>
  <c r="H13" i="1"/>
  <c r="G13" i="1"/>
  <c r="G23" i="1" s="1"/>
  <c r="F13" i="1"/>
  <c r="E13" i="1"/>
  <c r="L12" i="1"/>
  <c r="J12" i="1"/>
  <c r="T11" i="1"/>
  <c r="P11" i="1"/>
  <c r="O11" i="1"/>
  <c r="N11" i="1"/>
  <c r="M11" i="1"/>
  <c r="K11" i="1"/>
  <c r="I11" i="1"/>
  <c r="S11" i="1" s="1"/>
  <c r="H11" i="1"/>
  <c r="G11" i="1"/>
  <c r="F11" i="1"/>
  <c r="Q11" i="1" s="1"/>
  <c r="R11" i="1" s="1"/>
  <c r="E11" i="1"/>
  <c r="P10" i="1"/>
  <c r="O10" i="1"/>
  <c r="N10" i="1"/>
  <c r="M10" i="1"/>
  <c r="K10" i="1"/>
  <c r="I10" i="1"/>
  <c r="S10" i="1" s="1"/>
  <c r="H10" i="1"/>
  <c r="G10" i="1"/>
  <c r="F10" i="1"/>
  <c r="E10" i="1"/>
  <c r="T9" i="1"/>
  <c r="P9" i="1"/>
  <c r="O9" i="1"/>
  <c r="N9" i="1"/>
  <c r="M9" i="1"/>
  <c r="K9" i="1"/>
  <c r="I9" i="1"/>
  <c r="S9" i="1" s="1"/>
  <c r="H9" i="1"/>
  <c r="G9" i="1"/>
  <c r="F9" i="1"/>
  <c r="E9" i="1"/>
  <c r="P8" i="1"/>
  <c r="O8" i="1"/>
  <c r="T8" i="1" s="1"/>
  <c r="N8" i="1"/>
  <c r="M8" i="1"/>
  <c r="K8" i="1"/>
  <c r="I8" i="1"/>
  <c r="H8" i="1"/>
  <c r="G8" i="1"/>
  <c r="F8" i="1"/>
  <c r="E8" i="1"/>
  <c r="P7" i="1"/>
  <c r="O7" i="1"/>
  <c r="T7" i="1" s="1"/>
  <c r="N7" i="1"/>
  <c r="M7" i="1"/>
  <c r="K7" i="1"/>
  <c r="I7" i="1"/>
  <c r="S7" i="1" s="1"/>
  <c r="H7" i="1"/>
  <c r="G7" i="1"/>
  <c r="F7" i="1"/>
  <c r="Q7" i="1" s="1"/>
  <c r="R7" i="1" s="1"/>
  <c r="E7" i="1"/>
  <c r="P6" i="1"/>
  <c r="O6" i="1"/>
  <c r="N6" i="1"/>
  <c r="M6" i="1"/>
  <c r="K6" i="1"/>
  <c r="I6" i="1"/>
  <c r="H6" i="1"/>
  <c r="G6" i="1"/>
  <c r="F6" i="1"/>
  <c r="E6" i="1"/>
  <c r="P5" i="1"/>
  <c r="O5" i="1"/>
  <c r="T5" i="1" s="1"/>
  <c r="N5" i="1"/>
  <c r="M5" i="1"/>
  <c r="K5" i="1"/>
  <c r="I5" i="1"/>
  <c r="H5" i="1"/>
  <c r="G5" i="1"/>
  <c r="F5" i="1"/>
  <c r="E5" i="1"/>
  <c r="P4" i="1"/>
  <c r="O4" i="1"/>
  <c r="T4" i="1" s="1"/>
  <c r="N4" i="1"/>
  <c r="M4" i="1"/>
  <c r="K4" i="1"/>
  <c r="I4" i="1"/>
  <c r="H4" i="1"/>
  <c r="G4" i="1"/>
  <c r="F4" i="1"/>
  <c r="E4" i="1"/>
  <c r="Q4" i="1" s="1"/>
  <c r="R4" i="1" s="1"/>
  <c r="P3" i="1"/>
  <c r="O3" i="1"/>
  <c r="T3" i="1" s="1"/>
  <c r="N3" i="1"/>
  <c r="M3" i="1"/>
  <c r="K3" i="1"/>
  <c r="I3" i="1"/>
  <c r="H3" i="1"/>
  <c r="G3" i="1"/>
  <c r="F3" i="1"/>
  <c r="E3" i="1"/>
  <c r="P2" i="1"/>
  <c r="O2" i="1"/>
  <c r="N2" i="1"/>
  <c r="N12" i="1" s="1"/>
  <c r="M2" i="1"/>
  <c r="K2" i="1"/>
  <c r="K12" i="1" s="1"/>
  <c r="I2" i="1"/>
  <c r="H2" i="1"/>
  <c r="G2" i="1"/>
  <c r="F2" i="1"/>
  <c r="E2" i="1"/>
  <c r="T19" i="1" l="1"/>
  <c r="T29" i="1"/>
  <c r="E12" i="1"/>
  <c r="M34" i="1"/>
  <c r="Q3" i="1"/>
  <c r="R3" i="1" s="1"/>
  <c r="S5" i="1"/>
  <c r="S8" i="1"/>
  <c r="E23" i="1"/>
  <c r="O23" i="1"/>
  <c r="M23" i="1"/>
  <c r="S15" i="1"/>
  <c r="Q16" i="1"/>
  <c r="R16" i="1" s="1"/>
  <c r="Q17" i="1"/>
  <c r="R17" i="1" s="1"/>
  <c r="T17" i="1"/>
  <c r="S19" i="1"/>
  <c r="Q20" i="1"/>
  <c r="R20" i="1" s="1"/>
  <c r="Q21" i="1"/>
  <c r="R21" i="1" s="1"/>
  <c r="T21" i="1"/>
  <c r="Q24" i="1"/>
  <c r="P34" i="1"/>
  <c r="S26" i="1"/>
  <c r="S29" i="1"/>
  <c r="J35" i="1"/>
  <c r="R41" i="4"/>
  <c r="R42" i="4" s="1"/>
  <c r="Q8" i="1"/>
  <c r="R8" i="1" s="1"/>
  <c r="Q5" i="1"/>
  <c r="R5" i="1" s="1"/>
  <c r="G12" i="1"/>
  <c r="H12" i="1"/>
  <c r="I12" i="1"/>
  <c r="Q10" i="1"/>
  <c r="R10" i="1" s="1"/>
  <c r="T10" i="1"/>
  <c r="F23" i="1"/>
  <c r="P23" i="1"/>
  <c r="G34" i="1"/>
  <c r="G35" i="1" s="1"/>
  <c r="N34" i="1"/>
  <c r="Q31" i="1"/>
  <c r="R31" i="1" s="1"/>
  <c r="T31" i="1"/>
  <c r="T17" i="4"/>
  <c r="T14" i="1"/>
  <c r="T18" i="1"/>
  <c r="T22" i="1"/>
  <c r="H34" i="1"/>
  <c r="Q25" i="1"/>
  <c r="R25" i="1" s="1"/>
  <c r="T25" i="1"/>
  <c r="Q28" i="1"/>
  <c r="R28" i="1" s="1"/>
  <c r="M12" i="1"/>
  <c r="S3" i="1"/>
  <c r="S6" i="1"/>
  <c r="H23" i="1"/>
  <c r="I34" i="1"/>
  <c r="S27" i="1"/>
  <c r="M7" i="4"/>
  <c r="N7" i="4" s="1"/>
  <c r="V9" i="4"/>
  <c r="F25" i="4" s="1"/>
  <c r="AA13" i="4"/>
  <c r="G23" i="4"/>
  <c r="Y17" i="4"/>
  <c r="BK17" i="4"/>
  <c r="T15" i="1"/>
  <c r="Q32" i="1"/>
  <c r="R32" i="1" s="1"/>
  <c r="F34" i="1"/>
  <c r="F12" i="1"/>
  <c r="F35" i="1" s="1"/>
  <c r="P12" i="1"/>
  <c r="S4" i="1"/>
  <c r="S14" i="1"/>
  <c r="S23" i="1" s="1"/>
  <c r="T16" i="1"/>
  <c r="S18" i="1"/>
  <c r="T20" i="1"/>
  <c r="S22" i="1"/>
  <c r="L35" i="1"/>
  <c r="S25" i="1"/>
  <c r="Q33" i="1"/>
  <c r="R33" i="1" s="1"/>
  <c r="T33" i="1"/>
  <c r="O5" i="4"/>
  <c r="P5" i="4" s="1"/>
  <c r="O12" i="1"/>
  <c r="Q6" i="1"/>
  <c r="R6" i="1" s="1"/>
  <c r="T6" i="1"/>
  <c r="Q9" i="1"/>
  <c r="R9" i="1" s="1"/>
  <c r="N23" i="1"/>
  <c r="E34" i="1"/>
  <c r="E35" i="1" s="1"/>
  <c r="Q27" i="1"/>
  <c r="R27" i="1" s="1"/>
  <c r="T27" i="1"/>
  <c r="Q30" i="1"/>
  <c r="R30" i="1" s="1"/>
  <c r="H35" i="1"/>
  <c r="C7" i="4"/>
  <c r="D6" i="4"/>
  <c r="K35" i="1"/>
  <c r="R27" i="4"/>
  <c r="AC13" i="4"/>
  <c r="G40" i="4" s="1"/>
  <c r="G38" i="4"/>
  <c r="G41" i="4" s="1"/>
  <c r="G42" i="4" s="1"/>
  <c r="M35" i="1"/>
  <c r="G29" i="4"/>
  <c r="G30" i="4" s="1"/>
  <c r="R23" i="4"/>
  <c r="R24" i="1"/>
  <c r="P35" i="1"/>
  <c r="AB13" i="4"/>
  <c r="G28" i="4" s="1"/>
  <c r="Q2" i="1"/>
  <c r="S24" i="1"/>
  <c r="S34" i="1" s="1"/>
  <c r="D5" i="4"/>
  <c r="AA5" i="4"/>
  <c r="AC5" i="4" s="1"/>
  <c r="E40" i="4" s="1"/>
  <c r="M6" i="4"/>
  <c r="N6" i="4" s="1"/>
  <c r="Z9" i="4"/>
  <c r="O12" i="4"/>
  <c r="P12" i="4" s="1"/>
  <c r="M13" i="4"/>
  <c r="N13" i="4" s="1"/>
  <c r="O14" i="4"/>
  <c r="P14" i="4" s="1"/>
  <c r="M15" i="4"/>
  <c r="N15" i="4" s="1"/>
  <c r="S2" i="1"/>
  <c r="Q26" i="1"/>
  <c r="R26" i="1" s="1"/>
  <c r="O34" i="1"/>
  <c r="O35" i="1" s="1"/>
  <c r="O6" i="4"/>
  <c r="P6" i="4" s="1"/>
  <c r="M8" i="4"/>
  <c r="N8" i="4" s="1"/>
  <c r="M10" i="4"/>
  <c r="N10" i="4" s="1"/>
  <c r="O13" i="4"/>
  <c r="P13" i="4" s="1"/>
  <c r="O15" i="4"/>
  <c r="P15" i="4" s="1"/>
  <c r="M16" i="4"/>
  <c r="N16" i="4" s="1"/>
  <c r="X17" i="4"/>
  <c r="E39" i="4"/>
  <c r="I23" i="1"/>
  <c r="I35" i="1" s="1"/>
  <c r="AA9" i="4"/>
  <c r="F38" i="4" s="1"/>
  <c r="F41" i="4" s="1"/>
  <c r="F42" i="4" s="1"/>
  <c r="W17" i="4"/>
  <c r="T2" i="1"/>
  <c r="Q13" i="1"/>
  <c r="M5" i="4"/>
  <c r="N5" i="4" s="1"/>
  <c r="V5" i="4"/>
  <c r="O7" i="4"/>
  <c r="P7" i="4" s="1"/>
  <c r="E24" i="4"/>
  <c r="R24" i="4" s="1"/>
  <c r="F35" i="4"/>
  <c r="O8" i="4"/>
  <c r="P8" i="4" s="1"/>
  <c r="M9" i="4"/>
  <c r="N9" i="4" s="1"/>
  <c r="O10" i="4"/>
  <c r="P10" i="4" s="1"/>
  <c r="M11" i="4"/>
  <c r="N11" i="4" s="1"/>
  <c r="O16" i="4"/>
  <c r="P16" i="4" s="1"/>
  <c r="R17" i="4"/>
  <c r="G35" i="4"/>
  <c r="T13" i="1"/>
  <c r="O9" i="4"/>
  <c r="P9" i="4" s="1"/>
  <c r="O11" i="4"/>
  <c r="P11" i="4" s="1"/>
  <c r="M12" i="4"/>
  <c r="N12" i="4" s="1"/>
  <c r="E36" i="4"/>
  <c r="Z5" i="4"/>
  <c r="S12" i="1" l="1"/>
  <c r="S35" i="1" s="1"/>
  <c r="N35" i="1"/>
  <c r="Q12" i="1"/>
  <c r="R2" i="1"/>
  <c r="R12" i="1" s="1"/>
  <c r="AB5" i="4"/>
  <c r="E28" i="4" s="1"/>
  <c r="Z17" i="4"/>
  <c r="E26" i="4"/>
  <c r="AC9" i="4"/>
  <c r="F40" i="4" s="1"/>
  <c r="C8" i="4"/>
  <c r="D7" i="4"/>
  <c r="F26" i="4"/>
  <c r="F29" i="4" s="1"/>
  <c r="F30" i="4" s="1"/>
  <c r="AB9" i="4"/>
  <c r="F28" i="4" s="1"/>
  <c r="E25" i="4"/>
  <c r="R25" i="4" s="1"/>
  <c r="V17" i="4"/>
  <c r="Q34" i="1"/>
  <c r="Q35" i="1" s="1"/>
  <c r="E38" i="4"/>
  <c r="E41" i="4" s="1"/>
  <c r="E42" i="4" s="1"/>
  <c r="AA17" i="4"/>
  <c r="R34" i="1"/>
  <c r="Q23" i="1"/>
  <c r="R13" i="1"/>
  <c r="R23" i="1" s="1"/>
  <c r="R26" i="4" l="1"/>
  <c r="R29" i="4" s="1"/>
  <c r="R30" i="4" s="1"/>
  <c r="E29" i="4"/>
  <c r="E30" i="4" s="1"/>
  <c r="D8" i="4"/>
  <c r="C9" i="4"/>
  <c r="R35" i="1"/>
  <c r="C10" i="4" l="1"/>
  <c r="D9" i="4"/>
  <c r="D10" i="4" l="1"/>
  <c r="C11" i="4"/>
  <c r="D11" i="4" l="1"/>
  <c r="C12" i="4"/>
  <c r="C13" i="4" l="1"/>
  <c r="D12" i="4"/>
  <c r="D13" i="4" l="1"/>
  <c r="C14" i="4"/>
  <c r="C15" i="4" l="1"/>
  <c r="D14" i="4"/>
  <c r="C16" i="4" l="1"/>
  <c r="D16" i="4" s="1"/>
  <c r="D1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86158</author>
  </authors>
  <commentList>
    <comment ref="N1" authorId="0" shapeId="0" xr:uid="{00000000-0006-0000-0100-000001000000}">
      <text>
        <r>
          <rPr>
            <sz val="9"/>
            <rFont val="微软雅黑"/>
            <family val="2"/>
            <charset val="134"/>
          </rPr>
          <t>根据20天采购周期推算出来的</t>
        </r>
      </text>
    </comment>
    <comment ref="E4" authorId="1" shapeId="0" xr:uid="{E161FBBD-BD56-4714-BA37-21BF6EB276EE}">
      <text>
        <r>
          <rPr>
            <b/>
            <sz val="9"/>
            <color indexed="81"/>
            <rFont val="宋体"/>
            <family val="3"/>
            <charset val="134"/>
          </rPr>
          <t>广告订单、自然订单预测</t>
        </r>
      </text>
    </comment>
    <comment ref="F4" authorId="1" shapeId="0" xr:uid="{E1FD4A0F-2C96-4130-AA19-A04FC365C427}">
      <text>
        <r>
          <rPr>
            <b/>
            <sz val="9"/>
            <color indexed="81"/>
            <rFont val="宋体"/>
            <family val="3"/>
            <charset val="134"/>
          </rPr>
          <t>测评订单预测</t>
        </r>
      </text>
    </comment>
    <comment ref="G4" authorId="1" shapeId="0" xr:uid="{BF4407B7-9C7C-43D7-B505-9EB381397415}">
      <text>
        <r>
          <rPr>
            <b/>
            <sz val="9"/>
            <color indexed="81"/>
            <rFont val="宋体"/>
            <family val="3"/>
            <charset val="134"/>
          </rPr>
          <t>实际的自然订单和广告订单</t>
        </r>
      </text>
    </comment>
    <comment ref="H4" authorId="1" shapeId="0" xr:uid="{E9906917-D163-4B1B-A092-4AE36A2679CA}">
      <text>
        <r>
          <rPr>
            <b/>
            <sz val="9"/>
            <color indexed="81"/>
            <rFont val="宋体"/>
            <family val="3"/>
            <charset val="134"/>
          </rPr>
          <t>实际的测评订单</t>
        </r>
      </text>
    </comment>
    <comment ref="J4" authorId="1" shapeId="0" xr:uid="{8377B1E2-0648-441F-BB52-D48B7B428717}">
      <text>
        <r>
          <rPr>
            <b/>
            <sz val="9"/>
            <color indexed="81"/>
            <rFont val="宋体"/>
            <family val="3"/>
            <charset val="134"/>
          </rPr>
          <t>每周周末统计</t>
        </r>
      </text>
    </comment>
    <comment ref="L4" authorId="1" shapeId="0" xr:uid="{1BF539AE-C3AC-4A07-B064-022BC04398CC}">
      <text>
        <r>
          <rPr>
            <b/>
            <sz val="9"/>
            <color indexed="81"/>
            <rFont val="宋体"/>
            <family val="3"/>
            <charset val="134"/>
          </rPr>
          <t>新品推广的价格上升区间，可以每周上调0.5刀，也可以每2周上调1刀</t>
        </r>
      </text>
    </comment>
    <comment ref="BJ4" authorId="0" shapeId="0" xr:uid="{00000000-0006-0000-0100-000002000000}">
      <text>
        <r>
          <rPr>
            <sz val="9"/>
            <rFont val="微软雅黑"/>
            <family val="2"/>
            <charset val="134"/>
          </rPr>
          <t>广告坑位不在前三页，打”/”,须加钱或换词</t>
        </r>
      </text>
    </comment>
    <comment ref="A5" authorId="1" shapeId="0" xr:uid="{00000000-0006-0000-0100-000003000000}">
      <text>
        <r>
          <rPr>
            <b/>
            <sz val="9"/>
            <rFont val="宋体"/>
            <family val="3"/>
            <charset val="134"/>
          </rPr>
          <t xml:space="preserve">测评：30件
LD：50件
销售订单：2*30=60件
</t>
        </r>
      </text>
    </comment>
    <comment ref="AR8" authorId="1" shapeId="0" xr:uid="{00000000-0006-0000-0100-000005000000}">
      <text>
        <r>
          <rPr>
            <b/>
            <sz val="9"/>
            <rFont val="宋体"/>
            <family val="3"/>
            <charset val="134"/>
          </rPr>
          <t>预算：50件</t>
        </r>
      </text>
    </comment>
    <comment ref="A9" authorId="1" shapeId="0" xr:uid="{00000000-0006-0000-0100-000006000000}">
      <text>
        <r>
          <rPr>
            <b/>
            <sz val="9"/>
            <rFont val="宋体"/>
            <family val="3"/>
            <charset val="134"/>
          </rPr>
          <t>测评：50件
LD：50件
BD：100件
站外Deals：50件
销售订单：10*30=300件</t>
        </r>
      </text>
    </comment>
    <comment ref="AH9" authorId="1" shapeId="0" xr:uid="{00000000-0006-0000-0100-000007000000}">
      <text>
        <r>
          <rPr>
            <b/>
            <sz val="9"/>
            <rFont val="宋体"/>
            <family val="3"/>
            <charset val="134"/>
          </rPr>
          <t>在做活动之前加量测评，引导活动进行。</t>
        </r>
      </text>
    </comment>
    <comment ref="AV9" authorId="1" shapeId="0" xr:uid="{00000000-0006-0000-0100-000008000000}">
      <text>
        <r>
          <rPr>
            <b/>
            <sz val="9"/>
            <rFont val="宋体"/>
            <family val="3"/>
            <charset val="134"/>
          </rPr>
          <t>预算：50件</t>
        </r>
      </text>
    </comment>
    <comment ref="AH10" authorId="1" shapeId="0" xr:uid="{00000000-0006-0000-0100-000009000000}">
      <text>
        <r>
          <rPr>
            <b/>
            <sz val="9"/>
            <rFont val="宋体"/>
            <family val="3"/>
            <charset val="134"/>
          </rPr>
          <t>在做活动之前加量测评，引导活动进行。</t>
        </r>
      </text>
    </comment>
    <comment ref="AZ10" authorId="1" shapeId="0" xr:uid="{00000000-0006-0000-0100-00000A000000}">
      <text>
        <r>
          <rPr>
            <b/>
            <sz val="9"/>
            <rFont val="宋体"/>
            <family val="3"/>
            <charset val="134"/>
          </rPr>
          <t>预算：50件</t>
        </r>
      </text>
    </comment>
    <comment ref="AH11" authorId="1" shapeId="0" xr:uid="{00000000-0006-0000-0100-00000B000000}">
      <text>
        <r>
          <rPr>
            <b/>
            <sz val="9"/>
            <rFont val="宋体"/>
            <family val="3"/>
            <charset val="134"/>
          </rPr>
          <t>在做活动之前加量测评，引导活动进行。</t>
        </r>
      </text>
    </comment>
    <comment ref="AR11" authorId="1" shapeId="0" xr:uid="{00000000-0006-0000-0100-00000C000000}">
      <text>
        <r>
          <rPr>
            <b/>
            <sz val="9"/>
            <rFont val="宋体"/>
            <family val="3"/>
            <charset val="134"/>
          </rPr>
          <t>预算：50件</t>
        </r>
      </text>
    </comment>
    <comment ref="AH12" authorId="1" shapeId="0" xr:uid="{00000000-0006-0000-0100-00000D000000}">
      <text>
        <r>
          <rPr>
            <b/>
            <sz val="9"/>
            <rFont val="宋体"/>
            <family val="3"/>
            <charset val="134"/>
          </rPr>
          <t>在做活动之前加量测评，引导活动进行。</t>
        </r>
      </text>
    </comment>
    <comment ref="AV12" authorId="1" shapeId="0" xr:uid="{00000000-0006-0000-0100-00000E000000}">
      <text>
        <r>
          <rPr>
            <b/>
            <sz val="9"/>
            <rFont val="宋体"/>
            <family val="3"/>
            <charset val="134"/>
          </rPr>
          <t>预算：50件</t>
        </r>
      </text>
    </comment>
    <comment ref="A13" authorId="1" shapeId="0" xr:uid="{00000000-0006-0000-0100-00000F000000}">
      <text>
        <r>
          <rPr>
            <b/>
            <sz val="9"/>
            <rFont val="宋体"/>
            <family val="3"/>
            <charset val="134"/>
          </rPr>
          <t>测评：100件
LD：100件
BD：100件
站外Deals：200件
销售订单：20*30=600件</t>
        </r>
      </text>
    </comment>
    <comment ref="AH13" authorId="1" shapeId="0" xr:uid="{00000000-0006-0000-0100-000010000000}">
      <text>
        <r>
          <rPr>
            <b/>
            <sz val="9"/>
            <rFont val="宋体"/>
            <family val="3"/>
            <charset val="134"/>
          </rPr>
          <t>在做活动之前加量测评，引导活动进行。</t>
        </r>
      </text>
    </comment>
    <comment ref="AZ13" authorId="1" shapeId="0" xr:uid="{00000000-0006-0000-0100-000011000000}">
      <text>
        <r>
          <rPr>
            <b/>
            <sz val="9"/>
            <rFont val="宋体"/>
            <family val="3"/>
            <charset val="134"/>
          </rPr>
          <t>预算：100件</t>
        </r>
      </text>
    </comment>
    <comment ref="AH14" authorId="1" shapeId="0" xr:uid="{00000000-0006-0000-0100-000012000000}">
      <text>
        <r>
          <rPr>
            <b/>
            <sz val="9"/>
            <rFont val="宋体"/>
            <family val="3"/>
            <charset val="134"/>
          </rPr>
          <t>在做活动之前加量测评，引导活动进行。</t>
        </r>
      </text>
    </comment>
    <comment ref="AR14" authorId="1" shapeId="0" xr:uid="{00000000-0006-0000-0100-000013000000}">
      <text>
        <r>
          <rPr>
            <b/>
            <sz val="9"/>
            <rFont val="宋体"/>
            <family val="3"/>
            <charset val="134"/>
          </rPr>
          <t>预算：100件</t>
        </r>
      </text>
    </comment>
    <comment ref="AH15" authorId="1" shapeId="0" xr:uid="{00000000-0006-0000-0100-000014000000}">
      <text>
        <r>
          <rPr>
            <b/>
            <sz val="9"/>
            <rFont val="宋体"/>
            <family val="3"/>
            <charset val="134"/>
          </rPr>
          <t>在做活动之前加量测评，引导活动进行。</t>
        </r>
      </text>
    </comment>
    <comment ref="AV15" authorId="1" shapeId="0" xr:uid="{00000000-0006-0000-0100-000015000000}">
      <text>
        <r>
          <rPr>
            <b/>
            <sz val="9"/>
            <rFont val="宋体"/>
            <family val="3"/>
            <charset val="134"/>
          </rPr>
          <t>预算：100件</t>
        </r>
        <r>
          <rPr>
            <sz val="9"/>
            <rFont val="宋体"/>
            <family val="3"/>
            <charset val="134"/>
          </rPr>
          <t xml:space="preserve">
</t>
        </r>
      </text>
    </comment>
    <comment ref="AH16" authorId="1" shapeId="0" xr:uid="{00000000-0006-0000-0100-000016000000}">
      <text>
        <r>
          <rPr>
            <b/>
            <sz val="9"/>
            <rFont val="宋体"/>
            <family val="3"/>
            <charset val="134"/>
          </rPr>
          <t>在做活动之前加量测评，引导活动进行。</t>
        </r>
      </text>
    </comment>
    <comment ref="AZ16" authorId="1" shapeId="0" xr:uid="{00000000-0006-0000-0100-000017000000}">
      <text>
        <r>
          <rPr>
            <b/>
            <sz val="9"/>
            <rFont val="宋体"/>
            <family val="3"/>
            <charset val="134"/>
          </rPr>
          <t>预算：100件</t>
        </r>
      </text>
    </comment>
  </commentList>
</comments>
</file>

<file path=xl/sharedStrings.xml><?xml version="1.0" encoding="utf-8"?>
<sst xmlns="http://schemas.openxmlformats.org/spreadsheetml/2006/main" count="488" uniqueCount="333">
  <si>
    <t>期间</t>
  </si>
  <si>
    <t>汇率</t>
  </si>
  <si>
    <t>销量预估(变量）</t>
  </si>
  <si>
    <t>售价</t>
  </si>
  <si>
    <t>销售额</t>
  </si>
  <si>
    <t>FBA佣金（0.15）</t>
  </si>
  <si>
    <t>FBA配送费（2.41）</t>
  </si>
  <si>
    <t>退货或重发（3%）</t>
  </si>
  <si>
    <t>站内广告（5%-10%）</t>
  </si>
  <si>
    <t>秒杀费用</t>
  </si>
  <si>
    <t>Coupon费用（3%）</t>
  </si>
  <si>
    <t>促销code</t>
  </si>
  <si>
    <t>采购费（￥11）</t>
  </si>
  <si>
    <t>头程费（￥2）</t>
  </si>
  <si>
    <t>推广费用（￥3000）</t>
  </si>
  <si>
    <t>意外开支（0.05）</t>
  </si>
  <si>
    <t>利润</t>
  </si>
  <si>
    <t>利润率</t>
  </si>
  <si>
    <t>广告占比</t>
  </si>
  <si>
    <t>推广占比</t>
  </si>
  <si>
    <t>一期汇总</t>
  </si>
  <si>
    <t>二期汇总</t>
  </si>
  <si>
    <t>三期汇总</t>
  </si>
  <si>
    <t>汇总</t>
  </si>
  <si>
    <t>美国</t>
  </si>
  <si>
    <t>首次备货数量</t>
  </si>
  <si>
    <t>交期</t>
  </si>
  <si>
    <t>采购成本</t>
  </si>
  <si>
    <t>销售定价</t>
  </si>
  <si>
    <t>刊登时间</t>
  </si>
  <si>
    <t>头程费用</t>
  </si>
  <si>
    <t>平台佣金</t>
  </si>
  <si>
    <t>配送费</t>
  </si>
  <si>
    <t>仓储费</t>
  </si>
  <si>
    <t>VAT</t>
  </si>
  <si>
    <t>测评</t>
  </si>
  <si>
    <t>QA</t>
  </si>
  <si>
    <t>加购</t>
  </si>
  <si>
    <t>加愿</t>
  </si>
  <si>
    <t>点赞</t>
  </si>
  <si>
    <t>LD</t>
  </si>
  <si>
    <t>BD</t>
  </si>
  <si>
    <t>DEALS</t>
  </si>
  <si>
    <t>促销</t>
  </si>
  <si>
    <t>早期评论人</t>
  </si>
  <si>
    <t>USD</t>
  </si>
  <si>
    <t>变体颜色</t>
  </si>
  <si>
    <t>3天</t>
  </si>
  <si>
    <t>毛利润</t>
  </si>
  <si>
    <t>开售时间</t>
  </si>
  <si>
    <t>$21.99~$25.99</t>
  </si>
  <si>
    <t>上架尺寸：4/6/8/10</t>
  </si>
  <si>
    <t>月份</t>
  </si>
  <si>
    <t>周数</t>
  </si>
  <si>
    <t>FROM</t>
  </si>
  <si>
    <t>TO</t>
  </si>
  <si>
    <t>实际销量
目标</t>
  </si>
  <si>
    <t>活动销量
目标</t>
  </si>
  <si>
    <t>实际
销量</t>
  </si>
  <si>
    <t>活动
销量</t>
  </si>
  <si>
    <t>日均
销量</t>
  </si>
  <si>
    <t>可售
库存</t>
  </si>
  <si>
    <t>阶段
动销比</t>
  </si>
  <si>
    <t>阶段
售价</t>
  </si>
  <si>
    <t>预计阶段
毛利润</t>
  </si>
  <si>
    <t>预计阶段
毛利率</t>
  </si>
  <si>
    <t>实际阶段
毛利润</t>
  </si>
  <si>
    <t>实际阶段
毛利率</t>
  </si>
  <si>
    <t>备货</t>
  </si>
  <si>
    <t>预计货
本投入</t>
  </si>
  <si>
    <t>实际货
本投入</t>
  </si>
  <si>
    <t>预计头
程投入</t>
  </si>
  <si>
    <t>实际头
程投入</t>
  </si>
  <si>
    <t>预计营
销投入</t>
  </si>
  <si>
    <t>实际营
销投入</t>
  </si>
  <si>
    <t>预计
总产出</t>
  </si>
  <si>
    <t>实际
总产出</t>
  </si>
  <si>
    <t>预计
总投入</t>
  </si>
  <si>
    <t>实际
总投入</t>
  </si>
  <si>
    <t>预计ROI</t>
  </si>
  <si>
    <t>实际ROI</t>
  </si>
  <si>
    <t>目标星级</t>
  </si>
  <si>
    <t>实际星级</t>
  </si>
  <si>
    <t>月退货率</t>
  </si>
  <si>
    <t>月总结</t>
  </si>
  <si>
    <t>测评
数量</t>
  </si>
  <si>
    <t>完成
情况</t>
  </si>
  <si>
    <t>LD
产出</t>
  </si>
  <si>
    <t>LD
实际产出</t>
  </si>
  <si>
    <t>BD
产出</t>
  </si>
  <si>
    <t>BD
实际产出</t>
  </si>
  <si>
    <t>站外DEALS</t>
  </si>
  <si>
    <t>Deals
产出</t>
  </si>
  <si>
    <t>Deals
实际产出</t>
  </si>
  <si>
    <t>Coupon</t>
  </si>
  <si>
    <t>早期
评论人</t>
  </si>
  <si>
    <t>CPC
关键词上首页</t>
  </si>
  <si>
    <t>CPC费用</t>
  </si>
  <si>
    <t>第
一
个
月</t>
  </si>
  <si>
    <t>/</t>
  </si>
  <si>
    <t>买二10%off</t>
  </si>
  <si>
    <t>第
二
个
月</t>
  </si>
  <si>
    <t xml:space="preserve"> </t>
  </si>
  <si>
    <t>第
三
个
月</t>
  </si>
  <si>
    <t>总计</t>
  </si>
  <si>
    <t>单SPU销售周期内（年度）投入产出明细</t>
  </si>
  <si>
    <t>第1个月</t>
  </si>
  <si>
    <t>第2个月</t>
  </si>
  <si>
    <t>第3个月</t>
  </si>
  <si>
    <t>第4个月</t>
  </si>
  <si>
    <t>第5个月</t>
  </si>
  <si>
    <t>第6个月</t>
  </si>
  <si>
    <t>第7个月</t>
  </si>
  <si>
    <t>第8个月</t>
  </si>
  <si>
    <t>第9个月</t>
  </si>
  <si>
    <t>第10个月</t>
  </si>
  <si>
    <t>第11个月</t>
  </si>
  <si>
    <t>第12个月</t>
  </si>
  <si>
    <t>第13个月</t>
  </si>
  <si>
    <t>预演推算数据</t>
  </si>
  <si>
    <t>预计货本投入</t>
  </si>
  <si>
    <t>预计头程投入</t>
  </si>
  <si>
    <t>预计营销投入</t>
  </si>
  <si>
    <t>预计阶段总投入</t>
  </si>
  <si>
    <t>预计阶段总产出</t>
  </si>
  <si>
    <t>预计ROI（未含退货率）</t>
  </si>
  <si>
    <t>预计毛利润</t>
  </si>
  <si>
    <t>预计毛利润率</t>
  </si>
  <si>
    <t>实际运营数据</t>
  </si>
  <si>
    <t>实际货本投入</t>
  </si>
  <si>
    <t>实际头程投入</t>
  </si>
  <si>
    <t>实际营销投入</t>
  </si>
  <si>
    <t>实际阶段总投入</t>
  </si>
  <si>
    <t>实际阶段总产出</t>
  </si>
  <si>
    <t>实际ROI（未含退货率）</t>
  </si>
  <si>
    <t>实际毛利润</t>
  </si>
  <si>
    <t>实际毛利润率</t>
  </si>
  <si>
    <t>第一周</t>
  </si>
  <si>
    <t>第二周</t>
  </si>
  <si>
    <t>第三周</t>
  </si>
  <si>
    <t>第四周</t>
  </si>
  <si>
    <t>关键词分组</t>
  </si>
  <si>
    <t>关键词</t>
  </si>
  <si>
    <t>月点击量</t>
  </si>
  <si>
    <t>月搜索量</t>
  </si>
  <si>
    <t>搜索结果数</t>
  </si>
  <si>
    <t>总销量</t>
  </si>
  <si>
    <t>平均价格</t>
  </si>
  <si>
    <t>评论总数</t>
  </si>
  <si>
    <t>平均评论数</t>
  </si>
  <si>
    <t>平均评分</t>
  </si>
  <si>
    <t>平均上架时间</t>
  </si>
  <si>
    <t>中国卖家比例</t>
  </si>
  <si>
    <t>Amazon自营比例</t>
  </si>
  <si>
    <t>主搜类目</t>
  </si>
  <si>
    <t>变体数量：3</t>
  </si>
  <si>
    <t>产品等级：新品</t>
  </si>
  <si>
    <t>SKU No.</t>
  </si>
  <si>
    <t>UPC</t>
  </si>
  <si>
    <t>ASIN</t>
  </si>
  <si>
    <t>FNSKU</t>
  </si>
  <si>
    <t>上传时间：</t>
  </si>
  <si>
    <t>开售时间：</t>
  </si>
  <si>
    <t>公司款号：
201112-95W19</t>
  </si>
  <si>
    <t>品牌</t>
  </si>
  <si>
    <t>售价区间</t>
  </si>
  <si>
    <t>小类类目</t>
  </si>
  <si>
    <t>大类类目</t>
  </si>
  <si>
    <t>包装参数</t>
  </si>
  <si>
    <t>三个维度前5名关键词</t>
  </si>
  <si>
    <t>关键词分析</t>
  </si>
  <si>
    <t>标题</t>
  </si>
  <si>
    <t>Search Terms</t>
  </si>
  <si>
    <t>5点
描述</t>
  </si>
  <si>
    <t>1、</t>
  </si>
  <si>
    <t>2、</t>
  </si>
  <si>
    <t>3、</t>
  </si>
  <si>
    <t>4、</t>
  </si>
  <si>
    <t>5、</t>
  </si>
  <si>
    <t>评价</t>
  </si>
  <si>
    <t>标题：
评价：</t>
  </si>
  <si>
    <t>6、</t>
  </si>
  <si>
    <t>7、</t>
  </si>
  <si>
    <t>8、</t>
  </si>
  <si>
    <t>9、</t>
  </si>
  <si>
    <t>10、</t>
  </si>
  <si>
    <t>Q&amp;A</t>
  </si>
  <si>
    <t>问：
答：</t>
  </si>
  <si>
    <t>11、</t>
  </si>
  <si>
    <t>12、</t>
  </si>
  <si>
    <t>13、</t>
  </si>
  <si>
    <t>14、</t>
  </si>
  <si>
    <t>15、</t>
  </si>
  <si>
    <t>16、</t>
  </si>
  <si>
    <t>17、</t>
  </si>
  <si>
    <t>18、</t>
  </si>
  <si>
    <t>19、</t>
  </si>
  <si>
    <t>20、</t>
  </si>
  <si>
    <t>详情描述（DESCRIPTION）</t>
  </si>
  <si>
    <t>Why choose our Baby Sound Machine?</t>
  </si>
  <si>
    <t>1. The white noise machine for sleeping gives you 6 nature sounds option. New mom can customize the sound to stop your kids from crying and enjoy sound spa with the baby shusher.
2. It's  lightweight and very convenient for parent to take baby out with the portable sound machine. You can clip the machine on any baby stuff.
3. You can adjust volume and choose 6 corresponding music  with the easily-operated knob switch.
4. The sound machine can automatically stop after 30 mins. So don't worry what if you or your baby fall asleep. And the sound will be activated by voice sensor when your baby crying and play soothing sound.
5. Built-in 1800mah lithium battery last for 10 hours and charged by USB within 3 hours.
6. Easy to wipe and dirty-tolerant sound machine.</t>
  </si>
  <si>
    <t>Specification</t>
  </si>
  <si>
    <t>Model number: SP1802
Material: ABS
Lithium battery: 3.7V/1800mAh
Product Size: H98xφ77mm
Speaker: Diameter 40mm, 8Ω3W,Iron Shell
Package Size: 8.7*8.7*2.8inches
Net weigh: 132g/0.29lb</t>
  </si>
  <si>
    <t>What You Will Get？</t>
  </si>
  <si>
    <t>1 x Sound Machine Baby
1 x USB cable
1 x Instructions
2-year warranty</t>
  </si>
  <si>
    <t>Tips：</t>
  </si>
  <si>
    <t>1.We recommend you don't use too much force to rotate Control device.
2.Never wash your smoothing sounds machine and make it water penetration.
So, what are you waiting for???
Click the Add to Cart button to ORDER it NOW!</t>
  </si>
  <si>
    <t>1、一级标题加粗，首字母统一大写，如“What You Will Get”，统一结束用 ：
2、标题上下空一行
3、用序列号
4、首字母大写
5、包装详情用 X 代替 * ，X 前后要空格，包装列表单词列表首字母大写</t>
  </si>
  <si>
    <t>序号</t>
  </si>
  <si>
    <t>下单时间</t>
  </si>
  <si>
    <t>买家姓名</t>
  </si>
  <si>
    <t>订单号</t>
  </si>
  <si>
    <t>下单SKU</t>
  </si>
  <si>
    <t>刷单数量</t>
  </si>
  <si>
    <t>买家下单截图</t>
  </si>
  <si>
    <t>本金</t>
  </si>
  <si>
    <t>佣金</t>
  </si>
  <si>
    <t>上评时间</t>
  </si>
  <si>
    <t>上评星级</t>
  </si>
  <si>
    <t>客户 Paypal</t>
  </si>
  <si>
    <t>返款截图</t>
  </si>
  <si>
    <t>留评截图</t>
  </si>
  <si>
    <t>留评链接</t>
  </si>
  <si>
    <t>本金（RMB）</t>
  </si>
  <si>
    <t>佣金（RMB）</t>
  </si>
  <si>
    <t>总计付款</t>
  </si>
  <si>
    <t>时间</t>
  </si>
  <si>
    <t>SKU</t>
  </si>
  <si>
    <t>销售价格</t>
  </si>
  <si>
    <t>近30天
实际销量</t>
  </si>
  <si>
    <t>预计月销量</t>
  </si>
  <si>
    <t>近3天
日均销量</t>
  </si>
  <si>
    <t>近7天
日均销量</t>
  </si>
  <si>
    <t>FBA在售</t>
  </si>
  <si>
    <t>FBA预留</t>
  </si>
  <si>
    <t>FBA在途</t>
  </si>
  <si>
    <t>FBA总量</t>
  </si>
  <si>
    <t>可售天数
(在库)</t>
  </si>
  <si>
    <t>可售天数
(含在途)</t>
  </si>
  <si>
    <t>可售月
(含在途)</t>
  </si>
  <si>
    <t>按实际销量可售月份（含在途）</t>
  </si>
  <si>
    <t>采购计划</t>
  </si>
  <si>
    <t>物流渠道计划</t>
  </si>
  <si>
    <t>最低
采购量</t>
  </si>
  <si>
    <t>安全
库存数量</t>
  </si>
  <si>
    <t>生产周期</t>
  </si>
  <si>
    <t>国内采购
回货天数</t>
  </si>
  <si>
    <t>第五周</t>
  </si>
  <si>
    <t>第六周</t>
  </si>
  <si>
    <t>第七周</t>
  </si>
  <si>
    <t>第八周</t>
  </si>
  <si>
    <t>第九周</t>
  </si>
  <si>
    <t>第十周</t>
  </si>
  <si>
    <t>第十一周</t>
  </si>
  <si>
    <t>第十二周</t>
  </si>
  <si>
    <t>第十三周</t>
  </si>
  <si>
    <t>第十四周</t>
  </si>
  <si>
    <t>第十五周</t>
  </si>
  <si>
    <t>第十六周</t>
  </si>
  <si>
    <t>第十七周</t>
  </si>
  <si>
    <t>第十八周</t>
  </si>
  <si>
    <t>第十九周</t>
  </si>
  <si>
    <t>第二十周</t>
  </si>
  <si>
    <t>店铺</t>
  </si>
  <si>
    <t>提报时间</t>
  </si>
  <si>
    <t>开始时间</t>
  </si>
  <si>
    <t>结束时间</t>
  </si>
  <si>
    <t>折扣</t>
  </si>
  <si>
    <t>Code 码</t>
  </si>
  <si>
    <t>持续时间</t>
  </si>
  <si>
    <t>投放渠道</t>
  </si>
  <si>
    <t>限定数量</t>
  </si>
  <si>
    <t>活动类型</t>
  </si>
  <si>
    <t>使用情况</t>
  </si>
  <si>
    <t>折扣出单</t>
  </si>
  <si>
    <t>提报费</t>
  </si>
  <si>
    <t>活动期间流量</t>
  </si>
  <si>
    <t>排名</t>
  </si>
  <si>
    <t>订单量</t>
  </si>
  <si>
    <t>盈亏</t>
  </si>
  <si>
    <t>活动推进安排</t>
  </si>
  <si>
    <t>后期跟进排名</t>
  </si>
  <si>
    <t>后期跟进订单量</t>
  </si>
  <si>
    <t>OT</t>
  </si>
  <si>
    <t>站外折扣</t>
  </si>
  <si>
    <t>图片</t>
  </si>
  <si>
    <t>竞争对手品牌</t>
  </si>
  <si>
    <t>现售价</t>
  </si>
  <si>
    <t>类目</t>
  </si>
  <si>
    <t>大类排名</t>
  </si>
  <si>
    <t>小类排名</t>
  </si>
  <si>
    <t>近30天
销量</t>
  </si>
  <si>
    <t>一周
排名变化</t>
  </si>
  <si>
    <t>一周
销量变化</t>
  </si>
  <si>
    <t>现Review</t>
  </si>
  <si>
    <t>评分</t>
  </si>
  <si>
    <t>卖家</t>
  </si>
  <si>
    <t>链接</t>
  </si>
  <si>
    <t>FBA费用</t>
  </si>
  <si>
    <t>包装尺寸</t>
  </si>
  <si>
    <t>重量
（Pounds）</t>
  </si>
  <si>
    <t>变体数量</t>
  </si>
  <si>
    <t>主图视频</t>
  </si>
  <si>
    <t>A+</t>
  </si>
  <si>
    <t>促销情况</t>
  </si>
  <si>
    <t>在售天数</t>
  </si>
  <si>
    <t>上架开售
时间</t>
  </si>
  <si>
    <t>首评评论
时间</t>
  </si>
  <si>
    <t>开售首月
上评数量</t>
  </si>
  <si>
    <t>First
购物车价</t>
  </si>
  <si>
    <t>图片亮点</t>
  </si>
  <si>
    <t>卖点亮点</t>
  </si>
  <si>
    <t>颜色：XXXXX，尺寸：XXXXX</t>
    <phoneticPr fontId="27" type="noConversion"/>
  </si>
  <si>
    <t>（上面关键词的合集）</t>
    <phoneticPr fontId="27" type="noConversion"/>
  </si>
  <si>
    <t>变体一：颜色1</t>
    <phoneticPr fontId="27" type="noConversion"/>
  </si>
  <si>
    <t>变体二：颜色2</t>
    <phoneticPr fontId="27" type="noConversion"/>
  </si>
  <si>
    <t>变体三：颜色</t>
    <phoneticPr fontId="27" type="noConversion"/>
  </si>
  <si>
    <t>属性1</t>
    <phoneticPr fontId="27" type="noConversion"/>
  </si>
  <si>
    <t>属性2</t>
  </si>
  <si>
    <t>属性3</t>
  </si>
  <si>
    <t>属性4</t>
  </si>
  <si>
    <t>属性5</t>
  </si>
  <si>
    <t>属性6</t>
  </si>
  <si>
    <t>属性7</t>
  </si>
  <si>
    <t>属性8</t>
  </si>
  <si>
    <t>属性9</t>
  </si>
  <si>
    <t>属性10</t>
  </si>
  <si>
    <t>通用词</t>
    <phoneticPr fontId="27" type="noConversion"/>
  </si>
  <si>
    <t>SKU：XXXX</t>
    <phoneticPr fontId="27" type="noConversion"/>
  </si>
  <si>
    <t>主推颜色：颜色1</t>
    <phoneticPr fontId="27" type="noConversion"/>
  </si>
  <si>
    <t>上架颜色：颜色2、颜色3</t>
    <phoneticPr fontId="27" type="noConversion"/>
  </si>
  <si>
    <r>
      <t xml:space="preserve">第一批备货：
第二批备货： 
</t>
    </r>
    <r>
      <rPr>
        <b/>
        <sz val="10"/>
        <color rgb="FFFF0000"/>
        <rFont val="微软雅黑"/>
        <family val="2"/>
        <charset val="134"/>
      </rPr>
      <t>第三批备货：</t>
    </r>
    <phoneticPr fontId="27" type="noConversion"/>
  </si>
  <si>
    <t>问：
答：</t>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</si>
</sst>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24" formatCode="\$#,##0_);[Red]\(\$#,##0\)"/>
    <numFmt numFmtId="176" formatCode="0_);[Red]\(0\)"/>
    <numFmt numFmtId="177" formatCode="\¥#,##0.00;\¥\-#,##0.00"/>
    <numFmt numFmtId="178" formatCode="0.0%"/>
    <numFmt numFmtId="179" formatCode="\$#,##0;\-\$#,##0"/>
    <numFmt numFmtId="180" formatCode="0_ "/>
    <numFmt numFmtId="181" formatCode="0;[Red]0"/>
    <numFmt numFmtId="182" formatCode="yyyy/m/d;@"/>
    <numFmt numFmtId="183" formatCode="0.00_ "/>
    <numFmt numFmtId="184" formatCode="&quot;￥&quot;#,##0;&quot;￥&quot;\-#,##0"/>
    <numFmt numFmtId="185" formatCode="@&quot;天&quot;"/>
    <numFmt numFmtId="186" formatCode="&quot;#&quot;@"/>
    <numFmt numFmtId="187" formatCode="\$#,##0.00;\-\$#,##0.00"/>
    <numFmt numFmtId="188" formatCode="yyyy&quot;年&quot;m&quot;月&quot;d&quot;日&quot;;@"/>
    <numFmt numFmtId="189" formatCode="0.00_);[Red]\(0.00\)"/>
  </numFmts>
  <fonts count="33">
    <font>
      <sz val="12"/>
      <name val="宋体"/>
      <charset val="134"/>
    </font>
    <font>
      <b/>
      <sz val="10"/>
      <color theme="1"/>
      <name val="微软雅黑"/>
      <family val="2"/>
      <charset val="134"/>
    </font>
    <font>
      <sz val="10"/>
      <color theme="1"/>
      <name val="微软雅黑"/>
      <family val="2"/>
      <charset val="134"/>
    </font>
    <font>
      <sz val="10"/>
      <name val="宋体"/>
      <family val="3"/>
      <charset val="134"/>
    </font>
    <font>
      <u/>
      <sz val="10"/>
      <color rgb="FF800080"/>
      <name val="微软雅黑"/>
      <family val="2"/>
      <charset val="134"/>
    </font>
    <font>
      <sz val="10"/>
      <color indexed="8"/>
      <name val="微软雅黑"/>
      <family val="2"/>
      <charset val="134"/>
    </font>
    <font>
      <sz val="10"/>
      <color rgb="FF2E3033"/>
      <name val="微软雅黑"/>
      <family val="2"/>
      <charset val="134"/>
    </font>
    <font>
      <b/>
      <sz val="10"/>
      <name val="微软雅黑"/>
      <family val="2"/>
      <charset val="134"/>
    </font>
    <font>
      <sz val="10"/>
      <name val="微软雅黑"/>
      <family val="2"/>
      <charset val="134"/>
    </font>
    <font>
      <b/>
      <sz val="10"/>
      <color rgb="FFFF0000"/>
      <name val="微软雅黑"/>
      <family val="2"/>
      <charset val="134"/>
    </font>
    <font>
      <b/>
      <sz val="11"/>
      <name val="微软雅黑"/>
      <family val="2"/>
      <charset val="134"/>
    </font>
    <font>
      <b/>
      <sz val="11"/>
      <color theme="1"/>
      <name val="微软雅黑"/>
      <family val="2"/>
      <charset val="134"/>
    </font>
    <font>
      <sz val="10"/>
      <color rgb="FF111F2C"/>
      <name val="微软雅黑"/>
      <family val="2"/>
      <charset val="134"/>
    </font>
    <font>
      <sz val="10"/>
      <color rgb="FF000000"/>
      <name val="微软雅黑"/>
      <family val="2"/>
      <charset val="134"/>
    </font>
    <font>
      <b/>
      <sz val="10"/>
      <color indexed="8"/>
      <name val="微软雅黑"/>
      <family val="2"/>
      <charset val="134"/>
    </font>
    <font>
      <b/>
      <sz val="16"/>
      <name val="微软雅黑"/>
      <family val="2"/>
      <charset val="134"/>
    </font>
    <font>
      <b/>
      <sz val="10"/>
      <color rgb="FF000000"/>
      <name val="微软雅黑"/>
      <family val="2"/>
      <charset val="134"/>
    </font>
    <font>
      <b/>
      <sz val="10"/>
      <color theme="0"/>
      <name val="微软雅黑"/>
      <family val="2"/>
      <charset val="134"/>
    </font>
    <font>
      <b/>
      <sz val="20"/>
      <color theme="0"/>
      <name val="微软雅黑"/>
      <family val="2"/>
      <charset val="134"/>
    </font>
    <font>
      <b/>
      <sz val="14"/>
      <color theme="0"/>
      <name val="微软雅黑"/>
      <family val="2"/>
      <charset val="134"/>
    </font>
    <font>
      <sz val="9"/>
      <color theme="1"/>
      <name val="宋体"/>
      <family val="3"/>
      <charset val="134"/>
      <scheme val="minor"/>
    </font>
    <font>
      <sz val="10"/>
      <color theme="1"/>
      <name val="宋体"/>
      <family val="3"/>
      <charset val="134"/>
      <scheme val="minor"/>
    </font>
    <font>
      <u/>
      <sz val="11"/>
      <color rgb="FF0000FF"/>
      <name val="宋体"/>
      <family val="3"/>
      <charset val="134"/>
      <scheme val="minor"/>
    </font>
    <font>
      <sz val="9"/>
      <name val="宋体"/>
      <family val="3"/>
      <charset val="134"/>
    </font>
    <font>
      <b/>
      <sz val="9"/>
      <name val="宋体"/>
      <family val="3"/>
      <charset val="134"/>
    </font>
    <font>
      <sz val="9"/>
      <name val="微软雅黑"/>
      <family val="2"/>
      <charset val="134"/>
    </font>
    <font>
      <b/>
      <sz val="10"/>
      <name val="微软雅黑"/>
      <family val="2"/>
      <charset val="134"/>
    </font>
    <font>
      <sz val="9"/>
      <name val="宋体"/>
      <family val="3"/>
      <charset val="134"/>
    </font>
    <font>
      <b/>
      <sz val="10"/>
      <color indexed="8"/>
      <name val="微软雅黑"/>
      <family val="2"/>
      <charset val="134"/>
    </font>
    <font>
      <sz val="10"/>
      <color rgb="FF000000"/>
      <name val="微软雅黑"/>
      <family val="2"/>
      <charset val="134"/>
    </font>
    <font>
      <b/>
      <sz val="10"/>
      <color theme="1"/>
      <name val="微软雅黑"/>
      <family val="2"/>
      <charset val="134"/>
    </font>
    <font>
      <b/>
      <sz val="10"/>
      <color theme="0"/>
      <name val="微软雅黑"/>
      <family val="2"/>
      <charset val="134"/>
    </font>
    <font>
      <b/>
      <sz val="9"/>
      <color indexed="81"/>
      <name val="宋体"/>
      <family val="3"/>
      <charset val="134"/>
    </font>
  </fonts>
  <fills count="25">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FFFF00"/>
        <bgColor indexed="64"/>
      </patternFill>
    </fill>
    <fill>
      <patternFill patternType="solid">
        <fgColor rgb="FFFF0000"/>
        <bgColor indexed="64"/>
      </patternFill>
    </fill>
    <fill>
      <patternFill patternType="solid">
        <fgColor rgb="FFFFFFFF"/>
        <bgColor indexed="64"/>
      </patternFill>
    </fill>
    <fill>
      <patternFill patternType="solid">
        <fgColor rgb="FFFFC000"/>
        <bgColor indexed="64"/>
      </patternFill>
    </fill>
    <fill>
      <patternFill patternType="solid">
        <fgColor rgb="FFBFBFBF"/>
        <bgColor indexed="64"/>
      </patternFill>
    </fill>
    <fill>
      <patternFill patternType="solid">
        <fgColor rgb="FFFF00FF"/>
        <bgColor indexed="64"/>
      </patternFill>
    </fill>
    <fill>
      <patternFill patternType="solid">
        <fgColor rgb="FF00B050"/>
        <bgColor indexed="64"/>
      </patternFill>
    </fill>
    <fill>
      <patternFill patternType="solid">
        <fgColor theme="0" tint="-0.249977111117893"/>
        <bgColor indexed="64"/>
      </patternFill>
    </fill>
    <fill>
      <patternFill patternType="solid">
        <fgColor theme="7"/>
        <bgColor indexed="64"/>
      </patternFill>
    </fill>
    <fill>
      <patternFill patternType="solid">
        <fgColor theme="4"/>
        <bgColor indexed="64"/>
      </patternFill>
    </fill>
    <fill>
      <patternFill patternType="solid">
        <fgColor theme="0" tint="-0.34998626667073579"/>
        <bgColor indexed="64"/>
      </patternFill>
    </fill>
    <fill>
      <patternFill patternType="solid">
        <fgColor theme="0" tint="-0.14996795556505021"/>
        <bgColor indexed="64"/>
      </patternFill>
    </fill>
    <fill>
      <patternFill patternType="solid">
        <fgColor theme="1"/>
        <bgColor indexed="64"/>
      </patternFill>
    </fill>
    <fill>
      <patternFill patternType="solid">
        <fgColor theme="4" tint="0.39994506668294322"/>
        <bgColor indexed="64"/>
      </patternFill>
    </fill>
    <fill>
      <patternFill patternType="solid">
        <fgColor theme="7" tint="0.59999389629810485"/>
        <bgColor indexed="64"/>
      </patternFill>
    </fill>
    <fill>
      <patternFill patternType="solid">
        <fgColor theme="8" tint="0.79989013336588644"/>
        <bgColor indexed="64"/>
      </patternFill>
    </fill>
    <fill>
      <patternFill patternType="solid">
        <fgColor theme="7" tint="0.39994506668294322"/>
        <bgColor indexed="64"/>
      </patternFill>
    </fill>
    <fill>
      <patternFill patternType="solid">
        <fgColor theme="7" tint="0.79989013336588644"/>
        <bgColor indexed="64"/>
      </patternFill>
    </fill>
    <fill>
      <patternFill patternType="solid">
        <fgColor theme="8" tint="0.79992065187536243"/>
        <bgColor indexed="64"/>
      </patternFill>
    </fill>
    <fill>
      <patternFill patternType="solid">
        <fgColor theme="5" tint="0.59999389629810485"/>
        <bgColor indexed="64"/>
      </patternFill>
    </fill>
    <fill>
      <patternFill patternType="solid">
        <fgColor theme="4" tint="0.39985351115451523"/>
        <bgColor indexed="64"/>
      </patternFill>
    </fill>
  </fills>
  <borders count="34">
    <border>
      <left/>
      <right/>
      <top/>
      <bottom/>
      <diagonal/>
    </border>
    <border>
      <left style="thin">
        <color auto="1"/>
      </left>
      <right style="thin">
        <color auto="1"/>
      </right>
      <top style="thin">
        <color auto="1"/>
      </top>
      <bottom style="thin">
        <color auto="1"/>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auto="1"/>
      </top>
      <bottom style="thin">
        <color auto="1"/>
      </bottom>
      <diagonal/>
    </border>
    <border>
      <left/>
      <right/>
      <top style="thin">
        <color auto="1"/>
      </top>
      <bottom style="thin">
        <color auto="1"/>
      </bottom>
      <diagonal/>
    </border>
    <border>
      <left style="thin">
        <color rgb="FF000000"/>
      </left>
      <right style="thin">
        <color auto="1"/>
      </right>
      <top style="thin">
        <color auto="1"/>
      </top>
      <bottom style="thin">
        <color auto="1"/>
      </bottom>
      <diagonal/>
    </border>
    <border>
      <left style="thin">
        <color rgb="FF000000"/>
      </left>
      <right/>
      <top/>
      <bottom style="thin">
        <color auto="1"/>
      </bottom>
      <diagonal/>
    </border>
    <border>
      <left/>
      <right/>
      <top/>
      <bottom style="thin">
        <color auto="1"/>
      </bottom>
      <diagonal/>
    </border>
    <border>
      <left style="thin">
        <color rgb="FF000000"/>
      </left>
      <right style="thin">
        <color rgb="FF000000"/>
      </right>
      <top style="thin">
        <color rgb="FF000000"/>
      </top>
      <bottom/>
      <diagonal/>
    </border>
    <border>
      <left/>
      <right style="thin">
        <color rgb="FF000000"/>
      </right>
      <top style="thin">
        <color auto="1"/>
      </top>
      <bottom style="thin">
        <color auto="1"/>
      </bottom>
      <diagonal/>
    </border>
    <border>
      <left/>
      <right style="thin">
        <color rgb="FF000000"/>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alignment vertical="center"/>
    </xf>
    <xf numFmtId="0" fontId="22" fillId="0" borderId="0" applyNumberFormat="0" applyFill="0" applyBorder="0" applyAlignment="0" applyProtection="0">
      <alignment vertical="center"/>
    </xf>
  </cellStyleXfs>
  <cellXfs count="303">
    <xf numFmtId="0" fontId="0" fillId="0" borderId="0" xfId="0">
      <alignment vertical="center"/>
    </xf>
    <xf numFmtId="0" fontId="1" fillId="2" borderId="0" xfId="0" applyFont="1" applyFill="1" applyAlignment="1">
      <alignment horizontal="center" vertical="center"/>
    </xf>
    <xf numFmtId="0" fontId="2" fillId="2" borderId="1" xfId="0" applyFont="1" applyFill="1" applyBorder="1" applyAlignment="1">
      <alignment horizontal="center" vertical="center"/>
    </xf>
    <xf numFmtId="187" fontId="2" fillId="2" borderId="1" xfId="0" applyNumberFormat="1" applyFont="1" applyFill="1" applyBorder="1" applyAlignment="1">
      <alignment horizontal="center" vertical="center"/>
    </xf>
    <xf numFmtId="186" fontId="2" fillId="2" borderId="1" xfId="0" applyNumberFormat="1" applyFont="1" applyFill="1" applyBorder="1" applyAlignment="1">
      <alignment horizontal="center" vertical="center"/>
    </xf>
    <xf numFmtId="185" fontId="2" fillId="2" borderId="1" xfId="0" applyNumberFormat="1" applyFont="1" applyFill="1" applyBorder="1" applyAlignment="1">
      <alignment horizontal="center" vertical="center"/>
    </xf>
    <xf numFmtId="188" fontId="2" fillId="2" borderId="1" xfId="0" applyNumberFormat="1" applyFont="1" applyFill="1" applyBorder="1" applyAlignment="1">
      <alignment horizontal="center" vertical="center"/>
    </xf>
    <xf numFmtId="0" fontId="3" fillId="2" borderId="0" xfId="0" applyFont="1" applyFill="1">
      <alignment vertical="center"/>
    </xf>
    <xf numFmtId="0" fontId="1" fillId="3" borderId="1" xfId="0" applyFont="1" applyFill="1" applyBorder="1" applyAlignment="1">
      <alignment horizontal="center" vertical="center"/>
    </xf>
    <xf numFmtId="187" fontId="1" fillId="3" borderId="1" xfId="0" applyNumberFormat="1" applyFont="1" applyFill="1" applyBorder="1" applyAlignment="1">
      <alignment horizontal="center" vertical="center"/>
    </xf>
    <xf numFmtId="0" fontId="2" fillId="2" borderId="1" xfId="0" applyFont="1" applyFill="1" applyBorder="1" applyAlignment="1">
      <alignment horizontal="left" vertical="center"/>
    </xf>
    <xf numFmtId="49" fontId="1" fillId="3" borderId="1" xfId="0" applyNumberFormat="1" applyFont="1" applyFill="1" applyBorder="1" applyAlignment="1">
      <alignment horizontal="center" vertical="center"/>
    </xf>
    <xf numFmtId="0" fontId="4" fillId="2" borderId="1" xfId="1" applyFont="1" applyFill="1" applyBorder="1" applyAlignment="1">
      <alignment horizontal="center" vertical="center"/>
    </xf>
    <xf numFmtId="0" fontId="5" fillId="2" borderId="1" xfId="0" applyFont="1" applyFill="1" applyBorder="1" applyAlignment="1">
      <alignment horizontal="center" vertical="center"/>
    </xf>
    <xf numFmtId="188" fontId="1" fillId="3"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0" fontId="7" fillId="2" borderId="0" xfId="0" applyFont="1" applyFill="1">
      <alignment vertical="center"/>
    </xf>
    <xf numFmtId="0" fontId="8" fillId="2" borderId="1" xfId="0" applyFont="1" applyFill="1" applyBorder="1">
      <alignment vertical="center"/>
    </xf>
    <xf numFmtId="0" fontId="8" fillId="2" borderId="0" xfId="0" applyFont="1" applyFill="1">
      <alignment vertical="center"/>
    </xf>
    <xf numFmtId="0" fontId="7" fillId="3" borderId="1" xfId="0" applyFont="1" applyFill="1" applyBorder="1" applyAlignment="1">
      <alignment horizontal="center" vertical="center"/>
    </xf>
    <xf numFmtId="0" fontId="8" fillId="2"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8" fillId="0" borderId="1" xfId="0" applyFont="1" applyBorder="1" applyAlignment="1">
      <alignment horizontal="center" vertical="center"/>
    </xf>
    <xf numFmtId="0" fontId="5" fillId="0" borderId="1" xfId="0" applyFont="1" applyBorder="1" applyAlignment="1">
      <alignment horizontal="center" vertical="center"/>
    </xf>
    <xf numFmtId="183" fontId="9" fillId="5" borderId="1" xfId="0" applyNumberFormat="1" applyFont="1" applyFill="1" applyBorder="1" applyAlignment="1">
      <alignment horizontal="center" vertical="center" wrapText="1"/>
    </xf>
    <xf numFmtId="183" fontId="7" fillId="5" borderId="1" xfId="0" applyNumberFormat="1" applyFont="1" applyFill="1" applyBorder="1" applyAlignment="1">
      <alignment horizontal="center" vertical="center" wrapText="1"/>
    </xf>
    <xf numFmtId="183" fontId="7" fillId="4" borderId="1" xfId="0" applyNumberFormat="1" applyFont="1" applyFill="1" applyBorder="1" applyAlignment="1">
      <alignment horizontal="center" vertical="center" wrapText="1"/>
    </xf>
    <xf numFmtId="0" fontId="2" fillId="2" borderId="1" xfId="0" applyFont="1" applyFill="1" applyBorder="1">
      <alignment vertical="center"/>
    </xf>
    <xf numFmtId="182" fontId="2" fillId="2" borderId="1" xfId="0" applyNumberFormat="1" applyFont="1" applyFill="1" applyBorder="1">
      <alignment vertical="center"/>
    </xf>
    <xf numFmtId="181" fontId="2" fillId="2" borderId="1" xfId="0" applyNumberFormat="1" applyFont="1" applyFill="1" applyBorder="1">
      <alignment vertical="center"/>
    </xf>
    <xf numFmtId="0" fontId="2" fillId="2" borderId="0" xfId="0" applyFont="1" applyFill="1">
      <alignment vertical="center"/>
    </xf>
    <xf numFmtId="0" fontId="10" fillId="4" borderId="1" xfId="0" applyFont="1" applyFill="1" applyBorder="1" applyAlignment="1">
      <alignment horizontal="center" vertical="center"/>
    </xf>
    <xf numFmtId="182" fontId="1" fillId="4"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181" fontId="1" fillId="4" borderId="1" xfId="0" applyNumberFormat="1" applyFont="1" applyFill="1" applyBorder="1" applyAlignment="1">
      <alignment horizontal="center" vertical="center"/>
    </xf>
    <xf numFmtId="0" fontId="11" fillId="4" borderId="1" xfId="0" applyFont="1" applyFill="1" applyBorder="1" applyAlignment="1">
      <alignment horizontal="center" vertical="center" wrapText="1"/>
    </xf>
    <xf numFmtId="0" fontId="10" fillId="3"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10" fillId="5" borderId="1" xfId="0" applyFont="1" applyFill="1" applyBorder="1" applyAlignment="1">
      <alignment horizontal="center" vertical="center"/>
    </xf>
    <xf numFmtId="0" fontId="8" fillId="6" borderId="0" xfId="0" applyFont="1" applyFill="1">
      <alignment vertical="center"/>
    </xf>
    <xf numFmtId="0" fontId="8" fillId="6" borderId="2" xfId="0" applyFont="1" applyFill="1" applyBorder="1">
      <alignment vertical="center"/>
    </xf>
    <xf numFmtId="0" fontId="8" fillId="6" borderId="3" xfId="0" applyFont="1" applyFill="1" applyBorder="1">
      <alignment vertical="center"/>
    </xf>
    <xf numFmtId="0" fontId="7" fillId="7" borderId="4" xfId="0" applyFont="1" applyFill="1" applyBorder="1" applyAlignment="1">
      <alignment horizontal="center" vertical="center"/>
    </xf>
    <xf numFmtId="180" fontId="8" fillId="7" borderId="1" xfId="0" applyNumberFormat="1" applyFont="1" applyFill="1" applyBorder="1" applyAlignment="1">
      <alignment horizontal="left" vertical="center"/>
    </xf>
    <xf numFmtId="180" fontId="12" fillId="7" borderId="1" xfId="0" applyNumberFormat="1" applyFont="1" applyFill="1" applyBorder="1" applyAlignment="1"/>
    <xf numFmtId="0" fontId="7" fillId="8" borderId="4" xfId="0" applyFont="1" applyFill="1" applyBorder="1" applyAlignment="1">
      <alignment horizontal="center" vertical="center"/>
    </xf>
    <xf numFmtId="0" fontId="13" fillId="6" borderId="4" xfId="0" applyFont="1" applyFill="1" applyBorder="1" applyAlignment="1">
      <alignment horizontal="left" vertical="center"/>
    </xf>
    <xf numFmtId="0" fontId="13" fillId="6" borderId="4" xfId="0" applyFont="1" applyFill="1" applyBorder="1" applyAlignment="1">
      <alignment horizontal="center" vertical="center"/>
    </xf>
    <xf numFmtId="0" fontId="7" fillId="2" borderId="1" xfId="0" applyFont="1" applyFill="1" applyBorder="1" applyAlignment="1">
      <alignment horizontal="right" vertical="center" wrapText="1"/>
    </xf>
    <xf numFmtId="0" fontId="7" fillId="9" borderId="4" xfId="0" applyFont="1" applyFill="1" applyBorder="1" applyAlignment="1">
      <alignment horizontal="center" vertical="center"/>
    </xf>
    <xf numFmtId="0" fontId="13" fillId="7" borderId="4" xfId="0" applyFont="1" applyFill="1" applyBorder="1">
      <alignment vertical="center"/>
    </xf>
    <xf numFmtId="180" fontId="8" fillId="9" borderId="1" xfId="0" applyNumberFormat="1" applyFont="1" applyFill="1" applyBorder="1" applyAlignment="1">
      <alignment horizontal="left" vertical="center"/>
    </xf>
    <xf numFmtId="180" fontId="12" fillId="9" borderId="1" xfId="0" applyNumberFormat="1" applyFont="1" applyFill="1" applyBorder="1" applyAlignment="1"/>
    <xf numFmtId="0" fontId="7" fillId="7" borderId="7" xfId="0" applyFont="1" applyFill="1" applyBorder="1" applyAlignment="1">
      <alignment horizontal="center" vertical="center"/>
    </xf>
    <xf numFmtId="0" fontId="13" fillId="9" borderId="4" xfId="0" applyFont="1" applyFill="1" applyBorder="1">
      <alignment vertical="center"/>
    </xf>
    <xf numFmtId="180" fontId="2" fillId="7" borderId="1" xfId="0" applyNumberFormat="1" applyFont="1" applyFill="1" applyBorder="1" applyAlignment="1"/>
    <xf numFmtId="0" fontId="2" fillId="6" borderId="0" xfId="0" applyFont="1" applyFill="1" applyAlignment="1">
      <alignment horizontal="center" vertical="center"/>
    </xf>
    <xf numFmtId="0" fontId="2" fillId="6" borderId="0" xfId="0" applyFont="1" applyFill="1">
      <alignment vertical="center"/>
    </xf>
    <xf numFmtId="0" fontId="8" fillId="6" borderId="4" xfId="0" applyFont="1" applyFill="1" applyBorder="1">
      <alignment vertical="center"/>
    </xf>
    <xf numFmtId="0" fontId="16" fillId="3" borderId="4" xfId="0" applyFont="1" applyFill="1" applyBorder="1" applyAlignment="1">
      <alignment horizontal="center" vertical="center"/>
    </xf>
    <xf numFmtId="0" fontId="13" fillId="6" borderId="4" xfId="0" applyFont="1" applyFill="1" applyBorder="1" applyAlignment="1">
      <alignment horizontal="right" vertical="center"/>
    </xf>
    <xf numFmtId="0" fontId="13" fillId="6" borderId="4" xfId="0" applyFont="1" applyFill="1" applyBorder="1" applyAlignment="1">
      <alignment horizontal="right"/>
    </xf>
    <xf numFmtId="0" fontId="2" fillId="2" borderId="0" xfId="0" applyFont="1" applyFill="1" applyAlignment="1">
      <alignment vertical="center" wrapText="1"/>
    </xf>
    <xf numFmtId="0" fontId="1" fillId="2" borderId="0" xfId="0" applyFont="1" applyFill="1">
      <alignment vertical="center"/>
    </xf>
    <xf numFmtId="0" fontId="2" fillId="2" borderId="0" xfId="0" applyFont="1" applyFill="1" applyAlignment="1">
      <alignment horizontal="center" vertical="center"/>
    </xf>
    <xf numFmtId="10" fontId="2" fillId="2" borderId="0" xfId="0" applyNumberFormat="1" applyFont="1" applyFill="1">
      <alignment vertical="center"/>
    </xf>
    <xf numFmtId="184" fontId="2" fillId="2" borderId="0" xfId="0" applyNumberFormat="1" applyFont="1" applyFill="1">
      <alignment vertical="center"/>
    </xf>
    <xf numFmtId="178" fontId="2" fillId="2" borderId="0" xfId="0" applyNumberFormat="1" applyFont="1" applyFill="1">
      <alignment vertical="center"/>
    </xf>
    <xf numFmtId="182" fontId="2" fillId="2" borderId="0" xfId="0" applyNumberFormat="1" applyFont="1" applyFill="1" applyAlignment="1">
      <alignment horizontal="right" vertical="center"/>
    </xf>
    <xf numFmtId="0" fontId="2" fillId="2" borderId="0" xfId="0" applyFont="1" applyFill="1" applyAlignment="1">
      <alignment horizontal="center" vertical="center" wrapText="1"/>
    </xf>
    <xf numFmtId="0" fontId="1" fillId="7" borderId="1" xfId="0" applyFont="1" applyFill="1" applyBorder="1" applyAlignment="1">
      <alignment horizontal="center" vertical="center" wrapText="1"/>
    </xf>
    <xf numFmtId="182" fontId="1" fillId="12" borderId="1" xfId="0" applyNumberFormat="1" applyFont="1" applyFill="1" applyBorder="1" applyAlignment="1">
      <alignment horizontal="center" vertical="center" wrapText="1"/>
    </xf>
    <xf numFmtId="182" fontId="1" fillId="3" borderId="1" xfId="0" applyNumberFormat="1" applyFont="1" applyFill="1" applyBorder="1" applyAlignment="1">
      <alignment horizontal="center" vertical="center" wrapText="1"/>
    </xf>
    <xf numFmtId="0" fontId="2" fillId="7" borderId="1" xfId="0" applyFont="1" applyFill="1" applyBorder="1" applyAlignment="1">
      <alignment horizontal="center" vertical="center" wrapText="1"/>
    </xf>
    <xf numFmtId="182" fontId="2" fillId="2" borderId="1" xfId="0" applyNumberFormat="1" applyFont="1" applyFill="1" applyBorder="1" applyAlignment="1">
      <alignment horizontal="right" vertical="center"/>
    </xf>
    <xf numFmtId="0" fontId="1" fillId="13" borderId="1" xfId="0" applyFont="1" applyFill="1" applyBorder="1" applyAlignment="1">
      <alignment horizontal="center" vertical="center" wrapText="1"/>
    </xf>
    <xf numFmtId="0" fontId="1" fillId="13" borderId="1" xfId="0" applyFont="1" applyFill="1" applyBorder="1" applyAlignment="1">
      <alignment horizontal="right" vertical="center"/>
    </xf>
    <xf numFmtId="0" fontId="1" fillId="14" borderId="26" xfId="0" applyFont="1" applyFill="1" applyBorder="1" applyAlignment="1">
      <alignment horizontal="center" vertical="center"/>
    </xf>
    <xf numFmtId="0" fontId="1" fillId="14" borderId="1" xfId="0" applyFont="1" applyFill="1" applyBorder="1" applyAlignment="1">
      <alignment horizontal="center" vertical="center"/>
    </xf>
    <xf numFmtId="0" fontId="1" fillId="15" borderId="26" xfId="0" applyFont="1" applyFill="1" applyBorder="1" applyAlignment="1">
      <alignment horizontal="center" vertical="center"/>
    </xf>
    <xf numFmtId="0" fontId="1" fillId="15" borderId="1" xfId="0" applyFont="1" applyFill="1" applyBorder="1" applyAlignment="1">
      <alignment horizontal="center" vertical="center"/>
    </xf>
    <xf numFmtId="182" fontId="1" fillId="9" borderId="1" xfId="0" applyNumberFormat="1" applyFont="1" applyFill="1" applyBorder="1" applyAlignment="1">
      <alignment horizontal="center" vertical="center" wrapText="1"/>
    </xf>
    <xf numFmtId="182" fontId="17" fillId="9" borderId="1" xfId="0" applyNumberFormat="1" applyFont="1" applyFill="1" applyBorder="1" applyAlignment="1">
      <alignment horizontal="center" vertical="center" wrapText="1"/>
    </xf>
    <xf numFmtId="0" fontId="1" fillId="9" borderId="1" xfId="0" applyFont="1" applyFill="1" applyBorder="1" applyAlignment="1">
      <alignment horizontal="center" vertical="center" wrapText="1"/>
    </xf>
    <xf numFmtId="0" fontId="17" fillId="9" borderId="1" xfId="0" applyFont="1" applyFill="1" applyBorder="1" applyAlignment="1">
      <alignment horizontal="center" vertical="center" wrapText="1"/>
    </xf>
    <xf numFmtId="0" fontId="2" fillId="17" borderId="1" xfId="0" applyFont="1" applyFill="1" applyBorder="1" applyAlignment="1">
      <alignment horizontal="center" vertical="center"/>
    </xf>
    <xf numFmtId="0" fontId="2" fillId="18" borderId="1" xfId="0" applyFont="1" applyFill="1" applyBorder="1" applyAlignment="1">
      <alignment horizontal="center" vertical="center"/>
    </xf>
    <xf numFmtId="0" fontId="17" fillId="13" borderId="1" xfId="0" applyFont="1" applyFill="1" applyBorder="1" applyAlignment="1">
      <alignment horizontal="center" vertical="center"/>
    </xf>
    <xf numFmtId="0" fontId="1" fillId="13" borderId="1" xfId="0" applyFont="1" applyFill="1" applyBorder="1" applyAlignment="1">
      <alignment horizontal="center" vertical="center"/>
    </xf>
    <xf numFmtId="17" fontId="1" fillId="11" borderId="32" xfId="0" applyNumberFormat="1" applyFont="1" applyFill="1" applyBorder="1" applyAlignment="1">
      <alignment horizontal="center" vertical="center"/>
    </xf>
    <xf numFmtId="189" fontId="2" fillId="2" borderId="1" xfId="0" applyNumberFormat="1" applyFont="1" applyFill="1" applyBorder="1">
      <alignment vertical="center"/>
    </xf>
    <xf numFmtId="189" fontId="2" fillId="7" borderId="1" xfId="0" applyNumberFormat="1" applyFont="1" applyFill="1" applyBorder="1">
      <alignment vertical="center"/>
    </xf>
    <xf numFmtId="10" fontId="2" fillId="2" borderId="1" xfId="0" applyNumberFormat="1" applyFont="1" applyFill="1" applyBorder="1">
      <alignment vertical="center"/>
    </xf>
    <xf numFmtId="189" fontId="2" fillId="2" borderId="1" xfId="0" applyNumberFormat="1" applyFont="1" applyFill="1" applyBorder="1" applyAlignment="1">
      <alignment vertical="center" wrapText="1"/>
    </xf>
    <xf numFmtId="189" fontId="2" fillId="7" borderId="1" xfId="0" applyNumberFormat="1" applyFont="1" applyFill="1" applyBorder="1" applyAlignment="1">
      <alignment vertical="center" wrapText="1"/>
    </xf>
    <xf numFmtId="10" fontId="2" fillId="2" borderId="1" xfId="0" applyNumberFormat="1" applyFont="1" applyFill="1" applyBorder="1" applyAlignment="1">
      <alignment vertical="center" wrapText="1"/>
    </xf>
    <xf numFmtId="0" fontId="1" fillId="14" borderId="1" xfId="0" applyFont="1" applyFill="1" applyBorder="1">
      <alignment vertical="center"/>
    </xf>
    <xf numFmtId="187" fontId="1" fillId="15" borderId="1" xfId="0" applyNumberFormat="1" applyFont="1" applyFill="1" applyBorder="1" applyAlignment="1">
      <alignment horizontal="center" vertical="center"/>
    </xf>
    <xf numFmtId="187" fontId="1" fillId="15" borderId="1" xfId="0" applyNumberFormat="1" applyFont="1" applyFill="1" applyBorder="1">
      <alignment vertical="center"/>
    </xf>
    <xf numFmtId="10" fontId="1" fillId="10" borderId="1" xfId="0" applyNumberFormat="1" applyFont="1" applyFill="1" applyBorder="1" applyAlignment="1">
      <alignment horizontal="center" vertical="center" wrapText="1"/>
    </xf>
    <xf numFmtId="0" fontId="2" fillId="19" borderId="1" xfId="0" applyFont="1" applyFill="1" applyBorder="1" applyAlignment="1">
      <alignment horizontal="center" vertical="center"/>
    </xf>
    <xf numFmtId="10" fontId="2" fillId="10" borderId="1" xfId="0" applyNumberFormat="1" applyFont="1" applyFill="1" applyBorder="1" applyAlignment="1">
      <alignment horizontal="center" vertical="center"/>
    </xf>
    <xf numFmtId="0" fontId="2" fillId="20" borderId="1" xfId="0" applyFont="1" applyFill="1" applyBorder="1" applyAlignment="1">
      <alignment horizontal="center" vertical="center"/>
    </xf>
    <xf numFmtId="10" fontId="1" fillId="13" borderId="1" xfId="0" applyNumberFormat="1" applyFont="1" applyFill="1" applyBorder="1" applyAlignment="1">
      <alignment horizontal="center" vertical="center"/>
    </xf>
    <xf numFmtId="189" fontId="1" fillId="2" borderId="1" xfId="0" applyNumberFormat="1" applyFont="1" applyFill="1" applyBorder="1">
      <alignment vertical="center"/>
    </xf>
    <xf numFmtId="189" fontId="1" fillId="7" borderId="1" xfId="0" applyNumberFormat="1" applyFont="1" applyFill="1" applyBorder="1">
      <alignment vertical="center"/>
    </xf>
    <xf numFmtId="10" fontId="1" fillId="2" borderId="1" xfId="0" applyNumberFormat="1" applyFont="1" applyFill="1" applyBorder="1">
      <alignment vertical="center"/>
    </xf>
    <xf numFmtId="183" fontId="1" fillId="14" borderId="1" xfId="0" applyNumberFormat="1" applyFont="1" applyFill="1" applyBorder="1" applyAlignment="1">
      <alignment horizontal="center" vertical="center"/>
    </xf>
    <xf numFmtId="182" fontId="1" fillId="14" borderId="1" xfId="0" applyNumberFormat="1" applyFont="1" applyFill="1" applyBorder="1" applyAlignment="1">
      <alignment horizontal="center" vertical="center"/>
    </xf>
    <xf numFmtId="177" fontId="1" fillId="15" borderId="1" xfId="0" applyNumberFormat="1" applyFont="1" applyFill="1" applyBorder="1" applyAlignment="1">
      <alignment horizontal="center" vertical="center"/>
    </xf>
    <xf numFmtId="182" fontId="1" fillId="15" borderId="1" xfId="0" applyNumberFormat="1" applyFont="1" applyFill="1" applyBorder="1" applyAlignment="1">
      <alignment horizontal="center" vertical="center"/>
    </xf>
    <xf numFmtId="10" fontId="17" fillId="9" borderId="1" xfId="0" applyNumberFormat="1" applyFont="1" applyFill="1" applyBorder="1" applyAlignment="1">
      <alignment horizontal="center" vertical="center" wrapText="1"/>
    </xf>
    <xf numFmtId="0" fontId="7" fillId="9" borderId="1" xfId="0" applyFont="1" applyFill="1" applyBorder="1" applyAlignment="1">
      <alignment horizontal="center" vertical="center" wrapText="1"/>
    </xf>
    <xf numFmtId="10" fontId="7" fillId="9" borderId="1" xfId="0" applyNumberFormat="1" applyFont="1" applyFill="1" applyBorder="1" applyAlignment="1">
      <alignment horizontal="center" vertical="center" wrapText="1"/>
    </xf>
    <xf numFmtId="187" fontId="2" fillId="20" borderId="1" xfId="0" applyNumberFormat="1" applyFont="1" applyFill="1" applyBorder="1" applyAlignment="1">
      <alignment horizontal="center" vertical="center"/>
    </xf>
    <xf numFmtId="10" fontId="2" fillId="20" borderId="1" xfId="0" applyNumberFormat="1" applyFont="1" applyFill="1" applyBorder="1" applyAlignment="1">
      <alignment horizontal="center" vertical="center"/>
    </xf>
    <xf numFmtId="9" fontId="1" fillId="15" borderId="1" xfId="0" applyNumberFormat="1" applyFont="1" applyFill="1" applyBorder="1" applyAlignment="1">
      <alignment horizontal="center" vertical="center"/>
    </xf>
    <xf numFmtId="184" fontId="1" fillId="4" borderId="1" xfId="0" applyNumberFormat="1" applyFont="1" applyFill="1" applyBorder="1" applyAlignment="1">
      <alignment horizontal="center" vertical="center" wrapText="1"/>
    </xf>
    <xf numFmtId="184" fontId="17" fillId="9" borderId="33" xfId="0" applyNumberFormat="1" applyFont="1" applyFill="1" applyBorder="1" applyAlignment="1">
      <alignment horizontal="center" vertical="center" wrapText="1"/>
    </xf>
    <xf numFmtId="184" fontId="1" fillId="9" borderId="33" xfId="0" applyNumberFormat="1" applyFont="1" applyFill="1" applyBorder="1" applyAlignment="1">
      <alignment horizontal="center" vertical="center" wrapText="1"/>
    </xf>
    <xf numFmtId="184" fontId="17" fillId="13" borderId="1" xfId="0" applyNumberFormat="1" applyFont="1" applyFill="1" applyBorder="1" applyAlignment="1">
      <alignment horizontal="center" vertical="center"/>
    </xf>
    <xf numFmtId="184" fontId="1" fillId="13" borderId="1" xfId="0" applyNumberFormat="1" applyFont="1" applyFill="1" applyBorder="1" applyAlignment="1">
      <alignment horizontal="center" vertical="center"/>
    </xf>
    <xf numFmtId="184" fontId="1" fillId="15" borderId="1" xfId="0" applyNumberFormat="1" applyFont="1" applyFill="1" applyBorder="1" applyAlignment="1">
      <alignment horizontal="center" vertical="center"/>
    </xf>
    <xf numFmtId="182" fontId="2" fillId="2" borderId="0" xfId="0" applyNumberFormat="1" applyFont="1" applyFill="1">
      <alignment vertical="center"/>
    </xf>
    <xf numFmtId="179" fontId="1" fillId="15" borderId="1" xfId="0" applyNumberFormat="1" applyFont="1" applyFill="1" applyBorder="1" applyAlignment="1">
      <alignment horizontal="center" vertical="center"/>
    </xf>
    <xf numFmtId="178" fontId="1" fillId="9" borderId="33" xfId="0" applyNumberFormat="1" applyFont="1" applyFill="1" applyBorder="1" applyAlignment="1">
      <alignment horizontal="center" vertical="center" wrapText="1"/>
    </xf>
    <xf numFmtId="178" fontId="1" fillId="10" borderId="33" xfId="0" applyNumberFormat="1" applyFont="1" applyFill="1" applyBorder="1" applyAlignment="1">
      <alignment horizontal="center" vertical="center" wrapText="1"/>
    </xf>
    <xf numFmtId="178" fontId="17" fillId="9" borderId="33" xfId="0" applyNumberFormat="1" applyFont="1" applyFill="1" applyBorder="1" applyAlignment="1">
      <alignment horizontal="center" vertical="center" wrapText="1"/>
    </xf>
    <xf numFmtId="178" fontId="1" fillId="13" borderId="1" xfId="0" applyNumberFormat="1" applyFont="1" applyFill="1" applyBorder="1" applyAlignment="1">
      <alignment horizontal="center" vertical="center"/>
    </xf>
    <xf numFmtId="178" fontId="1" fillId="4" borderId="1" xfId="0" applyNumberFormat="1" applyFont="1" applyFill="1" applyBorder="1" applyAlignment="1">
      <alignment horizontal="center" vertical="center" wrapText="1"/>
    </xf>
    <xf numFmtId="0" fontId="1" fillId="1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178" fontId="2" fillId="4" borderId="22" xfId="0" applyNumberFormat="1" applyFont="1" applyFill="1" applyBorder="1" applyAlignment="1">
      <alignment horizontal="center" vertical="center"/>
    </xf>
    <xf numFmtId="0" fontId="2" fillId="22" borderId="1" xfId="0" applyFont="1" applyFill="1" applyBorder="1" applyAlignment="1">
      <alignment horizontal="center" vertical="center"/>
    </xf>
    <xf numFmtId="178" fontId="2" fillId="4" borderId="32" xfId="0" applyNumberFormat="1" applyFont="1" applyFill="1" applyBorder="1" applyAlignment="1">
      <alignment horizontal="center" vertical="center"/>
    </xf>
    <xf numFmtId="178" fontId="2" fillId="4" borderId="33" xfId="0" applyNumberFormat="1" applyFont="1" applyFill="1" applyBorder="1" applyAlignment="1">
      <alignment horizontal="center" vertical="center"/>
    </xf>
    <xf numFmtId="0" fontId="1" fillId="2" borderId="0" xfId="0" applyFont="1" applyFill="1" applyAlignment="1">
      <alignment horizontal="center" vertical="center" wrapText="1"/>
    </xf>
    <xf numFmtId="0" fontId="9" fillId="2" borderId="1" xfId="0" applyFont="1" applyFill="1" applyBorder="1" applyAlignment="1">
      <alignment horizontal="center" vertical="center"/>
    </xf>
    <xf numFmtId="0" fontId="1" fillId="12" borderId="1" xfId="0" applyFont="1" applyFill="1" applyBorder="1" applyAlignment="1">
      <alignment horizontal="center" vertical="center"/>
    </xf>
    <xf numFmtId="24" fontId="2" fillId="2"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xf>
    <xf numFmtId="179" fontId="9" fillId="2" borderId="1" xfId="0" applyNumberFormat="1" applyFont="1" applyFill="1" applyBorder="1" applyAlignment="1">
      <alignment horizontal="center" vertical="center"/>
    </xf>
    <xf numFmtId="0" fontId="20" fillId="0" borderId="0" xfId="0" applyFont="1" applyAlignment="1">
      <alignment horizontal="center" vertical="center" wrapText="1"/>
    </xf>
    <xf numFmtId="14" fontId="20" fillId="0" borderId="0" xfId="0" applyNumberFormat="1" applyFont="1" applyAlignment="1">
      <alignment horizontal="center" vertical="center"/>
    </xf>
    <xf numFmtId="176" fontId="20" fillId="0" borderId="0" xfId="0" applyNumberFormat="1" applyFont="1" applyAlignment="1">
      <alignment horizontal="center" vertical="center"/>
    </xf>
    <xf numFmtId="0" fontId="20" fillId="0" borderId="0" xfId="0" applyFont="1" applyAlignment="1">
      <alignment horizontal="center" vertical="center"/>
    </xf>
    <xf numFmtId="9" fontId="20" fillId="0" borderId="0" xfId="0" applyNumberFormat="1" applyFont="1" applyAlignment="1">
      <alignment horizontal="center" vertical="center"/>
    </xf>
    <xf numFmtId="10" fontId="20" fillId="0" borderId="0" xfId="0" applyNumberFormat="1" applyFont="1" applyAlignment="1">
      <alignment horizontal="center" vertical="center"/>
    </xf>
    <xf numFmtId="14" fontId="21" fillId="0" borderId="1" xfId="0" applyNumberFormat="1" applyFont="1" applyBorder="1" applyAlignment="1">
      <alignment horizontal="center" vertical="center" wrapText="1"/>
    </xf>
    <xf numFmtId="176" fontId="21" fillId="0" borderId="1" xfId="0" applyNumberFormat="1" applyFont="1" applyBorder="1" applyAlignment="1">
      <alignment horizontal="center" vertical="center" wrapText="1"/>
    </xf>
    <xf numFmtId="0" fontId="21" fillId="0" borderId="1" xfId="0" applyFont="1" applyBorder="1" applyAlignment="1">
      <alignment horizontal="center" vertical="center" wrapText="1"/>
    </xf>
    <xf numFmtId="14" fontId="20" fillId="0" borderId="1" xfId="0" applyNumberFormat="1" applyFont="1" applyBorder="1" applyAlignment="1">
      <alignment horizontal="center" vertical="center"/>
    </xf>
    <xf numFmtId="176" fontId="20" fillId="0" borderId="1" xfId="0" applyNumberFormat="1" applyFont="1" applyBorder="1" applyAlignment="1">
      <alignment horizontal="center" vertical="center"/>
    </xf>
    <xf numFmtId="0" fontId="20" fillId="0" borderId="1" xfId="0" applyFont="1" applyBorder="1" applyAlignment="1">
      <alignment horizontal="center" vertical="center"/>
    </xf>
    <xf numFmtId="0" fontId="20" fillId="23" borderId="1" xfId="0" applyFont="1" applyFill="1" applyBorder="1" applyAlignment="1">
      <alignment horizontal="center" vertical="center"/>
    </xf>
    <xf numFmtId="0" fontId="20" fillId="24" borderId="1" xfId="0" applyFont="1" applyFill="1" applyBorder="1" applyAlignment="1">
      <alignment horizontal="center" vertical="center"/>
    </xf>
    <xf numFmtId="183" fontId="20" fillId="0" borderId="1" xfId="0" applyNumberFormat="1" applyFont="1" applyBorder="1" applyAlignment="1">
      <alignment horizontal="center" vertical="center"/>
    </xf>
    <xf numFmtId="9" fontId="21" fillId="0" borderId="1" xfId="0" applyNumberFormat="1" applyFont="1" applyBorder="1" applyAlignment="1">
      <alignment horizontal="center" vertical="center" wrapText="1"/>
    </xf>
    <xf numFmtId="10" fontId="21" fillId="0" borderId="1" xfId="0" applyNumberFormat="1" applyFont="1" applyBorder="1" applyAlignment="1">
      <alignment horizontal="center" vertical="center" wrapText="1"/>
    </xf>
    <xf numFmtId="9" fontId="20" fillId="0" borderId="1" xfId="0" applyNumberFormat="1" applyFont="1" applyBorder="1" applyAlignment="1">
      <alignment horizontal="center" vertical="center"/>
    </xf>
    <xf numFmtId="10" fontId="20" fillId="0" borderId="1" xfId="0" applyNumberFormat="1" applyFont="1" applyBorder="1" applyAlignment="1">
      <alignment horizontal="center" vertical="center"/>
    </xf>
    <xf numFmtId="9" fontId="20" fillId="23" borderId="1" xfId="0" applyNumberFormat="1" applyFont="1" applyFill="1" applyBorder="1" applyAlignment="1">
      <alignment horizontal="center" vertical="center"/>
    </xf>
    <xf numFmtId="10" fontId="20" fillId="23" borderId="1" xfId="0" applyNumberFormat="1" applyFont="1" applyFill="1" applyBorder="1" applyAlignment="1">
      <alignment horizontal="center" vertical="center"/>
    </xf>
    <xf numFmtId="9" fontId="20" fillId="24" borderId="1" xfId="0" applyNumberFormat="1" applyFont="1" applyFill="1" applyBorder="1" applyAlignment="1">
      <alignment horizontal="center" vertical="center"/>
    </xf>
    <xf numFmtId="10" fontId="20" fillId="24" borderId="1" xfId="0" applyNumberFormat="1" applyFont="1" applyFill="1" applyBorder="1" applyAlignment="1">
      <alignment horizontal="center" vertical="center"/>
    </xf>
    <xf numFmtId="0" fontId="29" fillId="6" borderId="4" xfId="0" applyFont="1" applyFill="1" applyBorder="1" applyAlignment="1">
      <alignment horizontal="right" vertical="center"/>
    </xf>
    <xf numFmtId="14" fontId="20" fillId="23" borderId="1" xfId="0" applyNumberFormat="1" applyFont="1" applyFill="1" applyBorder="1" applyAlignment="1">
      <alignment horizontal="center" vertical="center"/>
    </xf>
    <xf numFmtId="14" fontId="20" fillId="24" borderId="1" xfId="0" applyNumberFormat="1" applyFont="1" applyFill="1" applyBorder="1" applyAlignment="1">
      <alignment horizontal="center" vertical="center"/>
    </xf>
    <xf numFmtId="0" fontId="1" fillId="7" borderId="1" xfId="0" applyFont="1" applyFill="1" applyBorder="1" applyAlignment="1">
      <alignment horizontal="center" vertical="center" wrapText="1"/>
    </xf>
    <xf numFmtId="0" fontId="1" fillId="14" borderId="26" xfId="0" applyFont="1" applyFill="1" applyBorder="1" applyAlignment="1">
      <alignment horizontal="center" vertical="center"/>
    </xf>
    <xf numFmtId="0" fontId="1" fillId="14" borderId="27"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15" borderId="26" xfId="0" applyFont="1" applyFill="1" applyBorder="1" applyAlignment="1">
      <alignment horizontal="center" vertical="center"/>
    </xf>
    <xf numFmtId="0" fontId="1" fillId="15" borderId="27" xfId="0" applyFont="1" applyFill="1" applyBorder="1" applyAlignment="1">
      <alignment horizontal="center" vertical="center"/>
    </xf>
    <xf numFmtId="0" fontId="31" fillId="16" borderId="26" xfId="0" applyFont="1" applyFill="1" applyBorder="1" applyAlignment="1">
      <alignment horizontal="left" vertical="center"/>
    </xf>
    <xf numFmtId="0" fontId="17" fillId="16" borderId="15" xfId="0" applyFont="1" applyFill="1" applyBorder="1" applyAlignment="1">
      <alignment horizontal="left" vertical="center"/>
    </xf>
    <xf numFmtId="0" fontId="31" fillId="16" borderId="24" xfId="0" applyFont="1" applyFill="1" applyBorder="1" applyAlignment="1">
      <alignment horizontal="left" vertical="center"/>
    </xf>
    <xf numFmtId="0" fontId="17" fillId="16" borderId="24" xfId="0" applyFont="1" applyFill="1" applyBorder="1" applyAlignment="1">
      <alignment horizontal="left" vertical="center"/>
    </xf>
    <xf numFmtId="0" fontId="17" fillId="16" borderId="25" xfId="0" applyFont="1" applyFill="1" applyBorder="1" applyAlignment="1">
      <alignment horizontal="left" vertical="center"/>
    </xf>
    <xf numFmtId="0" fontId="17" fillId="16" borderId="26" xfId="0" applyFont="1" applyFill="1" applyBorder="1" applyAlignment="1">
      <alignment horizontal="left" vertical="center"/>
    </xf>
    <xf numFmtId="0" fontId="17" fillId="16" borderId="27" xfId="0" applyFont="1" applyFill="1" applyBorder="1" applyAlignment="1">
      <alignment horizontal="left" vertical="center"/>
    </xf>
    <xf numFmtId="0" fontId="18" fillId="5" borderId="26" xfId="0" applyFont="1" applyFill="1" applyBorder="1" applyAlignment="1">
      <alignment horizontal="center" vertical="center"/>
    </xf>
    <xf numFmtId="0" fontId="18" fillId="5" borderId="15" xfId="0" applyFont="1" applyFill="1" applyBorder="1" applyAlignment="1">
      <alignment horizontal="center" vertical="center"/>
    </xf>
    <xf numFmtId="0" fontId="18" fillId="5" borderId="27" xfId="0" applyFont="1" applyFill="1" applyBorder="1" applyAlignment="1">
      <alignment horizontal="center" vertical="center"/>
    </xf>
    <xf numFmtId="0" fontId="19" fillId="16" borderId="26" xfId="0" applyFont="1" applyFill="1" applyBorder="1" applyAlignment="1">
      <alignment horizontal="center" vertical="center"/>
    </xf>
    <xf numFmtId="0" fontId="19" fillId="16" borderId="15" xfId="0" applyFont="1" applyFill="1" applyBorder="1" applyAlignment="1">
      <alignment horizontal="center" vertical="center"/>
    </xf>
    <xf numFmtId="0" fontId="19" fillId="16" borderId="27" xfId="0" applyFont="1" applyFill="1" applyBorder="1" applyAlignment="1">
      <alignment horizontal="center" vertical="center"/>
    </xf>
    <xf numFmtId="0" fontId="1" fillId="2" borderId="28" xfId="0" applyFont="1" applyFill="1" applyBorder="1" applyAlignment="1">
      <alignment horizontal="right" vertical="center" wrapText="1"/>
    </xf>
    <xf numFmtId="0" fontId="1" fillId="2" borderId="0" xfId="0" applyFont="1" applyFill="1" applyAlignment="1">
      <alignment horizontal="right" vertical="center" wrapText="1"/>
    </xf>
    <xf numFmtId="184" fontId="1" fillId="2" borderId="1" xfId="0" applyNumberFormat="1" applyFont="1" applyFill="1" applyBorder="1" applyAlignment="1">
      <alignment horizontal="center" vertical="center"/>
    </xf>
    <xf numFmtId="0" fontId="2" fillId="2" borderId="30" xfId="0" applyFont="1" applyFill="1" applyBorder="1" applyAlignment="1">
      <alignment horizontal="center" vertical="center"/>
    </xf>
    <xf numFmtId="0" fontId="2" fillId="2" borderId="31" xfId="0" applyFont="1" applyFill="1" applyBorder="1" applyAlignment="1">
      <alignment horizontal="center" vertical="center"/>
    </xf>
    <xf numFmtId="184" fontId="2" fillId="21" borderId="22" xfId="0" applyNumberFormat="1" applyFont="1" applyFill="1" applyBorder="1" applyAlignment="1">
      <alignment horizontal="center" vertical="center"/>
    </xf>
    <xf numFmtId="184" fontId="2" fillId="21" borderId="32" xfId="0" applyNumberFormat="1" applyFont="1" applyFill="1" applyBorder="1" applyAlignment="1">
      <alignment horizontal="center" vertical="center"/>
    </xf>
    <xf numFmtId="184" fontId="2" fillId="21" borderId="33" xfId="0" applyNumberFormat="1" applyFont="1" applyFill="1" applyBorder="1" applyAlignment="1">
      <alignment horizontal="center" vertical="center"/>
    </xf>
    <xf numFmtId="184" fontId="2" fillId="17" borderId="22" xfId="0" applyNumberFormat="1" applyFont="1" applyFill="1" applyBorder="1" applyAlignment="1">
      <alignment horizontal="center" vertical="center"/>
    </xf>
    <xf numFmtId="184" fontId="2" fillId="17" borderId="32" xfId="0" applyNumberFormat="1" applyFont="1" applyFill="1" applyBorder="1" applyAlignment="1">
      <alignment horizontal="center" vertical="center"/>
    </xf>
    <xf numFmtId="184" fontId="2" fillId="17" borderId="33" xfId="0" applyNumberFormat="1" applyFont="1" applyFill="1" applyBorder="1" applyAlignment="1">
      <alignment horizontal="center" vertical="center"/>
    </xf>
    <xf numFmtId="184" fontId="9" fillId="7" borderId="1" xfId="0" applyNumberFormat="1" applyFont="1" applyFill="1" applyBorder="1" applyAlignment="1">
      <alignment horizontal="center" vertical="center"/>
    </xf>
    <xf numFmtId="184" fontId="2" fillId="2" borderId="1" xfId="0" applyNumberFormat="1" applyFont="1" applyFill="1" applyBorder="1" applyAlignment="1">
      <alignment horizontal="center" vertical="center"/>
    </xf>
    <xf numFmtId="184" fontId="9" fillId="2" borderId="1" xfId="0" applyNumberFormat="1" applyFont="1" applyFill="1" applyBorder="1" applyAlignment="1">
      <alignment horizontal="center" vertical="center"/>
    </xf>
    <xf numFmtId="10" fontId="9" fillId="2" borderId="1" xfId="0" applyNumberFormat="1" applyFont="1" applyFill="1" applyBorder="1" applyAlignment="1">
      <alignment horizontal="center" vertical="center"/>
    </xf>
    <xf numFmtId="0" fontId="2" fillId="2" borderId="26"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27" xfId="0" applyFont="1" applyFill="1" applyBorder="1" applyAlignment="1">
      <alignment horizontal="center" vertical="center"/>
    </xf>
    <xf numFmtId="177" fontId="1" fillId="7" borderId="1" xfId="0" applyNumberFormat="1" applyFont="1" applyFill="1" applyBorder="1" applyAlignment="1">
      <alignment horizontal="center" vertical="center"/>
    </xf>
    <xf numFmtId="178" fontId="1" fillId="2" borderId="1" xfId="0" applyNumberFormat="1" applyFont="1" applyFill="1" applyBorder="1" applyAlignment="1">
      <alignment horizontal="center" vertical="center"/>
    </xf>
    <xf numFmtId="177" fontId="1" fillId="2" borderId="1" xfId="0" applyNumberFormat="1" applyFont="1" applyFill="1" applyBorder="1" applyAlignment="1">
      <alignment horizontal="center" vertical="center"/>
    </xf>
    <xf numFmtId="0" fontId="2" fillId="7" borderId="1" xfId="0" applyFont="1" applyFill="1" applyBorder="1" applyAlignment="1">
      <alignment horizontal="center" vertical="center" wrapText="1"/>
    </xf>
    <xf numFmtId="0" fontId="30" fillId="0" borderId="22" xfId="0" applyFont="1" applyBorder="1" applyAlignment="1">
      <alignment horizontal="left" vertical="center" wrapText="1"/>
    </xf>
    <xf numFmtId="0" fontId="1" fillId="0" borderId="32" xfId="0" applyFont="1" applyBorder="1" applyAlignment="1">
      <alignment horizontal="left" vertical="center" wrapText="1"/>
    </xf>
    <xf numFmtId="0" fontId="1" fillId="0" borderId="33" xfId="0" applyFont="1" applyBorder="1" applyAlignment="1">
      <alignment horizontal="left" vertical="center" wrapText="1"/>
    </xf>
    <xf numFmtId="178" fontId="2" fillId="21" borderId="22" xfId="0" applyNumberFormat="1" applyFont="1" applyFill="1" applyBorder="1" applyAlignment="1">
      <alignment horizontal="center" vertical="center"/>
    </xf>
    <xf numFmtId="178" fontId="2" fillId="21" borderId="32" xfId="0" applyNumberFormat="1" applyFont="1" applyFill="1" applyBorder="1" applyAlignment="1">
      <alignment horizontal="center" vertical="center"/>
    </xf>
    <xf numFmtId="178" fontId="2" fillId="21" borderId="33" xfId="0" applyNumberFormat="1" applyFont="1" applyFill="1" applyBorder="1" applyAlignment="1">
      <alignment horizontal="center" vertical="center"/>
    </xf>
    <xf numFmtId="10" fontId="2" fillId="21" borderId="22" xfId="0" applyNumberFormat="1" applyFont="1" applyFill="1" applyBorder="1" applyAlignment="1">
      <alignment horizontal="center" vertical="center"/>
    </xf>
    <xf numFmtId="10" fontId="2" fillId="21" borderId="32" xfId="0" applyNumberFormat="1" applyFont="1" applyFill="1" applyBorder="1" applyAlignment="1">
      <alignment horizontal="center" vertical="center"/>
    </xf>
    <xf numFmtId="10" fontId="2" fillId="21" borderId="33" xfId="0" applyNumberFormat="1" applyFont="1" applyFill="1" applyBorder="1" applyAlignment="1">
      <alignment horizontal="center" vertical="center"/>
    </xf>
    <xf numFmtId="178" fontId="2" fillId="4" borderId="22" xfId="0" applyNumberFormat="1" applyFont="1" applyFill="1" applyBorder="1" applyAlignment="1">
      <alignment horizontal="center" vertical="center"/>
    </xf>
    <xf numFmtId="178" fontId="2" fillId="4" borderId="32" xfId="0" applyNumberFormat="1" applyFont="1" applyFill="1" applyBorder="1" applyAlignment="1">
      <alignment horizontal="center" vertical="center"/>
    </xf>
    <xf numFmtId="178" fontId="2" fillId="4" borderId="33" xfId="0" applyNumberFormat="1" applyFont="1" applyFill="1" applyBorder="1" applyAlignment="1">
      <alignment horizontal="center" vertical="center"/>
    </xf>
    <xf numFmtId="0" fontId="1" fillId="15" borderId="23" xfId="0" applyFont="1" applyFill="1" applyBorder="1" applyAlignment="1">
      <alignment horizontal="center" vertical="center"/>
    </xf>
    <xf numFmtId="0" fontId="1" fillId="15" borderId="25" xfId="0" applyFont="1" applyFill="1" applyBorder="1" applyAlignment="1">
      <alignment horizontal="center" vertical="center"/>
    </xf>
    <xf numFmtId="0" fontId="1" fillId="15" borderId="29" xfId="0" applyFont="1" applyFill="1" applyBorder="1" applyAlignment="1">
      <alignment horizontal="center" vertical="center"/>
    </xf>
    <xf numFmtId="0" fontId="1" fillId="15" borderId="31" xfId="0" applyFont="1" applyFill="1" applyBorder="1" applyAlignment="1">
      <alignment horizontal="center" vertical="center"/>
    </xf>
    <xf numFmtId="0" fontId="30" fillId="9" borderId="23" xfId="0" applyFont="1" applyFill="1" applyBorder="1" applyAlignment="1">
      <alignment horizontal="left" vertical="center"/>
    </xf>
    <xf numFmtId="0" fontId="1" fillId="9" borderId="24" xfId="0" applyFont="1" applyFill="1" applyBorder="1" applyAlignment="1">
      <alignment horizontal="left" vertical="center"/>
    </xf>
    <xf numFmtId="0" fontId="1" fillId="9" borderId="28" xfId="0" applyFont="1" applyFill="1" applyBorder="1" applyAlignment="1">
      <alignment horizontal="left" vertical="center"/>
    </xf>
    <xf numFmtId="0" fontId="1" fillId="9" borderId="0" xfId="0" applyFont="1" applyFill="1" applyAlignment="1">
      <alignment horizontal="left" vertical="center"/>
    </xf>
    <xf numFmtId="0" fontId="1" fillId="9" borderId="29" xfId="0" applyFont="1" applyFill="1" applyBorder="1" applyAlignment="1">
      <alignment horizontal="left" vertical="center"/>
    </xf>
    <xf numFmtId="0" fontId="1" fillId="9" borderId="18" xfId="0" applyFont="1" applyFill="1" applyBorder="1" applyAlignment="1">
      <alignment horizontal="left" vertical="center"/>
    </xf>
    <xf numFmtId="178" fontId="2" fillId="17" borderId="22" xfId="0" applyNumberFormat="1" applyFont="1" applyFill="1" applyBorder="1" applyAlignment="1">
      <alignment horizontal="center" vertical="center"/>
    </xf>
    <xf numFmtId="178" fontId="2" fillId="17" borderId="32" xfId="0" applyNumberFormat="1" applyFont="1" applyFill="1" applyBorder="1" applyAlignment="1">
      <alignment horizontal="center" vertical="center"/>
    </xf>
    <xf numFmtId="178" fontId="2" fillId="17" borderId="33" xfId="0" applyNumberFormat="1" applyFont="1" applyFill="1" applyBorder="1" applyAlignment="1">
      <alignment horizontal="center" vertical="center"/>
    </xf>
    <xf numFmtId="178" fontId="2" fillId="10" borderId="22" xfId="0" applyNumberFormat="1" applyFont="1" applyFill="1" applyBorder="1" applyAlignment="1">
      <alignment horizontal="center" vertical="center"/>
    </xf>
    <xf numFmtId="178" fontId="2" fillId="10" borderId="32" xfId="0" applyNumberFormat="1" applyFont="1" applyFill="1" applyBorder="1" applyAlignment="1">
      <alignment horizontal="center" vertical="center"/>
    </xf>
    <xf numFmtId="178" fontId="2" fillId="10" borderId="33" xfId="0" applyNumberFormat="1" applyFont="1" applyFill="1" applyBorder="1" applyAlignment="1">
      <alignment horizontal="center" vertical="center"/>
    </xf>
    <xf numFmtId="0" fontId="7" fillId="5" borderId="4" xfId="0" applyFont="1" applyFill="1" applyBorder="1" applyAlignment="1">
      <alignment horizontal="left" vertical="center"/>
    </xf>
    <xf numFmtId="0" fontId="26" fillId="7" borderId="4" xfId="0" applyFont="1" applyFill="1" applyBorder="1" applyAlignment="1">
      <alignment horizontal="center" vertical="center"/>
    </xf>
    <xf numFmtId="0" fontId="7" fillId="7" borderId="4" xfId="0" applyFont="1" applyFill="1" applyBorder="1" applyAlignment="1">
      <alignment horizontal="center" vertical="center"/>
    </xf>
    <xf numFmtId="0" fontId="26" fillId="9" borderId="19" xfId="0" applyFont="1" applyFill="1" applyBorder="1" applyAlignment="1">
      <alignment horizontal="center" vertical="center"/>
    </xf>
    <xf numFmtId="0" fontId="7" fillId="9" borderId="4" xfId="0" applyFont="1" applyFill="1" applyBorder="1" applyAlignment="1">
      <alignment horizontal="center" vertical="center"/>
    </xf>
    <xf numFmtId="0" fontId="7" fillId="7" borderId="7" xfId="0" applyFont="1" applyFill="1" applyBorder="1" applyAlignment="1">
      <alignment horizontal="center" vertical="center"/>
    </xf>
    <xf numFmtId="0" fontId="7" fillId="8" borderId="4" xfId="0" applyFont="1" applyFill="1" applyBorder="1" applyAlignment="1">
      <alignment horizontal="left" vertical="center"/>
    </xf>
    <xf numFmtId="0" fontId="7" fillId="3" borderId="4" xfId="0" applyFont="1" applyFill="1" applyBorder="1" applyAlignment="1">
      <alignment horizontal="right" vertical="center"/>
    </xf>
    <xf numFmtId="0" fontId="7" fillId="2" borderId="4" xfId="0" applyFont="1" applyFill="1" applyBorder="1" applyAlignment="1">
      <alignment horizontal="center" vertical="center"/>
    </xf>
    <xf numFmtId="0" fontId="8" fillId="2" borderId="4" xfId="0" applyFont="1" applyFill="1" applyBorder="1" applyAlignment="1">
      <alignment horizontal="center" vertical="center"/>
    </xf>
    <xf numFmtId="0" fontId="7" fillId="3" borderId="4" xfId="0" applyFont="1" applyFill="1" applyBorder="1" applyAlignment="1">
      <alignment horizontal="right" vertical="center" wrapText="1"/>
    </xf>
    <xf numFmtId="0" fontId="7" fillId="9" borderId="5" xfId="0" applyFont="1" applyFill="1" applyBorder="1" applyAlignment="1">
      <alignment horizontal="center" vertical="center"/>
    </xf>
    <xf numFmtId="0" fontId="7" fillId="9" borderId="6" xfId="0" applyFont="1" applyFill="1" applyBorder="1" applyAlignment="1">
      <alignment horizontal="center" vertical="center"/>
    </xf>
    <xf numFmtId="0" fontId="7" fillId="9" borderId="7" xfId="0" applyFont="1" applyFill="1" applyBorder="1" applyAlignment="1">
      <alignment horizontal="center" vertical="center"/>
    </xf>
    <xf numFmtId="0" fontId="7" fillId="3" borderId="5" xfId="0" applyFont="1" applyFill="1" applyBorder="1" applyAlignment="1">
      <alignment horizontal="center" vertical="center"/>
    </xf>
    <xf numFmtId="0" fontId="7" fillId="3" borderId="7" xfId="0" applyFont="1" applyFill="1" applyBorder="1" applyAlignment="1">
      <alignment horizontal="center" vertical="center"/>
    </xf>
    <xf numFmtId="0" fontId="26" fillId="4" borderId="8" xfId="0" applyFont="1" applyFill="1" applyBorder="1" applyAlignment="1">
      <alignment horizontal="center" vertical="center"/>
    </xf>
    <xf numFmtId="0" fontId="26" fillId="4" borderId="9" xfId="0" applyFont="1" applyFill="1" applyBorder="1" applyAlignment="1">
      <alignment horizontal="center" vertical="center"/>
    </xf>
    <xf numFmtId="0" fontId="26" fillId="4" borderId="10" xfId="0" applyFont="1" applyFill="1" applyBorder="1" applyAlignment="1">
      <alignment horizontal="center" vertical="center"/>
    </xf>
    <xf numFmtId="3" fontId="28" fillId="9" borderId="4" xfId="0" applyNumberFormat="1" applyFont="1" applyFill="1" applyBorder="1" applyAlignment="1">
      <alignment horizontal="left"/>
    </xf>
    <xf numFmtId="3" fontId="14" fillId="9" borderId="4" xfId="0" applyNumberFormat="1" applyFont="1" applyFill="1" applyBorder="1" applyAlignment="1">
      <alignment horizontal="left"/>
    </xf>
    <xf numFmtId="0" fontId="13" fillId="2"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7" fillId="8" borderId="2" xfId="0" applyFont="1" applyFill="1" applyBorder="1" applyAlignment="1">
      <alignment horizontal="center" vertical="center"/>
    </xf>
    <xf numFmtId="0" fontId="7" fillId="8" borderId="0" xfId="0" applyFont="1" applyFill="1" applyAlignment="1">
      <alignment horizontal="center" vertical="center"/>
    </xf>
    <xf numFmtId="0" fontId="7" fillId="8" borderId="3" xfId="0" applyFont="1" applyFill="1" applyBorder="1" applyAlignment="1">
      <alignment horizontal="center" vertical="center"/>
    </xf>
    <xf numFmtId="0" fontId="15" fillId="4" borderId="14" xfId="0" applyFont="1" applyFill="1" applyBorder="1" applyAlignment="1">
      <alignment horizontal="center" vertical="center"/>
    </xf>
    <xf numFmtId="0" fontId="15" fillId="4" borderId="15" xfId="0" applyFont="1" applyFill="1" applyBorder="1" applyAlignment="1">
      <alignment horizontal="center" vertical="center"/>
    </xf>
    <xf numFmtId="0" fontId="8" fillId="6" borderId="15" xfId="0" applyFont="1" applyFill="1" applyBorder="1" applyAlignment="1">
      <alignment horizontal="left" vertical="center" wrapText="1"/>
    </xf>
    <xf numFmtId="0" fontId="8" fillId="6" borderId="20" xfId="0" applyFont="1" applyFill="1" applyBorder="1" applyAlignment="1">
      <alignment horizontal="left" vertical="center" wrapText="1"/>
    </xf>
    <xf numFmtId="0" fontId="8" fillId="2" borderId="4" xfId="0" applyFont="1" applyFill="1" applyBorder="1" applyAlignment="1">
      <alignment horizontal="left" vertical="center" wrapText="1"/>
    </xf>
    <xf numFmtId="0" fontId="8" fillId="2" borderId="4" xfId="0" applyFont="1" applyFill="1" applyBorder="1" applyAlignment="1">
      <alignment horizontal="left" vertical="center"/>
    </xf>
    <xf numFmtId="0" fontId="7" fillId="11" borderId="17" xfId="0" applyFont="1" applyFill="1" applyBorder="1" applyAlignment="1">
      <alignment horizontal="left" vertical="center"/>
    </xf>
    <xf numFmtId="0" fontId="7" fillId="11" borderId="18" xfId="0" applyFont="1" applyFill="1" applyBorder="1" applyAlignment="1">
      <alignment horizontal="left" vertical="center"/>
    </xf>
    <xf numFmtId="0" fontId="7" fillId="11" borderId="21" xfId="0" applyFont="1" applyFill="1" applyBorder="1" applyAlignment="1">
      <alignment horizontal="left" vertical="center"/>
    </xf>
    <xf numFmtId="0" fontId="15" fillId="10" borderId="14" xfId="0" applyFont="1" applyFill="1" applyBorder="1" applyAlignment="1">
      <alignment horizontal="left" vertical="center"/>
    </xf>
    <xf numFmtId="0" fontId="15" fillId="10" borderId="15" xfId="0" applyFont="1" applyFill="1" applyBorder="1" applyAlignment="1">
      <alignment horizontal="left" vertical="center"/>
    </xf>
    <xf numFmtId="0" fontId="15" fillId="10" borderId="20" xfId="0" applyFont="1" applyFill="1" applyBorder="1" applyAlignment="1">
      <alignment horizontal="left" vertical="center"/>
    </xf>
    <xf numFmtId="0" fontId="8" fillId="6" borderId="2" xfId="0" applyFont="1" applyFill="1" applyBorder="1">
      <alignment vertical="center"/>
    </xf>
    <xf numFmtId="0" fontId="8" fillId="6" borderId="0" xfId="0" applyFont="1" applyFill="1">
      <alignment vertical="center"/>
    </xf>
    <xf numFmtId="0" fontId="8" fillId="6" borderId="3" xfId="0" applyFont="1" applyFill="1" applyBorder="1">
      <alignment vertical="center"/>
    </xf>
    <xf numFmtId="0" fontId="15" fillId="4" borderId="16" xfId="0" applyFont="1" applyFill="1" applyBorder="1" applyAlignment="1">
      <alignment horizontal="center" vertical="center" wrapText="1"/>
    </xf>
    <xf numFmtId="0" fontId="15" fillId="4" borderId="16" xfId="0" applyFont="1" applyFill="1" applyBorder="1" applyAlignment="1">
      <alignment horizontal="center" vertical="center"/>
    </xf>
    <xf numFmtId="0" fontId="15" fillId="10" borderId="16" xfId="0" applyFont="1" applyFill="1" applyBorder="1" applyAlignment="1">
      <alignment horizontal="center" vertical="center"/>
    </xf>
    <xf numFmtId="0" fontId="7" fillId="8" borderId="4" xfId="0" applyFont="1" applyFill="1" applyBorder="1" applyAlignment="1">
      <alignment horizontal="left" vertical="center" wrapText="1"/>
    </xf>
    <xf numFmtId="0" fontId="7" fillId="3" borderId="8"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2" xfId="0" applyFont="1" applyFill="1" applyBorder="1" applyAlignment="1">
      <alignment horizontal="center" vertical="center"/>
    </xf>
    <xf numFmtId="0" fontId="7" fillId="3" borderId="0" xfId="0" applyFont="1" applyFill="1" applyAlignment="1">
      <alignment horizontal="center" vertical="center"/>
    </xf>
    <xf numFmtId="0" fontId="8" fillId="2" borderId="17" xfId="0" applyFont="1" applyFill="1" applyBorder="1" applyAlignment="1">
      <alignment horizontal="left" vertical="center" wrapText="1"/>
    </xf>
    <xf numFmtId="0" fontId="8" fillId="2" borderId="18"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7" fillId="4" borderId="17" xfId="0" applyFont="1" applyFill="1" applyBorder="1" applyAlignment="1">
      <alignment horizontal="left" vertical="center"/>
    </xf>
    <xf numFmtId="0" fontId="7" fillId="4" borderId="18" xfId="0" applyFont="1" applyFill="1" applyBorder="1" applyAlignment="1">
      <alignment horizontal="left" vertical="center"/>
    </xf>
    <xf numFmtId="0" fontId="7" fillId="4" borderId="21" xfId="0" applyFont="1" applyFill="1" applyBorder="1" applyAlignment="1">
      <alignment horizontal="left" vertical="center"/>
    </xf>
    <xf numFmtId="0" fontId="8" fillId="2" borderId="17" xfId="0" applyFont="1" applyFill="1" applyBorder="1" applyAlignment="1">
      <alignment horizontal="left" vertical="center"/>
    </xf>
    <xf numFmtId="0" fontId="8" fillId="2" borderId="18" xfId="0" applyFont="1" applyFill="1" applyBorder="1" applyAlignment="1">
      <alignment horizontal="left" vertical="center"/>
    </xf>
    <xf numFmtId="0" fontId="8" fillId="2" borderId="21" xfId="0" applyFont="1" applyFill="1" applyBorder="1" applyAlignment="1">
      <alignment horizontal="left" vertical="center"/>
    </xf>
    <xf numFmtId="0" fontId="7" fillId="8" borderId="2" xfId="0" applyFont="1" applyFill="1" applyBorder="1" applyAlignment="1">
      <alignment horizontal="left" vertical="center"/>
    </xf>
    <xf numFmtId="0" fontId="7" fillId="8" borderId="0" xfId="0" applyFont="1" applyFill="1" applyAlignment="1">
      <alignment horizontal="left" vertical="center"/>
    </xf>
    <xf numFmtId="0" fontId="7" fillId="8" borderId="3" xfId="0" applyFont="1" applyFill="1" applyBorder="1" applyAlignment="1">
      <alignment horizontal="left" vertical="center"/>
    </xf>
    <xf numFmtId="0" fontId="8" fillId="2" borderId="14" xfId="0" applyFont="1" applyFill="1" applyBorder="1" applyAlignment="1">
      <alignment horizontal="left" vertical="center" wrapText="1"/>
    </xf>
    <xf numFmtId="0" fontId="8" fillId="2" borderId="15" xfId="0" applyFont="1" applyFill="1" applyBorder="1" applyAlignment="1">
      <alignment horizontal="left" vertical="center" wrapText="1"/>
    </xf>
    <xf numFmtId="0" fontId="8" fillId="2" borderId="20" xfId="0" applyFont="1" applyFill="1" applyBorder="1" applyAlignment="1">
      <alignment horizontal="left" vertical="center" wrapText="1"/>
    </xf>
  </cellXfs>
  <cellStyles count="2">
    <cellStyle name="常规" xfId="0" builtinId="0"/>
    <cellStyle name="超链接" xfId="1" builtinId="8"/>
  </cellStyles>
  <dxfs count="18">
    <dxf>
      <fill>
        <patternFill patternType="solid">
          <bgColor rgb="FFFF9900"/>
        </patternFill>
      </fill>
    </dxf>
    <dxf>
      <fill>
        <patternFill patternType="solid">
          <bgColor rgb="FFFF0000"/>
        </patternFill>
      </fill>
    </dxf>
    <dxf>
      <fill>
        <patternFill patternType="solid">
          <bgColor rgb="FF00B050"/>
        </patternFill>
      </fill>
    </dxf>
    <dxf>
      <fill>
        <patternFill patternType="solid">
          <bgColor rgb="FFFF0000"/>
        </patternFill>
      </fill>
    </dxf>
    <dxf>
      <font>
        <b val="0"/>
        <i val="0"/>
        <strike val="0"/>
        <u val="none"/>
        <sz val="12"/>
        <color rgb="FF9C0006"/>
        <name val="宋体"/>
        <scheme val="none"/>
      </font>
      <fill>
        <patternFill patternType="solid">
          <bgColor rgb="FFFFC7CE"/>
        </patternFill>
      </fill>
    </dxf>
    <dxf>
      <fill>
        <patternFill patternType="solid">
          <bgColor theme="0" tint="-0.499984740745262"/>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ill>
        <patternFill patternType="solid">
          <bgColor rgb="FFFF9900"/>
        </patternFill>
      </fill>
    </dxf>
    <dxf>
      <font>
        <b val="0"/>
        <i val="0"/>
        <strike val="0"/>
        <u val="none"/>
        <sz val="12"/>
        <color rgb="FF9C0006"/>
        <name val="宋体"/>
        <scheme val="none"/>
      </font>
      <fill>
        <patternFill patternType="solid">
          <bgColor rgb="FFFFC7CE"/>
        </patternFill>
      </fill>
    </dxf>
    <dxf>
      <font>
        <color rgb="FF9C0006"/>
      </font>
      <fill>
        <patternFill patternType="solid">
          <bgColor rgb="FFFFC7CE"/>
        </patternFill>
      </fill>
    </dxf>
    <dxf>
      <font>
        <b val="0"/>
        <i val="0"/>
        <strike val="0"/>
        <u val="none"/>
        <sz val="12"/>
        <color rgb="FF9C0006"/>
        <name val="宋体"/>
        <scheme val="none"/>
      </font>
      <fill>
        <patternFill patternType="solid">
          <bgColor rgb="FFFFC7CE"/>
        </patternFill>
      </fill>
    </dxf>
    <dxf>
      <font>
        <color rgb="FF9C0006"/>
      </font>
      <fill>
        <patternFill patternType="solid">
          <bgColor rgb="FFFFC7CE"/>
        </patternFill>
      </fill>
    </dxf>
    <dxf>
      <font>
        <b val="0"/>
        <i val="0"/>
        <strike val="0"/>
        <u val="none"/>
        <sz val="12"/>
        <color rgb="FF9C0006"/>
        <name val="宋体"/>
        <scheme val="none"/>
      </font>
      <fill>
        <patternFill patternType="solid">
          <bgColor rgb="FFFFC7CE"/>
        </patternFill>
      </fill>
    </dxf>
    <dxf>
      <font>
        <color rgb="FF9C0006"/>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0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5"/>
  <sheetViews>
    <sheetView workbookViewId="0">
      <selection activeCell="A26" sqref="A26"/>
    </sheetView>
  </sheetViews>
  <sheetFormatPr defaultColWidth="9" defaultRowHeight="15" customHeight="1"/>
  <cols>
    <col min="1" max="1" width="10.5" style="143" customWidth="1"/>
    <col min="2" max="2" width="7.09765625" style="144" customWidth="1"/>
    <col min="3" max="3" width="6.8984375" style="145" customWidth="1"/>
    <col min="4" max="5" width="9" style="145"/>
    <col min="6" max="6" width="7.59765625" style="145" customWidth="1"/>
    <col min="7" max="7" width="10.09765625" style="145" customWidth="1"/>
    <col min="8" max="12" width="9" style="145"/>
    <col min="13" max="13" width="7.8984375" style="145" customWidth="1"/>
    <col min="14" max="17" width="9" style="145"/>
    <col min="18" max="19" width="9" style="146"/>
    <col min="20" max="20" width="9" style="147"/>
    <col min="21" max="21" width="9" style="145"/>
    <col min="22" max="23" width="9.59765625" style="145" customWidth="1"/>
    <col min="24" max="16384" width="9" style="145"/>
  </cols>
  <sheetData>
    <row r="1" spans="1:20" s="142" customFormat="1" ht="36">
      <c r="A1" s="148" t="s">
        <v>0</v>
      </c>
      <c r="B1" s="149" t="s">
        <v>1</v>
      </c>
      <c r="C1" s="150" t="s">
        <v>2</v>
      </c>
      <c r="D1" s="150" t="s">
        <v>3</v>
      </c>
      <c r="E1" s="150" t="s">
        <v>4</v>
      </c>
      <c r="F1" s="150" t="s">
        <v>5</v>
      </c>
      <c r="G1" s="150" t="s">
        <v>6</v>
      </c>
      <c r="H1" s="150" t="s">
        <v>7</v>
      </c>
      <c r="I1" s="150" t="s">
        <v>8</v>
      </c>
      <c r="J1" s="150" t="s">
        <v>9</v>
      </c>
      <c r="K1" s="150" t="s">
        <v>10</v>
      </c>
      <c r="L1" s="150" t="s">
        <v>11</v>
      </c>
      <c r="M1" s="150" t="s">
        <v>12</v>
      </c>
      <c r="N1" s="150" t="s">
        <v>13</v>
      </c>
      <c r="O1" s="150" t="s">
        <v>14</v>
      </c>
      <c r="P1" s="150" t="s">
        <v>15</v>
      </c>
      <c r="Q1" s="150" t="s">
        <v>16</v>
      </c>
      <c r="R1" s="157" t="s">
        <v>17</v>
      </c>
      <c r="S1" s="157" t="s">
        <v>18</v>
      </c>
      <c r="T1" s="158" t="s">
        <v>19</v>
      </c>
    </row>
    <row r="2" spans="1:20" ht="15" customHeight="1">
      <c r="A2" s="151">
        <v>43770</v>
      </c>
      <c r="B2" s="152">
        <v>7</v>
      </c>
      <c r="C2" s="153">
        <v>2</v>
      </c>
      <c r="D2" s="153">
        <v>10.99</v>
      </c>
      <c r="E2" s="153">
        <f t="shared" ref="E2:E11" si="0">D2*C2</f>
        <v>21.98</v>
      </c>
      <c r="F2" s="153">
        <f t="shared" ref="F2:F11" si="1">ROUND(D2*0.15*C2,2)</f>
        <v>3.3</v>
      </c>
      <c r="G2" s="153">
        <f t="shared" ref="G2:G11" si="2">3.28*C2</f>
        <v>6.56</v>
      </c>
      <c r="H2" s="153">
        <f t="shared" ref="H2:H11" si="3">ROUND(D2*C2*0.03,1)</f>
        <v>0.7</v>
      </c>
      <c r="I2" s="153">
        <f>ROUND(0.2*C2*D2,1)</f>
        <v>4.4000000000000004</v>
      </c>
      <c r="J2" s="153">
        <v>0</v>
      </c>
      <c r="K2" s="153">
        <f t="shared" ref="K2:K11" si="4">ROUND(C2*D2*0.03,2)</f>
        <v>0.66</v>
      </c>
      <c r="L2" s="153"/>
      <c r="M2" s="153">
        <f>7.8*C2</f>
        <v>15.6</v>
      </c>
      <c r="N2" s="153">
        <f>9*C2</f>
        <v>18</v>
      </c>
      <c r="O2" s="153">
        <f>D2*B2*1+30</f>
        <v>106.93</v>
      </c>
      <c r="P2" s="156">
        <f>ROUND(C2*D2*0.05*B2,2)</f>
        <v>7.69</v>
      </c>
      <c r="Q2" s="153">
        <f t="shared" ref="Q2:Q11" si="5">(E2-F2-G2-H2-I2-J2-K2-L2)*B2-M2-N2-P2-O2</f>
        <v>-103.7</v>
      </c>
      <c r="R2" s="159">
        <f t="shared" ref="R2:R11" si="6">ROUND(Q2/(E2*B2),2)</f>
        <v>-0.67</v>
      </c>
      <c r="S2" s="159">
        <f t="shared" ref="S2:S11" si="7">ROUND(I2/E2,2)</f>
        <v>0.2</v>
      </c>
      <c r="T2" s="160">
        <f t="shared" ref="T2:T11" si="8">O2/(E2*B2)</f>
        <v>0.69498245157935779</v>
      </c>
    </row>
    <row r="3" spans="1:20" ht="15" customHeight="1">
      <c r="A3" s="151">
        <v>43771</v>
      </c>
      <c r="B3" s="152">
        <v>7</v>
      </c>
      <c r="C3" s="153">
        <v>2</v>
      </c>
      <c r="D3" s="153">
        <v>10.99</v>
      </c>
      <c r="E3" s="153">
        <f t="shared" si="0"/>
        <v>21.98</v>
      </c>
      <c r="F3" s="153">
        <f t="shared" si="1"/>
        <v>3.3</v>
      </c>
      <c r="G3" s="153">
        <f t="shared" si="2"/>
        <v>6.56</v>
      </c>
      <c r="H3" s="153">
        <f t="shared" si="3"/>
        <v>0.7</v>
      </c>
      <c r="I3" s="153">
        <f t="shared" ref="I3:I11" si="9">ROUND(0.2*C3*D3,1)</f>
        <v>4.4000000000000004</v>
      </c>
      <c r="J3" s="153">
        <v>0</v>
      </c>
      <c r="K3" s="153">
        <f t="shared" si="4"/>
        <v>0.66</v>
      </c>
      <c r="L3" s="153"/>
      <c r="M3" s="153">
        <f t="shared" ref="M3:M11" si="10">7.8*C3</f>
        <v>15.6</v>
      </c>
      <c r="N3" s="153">
        <f t="shared" ref="N3:N11" si="11">9*C3</f>
        <v>18</v>
      </c>
      <c r="O3" s="153">
        <f t="shared" ref="O3:O11" si="12">D3*B3*1+30</f>
        <v>106.93</v>
      </c>
      <c r="P3" s="156">
        <f t="shared" ref="P3:P11" si="13">ROUND(C3*D3*0.05*B3,2)</f>
        <v>7.69</v>
      </c>
      <c r="Q3" s="153">
        <f t="shared" si="5"/>
        <v>-103.7</v>
      </c>
      <c r="R3" s="159">
        <f t="shared" si="6"/>
        <v>-0.67</v>
      </c>
      <c r="S3" s="159">
        <f t="shared" si="7"/>
        <v>0.2</v>
      </c>
      <c r="T3" s="160">
        <f t="shared" si="8"/>
        <v>0.69498245157935779</v>
      </c>
    </row>
    <row r="4" spans="1:20" ht="15" customHeight="1">
      <c r="A4" s="151">
        <v>43772</v>
      </c>
      <c r="B4" s="152">
        <v>7</v>
      </c>
      <c r="C4" s="153">
        <v>2</v>
      </c>
      <c r="D4" s="153">
        <v>10.99</v>
      </c>
      <c r="E4" s="153">
        <f t="shared" si="0"/>
        <v>21.98</v>
      </c>
      <c r="F4" s="153">
        <f t="shared" si="1"/>
        <v>3.3</v>
      </c>
      <c r="G4" s="153">
        <f t="shared" si="2"/>
        <v>6.56</v>
      </c>
      <c r="H4" s="153">
        <f t="shared" si="3"/>
        <v>0.7</v>
      </c>
      <c r="I4" s="153">
        <f t="shared" si="9"/>
        <v>4.4000000000000004</v>
      </c>
      <c r="J4" s="153">
        <v>0</v>
      </c>
      <c r="K4" s="153">
        <f t="shared" si="4"/>
        <v>0.66</v>
      </c>
      <c r="L4" s="153"/>
      <c r="M4" s="153">
        <f t="shared" si="10"/>
        <v>15.6</v>
      </c>
      <c r="N4" s="153">
        <f t="shared" si="11"/>
        <v>18</v>
      </c>
      <c r="O4" s="153">
        <f t="shared" si="12"/>
        <v>106.93</v>
      </c>
      <c r="P4" s="156">
        <f t="shared" si="13"/>
        <v>7.69</v>
      </c>
      <c r="Q4" s="153">
        <f t="shared" si="5"/>
        <v>-103.7</v>
      </c>
      <c r="R4" s="159">
        <f t="shared" si="6"/>
        <v>-0.67</v>
      </c>
      <c r="S4" s="159">
        <f t="shared" si="7"/>
        <v>0.2</v>
      </c>
      <c r="T4" s="160">
        <f t="shared" si="8"/>
        <v>0.69498245157935779</v>
      </c>
    </row>
    <row r="5" spans="1:20" ht="15" customHeight="1">
      <c r="A5" s="151">
        <v>43773</v>
      </c>
      <c r="B5" s="152">
        <v>7</v>
      </c>
      <c r="C5" s="153">
        <v>3</v>
      </c>
      <c r="D5" s="153">
        <v>10.99</v>
      </c>
      <c r="E5" s="153">
        <f t="shared" si="0"/>
        <v>32.97</v>
      </c>
      <c r="F5" s="153">
        <f t="shared" si="1"/>
        <v>4.95</v>
      </c>
      <c r="G5" s="153">
        <f t="shared" si="2"/>
        <v>9.84</v>
      </c>
      <c r="H5" s="153">
        <f t="shared" si="3"/>
        <v>1</v>
      </c>
      <c r="I5" s="153">
        <f t="shared" si="9"/>
        <v>6.6</v>
      </c>
      <c r="J5" s="153">
        <v>0</v>
      </c>
      <c r="K5" s="153">
        <f t="shared" si="4"/>
        <v>0.99</v>
      </c>
      <c r="L5" s="153"/>
      <c r="M5" s="153">
        <f t="shared" si="10"/>
        <v>23.4</v>
      </c>
      <c r="N5" s="153">
        <f t="shared" si="11"/>
        <v>27</v>
      </c>
      <c r="O5" s="153">
        <f t="shared" si="12"/>
        <v>106.93</v>
      </c>
      <c r="P5" s="156">
        <f t="shared" si="13"/>
        <v>11.54</v>
      </c>
      <c r="Q5" s="153">
        <f t="shared" si="5"/>
        <v>-101.74000000000001</v>
      </c>
      <c r="R5" s="159">
        <f t="shared" si="6"/>
        <v>-0.44</v>
      </c>
      <c r="S5" s="159">
        <f t="shared" si="7"/>
        <v>0.2</v>
      </c>
      <c r="T5" s="160">
        <f t="shared" si="8"/>
        <v>0.46332163438623863</v>
      </c>
    </row>
    <row r="6" spans="1:20" ht="15" customHeight="1">
      <c r="A6" s="151">
        <v>43774</v>
      </c>
      <c r="B6" s="152">
        <v>7</v>
      </c>
      <c r="C6" s="153">
        <v>3</v>
      </c>
      <c r="D6" s="153">
        <v>10.99</v>
      </c>
      <c r="E6" s="153">
        <f t="shared" si="0"/>
        <v>32.97</v>
      </c>
      <c r="F6" s="153">
        <f t="shared" si="1"/>
        <v>4.95</v>
      </c>
      <c r="G6" s="153">
        <f t="shared" si="2"/>
        <v>9.84</v>
      </c>
      <c r="H6" s="153">
        <f t="shared" si="3"/>
        <v>1</v>
      </c>
      <c r="I6" s="153">
        <f t="shared" si="9"/>
        <v>6.6</v>
      </c>
      <c r="J6" s="153">
        <v>0</v>
      </c>
      <c r="K6" s="153">
        <f t="shared" si="4"/>
        <v>0.99</v>
      </c>
      <c r="L6" s="153"/>
      <c r="M6" s="153">
        <f t="shared" si="10"/>
        <v>23.4</v>
      </c>
      <c r="N6" s="153">
        <f t="shared" si="11"/>
        <v>27</v>
      </c>
      <c r="O6" s="153">
        <f t="shared" si="12"/>
        <v>106.93</v>
      </c>
      <c r="P6" s="156">
        <f t="shared" si="13"/>
        <v>11.54</v>
      </c>
      <c r="Q6" s="153">
        <f t="shared" si="5"/>
        <v>-101.74000000000001</v>
      </c>
      <c r="R6" s="159">
        <f t="shared" si="6"/>
        <v>-0.44</v>
      </c>
      <c r="S6" s="159">
        <f t="shared" si="7"/>
        <v>0.2</v>
      </c>
      <c r="T6" s="160">
        <f t="shared" si="8"/>
        <v>0.46332163438623863</v>
      </c>
    </row>
    <row r="7" spans="1:20" ht="15" customHeight="1">
      <c r="A7" s="151">
        <v>43775</v>
      </c>
      <c r="B7" s="152">
        <v>7</v>
      </c>
      <c r="C7" s="153">
        <v>3</v>
      </c>
      <c r="D7" s="153">
        <v>10.99</v>
      </c>
      <c r="E7" s="153">
        <f t="shared" si="0"/>
        <v>32.97</v>
      </c>
      <c r="F7" s="153">
        <f t="shared" si="1"/>
        <v>4.95</v>
      </c>
      <c r="G7" s="153">
        <f t="shared" si="2"/>
        <v>9.84</v>
      </c>
      <c r="H7" s="153">
        <f t="shared" si="3"/>
        <v>1</v>
      </c>
      <c r="I7" s="153">
        <f t="shared" si="9"/>
        <v>6.6</v>
      </c>
      <c r="J7" s="153">
        <v>0</v>
      </c>
      <c r="K7" s="153">
        <f t="shared" si="4"/>
        <v>0.99</v>
      </c>
      <c r="L7" s="153"/>
      <c r="M7" s="153">
        <f t="shared" si="10"/>
        <v>23.4</v>
      </c>
      <c r="N7" s="153">
        <f t="shared" si="11"/>
        <v>27</v>
      </c>
      <c r="O7" s="153">
        <f t="shared" si="12"/>
        <v>106.93</v>
      </c>
      <c r="P7" s="156">
        <f t="shared" si="13"/>
        <v>11.54</v>
      </c>
      <c r="Q7" s="153">
        <f t="shared" si="5"/>
        <v>-101.74000000000001</v>
      </c>
      <c r="R7" s="159">
        <f t="shared" si="6"/>
        <v>-0.44</v>
      </c>
      <c r="S7" s="159">
        <f t="shared" si="7"/>
        <v>0.2</v>
      </c>
      <c r="T7" s="160">
        <f t="shared" si="8"/>
        <v>0.46332163438623863</v>
      </c>
    </row>
    <row r="8" spans="1:20" ht="15" customHeight="1">
      <c r="A8" s="151">
        <v>43776</v>
      </c>
      <c r="B8" s="152">
        <v>7</v>
      </c>
      <c r="C8" s="153">
        <v>5</v>
      </c>
      <c r="D8" s="153">
        <v>10.99</v>
      </c>
      <c r="E8" s="153">
        <f t="shared" si="0"/>
        <v>54.95</v>
      </c>
      <c r="F8" s="153">
        <f t="shared" si="1"/>
        <v>8.24</v>
      </c>
      <c r="G8" s="153">
        <f t="shared" si="2"/>
        <v>16.399999999999999</v>
      </c>
      <c r="H8" s="153">
        <f t="shared" si="3"/>
        <v>1.6</v>
      </c>
      <c r="I8" s="153">
        <f t="shared" si="9"/>
        <v>11</v>
      </c>
      <c r="J8" s="153">
        <v>0</v>
      </c>
      <c r="K8" s="153">
        <f t="shared" si="4"/>
        <v>1.65</v>
      </c>
      <c r="L8" s="153"/>
      <c r="M8" s="153">
        <f t="shared" si="10"/>
        <v>39</v>
      </c>
      <c r="N8" s="153">
        <f t="shared" si="11"/>
        <v>45</v>
      </c>
      <c r="O8" s="153">
        <f t="shared" si="12"/>
        <v>106.93</v>
      </c>
      <c r="P8" s="156">
        <f t="shared" si="13"/>
        <v>19.23</v>
      </c>
      <c r="Q8" s="153">
        <f t="shared" si="5"/>
        <v>-97.74</v>
      </c>
      <c r="R8" s="159">
        <f t="shared" si="6"/>
        <v>-0.25</v>
      </c>
      <c r="S8" s="159">
        <f t="shared" si="7"/>
        <v>0.2</v>
      </c>
      <c r="T8" s="160">
        <f t="shared" si="8"/>
        <v>0.27799298063174316</v>
      </c>
    </row>
    <row r="9" spans="1:20" ht="15" customHeight="1">
      <c r="A9" s="151">
        <v>43777</v>
      </c>
      <c r="B9" s="152">
        <v>7</v>
      </c>
      <c r="C9" s="153">
        <v>5</v>
      </c>
      <c r="D9" s="153">
        <v>10.99</v>
      </c>
      <c r="E9" s="153">
        <f t="shared" si="0"/>
        <v>54.95</v>
      </c>
      <c r="F9" s="153">
        <f t="shared" si="1"/>
        <v>8.24</v>
      </c>
      <c r="G9" s="153">
        <f t="shared" si="2"/>
        <v>16.399999999999999</v>
      </c>
      <c r="H9" s="153">
        <f t="shared" si="3"/>
        <v>1.6</v>
      </c>
      <c r="I9" s="153">
        <f t="shared" si="9"/>
        <v>11</v>
      </c>
      <c r="J9" s="153">
        <v>0</v>
      </c>
      <c r="K9" s="153">
        <f t="shared" si="4"/>
        <v>1.65</v>
      </c>
      <c r="L9" s="153"/>
      <c r="M9" s="153">
        <f t="shared" si="10"/>
        <v>39</v>
      </c>
      <c r="N9" s="153">
        <f t="shared" si="11"/>
        <v>45</v>
      </c>
      <c r="O9" s="153">
        <f t="shared" si="12"/>
        <v>106.93</v>
      </c>
      <c r="P9" s="156">
        <f t="shared" si="13"/>
        <v>19.23</v>
      </c>
      <c r="Q9" s="153">
        <f t="shared" si="5"/>
        <v>-97.74</v>
      </c>
      <c r="R9" s="159">
        <f t="shared" si="6"/>
        <v>-0.25</v>
      </c>
      <c r="S9" s="159">
        <f t="shared" si="7"/>
        <v>0.2</v>
      </c>
      <c r="T9" s="160">
        <f t="shared" si="8"/>
        <v>0.27799298063174316</v>
      </c>
    </row>
    <row r="10" spans="1:20" ht="15" customHeight="1">
      <c r="A10" s="151">
        <v>43778</v>
      </c>
      <c r="B10" s="152">
        <v>7</v>
      </c>
      <c r="C10" s="153">
        <v>5</v>
      </c>
      <c r="D10" s="153">
        <v>10.99</v>
      </c>
      <c r="E10" s="153">
        <f t="shared" si="0"/>
        <v>54.95</v>
      </c>
      <c r="F10" s="153">
        <f t="shared" si="1"/>
        <v>8.24</v>
      </c>
      <c r="G10" s="153">
        <f t="shared" si="2"/>
        <v>16.399999999999999</v>
      </c>
      <c r="H10" s="153">
        <f t="shared" si="3"/>
        <v>1.6</v>
      </c>
      <c r="I10" s="153">
        <f t="shared" si="9"/>
        <v>11</v>
      </c>
      <c r="J10" s="153">
        <v>0</v>
      </c>
      <c r="K10" s="153">
        <f t="shared" si="4"/>
        <v>1.65</v>
      </c>
      <c r="L10" s="153"/>
      <c r="M10" s="153">
        <f t="shared" si="10"/>
        <v>39</v>
      </c>
      <c r="N10" s="153">
        <f t="shared" si="11"/>
        <v>45</v>
      </c>
      <c r="O10" s="153">
        <f t="shared" si="12"/>
        <v>106.93</v>
      </c>
      <c r="P10" s="156">
        <f t="shared" si="13"/>
        <v>19.23</v>
      </c>
      <c r="Q10" s="153">
        <f t="shared" si="5"/>
        <v>-97.74</v>
      </c>
      <c r="R10" s="159">
        <f t="shared" si="6"/>
        <v>-0.25</v>
      </c>
      <c r="S10" s="159">
        <f t="shared" si="7"/>
        <v>0.2</v>
      </c>
      <c r="T10" s="160">
        <f t="shared" si="8"/>
        <v>0.27799298063174316</v>
      </c>
    </row>
    <row r="11" spans="1:20" ht="15" customHeight="1">
      <c r="A11" s="151">
        <v>43779</v>
      </c>
      <c r="B11" s="152">
        <v>7</v>
      </c>
      <c r="C11" s="153">
        <v>5</v>
      </c>
      <c r="D11" s="153">
        <v>10.99</v>
      </c>
      <c r="E11" s="153">
        <f t="shared" si="0"/>
        <v>54.95</v>
      </c>
      <c r="F11" s="153">
        <f t="shared" si="1"/>
        <v>8.24</v>
      </c>
      <c r="G11" s="153">
        <f t="shared" si="2"/>
        <v>16.399999999999999</v>
      </c>
      <c r="H11" s="153">
        <f t="shared" si="3"/>
        <v>1.6</v>
      </c>
      <c r="I11" s="153">
        <f t="shared" si="9"/>
        <v>11</v>
      </c>
      <c r="J11" s="153">
        <v>0</v>
      </c>
      <c r="K11" s="153">
        <f t="shared" si="4"/>
        <v>1.65</v>
      </c>
      <c r="L11" s="153"/>
      <c r="M11" s="153">
        <f t="shared" si="10"/>
        <v>39</v>
      </c>
      <c r="N11" s="153">
        <f t="shared" si="11"/>
        <v>45</v>
      </c>
      <c r="O11" s="153">
        <f t="shared" si="12"/>
        <v>106.93</v>
      </c>
      <c r="P11" s="156">
        <f t="shared" si="13"/>
        <v>19.23</v>
      </c>
      <c r="Q11" s="153">
        <f t="shared" si="5"/>
        <v>-97.74</v>
      </c>
      <c r="R11" s="159">
        <f t="shared" si="6"/>
        <v>-0.25</v>
      </c>
      <c r="S11" s="159">
        <f t="shared" si="7"/>
        <v>0.2</v>
      </c>
      <c r="T11" s="160">
        <f t="shared" si="8"/>
        <v>0.27799298063174316</v>
      </c>
    </row>
    <row r="12" spans="1:20" ht="15" customHeight="1">
      <c r="A12" s="166" t="s">
        <v>20</v>
      </c>
      <c r="B12" s="166"/>
      <c r="C12" s="166"/>
      <c r="D12" s="166"/>
      <c r="E12" s="154">
        <f t="shared" ref="E12:S12" si="14">SUM(E2:E11)</f>
        <v>384.65</v>
      </c>
      <c r="F12" s="154">
        <f t="shared" si="14"/>
        <v>57.71</v>
      </c>
      <c r="G12" s="154">
        <f t="shared" si="14"/>
        <v>114.80000000000001</v>
      </c>
      <c r="H12" s="154">
        <f t="shared" si="14"/>
        <v>11.499999999999998</v>
      </c>
      <c r="I12" s="154">
        <f t="shared" si="14"/>
        <v>77</v>
      </c>
      <c r="J12" s="154">
        <f t="shared" si="14"/>
        <v>0</v>
      </c>
      <c r="K12" s="154">
        <f t="shared" si="14"/>
        <v>11.55</v>
      </c>
      <c r="L12" s="154">
        <f t="shared" si="14"/>
        <v>0</v>
      </c>
      <c r="M12" s="154">
        <f t="shared" si="14"/>
        <v>273</v>
      </c>
      <c r="N12" s="154">
        <f t="shared" si="14"/>
        <v>315</v>
      </c>
      <c r="O12" s="154">
        <f t="shared" si="14"/>
        <v>1069.3000000000004</v>
      </c>
      <c r="P12" s="154">
        <f t="shared" si="14"/>
        <v>134.61000000000001</v>
      </c>
      <c r="Q12" s="154">
        <f t="shared" si="14"/>
        <v>-1007.2800000000001</v>
      </c>
      <c r="R12" s="154">
        <f t="shared" si="14"/>
        <v>-4.33</v>
      </c>
      <c r="S12" s="161">
        <f t="shared" si="14"/>
        <v>1.9999999999999998</v>
      </c>
      <c r="T12" s="162"/>
    </row>
    <row r="13" spans="1:20" ht="15" customHeight="1">
      <c r="A13" s="151">
        <v>43780</v>
      </c>
      <c r="B13" s="152">
        <v>7</v>
      </c>
      <c r="C13" s="153">
        <v>8</v>
      </c>
      <c r="D13" s="153">
        <v>11.99</v>
      </c>
      <c r="E13" s="153">
        <f t="shared" ref="E13:E22" si="15">D13*C13</f>
        <v>95.92</v>
      </c>
      <c r="F13" s="153">
        <f t="shared" ref="F13:F22" si="16">ROUND(D13*0.15*C13,2)</f>
        <v>14.39</v>
      </c>
      <c r="G13" s="153">
        <f t="shared" ref="G13:G22" si="17">3.28*C13</f>
        <v>26.24</v>
      </c>
      <c r="H13" s="153">
        <f t="shared" ref="H13:H22" si="18">ROUND(D13*C13*0.03,1)</f>
        <v>2.9</v>
      </c>
      <c r="I13" s="153">
        <f>ROUND(0.1*C13*D13,1)</f>
        <v>9.6</v>
      </c>
      <c r="J13" s="153">
        <v>0</v>
      </c>
      <c r="K13" s="153">
        <f>ROUND(C13*D13*0.03,2)</f>
        <v>2.88</v>
      </c>
      <c r="L13" s="153"/>
      <c r="M13" s="153">
        <f>7.8*C13</f>
        <v>62.4</v>
      </c>
      <c r="N13" s="153">
        <f>9*C13</f>
        <v>72</v>
      </c>
      <c r="O13" s="153">
        <f>D13*B13*1+30</f>
        <v>113.93</v>
      </c>
      <c r="P13" s="156">
        <f>ROUND(C13*D13*0.05*B13,2)</f>
        <v>33.57</v>
      </c>
      <c r="Q13" s="153">
        <f t="shared" ref="Q13:Q22" si="19">(E13-F13-G13-H13-I13-J13-K13-L13)*B13-M13-N13-P13-O13</f>
        <v>-2.5300000000000011</v>
      </c>
      <c r="R13" s="159">
        <f t="shared" ref="R13:R22" si="20">ROUND(Q13/(E13*B13),2)</f>
        <v>0</v>
      </c>
      <c r="S13" s="159">
        <f t="shared" ref="S13:S22" si="21">ROUND(I13/E13,2)</f>
        <v>0.1</v>
      </c>
      <c r="T13" s="160">
        <f t="shared" ref="T13:T22" si="22">O13/(E13*B13)</f>
        <v>0.16968009055165018</v>
      </c>
    </row>
    <row r="14" spans="1:20" ht="15" customHeight="1">
      <c r="A14" s="151">
        <v>43781</v>
      </c>
      <c r="B14" s="152">
        <v>7</v>
      </c>
      <c r="C14" s="153">
        <v>8</v>
      </c>
      <c r="D14" s="153">
        <v>11.99</v>
      </c>
      <c r="E14" s="153">
        <f t="shared" si="15"/>
        <v>95.92</v>
      </c>
      <c r="F14" s="153">
        <f t="shared" si="16"/>
        <v>14.39</v>
      </c>
      <c r="G14" s="153">
        <f t="shared" si="17"/>
        <v>26.24</v>
      </c>
      <c r="H14" s="153">
        <f t="shared" si="18"/>
        <v>2.9</v>
      </c>
      <c r="I14" s="153">
        <f t="shared" ref="I14:I22" si="23">ROUND(0.1*C14*D14,1)</f>
        <v>9.6</v>
      </c>
      <c r="J14" s="153">
        <v>0</v>
      </c>
      <c r="K14" s="153">
        <f t="shared" ref="K14:K22" si="24">ROUND(C14*D14*0.03,2)</f>
        <v>2.88</v>
      </c>
      <c r="L14" s="153"/>
      <c r="M14" s="153">
        <f t="shared" ref="M14:M22" si="25">7.8*C14</f>
        <v>62.4</v>
      </c>
      <c r="N14" s="153">
        <f t="shared" ref="N14:N22" si="26">9*C14</f>
        <v>72</v>
      </c>
      <c r="O14" s="153">
        <f t="shared" ref="O14:O22" si="27">D14*B14*1+30</f>
        <v>113.93</v>
      </c>
      <c r="P14" s="156">
        <f t="shared" ref="P14:P22" si="28">ROUND(C14*D14*0.05*B14,2)</f>
        <v>33.57</v>
      </c>
      <c r="Q14" s="153">
        <f t="shared" si="19"/>
        <v>-2.5300000000000011</v>
      </c>
      <c r="R14" s="159">
        <f t="shared" si="20"/>
        <v>0</v>
      </c>
      <c r="S14" s="159">
        <f t="shared" si="21"/>
        <v>0.1</v>
      </c>
      <c r="T14" s="160">
        <f t="shared" si="22"/>
        <v>0.16968009055165018</v>
      </c>
    </row>
    <row r="15" spans="1:20" ht="15" customHeight="1">
      <c r="A15" s="151">
        <v>43782</v>
      </c>
      <c r="B15" s="152">
        <v>7</v>
      </c>
      <c r="C15" s="153">
        <v>8</v>
      </c>
      <c r="D15" s="153">
        <v>11.99</v>
      </c>
      <c r="E15" s="153">
        <f t="shared" si="15"/>
        <v>95.92</v>
      </c>
      <c r="F15" s="153">
        <f t="shared" si="16"/>
        <v>14.39</v>
      </c>
      <c r="G15" s="153">
        <f t="shared" si="17"/>
        <v>26.24</v>
      </c>
      <c r="H15" s="153">
        <f t="shared" si="18"/>
        <v>2.9</v>
      </c>
      <c r="I15" s="153">
        <f t="shared" si="23"/>
        <v>9.6</v>
      </c>
      <c r="J15" s="153">
        <v>0</v>
      </c>
      <c r="K15" s="153">
        <f t="shared" si="24"/>
        <v>2.88</v>
      </c>
      <c r="L15" s="153"/>
      <c r="M15" s="153">
        <f t="shared" si="25"/>
        <v>62.4</v>
      </c>
      <c r="N15" s="153">
        <f t="shared" si="26"/>
        <v>72</v>
      </c>
      <c r="O15" s="153">
        <f t="shared" si="27"/>
        <v>113.93</v>
      </c>
      <c r="P15" s="156">
        <f t="shared" si="28"/>
        <v>33.57</v>
      </c>
      <c r="Q15" s="153">
        <f t="shared" si="19"/>
        <v>-2.5300000000000011</v>
      </c>
      <c r="R15" s="159">
        <f t="shared" si="20"/>
        <v>0</v>
      </c>
      <c r="S15" s="159">
        <f t="shared" si="21"/>
        <v>0.1</v>
      </c>
      <c r="T15" s="160">
        <f t="shared" si="22"/>
        <v>0.16968009055165018</v>
      </c>
    </row>
    <row r="16" spans="1:20" ht="15" customHeight="1">
      <c r="A16" s="151">
        <v>43783</v>
      </c>
      <c r="B16" s="152">
        <v>7</v>
      </c>
      <c r="C16" s="153">
        <v>8</v>
      </c>
      <c r="D16" s="153">
        <v>11.99</v>
      </c>
      <c r="E16" s="153">
        <f t="shared" si="15"/>
        <v>95.92</v>
      </c>
      <c r="F16" s="153">
        <f t="shared" si="16"/>
        <v>14.39</v>
      </c>
      <c r="G16" s="153">
        <f t="shared" si="17"/>
        <v>26.24</v>
      </c>
      <c r="H16" s="153">
        <f t="shared" si="18"/>
        <v>2.9</v>
      </c>
      <c r="I16" s="153">
        <f t="shared" si="23"/>
        <v>9.6</v>
      </c>
      <c r="J16" s="153">
        <v>0</v>
      </c>
      <c r="K16" s="153">
        <f t="shared" si="24"/>
        <v>2.88</v>
      </c>
      <c r="L16" s="153"/>
      <c r="M16" s="153">
        <f t="shared" si="25"/>
        <v>62.4</v>
      </c>
      <c r="N16" s="153">
        <f t="shared" si="26"/>
        <v>72</v>
      </c>
      <c r="O16" s="153">
        <f t="shared" si="27"/>
        <v>113.93</v>
      </c>
      <c r="P16" s="156">
        <f t="shared" si="28"/>
        <v>33.57</v>
      </c>
      <c r="Q16" s="153">
        <f t="shared" si="19"/>
        <v>-2.5300000000000011</v>
      </c>
      <c r="R16" s="159">
        <f t="shared" si="20"/>
        <v>0</v>
      </c>
      <c r="S16" s="159">
        <f t="shared" si="21"/>
        <v>0.1</v>
      </c>
      <c r="T16" s="160">
        <f t="shared" si="22"/>
        <v>0.16968009055165018</v>
      </c>
    </row>
    <row r="17" spans="1:20" ht="15" customHeight="1">
      <c r="A17" s="151">
        <v>43784</v>
      </c>
      <c r="B17" s="152">
        <v>7</v>
      </c>
      <c r="C17" s="153">
        <v>8</v>
      </c>
      <c r="D17" s="153">
        <v>11.99</v>
      </c>
      <c r="E17" s="153">
        <f t="shared" si="15"/>
        <v>95.92</v>
      </c>
      <c r="F17" s="153">
        <f t="shared" si="16"/>
        <v>14.39</v>
      </c>
      <c r="G17" s="153">
        <f t="shared" si="17"/>
        <v>26.24</v>
      </c>
      <c r="H17" s="153">
        <f t="shared" si="18"/>
        <v>2.9</v>
      </c>
      <c r="I17" s="153">
        <f t="shared" si="23"/>
        <v>9.6</v>
      </c>
      <c r="J17" s="153">
        <v>0</v>
      </c>
      <c r="K17" s="153">
        <f t="shared" si="24"/>
        <v>2.88</v>
      </c>
      <c r="L17" s="153"/>
      <c r="M17" s="153">
        <f t="shared" si="25"/>
        <v>62.4</v>
      </c>
      <c r="N17" s="153">
        <f t="shared" si="26"/>
        <v>72</v>
      </c>
      <c r="O17" s="153">
        <f t="shared" si="27"/>
        <v>113.93</v>
      </c>
      <c r="P17" s="156">
        <f t="shared" si="28"/>
        <v>33.57</v>
      </c>
      <c r="Q17" s="153">
        <f t="shared" si="19"/>
        <v>-2.5300000000000011</v>
      </c>
      <c r="R17" s="159">
        <f t="shared" si="20"/>
        <v>0</v>
      </c>
      <c r="S17" s="159">
        <f t="shared" si="21"/>
        <v>0.1</v>
      </c>
      <c r="T17" s="160">
        <f t="shared" si="22"/>
        <v>0.16968009055165018</v>
      </c>
    </row>
    <row r="18" spans="1:20" ht="15" customHeight="1">
      <c r="A18" s="151">
        <v>43785</v>
      </c>
      <c r="B18" s="152">
        <v>7</v>
      </c>
      <c r="C18" s="153">
        <v>8</v>
      </c>
      <c r="D18" s="153">
        <v>11.99</v>
      </c>
      <c r="E18" s="153">
        <f t="shared" si="15"/>
        <v>95.92</v>
      </c>
      <c r="F18" s="153">
        <f t="shared" si="16"/>
        <v>14.39</v>
      </c>
      <c r="G18" s="153">
        <f t="shared" si="17"/>
        <v>26.24</v>
      </c>
      <c r="H18" s="153">
        <f t="shared" si="18"/>
        <v>2.9</v>
      </c>
      <c r="I18" s="153">
        <f t="shared" si="23"/>
        <v>9.6</v>
      </c>
      <c r="J18" s="153">
        <v>150</v>
      </c>
      <c r="K18" s="153">
        <f t="shared" si="24"/>
        <v>2.88</v>
      </c>
      <c r="L18" s="153"/>
      <c r="M18" s="153">
        <f t="shared" si="25"/>
        <v>62.4</v>
      </c>
      <c r="N18" s="153">
        <f t="shared" si="26"/>
        <v>72</v>
      </c>
      <c r="O18" s="153">
        <f t="shared" si="27"/>
        <v>113.93</v>
      </c>
      <c r="P18" s="156">
        <f t="shared" si="28"/>
        <v>33.57</v>
      </c>
      <c r="Q18" s="153">
        <f t="shared" si="19"/>
        <v>-1052.53</v>
      </c>
      <c r="R18" s="159">
        <f t="shared" si="20"/>
        <v>-1.57</v>
      </c>
      <c r="S18" s="159">
        <f t="shared" si="21"/>
        <v>0.1</v>
      </c>
      <c r="T18" s="160">
        <f t="shared" si="22"/>
        <v>0.16968009055165018</v>
      </c>
    </row>
    <row r="19" spans="1:20" ht="15" customHeight="1">
      <c r="A19" s="151">
        <v>43786</v>
      </c>
      <c r="B19" s="152">
        <v>7</v>
      </c>
      <c r="C19" s="153">
        <v>8</v>
      </c>
      <c r="D19" s="153">
        <v>11.99</v>
      </c>
      <c r="E19" s="153">
        <f t="shared" si="15"/>
        <v>95.92</v>
      </c>
      <c r="F19" s="153">
        <f t="shared" si="16"/>
        <v>14.39</v>
      </c>
      <c r="G19" s="153">
        <f t="shared" si="17"/>
        <v>26.24</v>
      </c>
      <c r="H19" s="153">
        <f t="shared" si="18"/>
        <v>2.9</v>
      </c>
      <c r="I19" s="153">
        <f t="shared" si="23"/>
        <v>9.6</v>
      </c>
      <c r="J19" s="153">
        <v>0</v>
      </c>
      <c r="K19" s="153">
        <f t="shared" si="24"/>
        <v>2.88</v>
      </c>
      <c r="L19" s="153"/>
      <c r="M19" s="153">
        <f t="shared" si="25"/>
        <v>62.4</v>
      </c>
      <c r="N19" s="153">
        <f t="shared" si="26"/>
        <v>72</v>
      </c>
      <c r="O19" s="153">
        <f t="shared" si="27"/>
        <v>113.93</v>
      </c>
      <c r="P19" s="156">
        <f t="shared" si="28"/>
        <v>33.57</v>
      </c>
      <c r="Q19" s="153">
        <f t="shared" si="19"/>
        <v>-2.5300000000000011</v>
      </c>
      <c r="R19" s="159">
        <f t="shared" si="20"/>
        <v>0</v>
      </c>
      <c r="S19" s="159">
        <f t="shared" si="21"/>
        <v>0.1</v>
      </c>
      <c r="T19" s="160">
        <f t="shared" si="22"/>
        <v>0.16968009055165018</v>
      </c>
    </row>
    <row r="20" spans="1:20" ht="15" customHeight="1">
      <c r="A20" s="151">
        <v>43787</v>
      </c>
      <c r="B20" s="152">
        <v>7</v>
      </c>
      <c r="C20" s="153">
        <v>8</v>
      </c>
      <c r="D20" s="153">
        <v>11.99</v>
      </c>
      <c r="E20" s="153">
        <f t="shared" si="15"/>
        <v>95.92</v>
      </c>
      <c r="F20" s="153">
        <f t="shared" si="16"/>
        <v>14.39</v>
      </c>
      <c r="G20" s="153">
        <f t="shared" si="17"/>
        <v>26.24</v>
      </c>
      <c r="H20" s="153">
        <f t="shared" si="18"/>
        <v>2.9</v>
      </c>
      <c r="I20" s="153">
        <f t="shared" si="23"/>
        <v>9.6</v>
      </c>
      <c r="J20" s="153">
        <v>0</v>
      </c>
      <c r="K20" s="153">
        <f t="shared" si="24"/>
        <v>2.88</v>
      </c>
      <c r="L20" s="153"/>
      <c r="M20" s="153">
        <f t="shared" si="25"/>
        <v>62.4</v>
      </c>
      <c r="N20" s="153">
        <f t="shared" si="26"/>
        <v>72</v>
      </c>
      <c r="O20" s="153">
        <f t="shared" si="27"/>
        <v>113.93</v>
      </c>
      <c r="P20" s="156">
        <f t="shared" si="28"/>
        <v>33.57</v>
      </c>
      <c r="Q20" s="153">
        <f t="shared" si="19"/>
        <v>-2.5300000000000011</v>
      </c>
      <c r="R20" s="159">
        <f t="shared" si="20"/>
        <v>0</v>
      </c>
      <c r="S20" s="159">
        <f t="shared" si="21"/>
        <v>0.1</v>
      </c>
      <c r="T20" s="160">
        <f t="shared" si="22"/>
        <v>0.16968009055165018</v>
      </c>
    </row>
    <row r="21" spans="1:20" ht="15" customHeight="1">
      <c r="A21" s="151">
        <v>43788</v>
      </c>
      <c r="B21" s="152">
        <v>7</v>
      </c>
      <c r="C21" s="153">
        <v>8</v>
      </c>
      <c r="D21" s="153">
        <v>11.99</v>
      </c>
      <c r="E21" s="153">
        <f t="shared" si="15"/>
        <v>95.92</v>
      </c>
      <c r="F21" s="153">
        <f t="shared" si="16"/>
        <v>14.39</v>
      </c>
      <c r="G21" s="153">
        <f t="shared" si="17"/>
        <v>26.24</v>
      </c>
      <c r="H21" s="153">
        <f t="shared" si="18"/>
        <v>2.9</v>
      </c>
      <c r="I21" s="153">
        <f t="shared" si="23"/>
        <v>9.6</v>
      </c>
      <c r="J21" s="153">
        <v>0</v>
      </c>
      <c r="K21" s="153">
        <f t="shared" si="24"/>
        <v>2.88</v>
      </c>
      <c r="L21" s="153"/>
      <c r="M21" s="153">
        <f t="shared" si="25"/>
        <v>62.4</v>
      </c>
      <c r="N21" s="153">
        <f t="shared" si="26"/>
        <v>72</v>
      </c>
      <c r="O21" s="153">
        <f t="shared" si="27"/>
        <v>113.93</v>
      </c>
      <c r="P21" s="156">
        <f t="shared" si="28"/>
        <v>33.57</v>
      </c>
      <c r="Q21" s="153">
        <f t="shared" si="19"/>
        <v>-2.5300000000000011</v>
      </c>
      <c r="R21" s="159">
        <f t="shared" si="20"/>
        <v>0</v>
      </c>
      <c r="S21" s="159">
        <f t="shared" si="21"/>
        <v>0.1</v>
      </c>
      <c r="T21" s="160">
        <f t="shared" si="22"/>
        <v>0.16968009055165018</v>
      </c>
    </row>
    <row r="22" spans="1:20" ht="15" customHeight="1">
      <c r="A22" s="151">
        <v>43789</v>
      </c>
      <c r="B22" s="152">
        <v>7</v>
      </c>
      <c r="C22" s="153">
        <v>8</v>
      </c>
      <c r="D22" s="153">
        <v>11.99</v>
      </c>
      <c r="E22" s="153">
        <f t="shared" si="15"/>
        <v>95.92</v>
      </c>
      <c r="F22" s="153">
        <f t="shared" si="16"/>
        <v>14.39</v>
      </c>
      <c r="G22" s="153">
        <f t="shared" si="17"/>
        <v>26.24</v>
      </c>
      <c r="H22" s="153">
        <f t="shared" si="18"/>
        <v>2.9</v>
      </c>
      <c r="I22" s="153">
        <f t="shared" si="23"/>
        <v>9.6</v>
      </c>
      <c r="J22" s="153">
        <v>0</v>
      </c>
      <c r="K22" s="153">
        <f t="shared" si="24"/>
        <v>2.88</v>
      </c>
      <c r="L22" s="153"/>
      <c r="M22" s="153">
        <f t="shared" si="25"/>
        <v>62.4</v>
      </c>
      <c r="N22" s="153">
        <f t="shared" si="26"/>
        <v>72</v>
      </c>
      <c r="O22" s="153">
        <f t="shared" si="27"/>
        <v>113.93</v>
      </c>
      <c r="P22" s="156">
        <f t="shared" si="28"/>
        <v>33.57</v>
      </c>
      <c r="Q22" s="153">
        <f t="shared" si="19"/>
        <v>-2.5300000000000011</v>
      </c>
      <c r="R22" s="159">
        <f t="shared" si="20"/>
        <v>0</v>
      </c>
      <c r="S22" s="159">
        <f t="shared" si="21"/>
        <v>0.1</v>
      </c>
      <c r="T22" s="160">
        <f t="shared" si="22"/>
        <v>0.16968009055165018</v>
      </c>
    </row>
    <row r="23" spans="1:20" ht="15" customHeight="1">
      <c r="A23" s="166" t="s">
        <v>21</v>
      </c>
      <c r="B23" s="166"/>
      <c r="C23" s="166"/>
      <c r="D23" s="166"/>
      <c r="E23" s="154">
        <f t="shared" ref="E23:S23" si="29">SUM(E13:E22)</f>
        <v>959.19999999999982</v>
      </c>
      <c r="F23" s="154">
        <f t="shared" si="29"/>
        <v>143.89999999999998</v>
      </c>
      <c r="G23" s="154">
        <f t="shared" si="29"/>
        <v>262.40000000000003</v>
      </c>
      <c r="H23" s="154">
        <f t="shared" si="29"/>
        <v>28.999999999999993</v>
      </c>
      <c r="I23" s="154">
        <f t="shared" si="29"/>
        <v>95.999999999999986</v>
      </c>
      <c r="J23" s="154">
        <f t="shared" si="29"/>
        <v>150</v>
      </c>
      <c r="K23" s="154">
        <f t="shared" si="29"/>
        <v>28.799999999999994</v>
      </c>
      <c r="L23" s="154">
        <f t="shared" si="29"/>
        <v>0</v>
      </c>
      <c r="M23" s="154">
        <f t="shared" si="29"/>
        <v>623.99999999999989</v>
      </c>
      <c r="N23" s="154">
        <f t="shared" si="29"/>
        <v>720</v>
      </c>
      <c r="O23" s="154">
        <f t="shared" si="29"/>
        <v>1139.3000000000004</v>
      </c>
      <c r="P23" s="154">
        <f t="shared" si="29"/>
        <v>335.7</v>
      </c>
      <c r="Q23" s="154">
        <f t="shared" si="29"/>
        <v>-1075.3</v>
      </c>
      <c r="R23" s="154">
        <f t="shared" si="29"/>
        <v>-1.57</v>
      </c>
      <c r="S23" s="161">
        <f t="shared" si="29"/>
        <v>0.99999999999999989</v>
      </c>
      <c r="T23" s="162"/>
    </row>
    <row r="24" spans="1:20" ht="15" customHeight="1">
      <c r="A24" s="151">
        <v>43778</v>
      </c>
      <c r="B24" s="152">
        <v>7</v>
      </c>
      <c r="C24" s="153">
        <v>10</v>
      </c>
      <c r="D24" s="153">
        <v>12.99</v>
      </c>
      <c r="E24" s="153">
        <f t="shared" ref="E24:E33" si="30">D24*C24</f>
        <v>129.9</v>
      </c>
      <c r="F24" s="153">
        <f t="shared" ref="F24:F33" si="31">ROUND(D24*0.15*C24,2)</f>
        <v>19.489999999999998</v>
      </c>
      <c r="G24" s="153">
        <f t="shared" ref="G24:G33" si="32">3.28*C24</f>
        <v>32.799999999999997</v>
      </c>
      <c r="H24" s="153">
        <f t="shared" ref="H24:H33" si="33">ROUND(D24*C24*0.03,1)</f>
        <v>3.9</v>
      </c>
      <c r="I24" s="153">
        <f>ROUND(0.1*C24*D24,1)</f>
        <v>13</v>
      </c>
      <c r="J24" s="153">
        <v>0</v>
      </c>
      <c r="K24" s="153">
        <f t="shared" ref="K24:K33" si="34">ROUND(C24*D24*0.03,2)</f>
        <v>3.9</v>
      </c>
      <c r="L24" s="153"/>
      <c r="M24" s="153">
        <f>7.8*C24</f>
        <v>78</v>
      </c>
      <c r="N24" s="153">
        <f>9*C24</f>
        <v>90</v>
      </c>
      <c r="O24" s="153">
        <f>D24*B24*1+30</f>
        <v>120.93</v>
      </c>
      <c r="P24" s="156">
        <f>ROUND(C24*D24*0.05*B24,2)</f>
        <v>45.47</v>
      </c>
      <c r="Q24" s="153">
        <f t="shared" ref="Q24:Q33" si="35">(E24-F24-G24-H24-I24-J24-K24-L24)*B24-M24-N24-P24-O24</f>
        <v>63.270000000000067</v>
      </c>
      <c r="R24" s="159">
        <f t="shared" ref="R24:R33" si="36">ROUND(Q24/(E24*B24),2)</f>
        <v>7.0000000000000007E-2</v>
      </c>
      <c r="S24" s="159">
        <f t="shared" ref="S24:S33" si="37">ROUND(I24/E24,2)</f>
        <v>0.1</v>
      </c>
      <c r="T24" s="160">
        <f t="shared" ref="T24:T33" si="38">O24/(E24*B24)</f>
        <v>0.13299241174529858</v>
      </c>
    </row>
    <row r="25" spans="1:20" ht="15" customHeight="1">
      <c r="A25" s="151">
        <v>43779</v>
      </c>
      <c r="B25" s="152">
        <v>7</v>
      </c>
      <c r="C25" s="153">
        <v>10</v>
      </c>
      <c r="D25" s="153">
        <v>12.99</v>
      </c>
      <c r="E25" s="153">
        <f t="shared" si="30"/>
        <v>129.9</v>
      </c>
      <c r="F25" s="153">
        <f t="shared" si="31"/>
        <v>19.489999999999998</v>
      </c>
      <c r="G25" s="153">
        <f t="shared" si="32"/>
        <v>32.799999999999997</v>
      </c>
      <c r="H25" s="153">
        <f t="shared" si="33"/>
        <v>3.9</v>
      </c>
      <c r="I25" s="153">
        <f t="shared" ref="I25:I33" si="39">ROUND(0.1*C25*D25,1)</f>
        <v>13</v>
      </c>
      <c r="J25" s="153">
        <v>0</v>
      </c>
      <c r="K25" s="153">
        <f t="shared" si="34"/>
        <v>3.9</v>
      </c>
      <c r="L25" s="153"/>
      <c r="M25" s="153">
        <f t="shared" ref="M25:M33" si="40">7.8*C25</f>
        <v>78</v>
      </c>
      <c r="N25" s="153">
        <f t="shared" ref="N25:N33" si="41">9*C25</f>
        <v>90</v>
      </c>
      <c r="O25" s="153">
        <f t="shared" ref="O25:O33" si="42">D25*B25*1+30</f>
        <v>120.93</v>
      </c>
      <c r="P25" s="156">
        <f t="shared" ref="P25:P33" si="43">ROUND(C25*D25*0.05*B25,2)</f>
        <v>45.47</v>
      </c>
      <c r="Q25" s="153">
        <f t="shared" si="35"/>
        <v>63.270000000000067</v>
      </c>
      <c r="R25" s="159">
        <f t="shared" si="36"/>
        <v>7.0000000000000007E-2</v>
      </c>
      <c r="S25" s="159">
        <f t="shared" si="37"/>
        <v>0.1</v>
      </c>
      <c r="T25" s="160">
        <f t="shared" si="38"/>
        <v>0.13299241174529858</v>
      </c>
    </row>
    <row r="26" spans="1:20" ht="15" customHeight="1">
      <c r="A26" s="151">
        <v>43780</v>
      </c>
      <c r="B26" s="152">
        <v>7</v>
      </c>
      <c r="C26" s="153">
        <v>10</v>
      </c>
      <c r="D26" s="153">
        <v>12.99</v>
      </c>
      <c r="E26" s="153">
        <f t="shared" si="30"/>
        <v>129.9</v>
      </c>
      <c r="F26" s="153">
        <f t="shared" si="31"/>
        <v>19.489999999999998</v>
      </c>
      <c r="G26" s="153">
        <f t="shared" si="32"/>
        <v>32.799999999999997</v>
      </c>
      <c r="H26" s="153">
        <f t="shared" si="33"/>
        <v>3.9</v>
      </c>
      <c r="I26" s="153">
        <f t="shared" si="39"/>
        <v>13</v>
      </c>
      <c r="J26" s="153">
        <v>0</v>
      </c>
      <c r="K26" s="153">
        <f t="shared" si="34"/>
        <v>3.9</v>
      </c>
      <c r="L26" s="153"/>
      <c r="M26" s="153">
        <f t="shared" si="40"/>
        <v>78</v>
      </c>
      <c r="N26" s="153">
        <f t="shared" si="41"/>
        <v>90</v>
      </c>
      <c r="O26" s="153">
        <f t="shared" si="42"/>
        <v>120.93</v>
      </c>
      <c r="P26" s="156">
        <f t="shared" si="43"/>
        <v>45.47</v>
      </c>
      <c r="Q26" s="153">
        <f t="shared" si="35"/>
        <v>63.270000000000067</v>
      </c>
      <c r="R26" s="159">
        <f t="shared" si="36"/>
        <v>7.0000000000000007E-2</v>
      </c>
      <c r="S26" s="159">
        <f t="shared" si="37"/>
        <v>0.1</v>
      </c>
      <c r="T26" s="160">
        <f t="shared" si="38"/>
        <v>0.13299241174529858</v>
      </c>
    </row>
    <row r="27" spans="1:20" ht="15" customHeight="1">
      <c r="A27" s="151">
        <v>43781</v>
      </c>
      <c r="B27" s="152">
        <v>7</v>
      </c>
      <c r="C27" s="153">
        <v>10</v>
      </c>
      <c r="D27" s="153">
        <v>12.99</v>
      </c>
      <c r="E27" s="153">
        <f t="shared" si="30"/>
        <v>129.9</v>
      </c>
      <c r="F27" s="153">
        <f t="shared" si="31"/>
        <v>19.489999999999998</v>
      </c>
      <c r="G27" s="153">
        <f t="shared" si="32"/>
        <v>32.799999999999997</v>
      </c>
      <c r="H27" s="153">
        <f t="shared" si="33"/>
        <v>3.9</v>
      </c>
      <c r="I27" s="153">
        <f t="shared" si="39"/>
        <v>13</v>
      </c>
      <c r="J27" s="153">
        <v>0</v>
      </c>
      <c r="K27" s="153">
        <f t="shared" si="34"/>
        <v>3.9</v>
      </c>
      <c r="L27" s="153"/>
      <c r="M27" s="153">
        <f t="shared" si="40"/>
        <v>78</v>
      </c>
      <c r="N27" s="153">
        <f t="shared" si="41"/>
        <v>90</v>
      </c>
      <c r="O27" s="153">
        <f t="shared" si="42"/>
        <v>120.93</v>
      </c>
      <c r="P27" s="156">
        <f t="shared" si="43"/>
        <v>45.47</v>
      </c>
      <c r="Q27" s="153">
        <f t="shared" si="35"/>
        <v>63.270000000000067</v>
      </c>
      <c r="R27" s="159">
        <f t="shared" si="36"/>
        <v>7.0000000000000007E-2</v>
      </c>
      <c r="S27" s="159">
        <f t="shared" si="37"/>
        <v>0.1</v>
      </c>
      <c r="T27" s="160">
        <f t="shared" si="38"/>
        <v>0.13299241174529858</v>
      </c>
    </row>
    <row r="28" spans="1:20" ht="15" customHeight="1">
      <c r="A28" s="151">
        <v>43782</v>
      </c>
      <c r="B28" s="152">
        <v>7</v>
      </c>
      <c r="C28" s="153">
        <v>10</v>
      </c>
      <c r="D28" s="153">
        <v>12.99</v>
      </c>
      <c r="E28" s="153">
        <f t="shared" si="30"/>
        <v>129.9</v>
      </c>
      <c r="F28" s="153">
        <f t="shared" si="31"/>
        <v>19.489999999999998</v>
      </c>
      <c r="G28" s="153">
        <f t="shared" si="32"/>
        <v>32.799999999999997</v>
      </c>
      <c r="H28" s="153">
        <f t="shared" si="33"/>
        <v>3.9</v>
      </c>
      <c r="I28" s="153">
        <f t="shared" si="39"/>
        <v>13</v>
      </c>
      <c r="J28" s="153">
        <v>0</v>
      </c>
      <c r="K28" s="153">
        <f t="shared" si="34"/>
        <v>3.9</v>
      </c>
      <c r="L28" s="153"/>
      <c r="M28" s="153">
        <f t="shared" si="40"/>
        <v>78</v>
      </c>
      <c r="N28" s="153">
        <f t="shared" si="41"/>
        <v>90</v>
      </c>
      <c r="O28" s="153">
        <f t="shared" si="42"/>
        <v>120.93</v>
      </c>
      <c r="P28" s="156">
        <f t="shared" si="43"/>
        <v>45.47</v>
      </c>
      <c r="Q28" s="153">
        <f t="shared" si="35"/>
        <v>63.270000000000067</v>
      </c>
      <c r="R28" s="159">
        <f t="shared" si="36"/>
        <v>7.0000000000000007E-2</v>
      </c>
      <c r="S28" s="159">
        <f t="shared" si="37"/>
        <v>0.1</v>
      </c>
      <c r="T28" s="160">
        <f t="shared" si="38"/>
        <v>0.13299241174529858</v>
      </c>
    </row>
    <row r="29" spans="1:20" ht="15" customHeight="1">
      <c r="A29" s="151">
        <v>43783</v>
      </c>
      <c r="B29" s="152">
        <v>7</v>
      </c>
      <c r="C29" s="153">
        <v>10</v>
      </c>
      <c r="D29" s="153">
        <v>12.99</v>
      </c>
      <c r="E29" s="153">
        <f t="shared" si="30"/>
        <v>129.9</v>
      </c>
      <c r="F29" s="153">
        <f t="shared" si="31"/>
        <v>19.489999999999998</v>
      </c>
      <c r="G29" s="153">
        <f t="shared" si="32"/>
        <v>32.799999999999997</v>
      </c>
      <c r="H29" s="153">
        <f t="shared" si="33"/>
        <v>3.9</v>
      </c>
      <c r="I29" s="153">
        <f t="shared" si="39"/>
        <v>13</v>
      </c>
      <c r="J29" s="153">
        <v>0</v>
      </c>
      <c r="K29" s="153">
        <f t="shared" si="34"/>
        <v>3.9</v>
      </c>
      <c r="L29" s="153"/>
      <c r="M29" s="153">
        <f t="shared" si="40"/>
        <v>78</v>
      </c>
      <c r="N29" s="153">
        <f t="shared" si="41"/>
        <v>90</v>
      </c>
      <c r="O29" s="153">
        <f t="shared" si="42"/>
        <v>120.93</v>
      </c>
      <c r="P29" s="156">
        <f t="shared" si="43"/>
        <v>45.47</v>
      </c>
      <c r="Q29" s="153">
        <f t="shared" si="35"/>
        <v>63.270000000000067</v>
      </c>
      <c r="R29" s="159">
        <f t="shared" si="36"/>
        <v>7.0000000000000007E-2</v>
      </c>
      <c r="S29" s="159">
        <f t="shared" si="37"/>
        <v>0.1</v>
      </c>
      <c r="T29" s="160">
        <f t="shared" si="38"/>
        <v>0.13299241174529858</v>
      </c>
    </row>
    <row r="30" spans="1:20" ht="15" customHeight="1">
      <c r="A30" s="151">
        <v>43784</v>
      </c>
      <c r="B30" s="152">
        <v>7</v>
      </c>
      <c r="C30" s="153">
        <v>10</v>
      </c>
      <c r="D30" s="153">
        <v>12.99</v>
      </c>
      <c r="E30" s="153">
        <f t="shared" si="30"/>
        <v>129.9</v>
      </c>
      <c r="F30" s="153">
        <f t="shared" si="31"/>
        <v>19.489999999999998</v>
      </c>
      <c r="G30" s="153">
        <f t="shared" si="32"/>
        <v>32.799999999999997</v>
      </c>
      <c r="H30" s="153">
        <f t="shared" si="33"/>
        <v>3.9</v>
      </c>
      <c r="I30" s="153">
        <f t="shared" si="39"/>
        <v>13</v>
      </c>
      <c r="J30" s="153">
        <v>0</v>
      </c>
      <c r="K30" s="153">
        <f t="shared" si="34"/>
        <v>3.9</v>
      </c>
      <c r="L30" s="153"/>
      <c r="M30" s="153">
        <f t="shared" si="40"/>
        <v>78</v>
      </c>
      <c r="N30" s="153">
        <f t="shared" si="41"/>
        <v>90</v>
      </c>
      <c r="O30" s="153">
        <f t="shared" si="42"/>
        <v>120.93</v>
      </c>
      <c r="P30" s="156">
        <f t="shared" si="43"/>
        <v>45.47</v>
      </c>
      <c r="Q30" s="153">
        <f t="shared" si="35"/>
        <v>63.270000000000067</v>
      </c>
      <c r="R30" s="159">
        <f t="shared" si="36"/>
        <v>7.0000000000000007E-2</v>
      </c>
      <c r="S30" s="159">
        <f t="shared" si="37"/>
        <v>0.1</v>
      </c>
      <c r="T30" s="160">
        <f t="shared" si="38"/>
        <v>0.13299241174529858</v>
      </c>
    </row>
    <row r="31" spans="1:20" ht="15" customHeight="1">
      <c r="A31" s="151">
        <v>43785</v>
      </c>
      <c r="B31" s="152">
        <v>7</v>
      </c>
      <c r="C31" s="153">
        <v>10</v>
      </c>
      <c r="D31" s="153">
        <v>12.99</v>
      </c>
      <c r="E31" s="153">
        <f t="shared" si="30"/>
        <v>129.9</v>
      </c>
      <c r="F31" s="153">
        <f t="shared" si="31"/>
        <v>19.489999999999998</v>
      </c>
      <c r="G31" s="153">
        <f t="shared" si="32"/>
        <v>32.799999999999997</v>
      </c>
      <c r="H31" s="153">
        <f t="shared" si="33"/>
        <v>3.9</v>
      </c>
      <c r="I31" s="153">
        <f t="shared" si="39"/>
        <v>13</v>
      </c>
      <c r="J31" s="153">
        <v>0</v>
      </c>
      <c r="K31" s="153">
        <f t="shared" si="34"/>
        <v>3.9</v>
      </c>
      <c r="L31" s="153"/>
      <c r="M31" s="153">
        <f t="shared" si="40"/>
        <v>78</v>
      </c>
      <c r="N31" s="153">
        <f t="shared" si="41"/>
        <v>90</v>
      </c>
      <c r="O31" s="153">
        <f t="shared" si="42"/>
        <v>120.93</v>
      </c>
      <c r="P31" s="156">
        <f t="shared" si="43"/>
        <v>45.47</v>
      </c>
      <c r="Q31" s="153">
        <f t="shared" si="35"/>
        <v>63.270000000000067</v>
      </c>
      <c r="R31" s="159">
        <f t="shared" si="36"/>
        <v>7.0000000000000007E-2</v>
      </c>
      <c r="S31" s="159">
        <f t="shared" si="37"/>
        <v>0.1</v>
      </c>
      <c r="T31" s="160">
        <f t="shared" si="38"/>
        <v>0.13299241174529858</v>
      </c>
    </row>
    <row r="32" spans="1:20" ht="15" customHeight="1">
      <c r="A32" s="151">
        <v>43786</v>
      </c>
      <c r="B32" s="152">
        <v>7</v>
      </c>
      <c r="C32" s="153">
        <v>10</v>
      </c>
      <c r="D32" s="153">
        <v>12.99</v>
      </c>
      <c r="E32" s="153">
        <f t="shared" si="30"/>
        <v>129.9</v>
      </c>
      <c r="F32" s="153">
        <f t="shared" si="31"/>
        <v>19.489999999999998</v>
      </c>
      <c r="G32" s="153">
        <f t="shared" si="32"/>
        <v>32.799999999999997</v>
      </c>
      <c r="H32" s="153">
        <f t="shared" si="33"/>
        <v>3.9</v>
      </c>
      <c r="I32" s="153">
        <f t="shared" si="39"/>
        <v>13</v>
      </c>
      <c r="J32" s="153">
        <v>0</v>
      </c>
      <c r="K32" s="153">
        <f t="shared" si="34"/>
        <v>3.9</v>
      </c>
      <c r="L32" s="153"/>
      <c r="M32" s="153">
        <f t="shared" si="40"/>
        <v>78</v>
      </c>
      <c r="N32" s="153">
        <f t="shared" si="41"/>
        <v>90</v>
      </c>
      <c r="O32" s="153">
        <f t="shared" si="42"/>
        <v>120.93</v>
      </c>
      <c r="P32" s="156">
        <f t="shared" si="43"/>
        <v>45.47</v>
      </c>
      <c r="Q32" s="153">
        <f t="shared" si="35"/>
        <v>63.270000000000067</v>
      </c>
      <c r="R32" s="159">
        <f t="shared" si="36"/>
        <v>7.0000000000000007E-2</v>
      </c>
      <c r="S32" s="159">
        <f t="shared" si="37"/>
        <v>0.1</v>
      </c>
      <c r="T32" s="160">
        <f t="shared" si="38"/>
        <v>0.13299241174529858</v>
      </c>
    </row>
    <row r="33" spans="1:20" ht="15" customHeight="1">
      <c r="A33" s="151">
        <v>43787</v>
      </c>
      <c r="B33" s="152">
        <v>7</v>
      </c>
      <c r="C33" s="153">
        <v>10</v>
      </c>
      <c r="D33" s="153">
        <v>12.99</v>
      </c>
      <c r="E33" s="153">
        <f t="shared" si="30"/>
        <v>129.9</v>
      </c>
      <c r="F33" s="153">
        <f t="shared" si="31"/>
        <v>19.489999999999998</v>
      </c>
      <c r="G33" s="153">
        <f t="shared" si="32"/>
        <v>32.799999999999997</v>
      </c>
      <c r="H33" s="153">
        <f t="shared" si="33"/>
        <v>3.9</v>
      </c>
      <c r="I33" s="153">
        <f t="shared" si="39"/>
        <v>13</v>
      </c>
      <c r="J33" s="153">
        <v>0</v>
      </c>
      <c r="K33" s="153">
        <f t="shared" si="34"/>
        <v>3.9</v>
      </c>
      <c r="L33" s="153"/>
      <c r="M33" s="153">
        <f t="shared" si="40"/>
        <v>78</v>
      </c>
      <c r="N33" s="153">
        <f t="shared" si="41"/>
        <v>90</v>
      </c>
      <c r="O33" s="153">
        <f t="shared" si="42"/>
        <v>120.93</v>
      </c>
      <c r="P33" s="156">
        <f t="shared" si="43"/>
        <v>45.47</v>
      </c>
      <c r="Q33" s="153">
        <f t="shared" si="35"/>
        <v>63.270000000000067</v>
      </c>
      <c r="R33" s="159">
        <f t="shared" si="36"/>
        <v>7.0000000000000007E-2</v>
      </c>
      <c r="S33" s="159">
        <f t="shared" si="37"/>
        <v>0.1</v>
      </c>
      <c r="T33" s="160">
        <f t="shared" si="38"/>
        <v>0.13299241174529858</v>
      </c>
    </row>
    <row r="34" spans="1:20" ht="15" customHeight="1">
      <c r="A34" s="166" t="s">
        <v>22</v>
      </c>
      <c r="B34" s="166"/>
      <c r="C34" s="166"/>
      <c r="D34" s="166"/>
      <c r="E34" s="154">
        <f t="shared" ref="E34:S34" si="44">SUM(E24:E33)</f>
        <v>1299.0000000000002</v>
      </c>
      <c r="F34" s="154">
        <f t="shared" si="44"/>
        <v>194.9</v>
      </c>
      <c r="G34" s="154">
        <f t="shared" si="44"/>
        <v>328.00000000000006</v>
      </c>
      <c r="H34" s="154">
        <f t="shared" si="44"/>
        <v>38.999999999999993</v>
      </c>
      <c r="I34" s="154">
        <f t="shared" si="44"/>
        <v>130</v>
      </c>
      <c r="J34" s="154">
        <f t="shared" si="44"/>
        <v>0</v>
      </c>
      <c r="K34" s="154">
        <f t="shared" si="44"/>
        <v>38.999999999999993</v>
      </c>
      <c r="L34" s="154">
        <f t="shared" si="44"/>
        <v>0</v>
      </c>
      <c r="M34" s="154">
        <f t="shared" si="44"/>
        <v>780</v>
      </c>
      <c r="N34" s="154">
        <f t="shared" si="44"/>
        <v>900</v>
      </c>
      <c r="O34" s="154">
        <f t="shared" si="44"/>
        <v>1209.3000000000004</v>
      </c>
      <c r="P34" s="154">
        <f t="shared" si="44"/>
        <v>454.70000000000005</v>
      </c>
      <c r="Q34" s="154">
        <f t="shared" si="44"/>
        <v>632.70000000000084</v>
      </c>
      <c r="R34" s="154">
        <f t="shared" si="44"/>
        <v>0.70000000000000018</v>
      </c>
      <c r="S34" s="161">
        <f t="shared" si="44"/>
        <v>0.99999999999999989</v>
      </c>
      <c r="T34" s="162"/>
    </row>
    <row r="35" spans="1:20" ht="15" customHeight="1">
      <c r="A35" s="167" t="s">
        <v>23</v>
      </c>
      <c r="B35" s="167"/>
      <c r="C35" s="167"/>
      <c r="D35" s="167"/>
      <c r="E35" s="155">
        <f t="shared" ref="E35:S35" si="45">E34+E23+E12</f>
        <v>2642.85</v>
      </c>
      <c r="F35" s="155">
        <f t="shared" si="45"/>
        <v>396.50999999999993</v>
      </c>
      <c r="G35" s="155">
        <f t="shared" si="45"/>
        <v>705.2</v>
      </c>
      <c r="H35" s="155">
        <f t="shared" si="45"/>
        <v>79.499999999999986</v>
      </c>
      <c r="I35" s="155">
        <f t="shared" si="45"/>
        <v>303</v>
      </c>
      <c r="J35" s="155">
        <f t="shared" si="45"/>
        <v>150</v>
      </c>
      <c r="K35" s="155">
        <f t="shared" si="45"/>
        <v>79.34999999999998</v>
      </c>
      <c r="L35" s="155">
        <f t="shared" si="45"/>
        <v>0</v>
      </c>
      <c r="M35" s="155">
        <f t="shared" si="45"/>
        <v>1677</v>
      </c>
      <c r="N35" s="155">
        <f t="shared" si="45"/>
        <v>1935</v>
      </c>
      <c r="O35" s="155">
        <f t="shared" si="45"/>
        <v>3417.9000000000015</v>
      </c>
      <c r="P35" s="155">
        <f t="shared" si="45"/>
        <v>925.0100000000001</v>
      </c>
      <c r="Q35" s="155">
        <f t="shared" si="45"/>
        <v>-1449.8799999999992</v>
      </c>
      <c r="R35" s="155">
        <f t="shared" si="45"/>
        <v>-5.2</v>
      </c>
      <c r="S35" s="163">
        <f t="shared" si="45"/>
        <v>3.9999999999999996</v>
      </c>
      <c r="T35" s="164"/>
    </row>
  </sheetData>
  <sheetProtection formatCells="0" insertHyperlinks="0" autoFilter="0"/>
  <mergeCells count="4">
    <mergeCell ref="A12:D12"/>
    <mergeCell ref="A23:D23"/>
    <mergeCell ref="A34:D34"/>
    <mergeCell ref="A35:D35"/>
  </mergeCells>
  <phoneticPr fontId="27" type="noConversion"/>
  <pageMargins left="0.75" right="0.75" top="1" bottom="1" header="0.50902777777777797" footer="0.50902777777777797"/>
  <pageSetup paperSize="9" orientation="portrait"/>
  <headerFooter scaleWithDoc="0"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BL43"/>
  <sheetViews>
    <sheetView workbookViewId="0">
      <pane xSplit="4" ySplit="4" topLeftCell="E5" activePane="bottomRight" state="frozen"/>
      <selection pane="topRight"/>
      <selection pane="bottomLeft"/>
      <selection pane="bottomRight" activeCell="E5" sqref="E5"/>
    </sheetView>
  </sheetViews>
  <sheetFormatPr defaultColWidth="8.09765625" defaultRowHeight="15"/>
  <cols>
    <col min="1" max="2" width="7.09765625" style="64" customWidth="1"/>
    <col min="3" max="3" width="10.19921875" style="30" customWidth="1"/>
    <col min="4" max="4" width="10.5" style="30" customWidth="1"/>
    <col min="5" max="5" width="9.5" style="30" customWidth="1"/>
    <col min="6" max="6" width="8.8984375" style="30" customWidth="1"/>
    <col min="7" max="7" width="9.8984375" style="30" customWidth="1"/>
    <col min="8" max="9" width="7.796875" style="30" customWidth="1"/>
    <col min="10" max="10" width="8.69921875" style="30" customWidth="1"/>
    <col min="11" max="11" width="7.59765625" style="65" customWidth="1"/>
    <col min="12" max="12" width="8.296875" style="30" customWidth="1"/>
    <col min="13" max="13" width="8.3984375" style="30" customWidth="1"/>
    <col min="14" max="14" width="8" style="65" customWidth="1"/>
    <col min="15" max="15" width="10.8984375" style="65" customWidth="1"/>
    <col min="16" max="16" width="8" style="65" customWidth="1"/>
    <col min="17" max="17" width="11.5" style="30" customWidth="1"/>
    <col min="18" max="18" width="11.5" style="66" customWidth="1"/>
    <col min="19" max="19" width="12.09765625" style="66" customWidth="1"/>
    <col min="20" max="20" width="13.3984375" style="67" customWidth="1"/>
    <col min="21" max="21" width="12.3984375" style="68" customWidth="1"/>
    <col min="22" max="22" width="9.5" style="68" customWidth="1"/>
    <col min="23" max="23" width="8.5" style="30" customWidth="1"/>
    <col min="24" max="24" width="9.296875" style="30" customWidth="1"/>
    <col min="25" max="25" width="7.59765625" style="30" customWidth="1"/>
    <col min="26" max="26" width="8.8984375" style="30" customWidth="1"/>
    <col min="27" max="27" width="8" style="30" customWidth="1"/>
    <col min="28" max="28" width="8.19921875" style="30" customWidth="1"/>
    <col min="29" max="29" width="7.09765625" style="30" customWidth="1"/>
    <col min="30" max="30" width="9.09765625" style="30" customWidth="1"/>
    <col min="31" max="31" width="8.3984375" style="30" customWidth="1"/>
    <col min="32" max="32" width="8.8984375" style="30" customWidth="1"/>
    <col min="33" max="33" width="18.09765625" style="30" customWidth="1"/>
    <col min="34" max="34" width="7.3984375" style="30" customWidth="1"/>
    <col min="35" max="35" width="6.19921875" style="30" customWidth="1"/>
    <col min="36" max="36" width="6.3984375" style="30" customWidth="1"/>
    <col min="37" max="37" width="5.796875" style="30" customWidth="1"/>
    <col min="38" max="38" width="5.796875" style="69" customWidth="1"/>
    <col min="39" max="39" width="7.296875" style="62" customWidth="1"/>
    <col min="40" max="40" width="5.796875" style="69" customWidth="1"/>
    <col min="41" max="41" width="7.296875" style="62" customWidth="1"/>
    <col min="42" max="42" width="5.796875" style="69" customWidth="1"/>
    <col min="43" max="43" width="7.296875" style="62" customWidth="1"/>
    <col min="44" max="44" width="5.796875" style="69" customWidth="1"/>
    <col min="45" max="45" width="7.69921875" style="69" customWidth="1"/>
    <col min="46" max="46" width="7.296875" style="62" customWidth="1"/>
    <col min="47" max="47" width="9.09765625" style="62" customWidth="1"/>
    <col min="48" max="48" width="5.796875" style="62" customWidth="1"/>
    <col min="49" max="49" width="8" style="62" customWidth="1"/>
    <col min="50" max="50" width="6.3984375" style="69" customWidth="1"/>
    <col min="51" max="51" width="8.09765625" style="69" customWidth="1"/>
    <col min="52" max="53" width="7.296875" style="69" customWidth="1"/>
    <col min="54" max="54" width="5.5" style="69" customWidth="1"/>
    <col min="55" max="55" width="8.19921875" style="69" customWidth="1"/>
    <col min="56" max="56" width="6.296875" style="30" customWidth="1"/>
    <col min="57" max="57" width="5.09765625" style="69" customWidth="1"/>
    <col min="58" max="58" width="7.59765625" style="62" customWidth="1"/>
    <col min="59" max="61" width="7.19921875" style="62" customWidth="1"/>
    <col min="62" max="62" width="11.5" style="30" customWidth="1"/>
    <col min="63" max="63" width="7.796875" style="62" customWidth="1"/>
    <col min="64" max="64" width="8.5" style="62" customWidth="1"/>
    <col min="65" max="16384" width="8.09765625" style="30"/>
  </cols>
  <sheetData>
    <row r="1" spans="1:64" ht="18" customHeight="1">
      <c r="A1" s="168" t="s">
        <v>24</v>
      </c>
      <c r="B1" s="168"/>
      <c r="C1" s="225" t="s">
        <v>328</v>
      </c>
      <c r="D1" s="226"/>
      <c r="E1" s="190"/>
      <c r="F1" s="169" t="s">
        <v>25</v>
      </c>
      <c r="G1" s="170"/>
      <c r="H1" s="78">
        <v>500</v>
      </c>
      <c r="I1" s="77" t="s">
        <v>26</v>
      </c>
      <c r="J1" s="78" t="s">
        <v>27</v>
      </c>
      <c r="K1" s="96" t="s">
        <v>28</v>
      </c>
      <c r="L1" s="78" t="s">
        <v>1</v>
      </c>
      <c r="M1" s="107">
        <v>6.5</v>
      </c>
      <c r="N1" s="108" t="s">
        <v>29</v>
      </c>
      <c r="O1" s="32">
        <v>44167</v>
      </c>
      <c r="P1" s="78" t="s">
        <v>30</v>
      </c>
      <c r="Q1" s="78" t="s">
        <v>31</v>
      </c>
      <c r="R1" s="78" t="s">
        <v>32</v>
      </c>
      <c r="S1" s="78" t="s">
        <v>33</v>
      </c>
      <c r="T1" s="78" t="s">
        <v>34</v>
      </c>
      <c r="U1" s="78" t="s">
        <v>35</v>
      </c>
      <c r="V1" s="78" t="s">
        <v>36</v>
      </c>
      <c r="W1" s="78" t="s">
        <v>37</v>
      </c>
      <c r="X1" s="78" t="s">
        <v>38</v>
      </c>
      <c r="Y1" s="78" t="s">
        <v>39</v>
      </c>
      <c r="Z1" s="78" t="s">
        <v>40</v>
      </c>
      <c r="AA1" s="78" t="s">
        <v>41</v>
      </c>
      <c r="AB1" s="78" t="s">
        <v>42</v>
      </c>
      <c r="AC1" s="78" t="s">
        <v>43</v>
      </c>
      <c r="AD1" s="78" t="s">
        <v>44</v>
      </c>
      <c r="AL1" s="30"/>
      <c r="AM1" s="30"/>
      <c r="AN1" s="30"/>
      <c r="AO1" s="30"/>
      <c r="AP1" s="30"/>
      <c r="AQ1" s="30"/>
      <c r="AR1" s="30"/>
      <c r="AS1" s="30"/>
      <c r="AT1" s="30"/>
      <c r="AU1" s="30"/>
      <c r="AV1" s="30"/>
      <c r="AW1" s="30"/>
      <c r="AX1" s="30"/>
      <c r="AY1" s="30"/>
      <c r="BD1" s="64"/>
    </row>
    <row r="2" spans="1:64" ht="18" customHeight="1">
      <c r="A2" s="171" t="s">
        <v>45</v>
      </c>
      <c r="B2" s="171"/>
      <c r="C2" s="227"/>
      <c r="D2" s="228"/>
      <c r="E2" s="190"/>
      <c r="F2" s="172" t="s">
        <v>46</v>
      </c>
      <c r="G2" s="173"/>
      <c r="H2" s="80">
        <v>3</v>
      </c>
      <c r="I2" s="79" t="s">
        <v>47</v>
      </c>
      <c r="J2" s="97">
        <v>8.6199999999999992</v>
      </c>
      <c r="K2" s="98">
        <v>25.99</v>
      </c>
      <c r="L2" s="80" t="s">
        <v>48</v>
      </c>
      <c r="M2" s="109">
        <v>16.510000000000002</v>
      </c>
      <c r="N2" s="110" t="s">
        <v>49</v>
      </c>
      <c r="O2" s="32">
        <v>44197</v>
      </c>
      <c r="P2" s="97">
        <v>2.4500000000000002</v>
      </c>
      <c r="Q2" s="97">
        <f>K2*17%</f>
        <v>4.4183000000000003</v>
      </c>
      <c r="R2" s="97">
        <v>3.81</v>
      </c>
      <c r="S2" s="97">
        <v>0.26</v>
      </c>
      <c r="T2" s="116">
        <v>0</v>
      </c>
      <c r="U2" s="122">
        <v>50</v>
      </c>
      <c r="V2" s="122">
        <v>8</v>
      </c>
      <c r="W2" s="122">
        <v>2</v>
      </c>
      <c r="X2" s="122">
        <v>2</v>
      </c>
      <c r="Y2" s="122">
        <v>2</v>
      </c>
      <c r="Z2" s="124">
        <v>150</v>
      </c>
      <c r="AA2" s="124">
        <v>200</v>
      </c>
      <c r="AB2" s="124">
        <v>200</v>
      </c>
      <c r="AC2" s="124">
        <v>200</v>
      </c>
      <c r="AD2" s="124">
        <v>60</v>
      </c>
      <c r="AL2" s="30"/>
      <c r="AM2" s="30"/>
      <c r="AN2" s="30"/>
      <c r="AO2" s="30"/>
      <c r="AP2" s="30"/>
      <c r="AQ2" s="30"/>
      <c r="AR2" s="30"/>
      <c r="AS2" s="30"/>
      <c r="AT2" s="30"/>
      <c r="AU2" s="30"/>
      <c r="AV2" s="30"/>
      <c r="AW2" s="30"/>
      <c r="AX2" s="30"/>
      <c r="AY2" s="30"/>
      <c r="BD2" s="64"/>
    </row>
    <row r="3" spans="1:64" ht="18" customHeight="1">
      <c r="A3" s="171" t="s">
        <v>50</v>
      </c>
      <c r="B3" s="171"/>
      <c r="C3" s="229"/>
      <c r="D3" s="230"/>
      <c r="E3" s="191"/>
      <c r="F3" s="174" t="s">
        <v>329</v>
      </c>
      <c r="G3" s="175"/>
      <c r="H3" s="175"/>
      <c r="I3" s="175"/>
      <c r="J3" s="175"/>
      <c r="K3" s="175"/>
      <c r="L3" s="175"/>
      <c r="M3" s="175"/>
      <c r="N3" s="175"/>
      <c r="O3" s="176" t="s">
        <v>330</v>
      </c>
      <c r="P3" s="177"/>
      <c r="Q3" s="177"/>
      <c r="R3" s="177"/>
      <c r="S3" s="177"/>
      <c r="T3" s="177"/>
      <c r="U3" s="177"/>
      <c r="V3" s="177"/>
      <c r="W3" s="177"/>
      <c r="X3" s="177"/>
      <c r="Y3" s="177"/>
      <c r="Z3" s="178"/>
      <c r="AA3" s="179" t="s">
        <v>51</v>
      </c>
      <c r="AB3" s="175"/>
      <c r="AC3" s="175"/>
      <c r="AD3" s="180"/>
      <c r="AL3" s="30"/>
      <c r="AM3" s="30"/>
      <c r="AN3" s="30"/>
      <c r="AO3" s="30"/>
      <c r="AP3" s="30"/>
      <c r="AQ3" s="30"/>
      <c r="AR3" s="30"/>
      <c r="AS3" s="30"/>
      <c r="AT3" s="30"/>
      <c r="AU3" s="30"/>
      <c r="AV3" s="30"/>
      <c r="AW3" s="30"/>
      <c r="AX3" s="30"/>
      <c r="AY3" s="30"/>
      <c r="BD3" s="64"/>
    </row>
    <row r="4" spans="1:64" s="62" customFormat="1" ht="30" customHeight="1">
      <c r="A4" s="71" t="s">
        <v>52</v>
      </c>
      <c r="B4" s="71" t="s">
        <v>53</v>
      </c>
      <c r="C4" s="72" t="s">
        <v>54</v>
      </c>
      <c r="D4" s="72" t="s">
        <v>55</v>
      </c>
      <c r="E4" s="81" t="s">
        <v>56</v>
      </c>
      <c r="F4" s="82" t="s">
        <v>57</v>
      </c>
      <c r="G4" s="83" t="s">
        <v>58</v>
      </c>
      <c r="H4" s="84" t="s">
        <v>59</v>
      </c>
      <c r="I4" s="70" t="s">
        <v>60</v>
      </c>
      <c r="J4" s="70" t="s">
        <v>61</v>
      </c>
      <c r="K4" s="99" t="s">
        <v>62</v>
      </c>
      <c r="L4" s="70" t="s">
        <v>63</v>
      </c>
      <c r="M4" s="84" t="s">
        <v>64</v>
      </c>
      <c r="N4" s="111" t="s">
        <v>65</v>
      </c>
      <c r="O4" s="112" t="s">
        <v>66</v>
      </c>
      <c r="P4" s="113" t="s">
        <v>67</v>
      </c>
      <c r="Q4" s="117" t="s">
        <v>68</v>
      </c>
      <c r="R4" s="118" t="s">
        <v>69</v>
      </c>
      <c r="S4" s="119" t="s">
        <v>70</v>
      </c>
      <c r="T4" s="118" t="s">
        <v>71</v>
      </c>
      <c r="U4" s="119" t="s">
        <v>72</v>
      </c>
      <c r="V4" s="118" t="s">
        <v>73</v>
      </c>
      <c r="W4" s="119" t="s">
        <v>74</v>
      </c>
      <c r="X4" s="118" t="s">
        <v>75</v>
      </c>
      <c r="Y4" s="125" t="s">
        <v>76</v>
      </c>
      <c r="Z4" s="118" t="s">
        <v>77</v>
      </c>
      <c r="AA4" s="119" t="s">
        <v>78</v>
      </c>
      <c r="AB4" s="118" t="s">
        <v>79</v>
      </c>
      <c r="AC4" s="126" t="s">
        <v>80</v>
      </c>
      <c r="AD4" s="127" t="s">
        <v>81</v>
      </c>
      <c r="AE4" s="125" t="s">
        <v>82</v>
      </c>
      <c r="AF4" s="125" t="s">
        <v>83</v>
      </c>
      <c r="AG4" s="129" t="s">
        <v>84</v>
      </c>
      <c r="AH4" s="130" t="s">
        <v>85</v>
      </c>
      <c r="AI4" s="131" t="s">
        <v>86</v>
      </c>
      <c r="AJ4" s="130" t="s">
        <v>36</v>
      </c>
      <c r="AK4" s="131" t="s">
        <v>86</v>
      </c>
      <c r="AL4" s="130" t="s">
        <v>37</v>
      </c>
      <c r="AM4" s="131" t="s">
        <v>86</v>
      </c>
      <c r="AN4" s="130" t="s">
        <v>38</v>
      </c>
      <c r="AO4" s="131" t="s">
        <v>86</v>
      </c>
      <c r="AP4" s="130" t="s">
        <v>39</v>
      </c>
      <c r="AQ4" s="131" t="s">
        <v>86</v>
      </c>
      <c r="AR4" s="130" t="s">
        <v>40</v>
      </c>
      <c r="AS4" s="130" t="s">
        <v>87</v>
      </c>
      <c r="AT4" s="131" t="s">
        <v>86</v>
      </c>
      <c r="AU4" s="131" t="s">
        <v>88</v>
      </c>
      <c r="AV4" s="130" t="s">
        <v>41</v>
      </c>
      <c r="AW4" s="130" t="s">
        <v>89</v>
      </c>
      <c r="AX4" s="131" t="s">
        <v>86</v>
      </c>
      <c r="AY4" s="131" t="s">
        <v>90</v>
      </c>
      <c r="AZ4" s="130" t="s">
        <v>91</v>
      </c>
      <c r="BA4" s="130" t="s">
        <v>92</v>
      </c>
      <c r="BB4" s="131" t="s">
        <v>86</v>
      </c>
      <c r="BC4" s="131" t="s">
        <v>93</v>
      </c>
      <c r="BD4" s="138" t="s">
        <v>43</v>
      </c>
      <c r="BE4" s="131" t="s">
        <v>86</v>
      </c>
      <c r="BF4" s="130" t="s">
        <v>94</v>
      </c>
      <c r="BG4" s="131" t="s">
        <v>86</v>
      </c>
      <c r="BH4" s="130" t="s">
        <v>95</v>
      </c>
      <c r="BI4" s="131" t="s">
        <v>86</v>
      </c>
      <c r="BJ4" s="130" t="s">
        <v>96</v>
      </c>
      <c r="BK4" s="130" t="s">
        <v>97</v>
      </c>
      <c r="BL4" s="131" t="s">
        <v>86</v>
      </c>
    </row>
    <row r="5" spans="1:64" ht="33" customHeight="1">
      <c r="A5" s="208" t="s">
        <v>98</v>
      </c>
      <c r="B5" s="73">
        <v>1</v>
      </c>
      <c r="C5" s="74">
        <f>O2</f>
        <v>44197</v>
      </c>
      <c r="D5" s="74">
        <f t="shared" ref="D5:D16" si="0">C5+7</f>
        <v>44204</v>
      </c>
      <c r="E5" s="85">
        <v>15</v>
      </c>
      <c r="F5" s="86">
        <v>5</v>
      </c>
      <c r="G5" s="85"/>
      <c r="H5" s="86"/>
      <c r="I5" s="100">
        <f>G5/7</f>
        <v>0</v>
      </c>
      <c r="J5" s="100"/>
      <c r="K5" s="101" t="e">
        <f>J5/G5</f>
        <v>#DIV/0!</v>
      </c>
      <c r="L5" s="102">
        <v>21.49</v>
      </c>
      <c r="M5" s="114">
        <f>((L5-$J$2-$P$2-$Q$2-$R$2-$S$2-$T$2*L5)*E5-BK5)/E5</f>
        <v>-0.21730000000000232</v>
      </c>
      <c r="N5" s="115">
        <f>M5/L5</f>
        <v>-1.011167985109364E-2</v>
      </c>
      <c r="O5" s="102" t="e">
        <f>((L5-$J$2-$P$2-$Q$2-$R$2-$S$2-$T$2*L5)*G5-BL5)/G5</f>
        <v>#DIV/0!</v>
      </c>
      <c r="P5" s="115" t="e">
        <f>O5/L5</f>
        <v>#DIV/0!</v>
      </c>
      <c r="Q5" s="209" t="s">
        <v>331</v>
      </c>
      <c r="R5" s="192">
        <f>(SUM(E5:E8)+SUM(F5:F8))*J$2*M$1</f>
        <v>7844.2</v>
      </c>
      <c r="S5" s="195">
        <f>(SUM(G5:G8)+SUM(H5:H8))*J2*$M$1</f>
        <v>0</v>
      </c>
      <c r="T5" s="192">
        <f>(SUM(E5:E8)+SUM(F5:F8))*P$2*M$1</f>
        <v>2229.5</v>
      </c>
      <c r="U5" s="195">
        <f>(SUM(G5:G8)+SUM(H5:H8))*P$2*M$1</f>
        <v>0</v>
      </c>
      <c r="V5" s="192">
        <f>(AH5*L5+AH6*L6+AH7*L7+AH8*L8)*$M$1+SUM(AH5:AH8)*$U$2+SUM(AJ5:AJ8)*$V$2+SUM(AL5:AL8)*$W$2+SUM(AN5:AN8)*$X$2+SUM(AP5:AP8)*$Y$2+SUM(AR5:AR8)*$M$1*$Z$2+SUM(AV5:AV8)*$M$1*$AA$2+SUM(AZ5:AZ8)*$M$1*$AB$2+SUM(BD5:BD8)*$M$1*$AC$2+SUM(BF5:BF8)*$M$1+SUM(BH5:BH8)*$AD$2*$M$1+SUM(BK5:BK8)*$M$1</f>
        <v>8686.41</v>
      </c>
      <c r="W5" s="195">
        <f>(AI5*L5+AI6*L6+AI7*L7+AI8*L8)*$M$1+SUM(AI5:AI8)*$U$2+SUM(AK5:AK8)*$V$2+SUM(AM5:AM8)*$W$2+SUM(AO5:AO8)*$X$2+SUM(AQ5:AQ8)*$Y$2+SUM(AT5:AT8)*$M$1*$Z$2+SUM(AX5:AX8)*$M$1*$AA$2+SUM(BB5:BB8)*$M$1*$AB$2+SUM(BE5:BE8)*$M$1*$AC$2+SUM(BG5:BG8)*$M$1+SUM(BI5:BI8)*$AD$2*$M$1+SUM(BL5:BL8)*$M$1</f>
        <v>0</v>
      </c>
      <c r="X5" s="192">
        <f>((E5*L5+E6*L6+E7*L7+E8*L8)+(SUM(AS5:AS8)+SUM(AW5:AW8)+SUM(BA5:BA8)))*$M$1</f>
        <v>12051.974999999999</v>
      </c>
      <c r="Y5" s="195">
        <f>((G5*L5+G6*L6+G7*L7+G8*L8)+(SUM(AU5:AU8)+SUM(AY5:AY8)+SUM(BC5:BC8)))*$M$1</f>
        <v>0</v>
      </c>
      <c r="Z5" s="192">
        <f>R5+T5+V5</f>
        <v>18760.11</v>
      </c>
      <c r="AA5" s="195">
        <f>S5+U5+W5</f>
        <v>0</v>
      </c>
      <c r="AB5" s="215">
        <f>X5/Z5</f>
        <v>0.64242560411426153</v>
      </c>
      <c r="AC5" s="234" t="e">
        <f>Y5/AA5</f>
        <v>#DIV/0!</v>
      </c>
      <c r="AD5" s="212"/>
      <c r="AE5" s="231"/>
      <c r="AF5" s="231"/>
      <c r="AG5" s="218"/>
      <c r="AH5" s="2">
        <v>5</v>
      </c>
      <c r="AI5" s="133"/>
      <c r="AJ5" s="2">
        <v>5</v>
      </c>
      <c r="AK5" s="133"/>
      <c r="AL5" s="2">
        <v>10</v>
      </c>
      <c r="AM5" s="133"/>
      <c r="AN5" s="2">
        <v>10</v>
      </c>
      <c r="AO5" s="133"/>
      <c r="AP5" s="2"/>
      <c r="AQ5" s="133"/>
      <c r="AR5" s="2" t="s">
        <v>99</v>
      </c>
      <c r="AS5" s="20"/>
      <c r="AT5" s="133"/>
      <c r="AU5" s="133"/>
      <c r="AV5" s="2" t="s">
        <v>99</v>
      </c>
      <c r="AW5" s="2"/>
      <c r="AX5" s="133"/>
      <c r="AY5" s="133"/>
      <c r="AZ5" s="2" t="s">
        <v>99</v>
      </c>
      <c r="BA5" s="20"/>
      <c r="BB5" s="100"/>
      <c r="BC5" s="100"/>
      <c r="BD5" s="10" t="s">
        <v>100</v>
      </c>
      <c r="BE5" s="133"/>
      <c r="BF5" s="139">
        <v>3</v>
      </c>
      <c r="BG5" s="133"/>
      <c r="BH5" s="2" t="s">
        <v>99</v>
      </c>
      <c r="BI5" s="133"/>
      <c r="BJ5" s="2" t="s">
        <v>99</v>
      </c>
      <c r="BK5" s="141">
        <f>E5*L5*0.1</f>
        <v>32.234999999999999</v>
      </c>
      <c r="BL5" s="133"/>
    </row>
    <row r="6" spans="1:64" ht="33" customHeight="1">
      <c r="A6" s="208"/>
      <c r="B6" s="73">
        <v>2</v>
      </c>
      <c r="C6" s="74">
        <f t="shared" ref="C6:C16" si="1">C5+8</f>
        <v>44205</v>
      </c>
      <c r="D6" s="74">
        <f t="shared" si="0"/>
        <v>44212</v>
      </c>
      <c r="E6" s="85">
        <v>15</v>
      </c>
      <c r="F6" s="86">
        <v>5</v>
      </c>
      <c r="G6" s="85"/>
      <c r="H6" s="86"/>
      <c r="I6" s="100">
        <f t="shared" ref="I6:I16" si="2">G6/7</f>
        <v>0</v>
      </c>
      <c r="J6" s="100"/>
      <c r="K6" s="101" t="e">
        <f t="shared" ref="K6:K16" si="3">J6/G6</f>
        <v>#DIV/0!</v>
      </c>
      <c r="L6" s="102">
        <v>21.49</v>
      </c>
      <c r="M6" s="114">
        <f t="shared" ref="M6:M16" si="4">((L6-$J$2-$P$2-$Q$2-$R$2-$S$2-$T$2*L6)*E6-BK6)/E6</f>
        <v>-0.21730000000000232</v>
      </c>
      <c r="N6" s="115">
        <f t="shared" ref="N6:N16" si="5">M6/L6</f>
        <v>-1.011167985109364E-2</v>
      </c>
      <c r="O6" s="102" t="e">
        <f t="shared" ref="O6:O16" si="6">((L6-$J$2-$P$2-$Q$2-$R$2-$S$2-$T$2*L6)*G6-BL6)/G6</f>
        <v>#DIV/0!</v>
      </c>
      <c r="P6" s="115" t="e">
        <f t="shared" ref="P6:P16" si="7">O6/L6</f>
        <v>#DIV/0!</v>
      </c>
      <c r="Q6" s="210"/>
      <c r="R6" s="193"/>
      <c r="S6" s="196"/>
      <c r="T6" s="193"/>
      <c r="U6" s="196"/>
      <c r="V6" s="193"/>
      <c r="W6" s="196"/>
      <c r="X6" s="193"/>
      <c r="Y6" s="196"/>
      <c r="Z6" s="193"/>
      <c r="AA6" s="196"/>
      <c r="AB6" s="216"/>
      <c r="AC6" s="235"/>
      <c r="AD6" s="213"/>
      <c r="AE6" s="232"/>
      <c r="AF6" s="232"/>
      <c r="AG6" s="219"/>
      <c r="AH6" s="2">
        <v>5</v>
      </c>
      <c r="AI6" s="133"/>
      <c r="AJ6" s="2">
        <v>5</v>
      </c>
      <c r="AK6" s="133"/>
      <c r="AL6" s="2">
        <v>20</v>
      </c>
      <c r="AM6" s="133"/>
      <c r="AN6" s="2">
        <v>20</v>
      </c>
      <c r="AO6" s="133"/>
      <c r="AP6" s="2"/>
      <c r="AQ6" s="133"/>
      <c r="AR6" s="2" t="s">
        <v>99</v>
      </c>
      <c r="AS6" s="20"/>
      <c r="AT6" s="133"/>
      <c r="AU6" s="133"/>
      <c r="AV6" s="2" t="s">
        <v>99</v>
      </c>
      <c r="AW6" s="2"/>
      <c r="AX6" s="133"/>
      <c r="AY6" s="133"/>
      <c r="AZ6" s="2" t="s">
        <v>99</v>
      </c>
      <c r="BA6" s="20"/>
      <c r="BB6" s="100"/>
      <c r="BC6" s="100"/>
      <c r="BD6" s="10" t="s">
        <v>100</v>
      </c>
      <c r="BE6" s="133"/>
      <c r="BF6" s="139">
        <v>3</v>
      </c>
      <c r="BG6" s="133"/>
      <c r="BH6" s="2" t="s">
        <v>99</v>
      </c>
      <c r="BI6" s="133"/>
      <c r="BJ6" s="2" t="s">
        <v>99</v>
      </c>
      <c r="BK6" s="141">
        <f t="shared" ref="BK6:BK16" si="8">E6*L6*0.1</f>
        <v>32.234999999999999</v>
      </c>
      <c r="BL6" s="133"/>
    </row>
    <row r="7" spans="1:64" ht="33" customHeight="1">
      <c r="A7" s="208"/>
      <c r="B7" s="73">
        <v>3</v>
      </c>
      <c r="C7" s="74">
        <f t="shared" si="1"/>
        <v>44213</v>
      </c>
      <c r="D7" s="74">
        <f t="shared" si="0"/>
        <v>44220</v>
      </c>
      <c r="E7" s="85">
        <v>15</v>
      </c>
      <c r="F7" s="86">
        <v>10</v>
      </c>
      <c r="G7" s="85"/>
      <c r="H7" s="86"/>
      <c r="I7" s="100">
        <f t="shared" si="2"/>
        <v>0</v>
      </c>
      <c r="J7" s="100"/>
      <c r="K7" s="101" t="e">
        <f t="shared" si="3"/>
        <v>#DIV/0!</v>
      </c>
      <c r="L7" s="102">
        <v>21.99</v>
      </c>
      <c r="M7" s="114">
        <f t="shared" si="4"/>
        <v>0.23269999999999744</v>
      </c>
      <c r="N7" s="115">
        <f t="shared" si="5"/>
        <v>1.0582082764893017E-2</v>
      </c>
      <c r="O7" s="102" t="e">
        <f t="shared" si="6"/>
        <v>#DIV/0!</v>
      </c>
      <c r="P7" s="115" t="e">
        <f t="shared" si="7"/>
        <v>#DIV/0!</v>
      </c>
      <c r="Q7" s="210"/>
      <c r="R7" s="193"/>
      <c r="S7" s="196"/>
      <c r="T7" s="193"/>
      <c r="U7" s="196"/>
      <c r="V7" s="193"/>
      <c r="W7" s="196"/>
      <c r="X7" s="193"/>
      <c r="Y7" s="196"/>
      <c r="Z7" s="193"/>
      <c r="AA7" s="196"/>
      <c r="AB7" s="216"/>
      <c r="AC7" s="235"/>
      <c r="AD7" s="213"/>
      <c r="AE7" s="232"/>
      <c r="AF7" s="232"/>
      <c r="AG7" s="219"/>
      <c r="AH7" s="2">
        <v>10</v>
      </c>
      <c r="AI7" s="133"/>
      <c r="AJ7" s="2">
        <v>10</v>
      </c>
      <c r="AK7" s="133"/>
      <c r="AL7" s="2">
        <v>30</v>
      </c>
      <c r="AM7" s="133"/>
      <c r="AN7" s="2">
        <v>30</v>
      </c>
      <c r="AO7" s="133"/>
      <c r="AP7" s="2"/>
      <c r="AQ7" s="133"/>
      <c r="AR7" s="2" t="s">
        <v>99</v>
      </c>
      <c r="AS7" s="20"/>
      <c r="AT7" s="133"/>
      <c r="AU7" s="133"/>
      <c r="AV7" s="2" t="s">
        <v>99</v>
      </c>
      <c r="AW7" s="2"/>
      <c r="AX7" s="133"/>
      <c r="AY7" s="133"/>
      <c r="AZ7" s="2" t="s">
        <v>99</v>
      </c>
      <c r="BA7" s="20"/>
      <c r="BB7" s="100"/>
      <c r="BC7" s="100"/>
      <c r="BD7" s="10" t="s">
        <v>100</v>
      </c>
      <c r="BE7" s="133"/>
      <c r="BF7" s="139">
        <v>3</v>
      </c>
      <c r="BG7" s="133"/>
      <c r="BH7" s="140">
        <v>1</v>
      </c>
      <c r="BI7" s="133"/>
      <c r="BJ7" s="10"/>
      <c r="BK7" s="141">
        <f t="shared" si="8"/>
        <v>32.984999999999999</v>
      </c>
      <c r="BL7" s="133"/>
    </row>
    <row r="8" spans="1:64" ht="33" customHeight="1">
      <c r="A8" s="208"/>
      <c r="B8" s="73">
        <v>4</v>
      </c>
      <c r="C8" s="74">
        <f t="shared" si="1"/>
        <v>44221</v>
      </c>
      <c r="D8" s="74">
        <f t="shared" si="0"/>
        <v>44228</v>
      </c>
      <c r="E8" s="85">
        <v>15</v>
      </c>
      <c r="F8" s="86">
        <v>60</v>
      </c>
      <c r="G8" s="85"/>
      <c r="H8" s="86"/>
      <c r="I8" s="100">
        <f t="shared" si="2"/>
        <v>0</v>
      </c>
      <c r="J8" s="100"/>
      <c r="K8" s="101" t="e">
        <f t="shared" si="3"/>
        <v>#DIV/0!</v>
      </c>
      <c r="L8" s="102">
        <v>21.99</v>
      </c>
      <c r="M8" s="114">
        <f t="shared" si="4"/>
        <v>0.23269999999999744</v>
      </c>
      <c r="N8" s="115">
        <f t="shared" si="5"/>
        <v>1.0582082764893017E-2</v>
      </c>
      <c r="O8" s="102" t="e">
        <f t="shared" si="6"/>
        <v>#DIV/0!</v>
      </c>
      <c r="P8" s="115" t="e">
        <f t="shared" si="7"/>
        <v>#DIV/0!</v>
      </c>
      <c r="Q8" s="210"/>
      <c r="R8" s="194"/>
      <c r="S8" s="197"/>
      <c r="T8" s="194"/>
      <c r="U8" s="197"/>
      <c r="V8" s="194"/>
      <c r="W8" s="197"/>
      <c r="X8" s="194"/>
      <c r="Y8" s="197"/>
      <c r="Z8" s="194"/>
      <c r="AA8" s="197"/>
      <c r="AB8" s="217"/>
      <c r="AC8" s="236"/>
      <c r="AD8" s="214"/>
      <c r="AE8" s="233"/>
      <c r="AF8" s="233"/>
      <c r="AG8" s="220"/>
      <c r="AH8" s="2">
        <v>10</v>
      </c>
      <c r="AI8" s="133"/>
      <c r="AJ8" s="2">
        <v>10</v>
      </c>
      <c r="AK8" s="133"/>
      <c r="AL8" s="2">
        <v>40</v>
      </c>
      <c r="AM8" s="133"/>
      <c r="AN8" s="2">
        <v>40</v>
      </c>
      <c r="AO8" s="133"/>
      <c r="AP8" s="2"/>
      <c r="AQ8" s="133"/>
      <c r="AR8" s="137">
        <v>1</v>
      </c>
      <c r="AS8" s="20">
        <f>50*L8*0.5</f>
        <v>549.75</v>
      </c>
      <c r="AT8" s="133"/>
      <c r="AU8" s="133"/>
      <c r="AV8" s="2" t="s">
        <v>99</v>
      </c>
      <c r="AW8" s="2"/>
      <c r="AX8" s="133"/>
      <c r="AY8" s="133"/>
      <c r="AZ8" s="2" t="s">
        <v>99</v>
      </c>
      <c r="BA8" s="20"/>
      <c r="BB8" s="100"/>
      <c r="BC8" s="100"/>
      <c r="BD8" s="10" t="s">
        <v>100</v>
      </c>
      <c r="BE8" s="133"/>
      <c r="BF8" s="139">
        <v>3</v>
      </c>
      <c r="BG8" s="133"/>
      <c r="BH8" s="2" t="s">
        <v>99</v>
      </c>
      <c r="BI8" s="133"/>
      <c r="BJ8" s="10"/>
      <c r="BK8" s="141">
        <f t="shared" si="8"/>
        <v>32.984999999999999</v>
      </c>
      <c r="BL8" s="133"/>
    </row>
    <row r="9" spans="1:64" ht="33" customHeight="1">
      <c r="A9" s="208" t="s">
        <v>101</v>
      </c>
      <c r="B9" s="73">
        <v>5</v>
      </c>
      <c r="C9" s="74">
        <f t="shared" si="1"/>
        <v>44229</v>
      </c>
      <c r="D9" s="74">
        <f t="shared" si="0"/>
        <v>44236</v>
      </c>
      <c r="E9" s="85">
        <v>70</v>
      </c>
      <c r="F9" s="86">
        <v>60</v>
      </c>
      <c r="G9" s="85"/>
      <c r="H9" s="86"/>
      <c r="I9" s="100">
        <f t="shared" si="2"/>
        <v>0</v>
      </c>
      <c r="J9" s="100"/>
      <c r="K9" s="101" t="e">
        <f t="shared" si="3"/>
        <v>#DIV/0!</v>
      </c>
      <c r="L9" s="102">
        <v>22.99</v>
      </c>
      <c r="M9" s="114">
        <f t="shared" si="4"/>
        <v>1.1326999999999974</v>
      </c>
      <c r="N9" s="115">
        <f t="shared" si="5"/>
        <v>4.9269247498912462E-2</v>
      </c>
      <c r="O9" s="102" t="e">
        <f t="shared" si="6"/>
        <v>#DIV/0!</v>
      </c>
      <c r="P9" s="115" t="e">
        <f t="shared" si="7"/>
        <v>#DIV/0!</v>
      </c>
      <c r="Q9" s="210"/>
      <c r="R9" s="192">
        <f>(SUM(E9:E12)+SUM(F9:F12))*J$2*M$1</f>
        <v>29695.899999999998</v>
      </c>
      <c r="S9" s="195">
        <f>(SUM(G9:G12)+SUM(H9:H12))*J6*$M$1</f>
        <v>0</v>
      </c>
      <c r="T9" s="192">
        <f>(SUM(E9:E12)+SUM(F9:F12))*P$2*M$1</f>
        <v>8440.25</v>
      </c>
      <c r="U9" s="195">
        <f>(SUM(G9:G12)+SUM(H9:H12))*P$2*M$1</f>
        <v>0</v>
      </c>
      <c r="V9" s="192">
        <f>(AH9*L9+AH10*L10+AH11*L11+AH12*L12)*$M$1+SUM(AH9:AH12)*$U$2+SUM(AJ9:AJ12)*$V$2+SUM(AL9:AL12)*$W$2+SUM(AN9:AN12)*$X$2+SUM(AP9:AP12)*$Y$2+SUM(AR9:AR12)*$M$1*$Z$2+SUM(AV9:AV12)*$M$1*$AA$2+SUM(AZ9:AZ12)*$M$1*$AB$2+SUM(BD9:BD12)*$M$1*$AC$2+SUM(BF9:BF12)*$M$1+SUM(BH9:BH12)*$AD$2*$M$1+SUM(BK9:BK12)*$M$1</f>
        <v>20984.93</v>
      </c>
      <c r="W9" s="195">
        <f>(AI9*L9+AI10*L10+AI11*L11+AI12*L12)*$M$1+SUM(AI9:AI12)*$U$2+SUM(AK9:AK12)*$V$2+SUM(AM9:AM12)*$W$2+SUM(AO9:AO12)*$X$2+SUM(AQ9:AQ12)*$Y$2+SUM(AT9:AT12)*$M$1*$Z$2+SUM(AX9:AX12)*$M$1*$AA$2+SUM(BB9:BB12)*$M$1*$AB$2+SUM(BE9:BE12)*$M$1*$AC$2+SUM(BG9:BG12)*$M$1+SUM(BI9:BI12)*$AD$2*$M$1+SUM(BL9:BL12)*$M$1</f>
        <v>0</v>
      </c>
      <c r="X9" s="192">
        <f>((E9*L9+E10*L10+E11*L11+E12*L12)+(SUM(AS9:AS12)+SUM(AW9:AW12)+SUM(BA9:BA12)))*$M$1</f>
        <v>58020.3</v>
      </c>
      <c r="Y9" s="195">
        <f>((G9*L9+G10*L10+G11*L11+G12*L12)+(SUM(AU9:AU12)+SUM(AY9:AY12)+SUM(BC9:BC12)))*$M$1</f>
        <v>0</v>
      </c>
      <c r="Z9" s="192">
        <f>R9+T9+V9</f>
        <v>59121.079999999994</v>
      </c>
      <c r="AA9" s="195">
        <f>S9+U9+W9</f>
        <v>0</v>
      </c>
      <c r="AB9" s="215">
        <f>X9/Z9</f>
        <v>0.98138092199939531</v>
      </c>
      <c r="AC9" s="234" t="e">
        <f>Y9/AA9</f>
        <v>#DIV/0!</v>
      </c>
      <c r="AD9" s="212"/>
      <c r="AE9" s="231"/>
      <c r="AF9" s="231"/>
      <c r="AG9" s="218"/>
      <c r="AH9" s="2">
        <v>10</v>
      </c>
      <c r="AI9" s="133"/>
      <c r="AJ9" s="2">
        <v>0</v>
      </c>
      <c r="AK9" s="133"/>
      <c r="AL9" s="2">
        <v>50</v>
      </c>
      <c r="AM9" s="133"/>
      <c r="AN9" s="2">
        <v>50</v>
      </c>
      <c r="AO9" s="133"/>
      <c r="AP9" s="2">
        <v>50</v>
      </c>
      <c r="AQ9" s="133"/>
      <c r="AR9" s="2" t="s">
        <v>99</v>
      </c>
      <c r="AS9" s="20"/>
      <c r="AT9" s="133"/>
      <c r="AU9" s="133"/>
      <c r="AV9" s="137">
        <v>1</v>
      </c>
      <c r="AW9" s="2">
        <f>50*L9*0.5</f>
        <v>574.75</v>
      </c>
      <c r="AX9" s="133"/>
      <c r="AY9" s="133"/>
      <c r="AZ9" s="2" t="s">
        <v>99</v>
      </c>
      <c r="BA9" s="20"/>
      <c r="BB9" s="100"/>
      <c r="BC9" s="100"/>
      <c r="BD9" s="10" t="s">
        <v>100</v>
      </c>
      <c r="BE9" s="133"/>
      <c r="BF9" s="139">
        <v>3</v>
      </c>
      <c r="BG9" s="133"/>
      <c r="BH9" s="2" t="s">
        <v>99</v>
      </c>
      <c r="BI9" s="133"/>
      <c r="BJ9" s="10"/>
      <c r="BK9" s="141">
        <f t="shared" si="8"/>
        <v>160.93</v>
      </c>
      <c r="BL9" s="133"/>
    </row>
    <row r="10" spans="1:64" ht="33" customHeight="1">
      <c r="A10" s="208"/>
      <c r="B10" s="73">
        <v>6</v>
      </c>
      <c r="C10" s="74">
        <f t="shared" si="1"/>
        <v>44237</v>
      </c>
      <c r="D10" s="74">
        <f t="shared" si="0"/>
        <v>44244</v>
      </c>
      <c r="E10" s="85">
        <v>70</v>
      </c>
      <c r="F10" s="86">
        <v>60</v>
      </c>
      <c r="G10" s="85"/>
      <c r="H10" s="86"/>
      <c r="I10" s="100">
        <f t="shared" si="2"/>
        <v>0</v>
      </c>
      <c r="J10" s="100"/>
      <c r="K10" s="101" t="e">
        <f t="shared" si="3"/>
        <v>#DIV/0!</v>
      </c>
      <c r="L10" s="102">
        <v>22.99</v>
      </c>
      <c r="M10" s="114">
        <f t="shared" si="4"/>
        <v>1.1326999999999974</v>
      </c>
      <c r="N10" s="115">
        <f t="shared" si="5"/>
        <v>4.9269247498912462E-2</v>
      </c>
      <c r="O10" s="102" t="e">
        <f t="shared" si="6"/>
        <v>#DIV/0!</v>
      </c>
      <c r="P10" s="115" t="e">
        <f t="shared" si="7"/>
        <v>#DIV/0!</v>
      </c>
      <c r="Q10" s="210"/>
      <c r="R10" s="193"/>
      <c r="S10" s="196"/>
      <c r="T10" s="193"/>
      <c r="U10" s="196"/>
      <c r="V10" s="193"/>
      <c r="W10" s="196"/>
      <c r="X10" s="193"/>
      <c r="Y10" s="196"/>
      <c r="Z10" s="193"/>
      <c r="AA10" s="196"/>
      <c r="AB10" s="216"/>
      <c r="AC10" s="235"/>
      <c r="AD10" s="213"/>
      <c r="AE10" s="232"/>
      <c r="AF10" s="232"/>
      <c r="AG10" s="219"/>
      <c r="AH10" s="2">
        <v>10</v>
      </c>
      <c r="AI10" s="133"/>
      <c r="AJ10" s="2">
        <v>0</v>
      </c>
      <c r="AK10" s="133"/>
      <c r="AL10" s="2">
        <v>50</v>
      </c>
      <c r="AM10" s="133"/>
      <c r="AN10" s="2">
        <v>50</v>
      </c>
      <c r="AO10" s="133"/>
      <c r="AP10" s="2">
        <v>50</v>
      </c>
      <c r="AQ10" s="133"/>
      <c r="AR10" s="2" t="s">
        <v>99</v>
      </c>
      <c r="AS10" s="20"/>
      <c r="AT10" s="133"/>
      <c r="AU10" s="133"/>
      <c r="AV10" s="2" t="s">
        <v>99</v>
      </c>
      <c r="AW10" s="2"/>
      <c r="AX10" s="133"/>
      <c r="AY10" s="133"/>
      <c r="AZ10" s="137">
        <v>1</v>
      </c>
      <c r="BA10" s="20">
        <f>50*L10*0.5</f>
        <v>574.75</v>
      </c>
      <c r="BB10" s="100"/>
      <c r="BC10" s="100"/>
      <c r="BD10" s="10" t="s">
        <v>100</v>
      </c>
      <c r="BE10" s="133"/>
      <c r="BF10" s="139">
        <v>3</v>
      </c>
      <c r="BG10" s="133"/>
      <c r="BH10" s="140">
        <v>1</v>
      </c>
      <c r="BI10" s="133"/>
      <c r="BJ10" s="10"/>
      <c r="BK10" s="141">
        <f t="shared" si="8"/>
        <v>160.93</v>
      </c>
      <c r="BL10" s="133"/>
    </row>
    <row r="11" spans="1:64" ht="33" customHeight="1">
      <c r="A11" s="208"/>
      <c r="B11" s="73">
        <v>7</v>
      </c>
      <c r="C11" s="74">
        <f t="shared" si="1"/>
        <v>44245</v>
      </c>
      <c r="D11" s="74">
        <f t="shared" si="0"/>
        <v>44252</v>
      </c>
      <c r="E11" s="85">
        <v>70</v>
      </c>
      <c r="F11" s="86">
        <v>65</v>
      </c>
      <c r="G11" s="85"/>
      <c r="H11" s="86"/>
      <c r="I11" s="100">
        <f t="shared" si="2"/>
        <v>0</v>
      </c>
      <c r="J11" s="100"/>
      <c r="K11" s="101" t="e">
        <f t="shared" si="3"/>
        <v>#DIV/0!</v>
      </c>
      <c r="L11" s="102">
        <v>23.99</v>
      </c>
      <c r="M11" s="114">
        <f t="shared" si="4"/>
        <v>2.0326999999999975</v>
      </c>
      <c r="N11" s="115">
        <f t="shared" si="5"/>
        <v>8.4731137974155796E-2</v>
      </c>
      <c r="O11" s="102" t="e">
        <f t="shared" si="6"/>
        <v>#DIV/0!</v>
      </c>
      <c r="P11" s="115" t="e">
        <f t="shared" si="7"/>
        <v>#DIV/0!</v>
      </c>
      <c r="Q11" s="210"/>
      <c r="R11" s="193"/>
      <c r="S11" s="196"/>
      <c r="T11" s="193"/>
      <c r="U11" s="196"/>
      <c r="V11" s="193"/>
      <c r="W11" s="196"/>
      <c r="X11" s="193"/>
      <c r="Y11" s="196"/>
      <c r="Z11" s="193"/>
      <c r="AA11" s="196"/>
      <c r="AB11" s="216"/>
      <c r="AC11" s="235"/>
      <c r="AD11" s="213"/>
      <c r="AE11" s="232"/>
      <c r="AF11" s="232"/>
      <c r="AG11" s="219"/>
      <c r="AH11" s="2">
        <v>15</v>
      </c>
      <c r="AI11" s="133"/>
      <c r="AJ11" s="2">
        <v>0</v>
      </c>
      <c r="AK11" s="133" t="s">
        <v>102</v>
      </c>
      <c r="AL11" s="2">
        <v>50</v>
      </c>
      <c r="AM11" s="133"/>
      <c r="AN11" s="2">
        <v>50</v>
      </c>
      <c r="AO11" s="133"/>
      <c r="AP11" s="2">
        <v>50</v>
      </c>
      <c r="AQ11" s="133"/>
      <c r="AR11" s="137">
        <v>1</v>
      </c>
      <c r="AS11" s="20">
        <f>50*L11*0.5</f>
        <v>599.75</v>
      </c>
      <c r="AT11" s="133"/>
      <c r="AU11" s="133"/>
      <c r="AV11" s="2" t="s">
        <v>99</v>
      </c>
      <c r="AW11" s="2"/>
      <c r="AX11" s="133"/>
      <c r="AY11" s="133"/>
      <c r="AZ11" s="2" t="s">
        <v>99</v>
      </c>
      <c r="BA11" s="20"/>
      <c r="BB11" s="100"/>
      <c r="BC11" s="100"/>
      <c r="BD11" s="10" t="s">
        <v>100</v>
      </c>
      <c r="BE11" s="133"/>
      <c r="BF11" s="139">
        <v>3</v>
      </c>
      <c r="BG11" s="133"/>
      <c r="BH11" s="2" t="s">
        <v>99</v>
      </c>
      <c r="BI11" s="133"/>
      <c r="BJ11" s="10"/>
      <c r="BK11" s="141">
        <f t="shared" si="8"/>
        <v>167.93</v>
      </c>
      <c r="BL11" s="133"/>
    </row>
    <row r="12" spans="1:64" ht="33" customHeight="1">
      <c r="A12" s="208"/>
      <c r="B12" s="73">
        <v>8</v>
      </c>
      <c r="C12" s="74">
        <f t="shared" si="1"/>
        <v>44253</v>
      </c>
      <c r="D12" s="74">
        <f t="shared" si="0"/>
        <v>44260</v>
      </c>
      <c r="E12" s="85">
        <v>70</v>
      </c>
      <c r="F12" s="86">
        <v>65</v>
      </c>
      <c r="G12" s="85"/>
      <c r="H12" s="86"/>
      <c r="I12" s="100">
        <f t="shared" si="2"/>
        <v>0</v>
      </c>
      <c r="J12" s="100"/>
      <c r="K12" s="101" t="e">
        <f t="shared" si="3"/>
        <v>#DIV/0!</v>
      </c>
      <c r="L12" s="102">
        <v>23.99</v>
      </c>
      <c r="M12" s="114">
        <f t="shared" si="4"/>
        <v>2.0326999999999975</v>
      </c>
      <c r="N12" s="115">
        <f t="shared" si="5"/>
        <v>8.4731137974155796E-2</v>
      </c>
      <c r="O12" s="102" t="e">
        <f t="shared" si="6"/>
        <v>#DIV/0!</v>
      </c>
      <c r="P12" s="115" t="e">
        <f t="shared" si="7"/>
        <v>#DIV/0!</v>
      </c>
      <c r="Q12" s="210"/>
      <c r="R12" s="194"/>
      <c r="S12" s="197"/>
      <c r="T12" s="194"/>
      <c r="U12" s="197"/>
      <c r="V12" s="194"/>
      <c r="W12" s="197"/>
      <c r="X12" s="194"/>
      <c r="Y12" s="197"/>
      <c r="Z12" s="194"/>
      <c r="AA12" s="197"/>
      <c r="AB12" s="217"/>
      <c r="AC12" s="236"/>
      <c r="AD12" s="214"/>
      <c r="AE12" s="233"/>
      <c r="AF12" s="233"/>
      <c r="AG12" s="220"/>
      <c r="AH12" s="2">
        <v>15</v>
      </c>
      <c r="AI12" s="133"/>
      <c r="AJ12" s="2">
        <v>0</v>
      </c>
      <c r="AK12" s="133"/>
      <c r="AL12" s="2">
        <v>50</v>
      </c>
      <c r="AM12" s="133"/>
      <c r="AN12" s="2">
        <v>50</v>
      </c>
      <c r="AO12" s="133"/>
      <c r="AP12" s="2">
        <v>50</v>
      </c>
      <c r="AQ12" s="133"/>
      <c r="AR12" s="2" t="s">
        <v>99</v>
      </c>
      <c r="AS12" s="20"/>
      <c r="AT12" s="133"/>
      <c r="AU12" s="133"/>
      <c r="AV12" s="137">
        <v>1</v>
      </c>
      <c r="AW12" s="2">
        <f>50*L12*0.5</f>
        <v>599.75</v>
      </c>
      <c r="AX12" s="133"/>
      <c r="AY12" s="133"/>
      <c r="AZ12" s="2" t="s">
        <v>99</v>
      </c>
      <c r="BA12" s="20"/>
      <c r="BB12" s="100"/>
      <c r="BC12" s="100"/>
      <c r="BD12" s="10" t="s">
        <v>100</v>
      </c>
      <c r="BE12" s="133"/>
      <c r="BF12" s="139">
        <v>3</v>
      </c>
      <c r="BG12" s="133"/>
      <c r="BH12" s="2" t="s">
        <v>99</v>
      </c>
      <c r="BI12" s="133"/>
      <c r="BJ12" s="10"/>
      <c r="BK12" s="141">
        <f t="shared" si="8"/>
        <v>167.93</v>
      </c>
      <c r="BL12" s="133"/>
    </row>
    <row r="13" spans="1:64" ht="33" customHeight="1">
      <c r="A13" s="208" t="s">
        <v>103</v>
      </c>
      <c r="B13" s="73">
        <v>9</v>
      </c>
      <c r="C13" s="74">
        <f t="shared" si="1"/>
        <v>44261</v>
      </c>
      <c r="D13" s="74">
        <f t="shared" si="0"/>
        <v>44268</v>
      </c>
      <c r="E13" s="85">
        <v>140</v>
      </c>
      <c r="F13" s="86">
        <v>125</v>
      </c>
      <c r="G13" s="85"/>
      <c r="H13" s="86"/>
      <c r="I13" s="100">
        <f t="shared" si="2"/>
        <v>0</v>
      </c>
      <c r="J13" s="100"/>
      <c r="K13" s="101" t="e">
        <f t="shared" si="3"/>
        <v>#DIV/0!</v>
      </c>
      <c r="L13" s="102">
        <v>24.99</v>
      </c>
      <c r="M13" s="114">
        <f t="shared" si="4"/>
        <v>2.9326999999999974</v>
      </c>
      <c r="N13" s="115">
        <f t="shared" si="5"/>
        <v>0.11735494197679062</v>
      </c>
      <c r="O13" s="102" t="e">
        <f t="shared" si="6"/>
        <v>#DIV/0!</v>
      </c>
      <c r="P13" s="115" t="e">
        <f t="shared" si="7"/>
        <v>#DIV/0!</v>
      </c>
      <c r="Q13" s="210"/>
      <c r="R13" s="192">
        <f>(SUM(E13:E16)+SUM(F13:F16))*J$2*M$1</f>
        <v>59391.799999999996</v>
      </c>
      <c r="S13" s="195">
        <f>(SUM(G13:G16)+SUM(H13:H16))*J10*$M$1</f>
        <v>0</v>
      </c>
      <c r="T13" s="192">
        <f>(SUM(E13:E16)+SUM(F13:F16))*P$2*M$1</f>
        <v>16880.5</v>
      </c>
      <c r="U13" s="195">
        <f>(SUM(G13:G16)+SUM(H13:H16))*P$2*M$1</f>
        <v>0</v>
      </c>
      <c r="V13" s="192">
        <f>(AH13*L13+AH14*L14+AH15*L15+AH16*L16)*$M$1+SUM(AH13:AH16)*$U$2+SUM(AJ13:AJ16)*$V$2+SUM(AL13:AL16)*$W$2+SUM(AN13:AN16)*$X$2+SUM(AP13:AP16)*$Y$2+SUM(AR13:AR16)*$M$1*$Z$2+SUM(AV13:AV16)*$M$1*$AA$2+SUM(AZ13:AZ16)*$M$1*$AB$2+SUM(BD13:BD16)*$M$1*$AC$2+SUM(BF13:BF16)*$M$1+SUM(BH13:BH16)*$AD$2*$M$1+SUM(BK13:BK16)*$M$1</f>
        <v>37389.86</v>
      </c>
      <c r="W13" s="195">
        <f>(AI13*L13+AI14*L14+AI15*L15+AI16*L16)*$M$1+SUM(AI13:AI16)*$U$2+SUM(AK13:AK16)*$V$2+SUM(AM13:AM16)*$W$2+SUM(AO13:AO16)*$X$2+SUM(AQ13:AQ16)*$Y$2+SUM(AT13:AT16)*$M$1*$Z$2+SUM(AX13:AX16)*$M$1*$AA$2+SUM(BB13:BB16)*$M$1*$AB$2+SUM(BE13:BE16)*$M$1*$AC$2+SUM(BG13:BG16)*$M$1+SUM(BI13:BI16)*$AD$2*$M$1+SUM(BL13:BL16)*$M$1</f>
        <v>0</v>
      </c>
      <c r="X13" s="192">
        <f>((E13*L13+E14*L14+E15*L15+E16*L16)+(SUM(AS13:AS16)+SUM(AW13:AW16)+SUM(BA13:BA16)))*$M$1</f>
        <v>125920.6</v>
      </c>
      <c r="Y13" s="195">
        <f>((G13*L13+G14*L14+G15*L15+G16*L16)+(SUM(AU13:AU16)+SUM(AY13:AY16)+SUM(BC13:BC16)))*$M$1</f>
        <v>0</v>
      </c>
      <c r="Z13" s="192">
        <f>R13+T13+V13</f>
        <v>113662.15999999999</v>
      </c>
      <c r="AA13" s="195">
        <f>S13+U13+W13</f>
        <v>0</v>
      </c>
      <c r="AB13" s="215">
        <f>X13/Z13</f>
        <v>1.1078497892350454</v>
      </c>
      <c r="AC13" s="234" t="e">
        <f>Y13/AA13</f>
        <v>#DIV/0!</v>
      </c>
      <c r="AD13" s="212"/>
      <c r="AE13" s="231"/>
      <c r="AF13" s="231"/>
      <c r="AG13" s="132"/>
      <c r="AH13" s="2">
        <v>25</v>
      </c>
      <c r="AI13" s="133"/>
      <c r="AJ13" s="2">
        <v>0</v>
      </c>
      <c r="AK13" s="133"/>
      <c r="AL13" s="2">
        <v>50</v>
      </c>
      <c r="AM13" s="133"/>
      <c r="AN13" s="2">
        <v>50</v>
      </c>
      <c r="AO13" s="133"/>
      <c r="AP13" s="2">
        <v>50</v>
      </c>
      <c r="AQ13" s="133"/>
      <c r="AR13" s="2" t="s">
        <v>99</v>
      </c>
      <c r="AS13" s="20"/>
      <c r="AT13" s="133"/>
      <c r="AU13" s="133"/>
      <c r="AV13" s="2" t="s">
        <v>99</v>
      </c>
      <c r="AW13" s="2"/>
      <c r="AX13" s="133"/>
      <c r="AY13" s="133"/>
      <c r="AZ13" s="137">
        <v>1</v>
      </c>
      <c r="BA13" s="20">
        <f>100*L13*0.5</f>
        <v>1249.5</v>
      </c>
      <c r="BB13" s="100"/>
      <c r="BC13" s="100"/>
      <c r="BD13" s="10" t="s">
        <v>100</v>
      </c>
      <c r="BE13" s="133"/>
      <c r="BF13" s="139">
        <v>3</v>
      </c>
      <c r="BG13" s="133"/>
      <c r="BH13" s="140">
        <v>1</v>
      </c>
      <c r="BI13" s="133"/>
      <c r="BJ13" s="10"/>
      <c r="BK13" s="141">
        <f t="shared" si="8"/>
        <v>349.86</v>
      </c>
      <c r="BL13" s="133"/>
    </row>
    <row r="14" spans="1:64" ht="33" customHeight="1">
      <c r="A14" s="208"/>
      <c r="B14" s="73">
        <v>10</v>
      </c>
      <c r="C14" s="74">
        <f t="shared" si="1"/>
        <v>44269</v>
      </c>
      <c r="D14" s="74">
        <f t="shared" si="0"/>
        <v>44276</v>
      </c>
      <c r="E14" s="85">
        <v>140</v>
      </c>
      <c r="F14" s="86">
        <v>125</v>
      </c>
      <c r="G14" s="85"/>
      <c r="H14" s="86"/>
      <c r="I14" s="100">
        <f t="shared" si="2"/>
        <v>0</v>
      </c>
      <c r="J14" s="100"/>
      <c r="K14" s="101" t="e">
        <f t="shared" si="3"/>
        <v>#DIV/0!</v>
      </c>
      <c r="L14" s="102">
        <v>24.99</v>
      </c>
      <c r="M14" s="114">
        <f t="shared" si="4"/>
        <v>2.9326999999999974</v>
      </c>
      <c r="N14" s="115">
        <f t="shared" si="5"/>
        <v>0.11735494197679062</v>
      </c>
      <c r="O14" s="102" t="e">
        <f t="shared" si="6"/>
        <v>#DIV/0!</v>
      </c>
      <c r="P14" s="115" t="e">
        <f t="shared" si="7"/>
        <v>#DIV/0!</v>
      </c>
      <c r="Q14" s="210"/>
      <c r="R14" s="193"/>
      <c r="S14" s="196"/>
      <c r="T14" s="193"/>
      <c r="U14" s="196"/>
      <c r="V14" s="193"/>
      <c r="W14" s="196"/>
      <c r="X14" s="193"/>
      <c r="Y14" s="196"/>
      <c r="Z14" s="193"/>
      <c r="AA14" s="196"/>
      <c r="AB14" s="216"/>
      <c r="AC14" s="235"/>
      <c r="AD14" s="213"/>
      <c r="AE14" s="232"/>
      <c r="AF14" s="232"/>
      <c r="AG14" s="134"/>
      <c r="AH14" s="2">
        <v>25</v>
      </c>
      <c r="AI14" s="133"/>
      <c r="AJ14" s="2">
        <v>0</v>
      </c>
      <c r="AK14" s="133"/>
      <c r="AL14" s="2">
        <v>50</v>
      </c>
      <c r="AM14" s="133"/>
      <c r="AN14" s="2">
        <v>50</v>
      </c>
      <c r="AO14" s="133"/>
      <c r="AP14" s="2">
        <v>50</v>
      </c>
      <c r="AQ14" s="133"/>
      <c r="AR14" s="137">
        <v>1</v>
      </c>
      <c r="AS14" s="20">
        <f>100*L14*0.5</f>
        <v>1249.5</v>
      </c>
      <c r="AT14" s="133"/>
      <c r="AU14" s="133"/>
      <c r="AV14" s="2" t="s">
        <v>99</v>
      </c>
      <c r="AW14" s="2"/>
      <c r="AX14" s="133"/>
      <c r="AY14" s="133"/>
      <c r="AZ14" s="2" t="s">
        <v>99</v>
      </c>
      <c r="BA14" s="20"/>
      <c r="BB14" s="100"/>
      <c r="BC14" s="100"/>
      <c r="BD14" s="10" t="s">
        <v>100</v>
      </c>
      <c r="BE14" s="133"/>
      <c r="BF14" s="139">
        <v>3</v>
      </c>
      <c r="BG14" s="133"/>
      <c r="BH14" s="2" t="s">
        <v>99</v>
      </c>
      <c r="BI14" s="133"/>
      <c r="BJ14" s="10"/>
      <c r="BK14" s="141">
        <f t="shared" si="8"/>
        <v>349.86</v>
      </c>
      <c r="BL14" s="133"/>
    </row>
    <row r="15" spans="1:64" ht="33" customHeight="1">
      <c r="A15" s="208"/>
      <c r="B15" s="73">
        <v>11</v>
      </c>
      <c r="C15" s="74">
        <f t="shared" si="1"/>
        <v>44277</v>
      </c>
      <c r="D15" s="74">
        <f t="shared" si="0"/>
        <v>44284</v>
      </c>
      <c r="E15" s="85">
        <v>140</v>
      </c>
      <c r="F15" s="86">
        <v>125</v>
      </c>
      <c r="G15" s="85"/>
      <c r="H15" s="86"/>
      <c r="I15" s="100">
        <f t="shared" si="2"/>
        <v>0</v>
      </c>
      <c r="J15" s="100"/>
      <c r="K15" s="101" t="e">
        <f t="shared" si="3"/>
        <v>#DIV/0!</v>
      </c>
      <c r="L15" s="102">
        <v>25.99</v>
      </c>
      <c r="M15" s="114">
        <f t="shared" si="4"/>
        <v>3.8326999999999973</v>
      </c>
      <c r="N15" s="115">
        <f t="shared" si="5"/>
        <v>0.14746825702193142</v>
      </c>
      <c r="O15" s="102" t="e">
        <f t="shared" si="6"/>
        <v>#DIV/0!</v>
      </c>
      <c r="P15" s="115" t="e">
        <f t="shared" si="7"/>
        <v>#DIV/0!</v>
      </c>
      <c r="Q15" s="210"/>
      <c r="R15" s="193"/>
      <c r="S15" s="196"/>
      <c r="T15" s="193"/>
      <c r="U15" s="196"/>
      <c r="V15" s="193"/>
      <c r="W15" s="196"/>
      <c r="X15" s="193"/>
      <c r="Y15" s="196"/>
      <c r="Z15" s="193"/>
      <c r="AA15" s="196"/>
      <c r="AB15" s="216"/>
      <c r="AC15" s="235"/>
      <c r="AD15" s="213"/>
      <c r="AE15" s="232"/>
      <c r="AF15" s="232"/>
      <c r="AG15" s="134"/>
      <c r="AH15" s="2">
        <v>25</v>
      </c>
      <c r="AI15" s="133"/>
      <c r="AJ15" s="2">
        <v>0</v>
      </c>
      <c r="AK15" s="133"/>
      <c r="AL15" s="2">
        <v>50</v>
      </c>
      <c r="AM15" s="133"/>
      <c r="AN15" s="2">
        <v>50</v>
      </c>
      <c r="AO15" s="133"/>
      <c r="AP15" s="2">
        <v>50</v>
      </c>
      <c r="AQ15" s="133"/>
      <c r="AR15" s="2" t="s">
        <v>99</v>
      </c>
      <c r="AS15" s="20"/>
      <c r="AT15" s="133"/>
      <c r="AU15" s="133"/>
      <c r="AV15" s="137">
        <v>1</v>
      </c>
      <c r="AW15" s="2">
        <f>100*L15*0.5</f>
        <v>1299.5</v>
      </c>
      <c r="AX15" s="133"/>
      <c r="AY15" s="133"/>
      <c r="AZ15" s="2" t="s">
        <v>99</v>
      </c>
      <c r="BA15" s="20"/>
      <c r="BB15" s="100"/>
      <c r="BC15" s="100"/>
      <c r="BD15" s="10" t="s">
        <v>100</v>
      </c>
      <c r="BE15" s="133"/>
      <c r="BF15" s="139">
        <v>3</v>
      </c>
      <c r="BG15" s="133"/>
      <c r="BH15" s="2" t="s">
        <v>99</v>
      </c>
      <c r="BI15" s="133"/>
      <c r="BJ15" s="10"/>
      <c r="BK15" s="141">
        <f t="shared" si="8"/>
        <v>363.86</v>
      </c>
      <c r="BL15" s="133"/>
    </row>
    <row r="16" spans="1:64" ht="33" customHeight="1">
      <c r="A16" s="208"/>
      <c r="B16" s="73">
        <v>12</v>
      </c>
      <c r="C16" s="74">
        <f t="shared" si="1"/>
        <v>44285</v>
      </c>
      <c r="D16" s="74">
        <f t="shared" si="0"/>
        <v>44292</v>
      </c>
      <c r="E16" s="85">
        <v>140</v>
      </c>
      <c r="F16" s="86">
        <v>125</v>
      </c>
      <c r="G16" s="85"/>
      <c r="H16" s="86"/>
      <c r="I16" s="100">
        <f t="shared" si="2"/>
        <v>0</v>
      </c>
      <c r="J16" s="100"/>
      <c r="K16" s="101" t="e">
        <f t="shared" si="3"/>
        <v>#DIV/0!</v>
      </c>
      <c r="L16" s="102">
        <v>25.99</v>
      </c>
      <c r="M16" s="114">
        <f t="shared" si="4"/>
        <v>3.8326999999999973</v>
      </c>
      <c r="N16" s="115">
        <f t="shared" si="5"/>
        <v>0.14746825702193142</v>
      </c>
      <c r="O16" s="102" t="e">
        <f t="shared" si="6"/>
        <v>#DIV/0!</v>
      </c>
      <c r="P16" s="115" t="e">
        <f t="shared" si="7"/>
        <v>#DIV/0!</v>
      </c>
      <c r="Q16" s="211"/>
      <c r="R16" s="194"/>
      <c r="S16" s="197"/>
      <c r="T16" s="194"/>
      <c r="U16" s="197"/>
      <c r="V16" s="194"/>
      <c r="W16" s="197"/>
      <c r="X16" s="194"/>
      <c r="Y16" s="197"/>
      <c r="Z16" s="194"/>
      <c r="AA16" s="197"/>
      <c r="AB16" s="217"/>
      <c r="AC16" s="236"/>
      <c r="AD16" s="214"/>
      <c r="AE16" s="233"/>
      <c r="AF16" s="233"/>
      <c r="AG16" s="135"/>
      <c r="AH16" s="2">
        <v>25</v>
      </c>
      <c r="AI16" s="133"/>
      <c r="AJ16" s="2">
        <v>0</v>
      </c>
      <c r="AK16" s="133"/>
      <c r="AL16" s="2">
        <v>50</v>
      </c>
      <c r="AM16" s="133"/>
      <c r="AN16" s="2">
        <v>50</v>
      </c>
      <c r="AO16" s="133"/>
      <c r="AP16" s="2">
        <v>50</v>
      </c>
      <c r="AQ16" s="133"/>
      <c r="AR16" s="2" t="s">
        <v>99</v>
      </c>
      <c r="AS16" s="20"/>
      <c r="AT16" s="133"/>
      <c r="AU16" s="133"/>
      <c r="AV16" s="2" t="s">
        <v>99</v>
      </c>
      <c r="AW16" s="2"/>
      <c r="AX16" s="133"/>
      <c r="AY16" s="133"/>
      <c r="AZ16" s="137">
        <v>1</v>
      </c>
      <c r="BA16" s="20">
        <f>100*L16*0.5</f>
        <v>1299.5</v>
      </c>
      <c r="BB16" s="100"/>
      <c r="BC16" s="100"/>
      <c r="BD16" s="10" t="s">
        <v>100</v>
      </c>
      <c r="BE16" s="133"/>
      <c r="BF16" s="139">
        <v>3</v>
      </c>
      <c r="BG16" s="133"/>
      <c r="BH16" s="2" t="s">
        <v>99</v>
      </c>
      <c r="BI16" s="133"/>
      <c r="BJ16" s="10"/>
      <c r="BK16" s="141">
        <f t="shared" si="8"/>
        <v>363.86</v>
      </c>
      <c r="BL16" s="133"/>
    </row>
    <row r="17" spans="1:64" s="63" customFormat="1" ht="34.950000000000003" customHeight="1">
      <c r="A17" s="75" t="s">
        <v>104</v>
      </c>
      <c r="B17" s="75"/>
      <c r="C17" s="76"/>
      <c r="D17" s="76"/>
      <c r="E17" s="87">
        <f>SUM(E5:E16)</f>
        <v>900</v>
      </c>
      <c r="F17" s="87">
        <f>SUM(F5:F16)</f>
        <v>830</v>
      </c>
      <c r="G17" s="88">
        <f>SUM(G5:G16)</f>
        <v>0</v>
      </c>
      <c r="H17" s="88">
        <f>SUM(H5:H16)</f>
        <v>0</v>
      </c>
      <c r="I17" s="88"/>
      <c r="J17" s="88"/>
      <c r="K17" s="103"/>
      <c r="L17" s="88"/>
      <c r="M17" s="88"/>
      <c r="N17" s="103"/>
      <c r="O17" s="103"/>
      <c r="P17" s="103"/>
      <c r="Q17" s="88"/>
      <c r="R17" s="120">
        <f>SUM(R5:R16)</f>
        <v>96931.9</v>
      </c>
      <c r="S17" s="121">
        <f t="shared" ref="S17:AA17" si="9">SUM(S5:S16)</f>
        <v>0</v>
      </c>
      <c r="T17" s="120">
        <f t="shared" si="9"/>
        <v>27550.25</v>
      </c>
      <c r="U17" s="121">
        <f t="shared" si="9"/>
        <v>0</v>
      </c>
      <c r="V17" s="120">
        <f t="shared" si="9"/>
        <v>67061.2</v>
      </c>
      <c r="W17" s="121">
        <f t="shared" si="9"/>
        <v>0</v>
      </c>
      <c r="X17" s="120">
        <f t="shared" si="9"/>
        <v>195992.875</v>
      </c>
      <c r="Y17" s="121">
        <f t="shared" si="9"/>
        <v>0</v>
      </c>
      <c r="Z17" s="120">
        <f t="shared" si="9"/>
        <v>191543.34999999998</v>
      </c>
      <c r="AA17" s="121">
        <f t="shared" si="9"/>
        <v>0</v>
      </c>
      <c r="AB17" s="88"/>
      <c r="AC17" s="128"/>
      <c r="AD17" s="128"/>
      <c r="AE17" s="128"/>
      <c r="AF17" s="128"/>
      <c r="AG17" s="128"/>
      <c r="AH17" s="87">
        <f>SUM(AH5:AH16)</f>
        <v>180</v>
      </c>
      <c r="AI17" s="88">
        <f>SUM(AI5:AI16)</f>
        <v>0</v>
      </c>
      <c r="AJ17" s="87">
        <f>SUM(AJ5:AJ16)</f>
        <v>30</v>
      </c>
      <c r="AK17" s="88">
        <f>SUM(AK5:AK16)</f>
        <v>0</v>
      </c>
      <c r="AL17" s="87">
        <f t="shared" ref="AL17:AR17" si="10">SUM(AL5:AL16)</f>
        <v>500</v>
      </c>
      <c r="AM17" s="88">
        <f t="shared" si="10"/>
        <v>0</v>
      </c>
      <c r="AN17" s="87">
        <f t="shared" si="10"/>
        <v>500</v>
      </c>
      <c r="AO17" s="88">
        <f t="shared" si="10"/>
        <v>0</v>
      </c>
      <c r="AP17" s="87">
        <f t="shared" si="10"/>
        <v>400</v>
      </c>
      <c r="AQ17" s="88">
        <f t="shared" si="10"/>
        <v>0</v>
      </c>
      <c r="AR17" s="87">
        <f t="shared" si="10"/>
        <v>3</v>
      </c>
      <c r="AS17" s="87"/>
      <c r="AT17" s="88">
        <f>SUM(AT5:AT16)</f>
        <v>0</v>
      </c>
      <c r="AU17" s="88"/>
      <c r="AV17" s="87">
        <f>SUM(AV5:AV16)</f>
        <v>3</v>
      </c>
      <c r="AW17" s="87"/>
      <c r="AX17" s="88">
        <f>SUM(AX5:AX16)</f>
        <v>0</v>
      </c>
      <c r="AY17" s="88"/>
      <c r="AZ17" s="87">
        <f t="shared" ref="AZ17:BE17" si="11">SUM(AZ5:AZ16)</f>
        <v>3</v>
      </c>
      <c r="BA17" s="87"/>
      <c r="BB17" s="88">
        <f t="shared" si="11"/>
        <v>0</v>
      </c>
      <c r="BC17" s="88"/>
      <c r="BD17" s="87">
        <f t="shared" si="11"/>
        <v>0</v>
      </c>
      <c r="BE17" s="88">
        <f t="shared" si="11"/>
        <v>0</v>
      </c>
      <c r="BF17" s="87">
        <f t="shared" ref="BF17" si="12">SUM(BF5:BF16)</f>
        <v>36</v>
      </c>
      <c r="BG17" s="88">
        <f t="shared" ref="BG17:BI17" si="13">SUM(BG5:BG16)</f>
        <v>0</v>
      </c>
      <c r="BH17" s="87">
        <f t="shared" si="13"/>
        <v>3</v>
      </c>
      <c r="BI17" s="88">
        <f t="shared" si="13"/>
        <v>0</v>
      </c>
      <c r="BJ17" s="88">
        <f t="shared" ref="BJ17:BK17" si="14">SUM(BJ5:BJ16)</f>
        <v>0</v>
      </c>
      <c r="BK17" s="87">
        <f t="shared" si="14"/>
        <v>2215.6000000000004</v>
      </c>
      <c r="BL17" s="88">
        <f t="shared" ref="BL17" si="15">SUM(BL5:BL16)</f>
        <v>0</v>
      </c>
    </row>
    <row r="18" spans="1:64">
      <c r="U18" s="123"/>
    </row>
    <row r="19" spans="1:64" ht="28.2">
      <c r="E19" s="181" t="s">
        <v>105</v>
      </c>
      <c r="F19" s="182"/>
      <c r="G19" s="182"/>
      <c r="H19" s="182"/>
      <c r="I19" s="182"/>
      <c r="J19" s="182"/>
      <c r="K19" s="182"/>
      <c r="L19" s="182"/>
      <c r="M19" s="182"/>
      <c r="N19" s="182"/>
      <c r="O19" s="182"/>
      <c r="P19" s="182"/>
      <c r="Q19" s="182"/>
      <c r="R19" s="182"/>
      <c r="S19" s="183"/>
      <c r="U19" s="123"/>
    </row>
    <row r="20" spans="1:64" s="1" customFormat="1" ht="15.6">
      <c r="A20" s="64"/>
      <c r="B20" s="64"/>
      <c r="C20" s="30"/>
      <c r="D20" s="30"/>
      <c r="E20" s="89">
        <v>44166</v>
      </c>
      <c r="F20" s="89">
        <v>44197</v>
      </c>
      <c r="G20" s="89">
        <v>44228</v>
      </c>
      <c r="H20" s="89">
        <v>44256</v>
      </c>
      <c r="I20" s="89">
        <v>44287</v>
      </c>
      <c r="J20" s="89">
        <v>44317</v>
      </c>
      <c r="K20" s="89">
        <v>44348</v>
      </c>
      <c r="L20" s="89">
        <v>44378</v>
      </c>
      <c r="M20" s="89">
        <v>44409</v>
      </c>
      <c r="N20" s="89">
        <v>44440</v>
      </c>
      <c r="O20" s="89">
        <v>44470</v>
      </c>
      <c r="P20" s="89">
        <v>44501</v>
      </c>
      <c r="Q20" s="89">
        <v>44531</v>
      </c>
      <c r="R20" s="221" t="s">
        <v>104</v>
      </c>
      <c r="S20" s="222"/>
      <c r="T20" s="67"/>
      <c r="U20" s="123"/>
      <c r="AL20" s="136"/>
      <c r="AM20" s="136"/>
      <c r="AN20" s="136"/>
      <c r="AO20" s="136"/>
      <c r="AP20" s="136"/>
      <c r="AQ20" s="136"/>
      <c r="AR20" s="136"/>
      <c r="AS20" s="136"/>
      <c r="AT20" s="136"/>
      <c r="AU20" s="136"/>
      <c r="AV20" s="136"/>
      <c r="AW20" s="136"/>
      <c r="AX20" s="136"/>
      <c r="AY20" s="136"/>
      <c r="AZ20" s="136"/>
      <c r="BA20" s="136"/>
      <c r="BB20" s="136"/>
      <c r="BC20" s="136"/>
      <c r="BE20" s="136"/>
      <c r="BF20" s="136"/>
      <c r="BG20" s="136"/>
      <c r="BH20" s="136"/>
      <c r="BI20" s="136"/>
      <c r="BK20" s="136"/>
      <c r="BL20" s="136"/>
    </row>
    <row r="21" spans="1:64" s="1" customFormat="1" ht="15.6">
      <c r="E21" s="80" t="s">
        <v>106</v>
      </c>
      <c r="F21" s="80" t="s">
        <v>107</v>
      </c>
      <c r="G21" s="80" t="s">
        <v>108</v>
      </c>
      <c r="H21" s="80" t="s">
        <v>109</v>
      </c>
      <c r="I21" s="80" t="s">
        <v>110</v>
      </c>
      <c r="J21" s="80" t="s">
        <v>111</v>
      </c>
      <c r="K21" s="80" t="s">
        <v>112</v>
      </c>
      <c r="L21" s="80" t="s">
        <v>113</v>
      </c>
      <c r="M21" s="80" t="s">
        <v>114</v>
      </c>
      <c r="N21" s="80" t="s">
        <v>115</v>
      </c>
      <c r="O21" s="80" t="s">
        <v>116</v>
      </c>
      <c r="P21" s="80" t="s">
        <v>117</v>
      </c>
      <c r="Q21" s="80" t="s">
        <v>118</v>
      </c>
      <c r="R21" s="223"/>
      <c r="S21" s="224"/>
      <c r="T21" s="67"/>
      <c r="U21" s="123"/>
      <c r="AL21" s="136"/>
      <c r="AM21" s="136"/>
      <c r="AN21" s="136"/>
      <c r="AO21" s="136"/>
      <c r="AP21" s="136"/>
      <c r="AQ21" s="136"/>
      <c r="AR21" s="136"/>
      <c r="AS21" s="136"/>
      <c r="AT21" s="136"/>
      <c r="AU21" s="136"/>
      <c r="AV21" s="136"/>
      <c r="AW21" s="136"/>
      <c r="AX21" s="136"/>
      <c r="AY21" s="136"/>
      <c r="AZ21" s="136"/>
      <c r="BA21" s="136"/>
      <c r="BB21" s="136"/>
      <c r="BC21" s="136"/>
      <c r="BE21" s="136"/>
      <c r="BF21" s="136"/>
      <c r="BG21" s="136"/>
      <c r="BH21" s="136"/>
      <c r="BI21" s="136"/>
      <c r="BK21" s="136"/>
      <c r="BL21" s="136"/>
    </row>
    <row r="22" spans="1:64" ht="20.399999999999999">
      <c r="E22" s="184" t="s">
        <v>119</v>
      </c>
      <c r="F22" s="185"/>
      <c r="G22" s="185"/>
      <c r="H22" s="185"/>
      <c r="I22" s="185"/>
      <c r="J22" s="185"/>
      <c r="K22" s="185"/>
      <c r="L22" s="185"/>
      <c r="M22" s="185"/>
      <c r="N22" s="185"/>
      <c r="O22" s="185"/>
      <c r="P22" s="185"/>
      <c r="Q22" s="185"/>
      <c r="R22" s="185"/>
      <c r="S22" s="186"/>
      <c r="U22" s="123"/>
    </row>
    <row r="23" spans="1:64" ht="15.6" customHeight="1">
      <c r="A23" s="187" t="s">
        <v>120</v>
      </c>
      <c r="B23" s="188"/>
      <c r="C23" s="188"/>
      <c r="D23" s="188"/>
      <c r="E23" s="90">
        <f>R5</f>
        <v>7844.2</v>
      </c>
      <c r="F23" s="90">
        <f>R9</f>
        <v>29695.899999999998</v>
      </c>
      <c r="G23" s="90">
        <f>R13</f>
        <v>59391.799999999996</v>
      </c>
      <c r="H23" s="90"/>
      <c r="I23" s="90"/>
      <c r="J23" s="90"/>
      <c r="K23" s="104"/>
      <c r="L23" s="104"/>
      <c r="M23" s="90"/>
      <c r="N23" s="90"/>
      <c r="O23" s="90"/>
      <c r="P23" s="90"/>
      <c r="Q23" s="90"/>
      <c r="R23" s="189">
        <f>SUM(E23:Q23)</f>
        <v>96931.9</v>
      </c>
      <c r="S23" s="189"/>
      <c r="U23" s="123"/>
      <c r="V23" s="30"/>
    </row>
    <row r="24" spans="1:64" ht="16.5" customHeight="1">
      <c r="A24" s="187" t="s">
        <v>121</v>
      </c>
      <c r="B24" s="188"/>
      <c r="C24" s="188"/>
      <c r="D24" s="188"/>
      <c r="E24" s="90">
        <f>T5</f>
        <v>2229.5</v>
      </c>
      <c r="F24" s="90">
        <f>T9</f>
        <v>8440.25</v>
      </c>
      <c r="G24" s="90">
        <f>T13</f>
        <v>16880.5</v>
      </c>
      <c r="H24" s="90"/>
      <c r="I24" s="90"/>
      <c r="J24" s="90"/>
      <c r="K24" s="104"/>
      <c r="L24" s="104"/>
      <c r="M24" s="90"/>
      <c r="N24" s="90"/>
      <c r="O24" s="90"/>
      <c r="P24" s="90"/>
      <c r="Q24" s="90"/>
      <c r="R24" s="189">
        <f>SUM(E24:Q24)</f>
        <v>27550.25</v>
      </c>
      <c r="S24" s="189"/>
      <c r="U24" s="123"/>
      <c r="V24" s="30"/>
    </row>
    <row r="25" spans="1:64" ht="16.5" customHeight="1">
      <c r="A25" s="187" t="s">
        <v>122</v>
      </c>
      <c r="B25" s="188"/>
      <c r="C25" s="188"/>
      <c r="D25" s="188"/>
      <c r="E25" s="90">
        <f>V5</f>
        <v>8686.41</v>
      </c>
      <c r="F25" s="90">
        <f>V9</f>
        <v>20984.93</v>
      </c>
      <c r="G25" s="90">
        <f>V13</f>
        <v>37389.86</v>
      </c>
      <c r="H25" s="90"/>
      <c r="I25" s="90"/>
      <c r="J25" s="90"/>
      <c r="K25" s="104"/>
      <c r="L25" s="104"/>
      <c r="M25" s="90"/>
      <c r="N25" s="90"/>
      <c r="O25" s="90"/>
      <c r="P25" s="90"/>
      <c r="Q25" s="90"/>
      <c r="R25" s="189">
        <f>SUM(E25:Q25)</f>
        <v>67061.2</v>
      </c>
      <c r="S25" s="189"/>
      <c r="U25" s="123"/>
      <c r="V25" s="30"/>
    </row>
    <row r="26" spans="1:64" ht="16.5" customHeight="1">
      <c r="A26" s="187" t="s">
        <v>123</v>
      </c>
      <c r="B26" s="188"/>
      <c r="C26" s="188"/>
      <c r="D26" s="188"/>
      <c r="E26" s="91">
        <f>Z5</f>
        <v>18760.11</v>
      </c>
      <c r="F26" s="91">
        <f>Z9</f>
        <v>59121.079999999994</v>
      </c>
      <c r="G26" s="91">
        <f>Z13</f>
        <v>113662.15999999999</v>
      </c>
      <c r="H26" s="91"/>
      <c r="I26" s="91"/>
      <c r="J26" s="91"/>
      <c r="K26" s="105"/>
      <c r="L26" s="105"/>
      <c r="M26" s="105"/>
      <c r="N26" s="105"/>
      <c r="O26" s="105"/>
      <c r="P26" s="105"/>
      <c r="Q26" s="105"/>
      <c r="R26" s="198">
        <f>SUM(E26:Q26)</f>
        <v>191543.34999999998</v>
      </c>
      <c r="S26" s="198"/>
      <c r="U26" s="123"/>
      <c r="V26" s="30"/>
    </row>
    <row r="27" spans="1:64" ht="16.5" customHeight="1">
      <c r="A27" s="187" t="s">
        <v>124</v>
      </c>
      <c r="B27" s="188"/>
      <c r="C27" s="188"/>
      <c r="D27" s="188"/>
      <c r="E27" s="91">
        <f>X5</f>
        <v>12051.974999999999</v>
      </c>
      <c r="F27" s="91">
        <f>X9</f>
        <v>58020.3</v>
      </c>
      <c r="G27" s="91">
        <f>X13</f>
        <v>125920.6</v>
      </c>
      <c r="H27" s="91"/>
      <c r="I27" s="91"/>
      <c r="J27" s="91"/>
      <c r="K27" s="105"/>
      <c r="L27" s="105"/>
      <c r="M27" s="105"/>
      <c r="N27" s="105"/>
      <c r="O27" s="105"/>
      <c r="P27" s="105"/>
      <c r="Q27" s="105"/>
      <c r="R27" s="198">
        <f>SUM(E27:Q27)</f>
        <v>195992.875</v>
      </c>
      <c r="S27" s="198"/>
      <c r="U27" s="123"/>
      <c r="V27" s="30"/>
    </row>
    <row r="28" spans="1:64" ht="16.5" customHeight="1">
      <c r="A28" s="187" t="s">
        <v>125</v>
      </c>
      <c r="B28" s="188"/>
      <c r="C28" s="188"/>
      <c r="D28" s="188"/>
      <c r="E28" s="92">
        <f>AB5</f>
        <v>0.64242560411426153</v>
      </c>
      <c r="F28" s="92">
        <f>AB9</f>
        <v>0.98138092199939531</v>
      </c>
      <c r="G28" s="92">
        <f>AB13</f>
        <v>1.1078497892350454</v>
      </c>
      <c r="H28" s="92"/>
      <c r="I28" s="92"/>
      <c r="J28" s="92"/>
      <c r="K28" s="92"/>
      <c r="L28" s="92"/>
      <c r="M28" s="92"/>
      <c r="N28" s="92"/>
      <c r="O28" s="92"/>
      <c r="P28" s="92"/>
      <c r="Q28" s="92"/>
      <c r="R28" s="199"/>
      <c r="S28" s="199"/>
      <c r="U28" s="123"/>
      <c r="V28" s="30"/>
    </row>
    <row r="29" spans="1:64" ht="16.5" customHeight="1">
      <c r="A29" s="187" t="s">
        <v>126</v>
      </c>
      <c r="B29" s="188"/>
      <c r="C29" s="188"/>
      <c r="D29" s="188"/>
      <c r="E29" s="90">
        <f>E27-E26</f>
        <v>-6708.135000000002</v>
      </c>
      <c r="F29" s="90">
        <f t="shared" ref="F29:R29" si="16">F27-F26</f>
        <v>-1100.7799999999916</v>
      </c>
      <c r="G29" s="90">
        <f t="shared" si="16"/>
        <v>12258.440000000017</v>
      </c>
      <c r="H29" s="90">
        <f t="shared" si="16"/>
        <v>0</v>
      </c>
      <c r="I29" s="90">
        <f t="shared" si="16"/>
        <v>0</v>
      </c>
      <c r="J29" s="90">
        <f t="shared" si="16"/>
        <v>0</v>
      </c>
      <c r="K29" s="90">
        <f t="shared" si="16"/>
        <v>0</v>
      </c>
      <c r="L29" s="90">
        <f t="shared" si="16"/>
        <v>0</v>
      </c>
      <c r="M29" s="90">
        <f t="shared" si="16"/>
        <v>0</v>
      </c>
      <c r="N29" s="90">
        <f t="shared" si="16"/>
        <v>0</v>
      </c>
      <c r="O29" s="90">
        <f t="shared" si="16"/>
        <v>0</v>
      </c>
      <c r="P29" s="90">
        <f t="shared" si="16"/>
        <v>0</v>
      </c>
      <c r="Q29" s="90">
        <f t="shared" si="16"/>
        <v>0</v>
      </c>
      <c r="R29" s="200">
        <f t="shared" si="16"/>
        <v>4449.5250000000233</v>
      </c>
      <c r="S29" s="200"/>
      <c r="U29" s="123"/>
      <c r="V29" s="30"/>
    </row>
    <row r="30" spans="1:64" ht="16.5" customHeight="1">
      <c r="A30" s="187" t="s">
        <v>127</v>
      </c>
      <c r="B30" s="188"/>
      <c r="C30" s="188"/>
      <c r="D30" s="188"/>
      <c r="E30" s="92">
        <f>E29/E26</f>
        <v>-0.35757439588573853</v>
      </c>
      <c r="F30" s="92">
        <f t="shared" ref="F30:J30" si="17">F29/F26</f>
        <v>-1.8619078000604718E-2</v>
      </c>
      <c r="G30" s="92">
        <f t="shared" si="17"/>
        <v>0.10784978923504548</v>
      </c>
      <c r="H30" s="92" t="e">
        <f t="shared" si="17"/>
        <v>#DIV/0!</v>
      </c>
      <c r="I30" s="92" t="e">
        <f t="shared" si="17"/>
        <v>#DIV/0!</v>
      </c>
      <c r="J30" s="92" t="e">
        <f t="shared" si="17"/>
        <v>#DIV/0!</v>
      </c>
      <c r="K30" s="92" t="e">
        <f t="shared" ref="K30" si="18">K29/K26</f>
        <v>#DIV/0!</v>
      </c>
      <c r="L30" s="92" t="e">
        <f t="shared" ref="L30" si="19">L29/L26</f>
        <v>#DIV/0!</v>
      </c>
      <c r="M30" s="92" t="e">
        <f t="shared" ref="M30" si="20">M29/M26</f>
        <v>#DIV/0!</v>
      </c>
      <c r="N30" s="92" t="e">
        <f t="shared" ref="N30" si="21">N29/N26</f>
        <v>#DIV/0!</v>
      </c>
      <c r="O30" s="92" t="e">
        <f t="shared" ref="O30" si="22">O29/O26</f>
        <v>#DIV/0!</v>
      </c>
      <c r="P30" s="92" t="e">
        <f t="shared" ref="P30:R30" si="23">P29/P26</f>
        <v>#DIV/0!</v>
      </c>
      <c r="Q30" s="27" t="e">
        <f t="shared" si="23"/>
        <v>#DIV/0!</v>
      </c>
      <c r="R30" s="201">
        <f t="shared" si="23"/>
        <v>2.3229858932716924E-2</v>
      </c>
      <c r="S30" s="201"/>
      <c r="U30" s="123"/>
      <c r="V30" s="30"/>
    </row>
    <row r="31" spans="1:64">
      <c r="E31" s="202"/>
      <c r="F31" s="203"/>
      <c r="G31" s="203"/>
      <c r="H31" s="203"/>
      <c r="I31" s="203"/>
      <c r="J31" s="203"/>
      <c r="K31" s="203"/>
      <c r="L31" s="203"/>
      <c r="M31" s="203"/>
      <c r="N31" s="203"/>
      <c r="O31" s="203"/>
      <c r="P31" s="203"/>
      <c r="Q31" s="203"/>
      <c r="R31" s="203"/>
      <c r="S31" s="204"/>
      <c r="U31" s="123"/>
    </row>
    <row r="32" spans="1:64" ht="20.399999999999999">
      <c r="E32" s="184" t="s">
        <v>128</v>
      </c>
      <c r="F32" s="185"/>
      <c r="G32" s="185"/>
      <c r="H32" s="185"/>
      <c r="I32" s="185"/>
      <c r="J32" s="185"/>
      <c r="K32" s="185"/>
      <c r="L32" s="185"/>
      <c r="M32" s="185"/>
      <c r="N32" s="185"/>
      <c r="O32" s="185"/>
      <c r="P32" s="185"/>
      <c r="Q32" s="185"/>
      <c r="R32" s="185"/>
      <c r="S32" s="186"/>
      <c r="U32" s="123"/>
    </row>
    <row r="33" spans="1:21" ht="15.6">
      <c r="E33" s="89">
        <v>44166</v>
      </c>
      <c r="F33" s="89">
        <v>44197</v>
      </c>
      <c r="G33" s="89">
        <v>44228</v>
      </c>
      <c r="H33" s="89">
        <v>44256</v>
      </c>
      <c r="I33" s="89">
        <v>44287</v>
      </c>
      <c r="J33" s="89">
        <v>44317</v>
      </c>
      <c r="K33" s="89">
        <v>44348</v>
      </c>
      <c r="L33" s="89">
        <v>44378</v>
      </c>
      <c r="M33" s="89">
        <v>44409</v>
      </c>
      <c r="N33" s="89">
        <v>44440</v>
      </c>
      <c r="O33" s="89">
        <v>44470</v>
      </c>
      <c r="P33" s="89">
        <v>44501</v>
      </c>
      <c r="Q33" s="89">
        <v>44531</v>
      </c>
      <c r="R33" s="221" t="s">
        <v>104</v>
      </c>
      <c r="S33" s="222"/>
      <c r="U33" s="123"/>
    </row>
    <row r="34" spans="1:21" ht="15.6">
      <c r="A34" s="187"/>
      <c r="B34" s="188"/>
      <c r="C34" s="188"/>
      <c r="D34" s="188"/>
      <c r="E34" s="80" t="s">
        <v>106</v>
      </c>
      <c r="F34" s="80" t="s">
        <v>107</v>
      </c>
      <c r="G34" s="80" t="s">
        <v>108</v>
      </c>
      <c r="H34" s="80" t="s">
        <v>109</v>
      </c>
      <c r="I34" s="80" t="s">
        <v>110</v>
      </c>
      <c r="J34" s="80" t="s">
        <v>111</v>
      </c>
      <c r="K34" s="80" t="s">
        <v>112</v>
      </c>
      <c r="L34" s="80" t="s">
        <v>113</v>
      </c>
      <c r="M34" s="80" t="s">
        <v>114</v>
      </c>
      <c r="N34" s="80" t="s">
        <v>115</v>
      </c>
      <c r="O34" s="80" t="s">
        <v>116</v>
      </c>
      <c r="P34" s="80" t="s">
        <v>117</v>
      </c>
      <c r="Q34" s="80" t="s">
        <v>118</v>
      </c>
      <c r="R34" s="223"/>
      <c r="S34" s="224"/>
      <c r="U34" s="123"/>
    </row>
    <row r="35" spans="1:21" ht="15.6" customHeight="1">
      <c r="A35" s="187" t="s">
        <v>129</v>
      </c>
      <c r="B35" s="188"/>
      <c r="C35" s="188"/>
      <c r="D35" s="188"/>
      <c r="E35" s="93">
        <f>S5</f>
        <v>0</v>
      </c>
      <c r="F35" s="90">
        <f>S9</f>
        <v>0</v>
      </c>
      <c r="G35" s="90">
        <f>S13</f>
        <v>0</v>
      </c>
      <c r="H35" s="90"/>
      <c r="I35" s="90"/>
      <c r="J35" s="90"/>
      <c r="K35" s="104"/>
      <c r="L35" s="104"/>
      <c r="M35" s="90"/>
      <c r="N35" s="90"/>
      <c r="O35" s="90"/>
      <c r="P35" s="90"/>
      <c r="Q35" s="90"/>
      <c r="R35" s="207">
        <f>SUM(L35:Q35)</f>
        <v>0</v>
      </c>
      <c r="S35" s="207"/>
      <c r="U35" s="123"/>
    </row>
    <row r="36" spans="1:21" ht="15.6" customHeight="1">
      <c r="A36" s="187" t="s">
        <v>130</v>
      </c>
      <c r="B36" s="188"/>
      <c r="C36" s="188"/>
      <c r="D36" s="188"/>
      <c r="E36" s="93">
        <f>U5</f>
        <v>0</v>
      </c>
      <c r="F36" s="90">
        <f>U9</f>
        <v>0</v>
      </c>
      <c r="G36" s="90">
        <f>U13</f>
        <v>0</v>
      </c>
      <c r="H36" s="90"/>
      <c r="I36" s="90"/>
      <c r="J36" s="90"/>
      <c r="K36" s="104"/>
      <c r="L36" s="104"/>
      <c r="M36" s="90"/>
      <c r="N36" s="90"/>
      <c r="O36" s="90"/>
      <c r="P36" s="90"/>
      <c r="Q36" s="90"/>
      <c r="R36" s="207">
        <f>SUM(L36:Q36)</f>
        <v>0</v>
      </c>
      <c r="S36" s="207"/>
      <c r="U36" s="123"/>
    </row>
    <row r="37" spans="1:21" ht="15.6" customHeight="1">
      <c r="A37" s="187" t="s">
        <v>131</v>
      </c>
      <c r="B37" s="188"/>
      <c r="C37" s="188"/>
      <c r="D37" s="188"/>
      <c r="E37" s="93">
        <f>W5</f>
        <v>0</v>
      </c>
      <c r="F37" s="90">
        <f>W9</f>
        <v>0</v>
      </c>
      <c r="G37" s="90">
        <f>W13</f>
        <v>0</v>
      </c>
      <c r="H37" s="90"/>
      <c r="I37" s="90"/>
      <c r="J37" s="90"/>
      <c r="K37" s="104"/>
      <c r="L37" s="104"/>
      <c r="M37" s="90"/>
      <c r="N37" s="90"/>
      <c r="O37" s="90"/>
      <c r="P37" s="90"/>
      <c r="Q37" s="90"/>
      <c r="R37" s="207">
        <f>SUM(L37:Q37)</f>
        <v>0</v>
      </c>
      <c r="S37" s="207"/>
      <c r="U37" s="123"/>
    </row>
    <row r="38" spans="1:21" ht="15.6" customHeight="1">
      <c r="A38" s="187" t="s">
        <v>132</v>
      </c>
      <c r="B38" s="188"/>
      <c r="C38" s="188"/>
      <c r="D38" s="188"/>
      <c r="E38" s="94">
        <f>AA5</f>
        <v>0</v>
      </c>
      <c r="F38" s="91">
        <f>AA9</f>
        <v>0</v>
      </c>
      <c r="G38" s="91">
        <f>AA13</f>
        <v>0</v>
      </c>
      <c r="H38" s="91"/>
      <c r="I38" s="91"/>
      <c r="J38" s="91"/>
      <c r="K38" s="105"/>
      <c r="L38" s="105"/>
      <c r="M38" s="105"/>
      <c r="N38" s="105"/>
      <c r="O38" s="105"/>
      <c r="P38" s="105"/>
      <c r="Q38" s="105"/>
      <c r="R38" s="205">
        <f>SUM(L38:Q38)</f>
        <v>0</v>
      </c>
      <c r="S38" s="205"/>
      <c r="U38" s="123"/>
    </row>
    <row r="39" spans="1:21" ht="15.6" customHeight="1">
      <c r="A39" s="187" t="s">
        <v>133</v>
      </c>
      <c r="B39" s="188"/>
      <c r="C39" s="188"/>
      <c r="D39" s="188"/>
      <c r="E39" s="94">
        <f>Y5</f>
        <v>0</v>
      </c>
      <c r="F39" s="91">
        <f>Y9</f>
        <v>0</v>
      </c>
      <c r="G39" s="91">
        <f>Y13</f>
        <v>0</v>
      </c>
      <c r="H39" s="91"/>
      <c r="I39" s="91"/>
      <c r="J39" s="91"/>
      <c r="K39" s="105"/>
      <c r="L39" s="105"/>
      <c r="M39" s="105"/>
      <c r="N39" s="105"/>
      <c r="O39" s="105"/>
      <c r="P39" s="105"/>
      <c r="Q39" s="105"/>
      <c r="R39" s="205">
        <f>SUM(L39:Q39)</f>
        <v>0</v>
      </c>
      <c r="S39" s="205"/>
      <c r="U39" s="123"/>
    </row>
    <row r="40" spans="1:21" ht="15.6" customHeight="1">
      <c r="A40" s="187" t="s">
        <v>134</v>
      </c>
      <c r="B40" s="188"/>
      <c r="C40" s="188"/>
      <c r="D40" s="188"/>
      <c r="E40" s="95" t="e">
        <f>AC5</f>
        <v>#DIV/0!</v>
      </c>
      <c r="F40" s="92" t="e">
        <f>AC9</f>
        <v>#DIV/0!</v>
      </c>
      <c r="G40" s="92" t="e">
        <f>AC13</f>
        <v>#DIV/0!</v>
      </c>
      <c r="H40" s="92"/>
      <c r="I40" s="92"/>
      <c r="J40" s="92"/>
      <c r="K40" s="106"/>
      <c r="L40" s="106"/>
      <c r="M40" s="92"/>
      <c r="N40" s="92"/>
      <c r="O40" s="92"/>
      <c r="P40" s="92"/>
      <c r="Q40" s="92"/>
      <c r="R40" s="206"/>
      <c r="S40" s="206"/>
      <c r="U40" s="123"/>
    </row>
    <row r="41" spans="1:21" ht="15.6" customHeight="1">
      <c r="A41" s="187" t="s">
        <v>135</v>
      </c>
      <c r="B41" s="188"/>
      <c r="C41" s="188"/>
      <c r="D41" s="188"/>
      <c r="E41" s="90">
        <f>E39-E38</f>
        <v>0</v>
      </c>
      <c r="F41" s="90">
        <f t="shared" ref="F41:Q41" si="24">F39-F38</f>
        <v>0</v>
      </c>
      <c r="G41" s="90">
        <f t="shared" si="24"/>
        <v>0</v>
      </c>
      <c r="H41" s="90">
        <f t="shared" si="24"/>
        <v>0</v>
      </c>
      <c r="I41" s="90">
        <f t="shared" si="24"/>
        <v>0</v>
      </c>
      <c r="J41" s="90">
        <f t="shared" si="24"/>
        <v>0</v>
      </c>
      <c r="K41" s="90">
        <f t="shared" si="24"/>
        <v>0</v>
      </c>
      <c r="L41" s="90">
        <f t="shared" si="24"/>
        <v>0</v>
      </c>
      <c r="M41" s="90">
        <f t="shared" si="24"/>
        <v>0</v>
      </c>
      <c r="N41" s="90">
        <f t="shared" si="24"/>
        <v>0</v>
      </c>
      <c r="O41" s="90">
        <f t="shared" si="24"/>
        <v>0</v>
      </c>
      <c r="P41" s="90">
        <f t="shared" si="24"/>
        <v>0</v>
      </c>
      <c r="Q41" s="90">
        <f t="shared" si="24"/>
        <v>0</v>
      </c>
      <c r="R41" s="200">
        <f t="shared" ref="R41" si="25">R39-R38</f>
        <v>0</v>
      </c>
      <c r="S41" s="200"/>
      <c r="U41" s="123"/>
    </row>
    <row r="42" spans="1:21" ht="19.8" customHeight="1">
      <c r="A42" s="187" t="s">
        <v>136</v>
      </c>
      <c r="B42" s="188"/>
      <c r="C42" s="188"/>
      <c r="D42" s="188"/>
      <c r="E42" s="92" t="e">
        <f>E41/E38</f>
        <v>#DIV/0!</v>
      </c>
      <c r="F42" s="92" t="e">
        <f t="shared" ref="F42:Q42" si="26">F41/F38</f>
        <v>#DIV/0!</v>
      </c>
      <c r="G42" s="92" t="e">
        <f t="shared" si="26"/>
        <v>#DIV/0!</v>
      </c>
      <c r="H42" s="92" t="e">
        <f t="shared" si="26"/>
        <v>#DIV/0!</v>
      </c>
      <c r="I42" s="92" t="e">
        <f t="shared" si="26"/>
        <v>#DIV/0!</v>
      </c>
      <c r="J42" s="92" t="e">
        <f t="shared" si="26"/>
        <v>#DIV/0!</v>
      </c>
      <c r="K42" s="92" t="e">
        <f t="shared" si="26"/>
        <v>#DIV/0!</v>
      </c>
      <c r="L42" s="92" t="e">
        <f t="shared" si="26"/>
        <v>#DIV/0!</v>
      </c>
      <c r="M42" s="92" t="e">
        <f t="shared" si="26"/>
        <v>#DIV/0!</v>
      </c>
      <c r="N42" s="92" t="e">
        <f t="shared" si="26"/>
        <v>#DIV/0!</v>
      </c>
      <c r="O42" s="92" t="e">
        <f t="shared" si="26"/>
        <v>#DIV/0!</v>
      </c>
      <c r="P42" s="92" t="e">
        <f t="shared" si="26"/>
        <v>#DIV/0!</v>
      </c>
      <c r="Q42" s="92" t="e">
        <f t="shared" si="26"/>
        <v>#DIV/0!</v>
      </c>
      <c r="R42" s="201" t="e">
        <f t="shared" ref="R42" si="27">R41/R38</f>
        <v>#DIV/0!</v>
      </c>
      <c r="S42" s="201"/>
      <c r="U42" s="123"/>
    </row>
    <row r="43" spans="1:21">
      <c r="U43" s="123"/>
    </row>
  </sheetData>
  <sheetProtection formatCells="0" insertHyperlinks="0" autoFilter="0"/>
  <mergeCells count="100">
    <mergeCell ref="AG5:AG8"/>
    <mergeCell ref="AG9:AG12"/>
    <mergeCell ref="R33:S34"/>
    <mergeCell ref="R20:S21"/>
    <mergeCell ref="C1:D3"/>
    <mergeCell ref="AE5:AE8"/>
    <mergeCell ref="AE9:AE12"/>
    <mergeCell ref="AE13:AE16"/>
    <mergeCell ref="AF5:AF8"/>
    <mergeCell ref="AF9:AF12"/>
    <mergeCell ref="AF13:AF16"/>
    <mergeCell ref="AC5:AC8"/>
    <mergeCell ref="AC9:AC12"/>
    <mergeCell ref="AC13:AC16"/>
    <mergeCell ref="AD5:AD8"/>
    <mergeCell ref="AD9:AD12"/>
    <mergeCell ref="AD13:AD16"/>
    <mergeCell ref="AA5:AA8"/>
    <mergeCell ref="AA9:AA12"/>
    <mergeCell ref="AA13:AA16"/>
    <mergeCell ref="AB5:AB8"/>
    <mergeCell ref="AB9:AB12"/>
    <mergeCell ref="AB13:AB16"/>
    <mergeCell ref="Y5:Y8"/>
    <mergeCell ref="Y9:Y12"/>
    <mergeCell ref="Y13:Y16"/>
    <mergeCell ref="Z5:Z8"/>
    <mergeCell ref="Z9:Z12"/>
    <mergeCell ref="Z13:Z16"/>
    <mergeCell ref="W5:W8"/>
    <mergeCell ref="W9:W12"/>
    <mergeCell ref="W13:W16"/>
    <mergeCell ref="X5:X8"/>
    <mergeCell ref="X9:X12"/>
    <mergeCell ref="X13:X16"/>
    <mergeCell ref="A41:D41"/>
    <mergeCell ref="R41:S41"/>
    <mergeCell ref="A42:D42"/>
    <mergeCell ref="R42:S42"/>
    <mergeCell ref="A5:A8"/>
    <mergeCell ref="A9:A12"/>
    <mergeCell ref="A13:A16"/>
    <mergeCell ref="Q5:Q16"/>
    <mergeCell ref="R5:R8"/>
    <mergeCell ref="R9:R12"/>
    <mergeCell ref="R13:R16"/>
    <mergeCell ref="S5:S8"/>
    <mergeCell ref="S9:S12"/>
    <mergeCell ref="S13:S16"/>
    <mergeCell ref="A38:D38"/>
    <mergeCell ref="R38:S38"/>
    <mergeCell ref="A39:D39"/>
    <mergeCell ref="R39:S39"/>
    <mergeCell ref="A40:D40"/>
    <mergeCell ref="R40:S40"/>
    <mergeCell ref="A35:D35"/>
    <mergeCell ref="R35:S35"/>
    <mergeCell ref="A36:D36"/>
    <mergeCell ref="R36:S36"/>
    <mergeCell ref="A37:D37"/>
    <mergeCell ref="R37:S37"/>
    <mergeCell ref="A30:D30"/>
    <mergeCell ref="R30:S30"/>
    <mergeCell ref="E31:S31"/>
    <mergeCell ref="E32:S32"/>
    <mergeCell ref="A34:D34"/>
    <mergeCell ref="A27:D27"/>
    <mergeCell ref="R27:S27"/>
    <mergeCell ref="A28:D28"/>
    <mergeCell ref="R28:S28"/>
    <mergeCell ref="A29:D29"/>
    <mergeCell ref="R29:S29"/>
    <mergeCell ref="A24:D24"/>
    <mergeCell ref="R24:S24"/>
    <mergeCell ref="A25:D25"/>
    <mergeCell ref="R25:S25"/>
    <mergeCell ref="A26:D26"/>
    <mergeCell ref="R26:S26"/>
    <mergeCell ref="O3:Z3"/>
    <mergeCell ref="AA3:AD3"/>
    <mergeCell ref="E19:S19"/>
    <mergeCell ref="E22:S22"/>
    <mergeCell ref="A23:D23"/>
    <mergeCell ref="R23:S23"/>
    <mergeCell ref="E1:E3"/>
    <mergeCell ref="T5:T8"/>
    <mergeCell ref="T9:T12"/>
    <mergeCell ref="T13:T16"/>
    <mergeCell ref="U5:U8"/>
    <mergeCell ref="U9:U12"/>
    <mergeCell ref="U13:U16"/>
    <mergeCell ref="V5:V8"/>
    <mergeCell ref="V9:V12"/>
    <mergeCell ref="V13:V16"/>
    <mergeCell ref="A1:B1"/>
    <mergeCell ref="F1:G1"/>
    <mergeCell ref="A2:B2"/>
    <mergeCell ref="F2:G2"/>
    <mergeCell ref="A3:B3"/>
    <mergeCell ref="F3:N3"/>
  </mergeCells>
  <phoneticPr fontId="27" type="noConversion"/>
  <conditionalFormatting sqref="Z2 AV4 AX4 AZ4 BB4 BD4:BI4 AV17:BL17">
    <cfRule type="cellIs" dxfId="17" priority="39" operator="greaterThan">
      <formula>#REF!</formula>
    </cfRule>
    <cfRule type="cellIs" dxfId="16" priority="51" stopIfTrue="1" operator="greaterThan">
      <formula>#REF!</formula>
    </cfRule>
  </conditionalFormatting>
  <conditionalFormatting sqref="AA2">
    <cfRule type="cellIs" dxfId="15" priority="38" stopIfTrue="1" operator="greaterThan">
      <formula>#REF!</formula>
    </cfRule>
  </conditionalFormatting>
  <conditionalFormatting sqref="AA2:AD2">
    <cfRule type="cellIs" dxfId="14" priority="37" operator="greaterThan">
      <formula>#REF!</formula>
    </cfRule>
  </conditionalFormatting>
  <conditionalFormatting sqref="AB2:AD2">
    <cfRule type="cellIs" dxfId="13" priority="36" stopIfTrue="1" operator="greaterThan">
      <formula>#REF!</formula>
    </cfRule>
  </conditionalFormatting>
  <conditionalFormatting sqref="AV5:BI16">
    <cfRule type="cellIs" dxfId="12" priority="11" operator="greaterThan">
      <formula>#REF!</formula>
    </cfRule>
    <cfRule type="cellIs" dxfId="11" priority="12" stopIfTrue="1" operator="greaterThan">
      <formula>#REF!</formula>
    </cfRule>
  </conditionalFormatting>
  <conditionalFormatting sqref="AV18:BI1048576">
    <cfRule type="cellIs" dxfId="10" priority="1" operator="greaterThan">
      <formula>#REF!</formula>
    </cfRule>
    <cfRule type="cellIs" dxfId="9" priority="2" stopIfTrue="1" operator="greaterThan">
      <formula>#REF!</formula>
    </cfRule>
  </conditionalFormatting>
  <pageMargins left="0.75" right="0.75" top="1" bottom="1" header="0.5" footer="0.5"/>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N249"/>
  <sheetViews>
    <sheetView zoomScale="90" zoomScaleNormal="90" workbookViewId="0">
      <pane xSplit="2" ySplit="1" topLeftCell="C2" activePane="bottomRight" state="frozen"/>
      <selection pane="topRight"/>
      <selection pane="bottomLeft"/>
      <selection pane="bottomRight" activeCell="C22" sqref="C22"/>
    </sheetView>
  </sheetViews>
  <sheetFormatPr defaultColWidth="9" defaultRowHeight="15"/>
  <cols>
    <col min="1" max="1" width="9" style="58"/>
    <col min="2" max="2" width="27" style="58" customWidth="1"/>
    <col min="3" max="10" width="9" style="58"/>
    <col min="11" max="12" width="11.19921875" style="58" customWidth="1"/>
    <col min="13" max="13" width="15.19921875" style="58" customWidth="1"/>
    <col min="14" max="14" width="31.19921875" style="58" customWidth="1"/>
    <col min="15" max="16384" width="9" style="39"/>
  </cols>
  <sheetData>
    <row r="1" spans="1:14" s="56" customFormat="1" ht="15.6">
      <c r="A1" s="59" t="s">
        <v>141</v>
      </c>
      <c r="B1" s="59" t="s">
        <v>142</v>
      </c>
      <c r="C1" s="59" t="s">
        <v>143</v>
      </c>
      <c r="D1" s="59" t="s">
        <v>144</v>
      </c>
      <c r="E1" s="59" t="s">
        <v>145</v>
      </c>
      <c r="F1" s="59" t="s">
        <v>146</v>
      </c>
      <c r="G1" s="59" t="s">
        <v>147</v>
      </c>
      <c r="H1" s="59" t="s">
        <v>148</v>
      </c>
      <c r="I1" s="59" t="s">
        <v>149</v>
      </c>
      <c r="J1" s="59" t="s">
        <v>150</v>
      </c>
      <c r="K1" s="59" t="s">
        <v>151</v>
      </c>
      <c r="L1" s="59" t="s">
        <v>152</v>
      </c>
      <c r="M1" s="59" t="s">
        <v>153</v>
      </c>
      <c r="N1" s="59" t="s">
        <v>154</v>
      </c>
    </row>
    <row r="2" spans="1:14" s="57" customFormat="1">
      <c r="A2" s="165" t="s">
        <v>317</v>
      </c>
      <c r="B2" s="46"/>
      <c r="C2" s="47"/>
      <c r="D2" s="47"/>
      <c r="E2" s="47"/>
      <c r="F2" s="47"/>
      <c r="G2" s="47"/>
      <c r="H2" s="47"/>
      <c r="I2" s="47"/>
      <c r="J2" s="47"/>
      <c r="K2" s="47"/>
      <c r="L2" s="47"/>
      <c r="M2" s="47"/>
      <c r="N2" s="46"/>
    </row>
    <row r="3" spans="1:14" s="57" customFormat="1">
      <c r="A3" s="165" t="s">
        <v>318</v>
      </c>
      <c r="B3" s="46"/>
      <c r="C3" s="47"/>
      <c r="D3" s="47"/>
      <c r="E3" s="47"/>
      <c r="F3" s="47"/>
      <c r="G3" s="47"/>
      <c r="H3" s="47"/>
      <c r="I3" s="47"/>
      <c r="J3" s="47"/>
      <c r="K3" s="47"/>
      <c r="L3" s="47"/>
      <c r="M3" s="47"/>
      <c r="N3" s="46"/>
    </row>
    <row r="4" spans="1:14" s="57" customFormat="1">
      <c r="A4" s="165" t="s">
        <v>319</v>
      </c>
      <c r="B4" s="46"/>
      <c r="C4" s="47"/>
      <c r="D4" s="47"/>
      <c r="E4" s="47"/>
      <c r="F4" s="47"/>
      <c r="G4" s="47"/>
      <c r="H4" s="47"/>
      <c r="I4" s="47"/>
      <c r="J4" s="47"/>
      <c r="K4" s="47"/>
      <c r="L4" s="47"/>
      <c r="M4" s="47"/>
      <c r="N4" s="46"/>
    </row>
    <row r="5" spans="1:14" s="57" customFormat="1">
      <c r="A5" s="165" t="s">
        <v>320</v>
      </c>
      <c r="B5" s="46"/>
      <c r="C5" s="47"/>
      <c r="D5" s="47"/>
      <c r="E5" s="47"/>
      <c r="F5" s="47"/>
      <c r="G5" s="47"/>
      <c r="H5" s="47"/>
      <c r="I5" s="47"/>
      <c r="J5" s="47"/>
      <c r="K5" s="47"/>
      <c r="L5" s="47"/>
      <c r="M5" s="47"/>
      <c r="N5" s="46"/>
    </row>
    <row r="6" spans="1:14" s="57" customFormat="1">
      <c r="A6" s="165" t="s">
        <v>321</v>
      </c>
      <c r="B6" s="46"/>
      <c r="C6" s="47"/>
      <c r="D6" s="47"/>
      <c r="E6" s="47"/>
      <c r="F6" s="47"/>
      <c r="G6" s="47"/>
      <c r="H6" s="47"/>
      <c r="I6" s="47"/>
      <c r="J6" s="47"/>
      <c r="K6" s="47"/>
      <c r="L6" s="47"/>
      <c r="M6" s="47"/>
      <c r="N6" s="46"/>
    </row>
    <row r="7" spans="1:14" s="57" customFormat="1">
      <c r="A7" s="165" t="s">
        <v>322</v>
      </c>
      <c r="B7" s="46"/>
      <c r="C7" s="47"/>
      <c r="D7" s="47"/>
      <c r="E7" s="47"/>
      <c r="F7" s="47"/>
      <c r="G7" s="47"/>
      <c r="H7" s="47"/>
      <c r="I7" s="47"/>
      <c r="J7" s="47"/>
      <c r="K7" s="47"/>
      <c r="L7" s="47"/>
      <c r="M7" s="47"/>
      <c r="N7" s="46"/>
    </row>
    <row r="8" spans="1:14" s="57" customFormat="1">
      <c r="A8" s="165" t="s">
        <v>323</v>
      </c>
      <c r="B8" s="46"/>
      <c r="C8" s="47"/>
      <c r="D8" s="47"/>
      <c r="E8" s="47"/>
      <c r="F8" s="47"/>
      <c r="G8" s="47"/>
      <c r="H8" s="47"/>
      <c r="I8" s="47"/>
      <c r="J8" s="47"/>
      <c r="K8" s="47"/>
      <c r="L8" s="47"/>
      <c r="M8" s="47"/>
      <c r="N8" s="46"/>
    </row>
    <row r="9" spans="1:14" s="57" customFormat="1">
      <c r="A9" s="165" t="s">
        <v>324</v>
      </c>
      <c r="B9" s="46"/>
      <c r="C9" s="47"/>
      <c r="D9" s="47"/>
      <c r="E9" s="47"/>
      <c r="F9" s="47"/>
      <c r="G9" s="47"/>
      <c r="H9" s="47"/>
      <c r="I9" s="47"/>
      <c r="J9" s="47"/>
      <c r="K9" s="47"/>
      <c r="L9" s="47"/>
      <c r="M9" s="47"/>
      <c r="N9" s="46"/>
    </row>
    <row r="10" spans="1:14" s="57" customFormat="1">
      <c r="A10" s="165" t="s">
        <v>325</v>
      </c>
      <c r="B10" s="46"/>
      <c r="C10" s="47"/>
      <c r="D10" s="47"/>
      <c r="E10" s="47"/>
      <c r="F10" s="47"/>
      <c r="G10" s="47"/>
      <c r="H10" s="47"/>
      <c r="I10" s="47"/>
      <c r="J10" s="47"/>
      <c r="K10" s="47"/>
      <c r="L10" s="47"/>
      <c r="M10" s="47"/>
      <c r="N10" s="46"/>
    </row>
    <row r="11" spans="1:14" s="57" customFormat="1">
      <c r="A11" s="165" t="s">
        <v>326</v>
      </c>
      <c r="B11" s="46"/>
      <c r="C11" s="47"/>
      <c r="D11" s="47"/>
      <c r="E11" s="47"/>
      <c r="F11" s="47"/>
      <c r="G11" s="47"/>
      <c r="H11" s="47"/>
      <c r="I11" s="47"/>
      <c r="J11" s="47"/>
      <c r="K11" s="47"/>
      <c r="L11" s="47"/>
      <c r="M11" s="47"/>
      <c r="N11" s="46"/>
    </row>
    <row r="12" spans="1:14" s="57" customFormat="1">
      <c r="A12" s="165" t="s">
        <v>327</v>
      </c>
      <c r="B12" s="46"/>
      <c r="C12" s="47"/>
      <c r="D12" s="47"/>
      <c r="E12" s="47"/>
      <c r="F12" s="47"/>
      <c r="G12" s="47"/>
      <c r="H12" s="47"/>
      <c r="I12" s="47"/>
      <c r="J12" s="47"/>
      <c r="K12" s="47"/>
      <c r="L12" s="47"/>
      <c r="M12" s="47"/>
      <c r="N12" s="46"/>
    </row>
    <row r="13" spans="1:14" s="57" customFormat="1">
      <c r="A13" s="60"/>
      <c r="B13" s="46"/>
      <c r="C13" s="47"/>
      <c r="D13" s="47"/>
      <c r="E13" s="47"/>
      <c r="F13" s="47"/>
      <c r="G13" s="47"/>
      <c r="H13" s="47"/>
      <c r="I13" s="47"/>
      <c r="J13" s="47"/>
      <c r="K13" s="47"/>
      <c r="L13" s="47"/>
      <c r="M13" s="47"/>
      <c r="N13" s="46"/>
    </row>
    <row r="14" spans="1:14" s="57" customFormat="1">
      <c r="A14" s="61"/>
      <c r="B14" s="46"/>
      <c r="C14" s="47"/>
      <c r="D14" s="47"/>
      <c r="E14" s="47"/>
      <c r="F14" s="47"/>
      <c r="G14" s="47"/>
      <c r="H14" s="47"/>
      <c r="I14" s="47"/>
      <c r="J14" s="47"/>
      <c r="K14" s="47"/>
      <c r="L14" s="47"/>
      <c r="M14" s="47"/>
      <c r="N14" s="46"/>
    </row>
    <row r="15" spans="1:14" s="57" customFormat="1">
      <c r="A15" s="60"/>
      <c r="B15" s="46"/>
      <c r="C15" s="47"/>
      <c r="D15" s="47"/>
      <c r="E15" s="47"/>
      <c r="F15" s="47"/>
      <c r="G15" s="47"/>
      <c r="H15" s="47"/>
      <c r="I15" s="47"/>
      <c r="J15" s="47"/>
      <c r="K15" s="47"/>
      <c r="L15" s="47"/>
      <c r="M15" s="47"/>
      <c r="N15" s="46"/>
    </row>
    <row r="16" spans="1:14" s="57" customFormat="1">
      <c r="A16" s="60"/>
      <c r="B16" s="46"/>
      <c r="C16" s="47"/>
      <c r="D16" s="47"/>
      <c r="E16" s="47"/>
      <c r="F16" s="47"/>
      <c r="G16" s="47"/>
      <c r="H16" s="47"/>
      <c r="I16" s="47"/>
      <c r="J16" s="47"/>
      <c r="K16" s="47"/>
      <c r="L16" s="47"/>
      <c r="M16" s="47"/>
      <c r="N16" s="46"/>
    </row>
    <row r="17" spans="1:14" s="57" customFormat="1">
      <c r="A17" s="60"/>
      <c r="B17" s="46"/>
      <c r="C17" s="47"/>
      <c r="D17" s="47"/>
      <c r="E17" s="47"/>
      <c r="F17" s="47"/>
      <c r="G17" s="47"/>
      <c r="H17" s="47"/>
      <c r="I17" s="47"/>
      <c r="J17" s="47"/>
      <c r="K17" s="47"/>
      <c r="L17" s="47"/>
      <c r="M17" s="47"/>
      <c r="N17" s="46"/>
    </row>
    <row r="18" spans="1:14" s="57" customFormat="1">
      <c r="A18" s="60"/>
      <c r="B18" s="46"/>
      <c r="C18" s="47"/>
      <c r="D18" s="47"/>
      <c r="E18" s="47"/>
      <c r="F18" s="47"/>
      <c r="G18" s="47"/>
      <c r="H18" s="47"/>
      <c r="I18" s="47"/>
      <c r="J18" s="47"/>
      <c r="K18" s="47"/>
      <c r="L18" s="47"/>
      <c r="M18" s="47"/>
      <c r="N18" s="46"/>
    </row>
    <row r="19" spans="1:14" s="57" customFormat="1">
      <c r="A19" s="60"/>
      <c r="B19" s="46"/>
      <c r="C19" s="47"/>
      <c r="D19" s="47"/>
      <c r="E19" s="47"/>
      <c r="F19" s="47"/>
      <c r="G19" s="47"/>
      <c r="H19" s="47"/>
      <c r="I19" s="47"/>
      <c r="J19" s="47"/>
      <c r="K19" s="47"/>
      <c r="L19" s="47"/>
      <c r="M19" s="47"/>
      <c r="N19" s="46"/>
    </row>
    <row r="20" spans="1:14" s="57" customFormat="1">
      <c r="A20" s="60"/>
      <c r="B20" s="46"/>
      <c r="C20" s="47"/>
      <c r="D20" s="47"/>
      <c r="E20" s="47"/>
      <c r="F20" s="47"/>
      <c r="G20" s="47"/>
      <c r="H20" s="47"/>
      <c r="I20" s="47"/>
      <c r="J20" s="47"/>
      <c r="K20" s="47"/>
      <c r="L20" s="47"/>
      <c r="M20" s="47"/>
      <c r="N20" s="46"/>
    </row>
    <row r="21" spans="1:14" s="57" customFormat="1">
      <c r="A21" s="60"/>
      <c r="B21" s="46"/>
      <c r="C21" s="47"/>
      <c r="D21" s="47"/>
      <c r="E21" s="47"/>
      <c r="F21" s="47"/>
      <c r="G21" s="47"/>
      <c r="H21" s="47"/>
      <c r="I21" s="47"/>
      <c r="J21" s="47"/>
      <c r="K21" s="47"/>
      <c r="L21" s="47"/>
      <c r="M21" s="47"/>
      <c r="N21" s="46"/>
    </row>
    <row r="22" spans="1:14" s="57" customFormat="1">
      <c r="A22" s="60"/>
      <c r="B22" s="46"/>
      <c r="C22" s="47"/>
      <c r="D22" s="47"/>
      <c r="E22" s="47"/>
      <c r="F22" s="47"/>
      <c r="G22" s="47"/>
      <c r="H22" s="47"/>
      <c r="I22" s="47"/>
      <c r="J22" s="47"/>
      <c r="K22" s="47"/>
      <c r="L22" s="47"/>
      <c r="M22" s="47"/>
      <c r="N22" s="46"/>
    </row>
    <row r="23" spans="1:14" s="57" customFormat="1">
      <c r="A23" s="60"/>
      <c r="B23" s="46"/>
      <c r="C23" s="47"/>
      <c r="D23" s="47"/>
      <c r="E23" s="47"/>
      <c r="F23" s="47"/>
      <c r="G23" s="47"/>
      <c r="H23" s="47"/>
      <c r="I23" s="47"/>
      <c r="J23" s="47"/>
      <c r="K23" s="47"/>
      <c r="L23" s="47"/>
      <c r="M23" s="47"/>
      <c r="N23" s="46"/>
    </row>
    <row r="24" spans="1:14" s="57" customFormat="1">
      <c r="A24" s="60"/>
      <c r="B24" s="46"/>
      <c r="C24" s="47"/>
      <c r="D24" s="47"/>
      <c r="E24" s="47"/>
      <c r="F24" s="47"/>
      <c r="G24" s="47"/>
      <c r="H24" s="47"/>
      <c r="I24" s="47"/>
      <c r="J24" s="47"/>
      <c r="K24" s="47"/>
      <c r="L24" s="47"/>
      <c r="M24" s="47"/>
      <c r="N24" s="46"/>
    </row>
    <row r="25" spans="1:14" s="57" customFormat="1">
      <c r="A25" s="60"/>
      <c r="B25" s="46"/>
      <c r="C25" s="47"/>
      <c r="D25" s="47"/>
      <c r="E25" s="47"/>
      <c r="F25" s="47"/>
      <c r="G25" s="47"/>
      <c r="H25" s="47"/>
      <c r="I25" s="47"/>
      <c r="J25" s="47"/>
      <c r="K25" s="47"/>
      <c r="L25" s="47"/>
      <c r="M25" s="47"/>
      <c r="N25" s="46"/>
    </row>
    <row r="26" spans="1:14" s="57" customFormat="1">
      <c r="A26" s="60"/>
      <c r="B26" s="46"/>
      <c r="C26" s="47"/>
      <c r="D26" s="47"/>
      <c r="E26" s="47"/>
      <c r="F26" s="47"/>
      <c r="G26" s="47"/>
      <c r="H26" s="47"/>
      <c r="I26" s="47"/>
      <c r="J26" s="47"/>
      <c r="K26" s="47"/>
      <c r="L26" s="47"/>
      <c r="M26" s="47"/>
      <c r="N26" s="46"/>
    </row>
    <row r="27" spans="1:14" s="57" customFormat="1">
      <c r="A27" s="61"/>
      <c r="B27" s="46"/>
      <c r="C27" s="47"/>
      <c r="D27" s="47"/>
      <c r="E27" s="47"/>
      <c r="F27" s="47"/>
      <c r="G27" s="47"/>
      <c r="H27" s="47"/>
      <c r="I27" s="47"/>
      <c r="J27" s="47"/>
      <c r="K27" s="47"/>
      <c r="L27" s="47"/>
      <c r="M27" s="47"/>
      <c r="N27" s="46"/>
    </row>
    <row r="28" spans="1:14" s="57" customFormat="1">
      <c r="A28" s="61"/>
      <c r="B28" s="46"/>
      <c r="C28" s="47"/>
      <c r="D28" s="47"/>
      <c r="E28" s="47"/>
      <c r="F28" s="47"/>
      <c r="G28" s="47"/>
      <c r="H28" s="47"/>
      <c r="I28" s="47"/>
      <c r="J28" s="47"/>
      <c r="K28" s="47"/>
      <c r="L28" s="47"/>
      <c r="M28" s="47"/>
      <c r="N28" s="46"/>
    </row>
    <row r="29" spans="1:14" s="57" customFormat="1">
      <c r="A29" s="60"/>
      <c r="B29" s="46"/>
      <c r="C29" s="47"/>
      <c r="D29" s="47"/>
      <c r="E29" s="47"/>
      <c r="F29" s="47"/>
      <c r="G29" s="47"/>
      <c r="H29" s="47"/>
      <c r="I29" s="47"/>
      <c r="J29" s="47"/>
      <c r="K29" s="47"/>
      <c r="L29" s="47"/>
      <c r="M29" s="47"/>
      <c r="N29" s="46"/>
    </row>
    <row r="30" spans="1:14" s="57" customFormat="1">
      <c r="A30" s="60"/>
      <c r="B30" s="46"/>
      <c r="C30" s="47"/>
      <c r="D30" s="47"/>
      <c r="E30" s="47"/>
      <c r="F30" s="47"/>
      <c r="G30" s="47"/>
      <c r="H30" s="47"/>
      <c r="I30" s="47"/>
      <c r="J30" s="47"/>
      <c r="K30" s="47"/>
      <c r="L30" s="47"/>
      <c r="M30" s="47"/>
      <c r="N30" s="46"/>
    </row>
    <row r="31" spans="1:14" s="57" customFormat="1">
      <c r="A31" s="61"/>
      <c r="B31" s="46"/>
      <c r="C31" s="47"/>
      <c r="D31" s="47"/>
      <c r="E31" s="47"/>
      <c r="F31" s="47"/>
      <c r="G31" s="47"/>
      <c r="H31" s="47"/>
      <c r="I31" s="47"/>
      <c r="J31" s="47"/>
      <c r="K31" s="47"/>
      <c r="L31" s="47"/>
      <c r="M31" s="47"/>
      <c r="N31" s="46"/>
    </row>
    <row r="32" spans="1:14" s="57" customFormat="1">
      <c r="A32" s="60"/>
      <c r="B32" s="46"/>
      <c r="C32" s="47"/>
      <c r="D32" s="47"/>
      <c r="E32" s="47"/>
      <c r="F32" s="47"/>
      <c r="G32" s="47"/>
      <c r="H32" s="47"/>
      <c r="I32" s="47"/>
      <c r="J32" s="47"/>
      <c r="K32" s="47"/>
      <c r="L32" s="47"/>
      <c r="M32" s="47"/>
      <c r="N32" s="46"/>
    </row>
    <row r="33" spans="1:14" s="57" customFormat="1">
      <c r="A33" s="60"/>
      <c r="B33" s="46"/>
      <c r="C33" s="47"/>
      <c r="D33" s="47"/>
      <c r="E33" s="47"/>
      <c r="F33" s="47"/>
      <c r="G33" s="47"/>
      <c r="H33" s="47"/>
      <c r="I33" s="47"/>
      <c r="J33" s="47"/>
      <c r="K33" s="47"/>
      <c r="L33" s="47"/>
      <c r="M33" s="47"/>
      <c r="N33" s="46"/>
    </row>
    <row r="34" spans="1:14" s="57" customFormat="1">
      <c r="A34" s="60"/>
      <c r="B34" s="46"/>
      <c r="C34" s="47"/>
      <c r="D34" s="47"/>
      <c r="E34" s="47"/>
      <c r="F34" s="47"/>
      <c r="G34" s="47"/>
      <c r="H34" s="47"/>
      <c r="I34" s="47"/>
      <c r="J34" s="47"/>
      <c r="K34" s="47"/>
      <c r="L34" s="47"/>
      <c r="M34" s="47"/>
      <c r="N34" s="46"/>
    </row>
    <row r="35" spans="1:14" s="57" customFormat="1">
      <c r="A35" s="60"/>
      <c r="B35" s="46"/>
      <c r="C35" s="47"/>
      <c r="D35" s="47"/>
      <c r="E35" s="47"/>
      <c r="F35" s="47"/>
      <c r="G35" s="47"/>
      <c r="H35" s="47"/>
      <c r="I35" s="47"/>
      <c r="J35" s="47"/>
      <c r="K35" s="47"/>
      <c r="L35" s="47"/>
      <c r="M35" s="47"/>
      <c r="N35" s="46"/>
    </row>
    <row r="36" spans="1:14" s="57" customFormat="1">
      <c r="A36" s="60"/>
      <c r="B36" s="46"/>
      <c r="C36" s="47"/>
      <c r="D36" s="47"/>
      <c r="E36" s="47"/>
      <c r="F36" s="47"/>
      <c r="G36" s="47"/>
      <c r="H36" s="47"/>
      <c r="I36" s="47"/>
      <c r="J36" s="47"/>
      <c r="K36" s="47"/>
      <c r="L36" s="47"/>
      <c r="M36" s="47"/>
      <c r="N36" s="46"/>
    </row>
    <row r="37" spans="1:14" s="57" customFormat="1">
      <c r="A37" s="60"/>
      <c r="B37" s="46"/>
      <c r="C37" s="47"/>
      <c r="D37" s="47"/>
      <c r="E37" s="47"/>
      <c r="F37" s="47"/>
      <c r="G37" s="47"/>
      <c r="H37" s="47"/>
      <c r="I37" s="47"/>
      <c r="J37" s="47"/>
      <c r="K37" s="47"/>
      <c r="L37" s="47"/>
      <c r="M37" s="47"/>
      <c r="N37" s="46"/>
    </row>
    <row r="38" spans="1:14" s="57" customFormat="1">
      <c r="A38" s="60"/>
      <c r="B38" s="46"/>
      <c r="C38" s="47"/>
      <c r="D38" s="47"/>
      <c r="E38" s="47"/>
      <c r="F38" s="47"/>
      <c r="G38" s="47"/>
      <c r="H38" s="47"/>
      <c r="I38" s="47"/>
      <c r="J38" s="47"/>
      <c r="K38" s="47"/>
      <c r="L38" s="47"/>
      <c r="M38" s="47"/>
      <c r="N38" s="46"/>
    </row>
    <row r="39" spans="1:14" s="57" customFormat="1">
      <c r="A39" s="60"/>
      <c r="B39" s="46"/>
      <c r="C39" s="47"/>
      <c r="D39" s="47"/>
      <c r="E39" s="47"/>
      <c r="F39" s="47"/>
      <c r="G39" s="47"/>
      <c r="H39" s="47"/>
      <c r="I39" s="47"/>
      <c r="J39" s="47"/>
      <c r="K39" s="47"/>
      <c r="L39" s="47"/>
      <c r="M39" s="47"/>
      <c r="N39" s="46"/>
    </row>
    <row r="40" spans="1:14" s="57" customFormat="1">
      <c r="A40" s="60"/>
      <c r="B40" s="46"/>
      <c r="C40" s="47"/>
      <c r="D40" s="47"/>
      <c r="E40" s="47"/>
      <c r="F40" s="47"/>
      <c r="G40" s="47"/>
      <c r="H40" s="47"/>
      <c r="I40" s="47"/>
      <c r="J40" s="47"/>
      <c r="K40" s="47"/>
      <c r="L40" s="47"/>
      <c r="M40" s="47"/>
      <c r="N40" s="46"/>
    </row>
    <row r="41" spans="1:14" s="57" customFormat="1">
      <c r="A41" s="60"/>
      <c r="B41" s="46"/>
      <c r="C41" s="47"/>
      <c r="D41" s="47"/>
      <c r="E41" s="47"/>
      <c r="F41" s="47"/>
      <c r="G41" s="47"/>
      <c r="H41" s="47"/>
      <c r="I41" s="47"/>
      <c r="J41" s="47"/>
      <c r="K41" s="47"/>
      <c r="L41" s="47"/>
      <c r="M41" s="47"/>
      <c r="N41" s="46"/>
    </row>
    <row r="42" spans="1:14" s="57" customFormat="1">
      <c r="A42" s="60"/>
      <c r="B42" s="46"/>
      <c r="C42" s="47"/>
      <c r="D42" s="47"/>
      <c r="E42" s="47"/>
      <c r="F42" s="47"/>
      <c r="G42" s="47"/>
      <c r="H42" s="47"/>
      <c r="I42" s="47"/>
      <c r="J42" s="47"/>
      <c r="K42" s="47"/>
      <c r="L42" s="47"/>
      <c r="M42" s="47"/>
      <c r="N42" s="46"/>
    </row>
    <row r="43" spans="1:14" s="57" customFormat="1">
      <c r="A43" s="60"/>
      <c r="B43" s="46"/>
      <c r="C43" s="47"/>
      <c r="D43" s="47"/>
      <c r="E43" s="47"/>
      <c r="F43" s="47"/>
      <c r="G43" s="47"/>
      <c r="H43" s="47"/>
      <c r="I43" s="47"/>
      <c r="J43" s="47"/>
      <c r="K43" s="47"/>
      <c r="L43" s="47"/>
      <c r="M43" s="47"/>
      <c r="N43" s="46"/>
    </row>
    <row r="44" spans="1:14" s="57" customFormat="1">
      <c r="A44" s="60"/>
      <c r="B44" s="46"/>
      <c r="C44" s="47"/>
      <c r="D44" s="47"/>
      <c r="E44" s="47"/>
      <c r="F44" s="47"/>
      <c r="G44" s="47"/>
      <c r="H44" s="47"/>
      <c r="I44" s="47"/>
      <c r="J44" s="47"/>
      <c r="K44" s="47"/>
      <c r="L44" s="47"/>
      <c r="M44" s="47"/>
      <c r="N44" s="46"/>
    </row>
    <row r="45" spans="1:14" s="57" customFormat="1">
      <c r="A45" s="61"/>
      <c r="B45" s="46"/>
      <c r="C45" s="47"/>
      <c r="D45" s="47"/>
      <c r="E45" s="47"/>
      <c r="F45" s="47"/>
      <c r="G45" s="47"/>
      <c r="H45" s="47"/>
      <c r="I45" s="47"/>
      <c r="J45" s="47"/>
      <c r="K45" s="47"/>
      <c r="L45" s="47"/>
      <c r="M45" s="47"/>
      <c r="N45" s="46"/>
    </row>
    <row r="46" spans="1:14" s="57" customFormat="1">
      <c r="A46" s="60"/>
      <c r="B46" s="46"/>
      <c r="C46" s="47"/>
      <c r="D46" s="47"/>
      <c r="E46" s="47"/>
      <c r="F46" s="47"/>
      <c r="G46" s="47"/>
      <c r="H46" s="47"/>
      <c r="I46" s="47"/>
      <c r="J46" s="47"/>
      <c r="K46" s="47"/>
      <c r="L46" s="47"/>
      <c r="M46" s="47"/>
      <c r="N46" s="46"/>
    </row>
    <row r="47" spans="1:14" s="57" customFormat="1">
      <c r="A47" s="60"/>
      <c r="B47" s="46"/>
      <c r="C47" s="47"/>
      <c r="D47" s="47"/>
      <c r="E47" s="47"/>
      <c r="F47" s="47"/>
      <c r="G47" s="47"/>
      <c r="H47" s="47"/>
      <c r="I47" s="47"/>
      <c r="J47" s="47"/>
      <c r="K47" s="47"/>
      <c r="L47" s="47"/>
      <c r="M47" s="47"/>
      <c r="N47" s="46"/>
    </row>
    <row r="48" spans="1:14" s="57" customFormat="1">
      <c r="A48" s="60"/>
      <c r="B48" s="46"/>
      <c r="C48" s="47"/>
      <c r="D48" s="47"/>
      <c r="E48" s="47"/>
      <c r="F48" s="47"/>
      <c r="G48" s="47"/>
      <c r="H48" s="47"/>
      <c r="I48" s="47"/>
      <c r="J48" s="47"/>
      <c r="K48" s="47"/>
      <c r="L48" s="47"/>
      <c r="M48" s="47"/>
      <c r="N48" s="46"/>
    </row>
    <row r="49" spans="1:14" s="57" customFormat="1">
      <c r="A49" s="60"/>
      <c r="B49" s="46"/>
      <c r="C49" s="47"/>
      <c r="D49" s="47"/>
      <c r="E49" s="47"/>
      <c r="F49" s="47"/>
      <c r="G49" s="47"/>
      <c r="H49" s="47"/>
      <c r="I49" s="47"/>
      <c r="J49" s="47"/>
      <c r="K49" s="47"/>
      <c r="L49" s="47"/>
      <c r="M49" s="47"/>
      <c r="N49" s="46"/>
    </row>
    <row r="50" spans="1:14" s="57" customFormat="1">
      <c r="A50" s="60"/>
      <c r="B50" s="46"/>
      <c r="C50" s="47"/>
      <c r="D50" s="47"/>
      <c r="E50" s="47"/>
      <c r="F50" s="47"/>
      <c r="G50" s="47"/>
      <c r="H50" s="47"/>
      <c r="I50" s="47"/>
      <c r="J50" s="47"/>
      <c r="K50" s="47"/>
      <c r="L50" s="47"/>
      <c r="M50" s="47"/>
      <c r="N50" s="46"/>
    </row>
    <row r="51" spans="1:14" s="57" customFormat="1">
      <c r="A51" s="60"/>
      <c r="B51" s="46"/>
      <c r="C51" s="47"/>
      <c r="D51" s="47"/>
      <c r="E51" s="47"/>
      <c r="F51" s="47"/>
      <c r="G51" s="47"/>
      <c r="H51" s="47"/>
      <c r="I51" s="47"/>
      <c r="J51" s="47"/>
      <c r="K51" s="47"/>
      <c r="L51" s="47"/>
      <c r="M51" s="47"/>
      <c r="N51" s="46"/>
    </row>
    <row r="52" spans="1:14" s="57" customFormat="1">
      <c r="A52" s="60"/>
      <c r="B52" s="46"/>
      <c r="C52" s="47"/>
      <c r="D52" s="47"/>
      <c r="E52" s="47"/>
      <c r="F52" s="47"/>
      <c r="G52" s="47"/>
      <c r="H52" s="47"/>
      <c r="I52" s="47"/>
      <c r="J52" s="47"/>
      <c r="K52" s="47"/>
      <c r="L52" s="47"/>
      <c r="M52" s="47"/>
      <c r="N52" s="46"/>
    </row>
    <row r="53" spans="1:14" s="57" customFormat="1">
      <c r="A53" s="61"/>
      <c r="B53" s="46"/>
      <c r="C53" s="47"/>
      <c r="D53" s="47"/>
      <c r="E53" s="47"/>
      <c r="F53" s="47"/>
      <c r="G53" s="47"/>
      <c r="H53" s="47"/>
      <c r="I53" s="47"/>
      <c r="J53" s="47"/>
      <c r="K53" s="47"/>
      <c r="L53" s="47"/>
      <c r="M53" s="47"/>
      <c r="N53" s="46"/>
    </row>
    <row r="54" spans="1:14" s="57" customFormat="1">
      <c r="A54" s="61"/>
      <c r="B54" s="46"/>
      <c r="C54" s="47"/>
      <c r="D54" s="47"/>
      <c r="E54" s="47"/>
      <c r="F54" s="47"/>
      <c r="G54" s="47"/>
      <c r="H54" s="47"/>
      <c r="I54" s="47"/>
      <c r="J54" s="47"/>
      <c r="K54" s="47"/>
      <c r="L54" s="47"/>
      <c r="M54" s="47"/>
      <c r="N54" s="46"/>
    </row>
    <row r="55" spans="1:14" s="57" customFormat="1">
      <c r="A55" s="60"/>
      <c r="B55" s="46"/>
      <c r="C55" s="47"/>
      <c r="D55" s="47"/>
      <c r="E55" s="47"/>
      <c r="F55" s="47"/>
      <c r="G55" s="47"/>
      <c r="H55" s="47"/>
      <c r="I55" s="47"/>
      <c r="J55" s="47"/>
      <c r="K55" s="47"/>
      <c r="L55" s="47"/>
      <c r="M55" s="47"/>
      <c r="N55" s="46"/>
    </row>
    <row r="56" spans="1:14" s="57" customFormat="1">
      <c r="A56" s="60"/>
      <c r="B56" s="46"/>
      <c r="C56" s="47"/>
      <c r="D56" s="47"/>
      <c r="E56" s="47"/>
      <c r="F56" s="47"/>
      <c r="G56" s="47"/>
      <c r="H56" s="47"/>
      <c r="I56" s="47"/>
      <c r="J56" s="47"/>
      <c r="K56" s="47"/>
      <c r="L56" s="47"/>
      <c r="M56" s="47"/>
      <c r="N56" s="46"/>
    </row>
    <row r="57" spans="1:14" s="57" customFormat="1">
      <c r="A57" s="60"/>
      <c r="B57" s="46"/>
      <c r="C57" s="47"/>
      <c r="D57" s="47"/>
      <c r="E57" s="47"/>
      <c r="F57" s="47"/>
      <c r="G57" s="47"/>
      <c r="H57" s="47"/>
      <c r="I57" s="47"/>
      <c r="J57" s="47"/>
      <c r="K57" s="47"/>
      <c r="L57" s="47"/>
      <c r="M57" s="47"/>
      <c r="N57" s="46"/>
    </row>
    <row r="58" spans="1:14" s="57" customFormat="1">
      <c r="A58" s="60"/>
      <c r="B58" s="46"/>
      <c r="C58" s="47"/>
      <c r="D58" s="47"/>
      <c r="E58" s="47"/>
      <c r="F58" s="47"/>
      <c r="G58" s="47"/>
      <c r="H58" s="47"/>
      <c r="I58" s="47"/>
      <c r="J58" s="47"/>
      <c r="K58" s="47"/>
      <c r="L58" s="47"/>
      <c r="M58" s="47"/>
      <c r="N58" s="46"/>
    </row>
    <row r="59" spans="1:14" s="57" customFormat="1">
      <c r="A59" s="60"/>
      <c r="B59" s="46"/>
      <c r="C59" s="47"/>
      <c r="D59" s="47"/>
      <c r="E59" s="47"/>
      <c r="F59" s="47"/>
      <c r="G59" s="47"/>
      <c r="H59" s="47"/>
      <c r="I59" s="47"/>
      <c r="J59" s="47"/>
      <c r="K59" s="47"/>
      <c r="L59" s="47"/>
      <c r="M59" s="47"/>
      <c r="N59" s="46"/>
    </row>
    <row r="60" spans="1:14" s="57" customFormat="1">
      <c r="A60" s="60"/>
      <c r="B60" s="46"/>
      <c r="C60" s="47"/>
      <c r="D60" s="47"/>
      <c r="E60" s="47"/>
      <c r="F60" s="47"/>
      <c r="G60" s="47"/>
      <c r="H60" s="47"/>
      <c r="I60" s="47"/>
      <c r="J60" s="47"/>
      <c r="K60" s="47"/>
      <c r="L60" s="47"/>
      <c r="M60" s="47"/>
      <c r="N60" s="46"/>
    </row>
    <row r="61" spans="1:14" s="57" customFormat="1">
      <c r="A61" s="60"/>
      <c r="B61" s="46"/>
      <c r="C61" s="47"/>
      <c r="D61" s="47"/>
      <c r="E61" s="47"/>
      <c r="F61" s="47"/>
      <c r="G61" s="47"/>
      <c r="H61" s="47"/>
      <c r="I61" s="47"/>
      <c r="J61" s="47"/>
      <c r="K61" s="47"/>
      <c r="L61" s="47"/>
      <c r="M61" s="47"/>
      <c r="N61" s="46"/>
    </row>
    <row r="62" spans="1:14" s="57" customFormat="1">
      <c r="A62" s="60"/>
      <c r="B62" s="46"/>
      <c r="C62" s="47"/>
      <c r="D62" s="47"/>
      <c r="E62" s="47"/>
      <c r="F62" s="47"/>
      <c r="G62" s="47"/>
      <c r="H62" s="47"/>
      <c r="I62" s="47"/>
      <c r="J62" s="47"/>
      <c r="K62" s="47"/>
      <c r="L62" s="47"/>
      <c r="M62" s="47"/>
      <c r="N62" s="46"/>
    </row>
    <row r="63" spans="1:14" s="57" customFormat="1">
      <c r="A63" s="60"/>
      <c r="B63" s="46"/>
      <c r="C63" s="47"/>
      <c r="D63" s="47"/>
      <c r="E63" s="47"/>
      <c r="F63" s="47"/>
      <c r="G63" s="47"/>
      <c r="H63" s="47"/>
      <c r="I63" s="47"/>
      <c r="J63" s="47"/>
      <c r="K63" s="47"/>
      <c r="L63" s="47"/>
      <c r="M63" s="47"/>
      <c r="N63" s="46"/>
    </row>
    <row r="64" spans="1:14" s="57" customFormat="1">
      <c r="A64" s="60"/>
      <c r="B64" s="46"/>
      <c r="C64" s="47"/>
      <c r="D64" s="47"/>
      <c r="E64" s="47"/>
      <c r="F64" s="47"/>
      <c r="G64" s="47"/>
      <c r="H64" s="47"/>
      <c r="I64" s="47"/>
      <c r="J64" s="47"/>
      <c r="K64" s="47"/>
      <c r="L64" s="47"/>
      <c r="M64" s="47"/>
      <c r="N64" s="46"/>
    </row>
    <row r="65" spans="1:14" s="57" customFormat="1">
      <c r="A65" s="60"/>
      <c r="B65" s="46"/>
      <c r="C65" s="47"/>
      <c r="D65" s="47"/>
      <c r="E65" s="47"/>
      <c r="F65" s="47"/>
      <c r="G65" s="47"/>
      <c r="H65" s="47"/>
      <c r="I65" s="47"/>
      <c r="J65" s="47"/>
      <c r="K65" s="47"/>
      <c r="L65" s="47"/>
      <c r="M65" s="47"/>
      <c r="N65" s="46"/>
    </row>
    <row r="66" spans="1:14" s="57" customFormat="1">
      <c r="A66" s="60"/>
      <c r="B66" s="46"/>
      <c r="C66" s="47"/>
      <c r="D66" s="47"/>
      <c r="E66" s="47"/>
      <c r="F66" s="47"/>
      <c r="G66" s="47"/>
      <c r="H66" s="47"/>
      <c r="I66" s="47"/>
      <c r="J66" s="47"/>
      <c r="K66" s="47"/>
      <c r="L66" s="47"/>
      <c r="M66" s="47"/>
      <c r="N66" s="46"/>
    </row>
    <row r="67" spans="1:14" s="57" customFormat="1">
      <c r="A67" s="60"/>
      <c r="B67" s="46"/>
      <c r="C67" s="47"/>
      <c r="D67" s="47"/>
      <c r="E67" s="47"/>
      <c r="F67" s="47"/>
      <c r="G67" s="47"/>
      <c r="H67" s="47"/>
      <c r="I67" s="47"/>
      <c r="J67" s="47"/>
      <c r="K67" s="47"/>
      <c r="L67" s="47"/>
      <c r="M67" s="47"/>
      <c r="N67" s="46"/>
    </row>
    <row r="68" spans="1:14" s="57" customFormat="1">
      <c r="A68" s="60"/>
      <c r="B68" s="46"/>
      <c r="C68" s="47"/>
      <c r="D68" s="47"/>
      <c r="E68" s="47"/>
      <c r="F68" s="47"/>
      <c r="G68" s="47"/>
      <c r="H68" s="47"/>
      <c r="I68" s="47"/>
      <c r="J68" s="47"/>
      <c r="K68" s="47"/>
      <c r="L68" s="47"/>
      <c r="M68" s="47"/>
      <c r="N68" s="46"/>
    </row>
    <row r="69" spans="1:14" s="57" customFormat="1">
      <c r="A69" s="60"/>
      <c r="B69" s="46"/>
      <c r="C69" s="47"/>
      <c r="D69" s="47"/>
      <c r="E69" s="47"/>
      <c r="F69" s="47"/>
      <c r="G69" s="47"/>
      <c r="H69" s="47"/>
      <c r="I69" s="47"/>
      <c r="J69" s="47"/>
      <c r="K69" s="47"/>
      <c r="L69" s="47"/>
      <c r="M69" s="47"/>
      <c r="N69" s="46"/>
    </row>
    <row r="70" spans="1:14" s="57" customFormat="1">
      <c r="A70" s="61"/>
      <c r="B70" s="46"/>
      <c r="C70" s="47"/>
      <c r="D70" s="47"/>
      <c r="E70" s="47"/>
      <c r="F70" s="47"/>
      <c r="G70" s="47"/>
      <c r="H70" s="47"/>
      <c r="I70" s="47"/>
      <c r="J70" s="47"/>
      <c r="K70" s="47"/>
      <c r="L70" s="47"/>
      <c r="M70" s="47"/>
      <c r="N70" s="46"/>
    </row>
    <row r="71" spans="1:14" s="57" customFormat="1">
      <c r="A71" s="60"/>
      <c r="B71" s="46"/>
      <c r="C71" s="47"/>
      <c r="D71" s="47"/>
      <c r="E71" s="47"/>
      <c r="F71" s="47"/>
      <c r="G71" s="47"/>
      <c r="H71" s="47"/>
      <c r="I71" s="47"/>
      <c r="J71" s="47"/>
      <c r="K71" s="47"/>
      <c r="L71" s="47"/>
      <c r="M71" s="47"/>
      <c r="N71" s="46"/>
    </row>
    <row r="72" spans="1:14" s="57" customFormat="1">
      <c r="A72" s="60"/>
      <c r="B72" s="46"/>
      <c r="C72" s="47"/>
      <c r="D72" s="47"/>
      <c r="E72" s="47"/>
      <c r="F72" s="47"/>
      <c r="G72" s="47"/>
      <c r="H72" s="47"/>
      <c r="I72" s="47"/>
      <c r="J72" s="47"/>
      <c r="K72" s="47"/>
      <c r="L72" s="47"/>
      <c r="M72" s="47"/>
      <c r="N72" s="46"/>
    </row>
    <row r="73" spans="1:14" s="57" customFormat="1">
      <c r="A73" s="60"/>
      <c r="B73" s="46"/>
      <c r="C73" s="47"/>
      <c r="D73" s="47"/>
      <c r="E73" s="47"/>
      <c r="F73" s="47"/>
      <c r="G73" s="47"/>
      <c r="H73" s="47"/>
      <c r="I73" s="47"/>
      <c r="J73" s="47"/>
      <c r="K73" s="47"/>
      <c r="L73" s="47"/>
      <c r="M73" s="47"/>
      <c r="N73" s="46"/>
    </row>
    <row r="74" spans="1:14" s="57" customFormat="1">
      <c r="A74" s="60"/>
      <c r="B74" s="46"/>
      <c r="C74" s="47"/>
      <c r="D74" s="47"/>
      <c r="E74" s="47"/>
      <c r="F74" s="47"/>
      <c r="G74" s="47"/>
      <c r="H74" s="47"/>
      <c r="I74" s="47"/>
      <c r="J74" s="47"/>
      <c r="K74" s="47"/>
      <c r="L74" s="47"/>
      <c r="M74" s="47"/>
      <c r="N74" s="46"/>
    </row>
    <row r="75" spans="1:14" s="57" customFormat="1">
      <c r="A75" s="60"/>
      <c r="B75" s="46"/>
      <c r="C75" s="47"/>
      <c r="D75" s="47"/>
      <c r="E75" s="47"/>
      <c r="F75" s="47"/>
      <c r="G75" s="47"/>
      <c r="H75" s="47"/>
      <c r="I75" s="47"/>
      <c r="J75" s="47"/>
      <c r="K75" s="47"/>
      <c r="L75" s="47"/>
      <c r="M75" s="47"/>
      <c r="N75" s="46"/>
    </row>
    <row r="76" spans="1:14" s="57" customFormat="1">
      <c r="A76" s="60"/>
      <c r="B76" s="46"/>
      <c r="C76" s="47"/>
      <c r="D76" s="47"/>
      <c r="E76" s="47"/>
      <c r="F76" s="47"/>
      <c r="G76" s="47"/>
      <c r="H76" s="47"/>
      <c r="I76" s="47"/>
      <c r="J76" s="47"/>
      <c r="K76" s="47"/>
      <c r="L76" s="47"/>
      <c r="M76" s="47"/>
      <c r="N76" s="46"/>
    </row>
    <row r="77" spans="1:14" s="57" customFormat="1">
      <c r="A77" s="60"/>
      <c r="B77" s="46"/>
      <c r="C77" s="47"/>
      <c r="D77" s="47"/>
      <c r="E77" s="47"/>
      <c r="F77" s="47"/>
      <c r="G77" s="47"/>
      <c r="H77" s="47"/>
      <c r="I77" s="47"/>
      <c r="J77" s="47"/>
      <c r="K77" s="47"/>
      <c r="L77" s="47"/>
      <c r="M77" s="47"/>
      <c r="N77" s="46"/>
    </row>
    <row r="78" spans="1:14" s="57" customFormat="1">
      <c r="A78" s="60"/>
      <c r="B78" s="46"/>
      <c r="C78" s="47"/>
      <c r="D78" s="47"/>
      <c r="E78" s="47"/>
      <c r="F78" s="47"/>
      <c r="G78" s="47"/>
      <c r="H78" s="47"/>
      <c r="I78" s="47"/>
      <c r="J78" s="47"/>
      <c r="K78" s="47"/>
      <c r="L78" s="47"/>
      <c r="M78" s="47"/>
      <c r="N78" s="46"/>
    </row>
    <row r="79" spans="1:14" s="57" customFormat="1">
      <c r="A79" s="60"/>
      <c r="B79" s="46"/>
      <c r="C79" s="47"/>
      <c r="D79" s="47"/>
      <c r="E79" s="47"/>
      <c r="F79" s="47"/>
      <c r="G79" s="47"/>
      <c r="H79" s="47"/>
      <c r="I79" s="47"/>
      <c r="J79" s="47"/>
      <c r="K79" s="47"/>
      <c r="L79" s="47"/>
      <c r="M79" s="47"/>
      <c r="N79" s="46"/>
    </row>
    <row r="80" spans="1:14" s="57" customFormat="1">
      <c r="A80" s="60"/>
      <c r="B80" s="46"/>
      <c r="C80" s="47"/>
      <c r="D80" s="47"/>
      <c r="E80" s="47"/>
      <c r="F80" s="47"/>
      <c r="G80" s="47"/>
      <c r="H80" s="47"/>
      <c r="I80" s="47"/>
      <c r="J80" s="47"/>
      <c r="K80" s="47"/>
      <c r="L80" s="47"/>
      <c r="M80" s="47"/>
      <c r="N80" s="46"/>
    </row>
    <row r="81" spans="1:14" s="57" customFormat="1">
      <c r="A81" s="60"/>
      <c r="B81" s="46"/>
      <c r="C81" s="47"/>
      <c r="D81" s="47"/>
      <c r="E81" s="47"/>
      <c r="F81" s="47"/>
      <c r="G81" s="47"/>
      <c r="H81" s="47"/>
      <c r="I81" s="47"/>
      <c r="J81" s="47"/>
      <c r="K81" s="47"/>
      <c r="L81" s="47"/>
      <c r="M81" s="47"/>
      <c r="N81" s="46"/>
    </row>
    <row r="82" spans="1:14" s="57" customFormat="1">
      <c r="A82" s="61"/>
      <c r="B82" s="46"/>
      <c r="C82" s="47"/>
      <c r="D82" s="47"/>
      <c r="E82" s="47"/>
      <c r="F82" s="47"/>
      <c r="G82" s="47"/>
      <c r="H82" s="47"/>
      <c r="I82" s="47"/>
      <c r="J82" s="47"/>
      <c r="K82" s="47"/>
      <c r="L82" s="47"/>
      <c r="M82" s="47"/>
      <c r="N82" s="46"/>
    </row>
    <row r="83" spans="1:14" s="57" customFormat="1">
      <c r="A83" s="60"/>
      <c r="B83" s="46"/>
      <c r="C83" s="47"/>
      <c r="D83" s="47"/>
      <c r="E83" s="47"/>
      <c r="F83" s="47"/>
      <c r="G83" s="47"/>
      <c r="H83" s="47"/>
      <c r="I83" s="47"/>
      <c r="J83" s="47"/>
      <c r="K83" s="47"/>
      <c r="L83" s="47"/>
      <c r="M83" s="47"/>
      <c r="N83" s="46"/>
    </row>
    <row r="84" spans="1:14" s="57" customFormat="1">
      <c r="A84" s="60"/>
      <c r="B84" s="46"/>
      <c r="C84" s="47"/>
      <c r="D84" s="47"/>
      <c r="E84" s="47"/>
      <c r="F84" s="47"/>
      <c r="G84" s="47"/>
      <c r="H84" s="47"/>
      <c r="I84" s="47"/>
      <c r="J84" s="47"/>
      <c r="K84" s="47"/>
      <c r="L84" s="47"/>
      <c r="M84" s="47"/>
      <c r="N84" s="46"/>
    </row>
    <row r="85" spans="1:14" s="57" customFormat="1">
      <c r="A85" s="60"/>
      <c r="B85" s="46"/>
      <c r="C85" s="47"/>
      <c r="D85" s="47"/>
      <c r="E85" s="47"/>
      <c r="F85" s="47"/>
      <c r="G85" s="47"/>
      <c r="H85" s="47"/>
      <c r="I85" s="47"/>
      <c r="J85" s="47"/>
      <c r="K85" s="47"/>
      <c r="L85" s="47"/>
      <c r="M85" s="47"/>
      <c r="N85" s="46"/>
    </row>
    <row r="86" spans="1:14" s="57" customFormat="1">
      <c r="A86" s="61"/>
      <c r="B86" s="46"/>
      <c r="C86" s="47"/>
      <c r="D86" s="47"/>
      <c r="E86" s="47"/>
      <c r="F86" s="47"/>
      <c r="G86" s="47"/>
      <c r="H86" s="47"/>
      <c r="I86" s="47"/>
      <c r="J86" s="47"/>
      <c r="K86" s="47"/>
      <c r="L86" s="47"/>
      <c r="M86" s="47"/>
      <c r="N86" s="46"/>
    </row>
    <row r="87" spans="1:14" s="57" customFormat="1">
      <c r="A87" s="60"/>
      <c r="B87" s="46"/>
      <c r="C87" s="47"/>
      <c r="D87" s="47"/>
      <c r="E87" s="47"/>
      <c r="F87" s="47"/>
      <c r="G87" s="47"/>
      <c r="H87" s="47"/>
      <c r="I87" s="47"/>
      <c r="J87" s="47"/>
      <c r="K87" s="47"/>
      <c r="L87" s="47"/>
      <c r="M87" s="47"/>
      <c r="N87" s="46"/>
    </row>
    <row r="88" spans="1:14" s="57" customFormat="1">
      <c r="A88" s="60"/>
      <c r="B88" s="46"/>
      <c r="C88" s="47"/>
      <c r="D88" s="47"/>
      <c r="E88" s="47"/>
      <c r="F88" s="47"/>
      <c r="G88" s="47"/>
      <c r="H88" s="47"/>
      <c r="I88" s="47"/>
      <c r="J88" s="47"/>
      <c r="K88" s="47"/>
      <c r="L88" s="47"/>
      <c r="M88" s="47"/>
      <c r="N88" s="46"/>
    </row>
    <row r="89" spans="1:14" s="57" customFormat="1">
      <c r="A89" s="61"/>
      <c r="B89" s="46"/>
      <c r="C89" s="47"/>
      <c r="D89" s="47"/>
      <c r="E89" s="47"/>
      <c r="F89" s="47"/>
      <c r="G89" s="47"/>
      <c r="H89" s="47"/>
      <c r="I89" s="47"/>
      <c r="J89" s="47"/>
      <c r="K89" s="47"/>
      <c r="L89" s="47"/>
      <c r="M89" s="47"/>
      <c r="N89" s="46"/>
    </row>
    <row r="90" spans="1:14" s="57" customFormat="1">
      <c r="A90" s="60"/>
      <c r="B90" s="46"/>
      <c r="C90" s="47"/>
      <c r="D90" s="47"/>
      <c r="E90" s="47"/>
      <c r="F90" s="47"/>
      <c r="G90" s="47"/>
      <c r="H90" s="47"/>
      <c r="I90" s="47"/>
      <c r="J90" s="47"/>
      <c r="K90" s="47"/>
      <c r="L90" s="47"/>
      <c r="M90" s="47"/>
      <c r="N90" s="46"/>
    </row>
    <row r="91" spans="1:14" s="57" customFormat="1">
      <c r="A91" s="60"/>
      <c r="B91" s="46"/>
      <c r="C91" s="47"/>
      <c r="D91" s="47"/>
      <c r="E91" s="47"/>
      <c r="F91" s="47"/>
      <c r="G91" s="47"/>
      <c r="H91" s="47"/>
      <c r="I91" s="47"/>
      <c r="J91" s="47"/>
      <c r="K91" s="47"/>
      <c r="L91" s="47"/>
      <c r="M91" s="47"/>
      <c r="N91" s="46"/>
    </row>
    <row r="92" spans="1:14" s="57" customFormat="1">
      <c r="A92" s="60"/>
      <c r="B92" s="46"/>
      <c r="C92" s="47"/>
      <c r="D92" s="47"/>
      <c r="E92" s="47"/>
      <c r="F92" s="47"/>
      <c r="G92" s="47"/>
      <c r="H92" s="47"/>
      <c r="I92" s="47"/>
      <c r="J92" s="47"/>
      <c r="K92" s="47"/>
      <c r="L92" s="47"/>
      <c r="M92" s="47"/>
      <c r="N92" s="46"/>
    </row>
    <row r="93" spans="1:14" s="57" customFormat="1">
      <c r="A93" s="60"/>
      <c r="B93" s="46"/>
      <c r="C93" s="47"/>
      <c r="D93" s="47"/>
      <c r="E93" s="47"/>
      <c r="F93" s="47"/>
      <c r="G93" s="47"/>
      <c r="H93" s="47"/>
      <c r="I93" s="47"/>
      <c r="J93" s="47"/>
      <c r="K93" s="47"/>
      <c r="L93" s="47"/>
      <c r="M93" s="47"/>
      <c r="N93" s="46"/>
    </row>
    <row r="94" spans="1:14" s="57" customFormat="1">
      <c r="A94" s="60"/>
      <c r="B94" s="46"/>
      <c r="C94" s="47"/>
      <c r="D94" s="47"/>
      <c r="E94" s="47"/>
      <c r="F94" s="47"/>
      <c r="G94" s="47"/>
      <c r="H94" s="47"/>
      <c r="I94" s="47"/>
      <c r="J94" s="47"/>
      <c r="K94" s="47"/>
      <c r="L94" s="47"/>
      <c r="M94" s="47"/>
      <c r="N94" s="46"/>
    </row>
    <row r="95" spans="1:14" s="57" customFormat="1">
      <c r="A95" s="60"/>
      <c r="B95" s="46"/>
      <c r="C95" s="47"/>
      <c r="D95" s="47"/>
      <c r="E95" s="47"/>
      <c r="F95" s="47"/>
      <c r="G95" s="47"/>
      <c r="H95" s="47"/>
      <c r="I95" s="47"/>
      <c r="J95" s="47"/>
      <c r="K95" s="47"/>
      <c r="L95" s="47"/>
      <c r="M95" s="47"/>
      <c r="N95" s="46"/>
    </row>
    <row r="96" spans="1:14" s="57" customFormat="1">
      <c r="A96" s="60"/>
      <c r="B96" s="46"/>
      <c r="C96" s="47"/>
      <c r="D96" s="47"/>
      <c r="E96" s="47"/>
      <c r="F96" s="47"/>
      <c r="G96" s="47"/>
      <c r="H96" s="47"/>
      <c r="I96" s="47"/>
      <c r="J96" s="47"/>
      <c r="K96" s="47"/>
      <c r="L96" s="47"/>
      <c r="M96" s="47"/>
      <c r="N96" s="46"/>
    </row>
    <row r="97" spans="1:14" s="57" customFormat="1">
      <c r="A97" s="60"/>
      <c r="B97" s="46"/>
      <c r="C97" s="47"/>
      <c r="D97" s="47"/>
      <c r="E97" s="47"/>
      <c r="F97" s="47"/>
      <c r="G97" s="47"/>
      <c r="H97" s="47"/>
      <c r="I97" s="47"/>
      <c r="J97" s="47"/>
      <c r="K97" s="47"/>
      <c r="L97" s="47"/>
      <c r="M97" s="47"/>
      <c r="N97" s="46"/>
    </row>
    <row r="98" spans="1:14" s="57" customFormat="1">
      <c r="A98" s="60"/>
      <c r="B98" s="46"/>
      <c r="C98" s="47"/>
      <c r="D98" s="47"/>
      <c r="E98" s="47"/>
      <c r="F98" s="47"/>
      <c r="G98" s="47"/>
      <c r="H98" s="47"/>
      <c r="I98" s="47"/>
      <c r="J98" s="47"/>
      <c r="K98" s="47"/>
      <c r="L98" s="47"/>
      <c r="M98" s="47"/>
      <c r="N98" s="46"/>
    </row>
    <row r="99" spans="1:14" s="57" customFormat="1">
      <c r="A99" s="60"/>
      <c r="B99" s="46"/>
      <c r="C99" s="47"/>
      <c r="D99" s="47"/>
      <c r="E99" s="47"/>
      <c r="F99" s="47"/>
      <c r="G99" s="47"/>
      <c r="H99" s="47"/>
      <c r="I99" s="47"/>
      <c r="J99" s="47"/>
      <c r="K99" s="47"/>
      <c r="L99" s="47"/>
      <c r="M99" s="47"/>
      <c r="N99" s="46"/>
    </row>
    <row r="100" spans="1:14" s="57" customFormat="1">
      <c r="A100" s="61"/>
      <c r="B100" s="46"/>
      <c r="C100" s="47"/>
      <c r="D100" s="47"/>
      <c r="E100" s="47"/>
      <c r="F100" s="47"/>
      <c r="G100" s="47"/>
      <c r="H100" s="47"/>
      <c r="I100" s="47"/>
      <c r="J100" s="47"/>
      <c r="K100" s="47"/>
      <c r="L100" s="47"/>
      <c r="M100" s="47"/>
      <c r="N100" s="46"/>
    </row>
    <row r="101" spans="1:14" s="57" customFormat="1">
      <c r="A101" s="60"/>
      <c r="B101" s="46"/>
      <c r="C101" s="47"/>
      <c r="D101" s="47"/>
      <c r="E101" s="47"/>
      <c r="F101" s="47"/>
      <c r="G101" s="47"/>
      <c r="H101" s="47"/>
      <c r="I101" s="47"/>
      <c r="J101" s="47"/>
      <c r="K101" s="47"/>
      <c r="L101" s="47"/>
      <c r="M101" s="47"/>
      <c r="N101" s="46"/>
    </row>
    <row r="102" spans="1:14" s="57" customFormat="1">
      <c r="A102" s="60"/>
      <c r="B102" s="46"/>
      <c r="C102" s="47"/>
      <c r="D102" s="47"/>
      <c r="E102" s="47"/>
      <c r="F102" s="47"/>
      <c r="G102" s="47"/>
      <c r="H102" s="47"/>
      <c r="I102" s="47"/>
      <c r="J102" s="47"/>
      <c r="K102" s="47"/>
      <c r="L102" s="47"/>
      <c r="M102" s="47"/>
      <c r="N102" s="46"/>
    </row>
    <row r="103" spans="1:14" s="57" customFormat="1">
      <c r="A103" s="60"/>
      <c r="B103" s="46"/>
      <c r="C103" s="47"/>
      <c r="D103" s="47"/>
      <c r="E103" s="47"/>
      <c r="F103" s="47"/>
      <c r="G103" s="47"/>
      <c r="H103" s="47"/>
      <c r="I103" s="47"/>
      <c r="J103" s="47"/>
      <c r="K103" s="47"/>
      <c r="L103" s="47"/>
      <c r="M103" s="47"/>
      <c r="N103" s="46"/>
    </row>
    <row r="104" spans="1:14" s="57" customFormat="1">
      <c r="A104" s="60"/>
      <c r="B104" s="46"/>
      <c r="C104" s="47"/>
      <c r="D104" s="47"/>
      <c r="E104" s="47"/>
      <c r="F104" s="47"/>
      <c r="G104" s="47"/>
      <c r="H104" s="47"/>
      <c r="I104" s="47"/>
      <c r="J104" s="47"/>
      <c r="K104" s="47"/>
      <c r="L104" s="47"/>
      <c r="M104" s="47"/>
      <c r="N104" s="46"/>
    </row>
    <row r="105" spans="1:14" s="57" customFormat="1">
      <c r="A105" s="60"/>
      <c r="B105" s="46"/>
      <c r="C105" s="47"/>
      <c r="D105" s="47"/>
      <c r="E105" s="47"/>
      <c r="F105" s="47"/>
      <c r="G105" s="47"/>
      <c r="H105" s="47"/>
      <c r="I105" s="47"/>
      <c r="J105" s="47"/>
      <c r="K105" s="47"/>
      <c r="L105" s="47"/>
      <c r="M105" s="47"/>
      <c r="N105" s="46"/>
    </row>
    <row r="106" spans="1:14" s="57" customFormat="1">
      <c r="A106" s="60"/>
      <c r="B106" s="46"/>
      <c r="C106" s="47"/>
      <c r="D106" s="47"/>
      <c r="E106" s="47"/>
      <c r="F106" s="47"/>
      <c r="G106" s="47"/>
      <c r="H106" s="47"/>
      <c r="I106" s="47"/>
      <c r="J106" s="47"/>
      <c r="K106" s="47"/>
      <c r="L106" s="47"/>
      <c r="M106" s="47"/>
      <c r="N106" s="46"/>
    </row>
    <row r="107" spans="1:14" s="57" customFormat="1">
      <c r="A107" s="60"/>
      <c r="B107" s="46"/>
      <c r="C107" s="47"/>
      <c r="D107" s="47"/>
      <c r="E107" s="47"/>
      <c r="F107" s="47"/>
      <c r="G107" s="47"/>
      <c r="H107" s="47"/>
      <c r="I107" s="47"/>
      <c r="J107" s="47"/>
      <c r="K107" s="47"/>
      <c r="L107" s="47"/>
      <c r="M107" s="47"/>
      <c r="N107" s="46"/>
    </row>
    <row r="108" spans="1:14" s="57" customFormat="1">
      <c r="A108" s="60"/>
      <c r="B108" s="46"/>
      <c r="C108" s="47"/>
      <c r="D108" s="47"/>
      <c r="E108" s="47"/>
      <c r="F108" s="47"/>
      <c r="G108" s="47"/>
      <c r="H108" s="47"/>
      <c r="I108" s="47"/>
      <c r="J108" s="47"/>
      <c r="K108" s="47"/>
      <c r="L108" s="47"/>
      <c r="M108" s="47"/>
      <c r="N108" s="46"/>
    </row>
    <row r="109" spans="1:14" s="57" customFormat="1">
      <c r="A109" s="60"/>
      <c r="B109" s="46"/>
      <c r="C109" s="47"/>
      <c r="D109" s="47"/>
      <c r="E109" s="47"/>
      <c r="F109" s="47"/>
      <c r="G109" s="47"/>
      <c r="H109" s="47"/>
      <c r="I109" s="47"/>
      <c r="J109" s="47"/>
      <c r="K109" s="47"/>
      <c r="L109" s="47"/>
      <c r="M109" s="47"/>
      <c r="N109" s="46"/>
    </row>
    <row r="110" spans="1:14" s="57" customFormat="1">
      <c r="A110" s="61"/>
      <c r="B110" s="46"/>
      <c r="C110" s="47"/>
      <c r="D110" s="47"/>
      <c r="E110" s="47"/>
      <c r="F110" s="47"/>
      <c r="G110" s="47"/>
      <c r="H110" s="47"/>
      <c r="I110" s="47"/>
      <c r="J110" s="47"/>
      <c r="K110" s="47"/>
      <c r="L110" s="47"/>
      <c r="M110" s="47"/>
      <c r="N110" s="46"/>
    </row>
    <row r="111" spans="1:14" s="57" customFormat="1">
      <c r="A111" s="61"/>
      <c r="B111" s="46"/>
      <c r="C111" s="47"/>
      <c r="D111" s="47"/>
      <c r="E111" s="47"/>
      <c r="F111" s="47"/>
      <c r="G111" s="47"/>
      <c r="H111" s="47"/>
      <c r="I111" s="47"/>
      <c r="J111" s="47"/>
      <c r="K111" s="47"/>
      <c r="L111" s="47"/>
      <c r="M111" s="47"/>
      <c r="N111" s="46"/>
    </row>
    <row r="112" spans="1:14" s="57" customFormat="1">
      <c r="A112" s="60"/>
      <c r="B112" s="46"/>
      <c r="C112" s="47"/>
      <c r="D112" s="47"/>
      <c r="E112" s="47"/>
      <c r="F112" s="47"/>
      <c r="G112" s="47"/>
      <c r="H112" s="47"/>
      <c r="I112" s="47"/>
      <c r="J112" s="47"/>
      <c r="K112" s="47"/>
      <c r="L112" s="47"/>
      <c r="M112" s="47"/>
      <c r="N112" s="46"/>
    </row>
    <row r="113" spans="1:14" s="57" customFormat="1">
      <c r="A113" s="61"/>
      <c r="B113" s="46"/>
      <c r="C113" s="47"/>
      <c r="D113" s="47"/>
      <c r="E113" s="47"/>
      <c r="F113" s="47"/>
      <c r="G113" s="47"/>
      <c r="H113" s="47"/>
      <c r="I113" s="47"/>
      <c r="J113" s="47"/>
      <c r="K113" s="47"/>
      <c r="L113" s="47"/>
      <c r="M113" s="47"/>
      <c r="N113" s="46"/>
    </row>
    <row r="114" spans="1:14" s="57" customFormat="1">
      <c r="A114" s="60"/>
      <c r="B114" s="46"/>
      <c r="C114" s="47"/>
      <c r="D114" s="47"/>
      <c r="E114" s="47"/>
      <c r="F114" s="47"/>
      <c r="G114" s="47"/>
      <c r="H114" s="47"/>
      <c r="I114" s="47"/>
      <c r="J114" s="47"/>
      <c r="K114" s="47"/>
      <c r="L114" s="47"/>
      <c r="M114" s="47"/>
      <c r="N114" s="46"/>
    </row>
    <row r="115" spans="1:14" s="57" customFormat="1">
      <c r="A115" s="60"/>
      <c r="B115" s="46"/>
      <c r="C115" s="47"/>
      <c r="D115" s="47"/>
      <c r="E115" s="47"/>
      <c r="F115" s="47"/>
      <c r="G115" s="47"/>
      <c r="H115" s="47"/>
      <c r="I115" s="47"/>
      <c r="J115" s="47"/>
      <c r="K115" s="47"/>
      <c r="L115" s="47"/>
      <c r="M115" s="47"/>
      <c r="N115" s="46"/>
    </row>
    <row r="116" spans="1:14" s="57" customFormat="1">
      <c r="A116" s="60"/>
      <c r="B116" s="46"/>
      <c r="C116" s="47"/>
      <c r="D116" s="47"/>
      <c r="E116" s="47"/>
      <c r="F116" s="47"/>
      <c r="G116" s="47"/>
      <c r="H116" s="47"/>
      <c r="I116" s="47"/>
      <c r="J116" s="47"/>
      <c r="K116" s="47"/>
      <c r="L116" s="47"/>
      <c r="M116" s="47"/>
      <c r="N116" s="46"/>
    </row>
    <row r="117" spans="1:14" s="57" customFormat="1">
      <c r="A117" s="60"/>
      <c r="B117" s="46"/>
      <c r="C117" s="47"/>
      <c r="D117" s="47"/>
      <c r="E117" s="47"/>
      <c r="F117" s="47"/>
      <c r="G117" s="47"/>
      <c r="H117" s="47"/>
      <c r="I117" s="47"/>
      <c r="J117" s="47"/>
      <c r="K117" s="47"/>
      <c r="L117" s="47"/>
      <c r="M117" s="47"/>
      <c r="N117" s="46"/>
    </row>
    <row r="118" spans="1:14" s="57" customFormat="1">
      <c r="A118" s="60"/>
      <c r="B118" s="46"/>
      <c r="C118" s="47"/>
      <c r="D118" s="47"/>
      <c r="E118" s="47"/>
      <c r="F118" s="47"/>
      <c r="G118" s="47"/>
      <c r="H118" s="47"/>
      <c r="I118" s="47"/>
      <c r="J118" s="47"/>
      <c r="K118" s="47"/>
      <c r="L118" s="47"/>
      <c r="M118" s="47"/>
      <c r="N118" s="46"/>
    </row>
    <row r="119" spans="1:14" s="57" customFormat="1">
      <c r="A119" s="60"/>
      <c r="B119" s="46"/>
      <c r="C119" s="47"/>
      <c r="D119" s="47"/>
      <c r="E119" s="47"/>
      <c r="F119" s="47"/>
      <c r="G119" s="47"/>
      <c r="H119" s="47"/>
      <c r="I119" s="47"/>
      <c r="J119" s="47"/>
      <c r="K119" s="47"/>
      <c r="L119" s="47"/>
      <c r="M119" s="47"/>
      <c r="N119" s="46"/>
    </row>
    <row r="120" spans="1:14" s="57" customFormat="1">
      <c r="A120" s="60"/>
      <c r="B120" s="46"/>
      <c r="C120" s="47"/>
      <c r="D120" s="47"/>
      <c r="E120" s="47"/>
      <c r="F120" s="47"/>
      <c r="G120" s="47"/>
      <c r="H120" s="47"/>
      <c r="I120" s="47"/>
      <c r="J120" s="47"/>
      <c r="K120" s="47"/>
      <c r="L120" s="47"/>
      <c r="M120" s="47"/>
      <c r="N120" s="46"/>
    </row>
    <row r="121" spans="1:14" s="57" customFormat="1">
      <c r="A121" s="60"/>
      <c r="B121" s="46"/>
      <c r="C121" s="47"/>
      <c r="D121" s="47"/>
      <c r="E121" s="47"/>
      <c r="F121" s="47"/>
      <c r="G121" s="47"/>
      <c r="H121" s="47"/>
      <c r="I121" s="47"/>
      <c r="J121" s="47"/>
      <c r="K121" s="47"/>
      <c r="L121" s="47"/>
      <c r="M121" s="47"/>
      <c r="N121" s="46"/>
    </row>
    <row r="122" spans="1:14" s="57" customFormat="1">
      <c r="A122" s="61"/>
      <c r="B122" s="46"/>
      <c r="C122" s="47"/>
      <c r="D122" s="47"/>
      <c r="E122" s="47"/>
      <c r="F122" s="47"/>
      <c r="G122" s="47"/>
      <c r="H122" s="47"/>
      <c r="I122" s="47"/>
      <c r="J122" s="47"/>
      <c r="K122" s="47"/>
      <c r="L122" s="47"/>
      <c r="M122" s="47"/>
      <c r="N122" s="46"/>
    </row>
    <row r="123" spans="1:14" s="57" customFormat="1">
      <c r="A123" s="60"/>
      <c r="B123" s="46"/>
      <c r="C123" s="47"/>
      <c r="D123" s="47"/>
      <c r="E123" s="47"/>
      <c r="F123" s="47"/>
      <c r="G123" s="47"/>
      <c r="H123" s="47"/>
      <c r="I123" s="47"/>
      <c r="J123" s="47"/>
      <c r="K123" s="47"/>
      <c r="L123" s="47"/>
      <c r="M123" s="47"/>
      <c r="N123" s="46"/>
    </row>
    <row r="124" spans="1:14" s="57" customFormat="1">
      <c r="A124" s="60"/>
      <c r="B124" s="46"/>
      <c r="C124" s="47"/>
      <c r="D124" s="47"/>
      <c r="E124" s="47"/>
      <c r="F124" s="47"/>
      <c r="G124" s="47"/>
      <c r="H124" s="47"/>
      <c r="I124" s="47"/>
      <c r="J124" s="47"/>
      <c r="K124" s="47"/>
      <c r="L124" s="47"/>
      <c r="M124" s="47"/>
      <c r="N124" s="46"/>
    </row>
    <row r="125" spans="1:14" s="57" customFormat="1">
      <c r="A125" s="60"/>
      <c r="B125" s="46"/>
      <c r="C125" s="47"/>
      <c r="D125" s="47"/>
      <c r="E125" s="47"/>
      <c r="F125" s="47"/>
      <c r="G125" s="47"/>
      <c r="H125" s="47"/>
      <c r="I125" s="47"/>
      <c r="J125" s="47"/>
      <c r="K125" s="47"/>
      <c r="L125" s="47"/>
      <c r="M125" s="47"/>
      <c r="N125" s="46"/>
    </row>
    <row r="126" spans="1:14" s="57" customFormat="1">
      <c r="A126" s="60"/>
      <c r="B126" s="46"/>
      <c r="C126" s="47"/>
      <c r="D126" s="47"/>
      <c r="E126" s="47"/>
      <c r="F126" s="47"/>
      <c r="G126" s="47"/>
      <c r="H126" s="47"/>
      <c r="I126" s="47"/>
      <c r="J126" s="47"/>
      <c r="K126" s="47"/>
      <c r="L126" s="47"/>
      <c r="M126" s="47"/>
      <c r="N126" s="46"/>
    </row>
    <row r="127" spans="1:14" s="57" customFormat="1">
      <c r="A127" s="60"/>
      <c r="B127" s="46"/>
      <c r="C127" s="47"/>
      <c r="D127" s="47"/>
      <c r="E127" s="47"/>
      <c r="F127" s="47"/>
      <c r="G127" s="47"/>
      <c r="H127" s="47"/>
      <c r="I127" s="47"/>
      <c r="J127" s="47"/>
      <c r="K127" s="47"/>
      <c r="L127" s="47"/>
      <c r="M127" s="47"/>
      <c r="N127" s="46"/>
    </row>
    <row r="128" spans="1:14" s="57" customFormat="1">
      <c r="A128" s="61"/>
      <c r="B128" s="46"/>
      <c r="C128" s="47"/>
      <c r="D128" s="47"/>
      <c r="E128" s="47"/>
      <c r="F128" s="47"/>
      <c r="G128" s="47"/>
      <c r="H128" s="47"/>
      <c r="I128" s="47"/>
      <c r="J128" s="47"/>
      <c r="K128" s="47"/>
      <c r="L128" s="47"/>
      <c r="M128" s="47"/>
      <c r="N128" s="46"/>
    </row>
    <row r="129" spans="1:14" s="57" customFormat="1">
      <c r="A129" s="60"/>
      <c r="B129" s="46"/>
      <c r="C129" s="47"/>
      <c r="D129" s="47"/>
      <c r="E129" s="47"/>
      <c r="F129" s="47"/>
      <c r="G129" s="47"/>
      <c r="H129" s="47"/>
      <c r="I129" s="47"/>
      <c r="J129" s="47"/>
      <c r="K129" s="47"/>
      <c r="L129" s="47"/>
      <c r="M129" s="47"/>
      <c r="N129" s="46"/>
    </row>
    <row r="130" spans="1:14" s="57" customFormat="1">
      <c r="A130" s="61"/>
      <c r="B130" s="46"/>
      <c r="C130" s="47"/>
      <c r="D130" s="47"/>
      <c r="E130" s="47"/>
      <c r="F130" s="47"/>
      <c r="G130" s="47"/>
      <c r="H130" s="47"/>
      <c r="I130" s="47"/>
      <c r="J130" s="47"/>
      <c r="K130" s="47"/>
      <c r="L130" s="47"/>
      <c r="M130" s="47"/>
      <c r="N130" s="46"/>
    </row>
    <row r="131" spans="1:14" s="57" customFormat="1">
      <c r="A131" s="60"/>
      <c r="B131" s="46"/>
      <c r="C131" s="47"/>
      <c r="D131" s="47"/>
      <c r="E131" s="47"/>
      <c r="F131" s="47"/>
      <c r="G131" s="47"/>
      <c r="H131" s="47"/>
      <c r="I131" s="47"/>
      <c r="J131" s="47"/>
      <c r="K131" s="47"/>
      <c r="L131" s="47"/>
      <c r="M131" s="47"/>
      <c r="N131" s="46"/>
    </row>
    <row r="132" spans="1:14" s="57" customFormat="1">
      <c r="A132" s="60"/>
      <c r="B132" s="46"/>
      <c r="C132" s="47"/>
      <c r="D132" s="47"/>
      <c r="E132" s="47"/>
      <c r="F132" s="47"/>
      <c r="G132" s="47"/>
      <c r="H132" s="47"/>
      <c r="I132" s="47"/>
      <c r="J132" s="47"/>
      <c r="K132" s="47"/>
      <c r="L132" s="47"/>
      <c r="M132" s="47"/>
      <c r="N132" s="46"/>
    </row>
    <row r="133" spans="1:14" s="57" customFormat="1">
      <c r="A133" s="60"/>
      <c r="B133" s="46"/>
      <c r="C133" s="47"/>
      <c r="D133" s="47"/>
      <c r="E133" s="47"/>
      <c r="F133" s="47"/>
      <c r="G133" s="47"/>
      <c r="H133" s="47"/>
      <c r="I133" s="47"/>
      <c r="J133" s="47"/>
      <c r="K133" s="47"/>
      <c r="L133" s="47"/>
      <c r="M133" s="47"/>
      <c r="N133" s="46"/>
    </row>
    <row r="134" spans="1:14" s="57" customFormat="1">
      <c r="A134" s="60"/>
      <c r="B134" s="46"/>
      <c r="C134" s="47"/>
      <c r="D134" s="47"/>
      <c r="E134" s="47"/>
      <c r="F134" s="47"/>
      <c r="G134" s="47"/>
      <c r="H134" s="47"/>
      <c r="I134" s="47"/>
      <c r="J134" s="47"/>
      <c r="K134" s="47"/>
      <c r="L134" s="47"/>
      <c r="M134" s="47"/>
      <c r="N134" s="46"/>
    </row>
    <row r="135" spans="1:14" s="57" customFormat="1">
      <c r="A135" s="60"/>
      <c r="B135" s="46"/>
      <c r="C135" s="47"/>
      <c r="D135" s="47"/>
      <c r="E135" s="47"/>
      <c r="F135" s="47"/>
      <c r="G135" s="47"/>
      <c r="H135" s="47"/>
      <c r="I135" s="47"/>
      <c r="J135" s="47"/>
      <c r="K135" s="47"/>
      <c r="L135" s="47"/>
      <c r="M135" s="47"/>
      <c r="N135" s="46"/>
    </row>
    <row r="136" spans="1:14" s="57" customFormat="1">
      <c r="A136" s="61"/>
      <c r="B136" s="46"/>
      <c r="C136" s="47"/>
      <c r="D136" s="47"/>
      <c r="E136" s="47"/>
      <c r="F136" s="47"/>
      <c r="G136" s="47"/>
      <c r="H136" s="47"/>
      <c r="I136" s="47"/>
      <c r="J136" s="47"/>
      <c r="K136" s="47"/>
      <c r="L136" s="47"/>
      <c r="M136" s="47"/>
      <c r="N136" s="46"/>
    </row>
    <row r="137" spans="1:14" s="57" customFormat="1">
      <c r="A137" s="60"/>
      <c r="B137" s="46"/>
      <c r="C137" s="47"/>
      <c r="D137" s="47"/>
      <c r="E137" s="47"/>
      <c r="F137" s="47"/>
      <c r="G137" s="47"/>
      <c r="H137" s="47"/>
      <c r="I137" s="47"/>
      <c r="J137" s="47"/>
      <c r="K137" s="47"/>
      <c r="L137" s="47"/>
      <c r="M137" s="47"/>
      <c r="N137" s="46"/>
    </row>
    <row r="138" spans="1:14" s="57" customFormat="1">
      <c r="A138" s="60"/>
      <c r="B138" s="46"/>
      <c r="C138" s="47"/>
      <c r="D138" s="47"/>
      <c r="E138" s="47"/>
      <c r="F138" s="47"/>
      <c r="G138" s="47"/>
      <c r="H138" s="47"/>
      <c r="I138" s="47"/>
      <c r="J138" s="47"/>
      <c r="K138" s="47"/>
      <c r="L138" s="47"/>
      <c r="M138" s="47"/>
      <c r="N138" s="46"/>
    </row>
    <row r="139" spans="1:14" s="57" customFormat="1">
      <c r="A139" s="60"/>
      <c r="B139" s="46"/>
      <c r="C139" s="47"/>
      <c r="D139" s="47"/>
      <c r="E139" s="47"/>
      <c r="F139" s="47"/>
      <c r="G139" s="47"/>
      <c r="H139" s="47"/>
      <c r="I139" s="47"/>
      <c r="J139" s="47"/>
      <c r="K139" s="47"/>
      <c r="L139" s="47"/>
      <c r="M139" s="47"/>
      <c r="N139" s="46"/>
    </row>
    <row r="140" spans="1:14" s="57" customFormat="1">
      <c r="A140" s="60"/>
      <c r="B140" s="46"/>
      <c r="C140" s="47"/>
      <c r="D140" s="47"/>
      <c r="E140" s="47"/>
      <c r="F140" s="47"/>
      <c r="G140" s="47"/>
      <c r="H140" s="47"/>
      <c r="I140" s="47"/>
      <c r="J140" s="47"/>
      <c r="K140" s="47"/>
      <c r="L140" s="47"/>
      <c r="M140" s="47"/>
      <c r="N140" s="46"/>
    </row>
    <row r="141" spans="1:14" s="57" customFormat="1">
      <c r="A141" s="60"/>
      <c r="B141" s="46"/>
      <c r="C141" s="47"/>
      <c r="D141" s="47"/>
      <c r="E141" s="47"/>
      <c r="F141" s="47"/>
      <c r="G141" s="47"/>
      <c r="H141" s="47"/>
      <c r="I141" s="47"/>
      <c r="J141" s="47"/>
      <c r="K141" s="47"/>
      <c r="L141" s="47"/>
      <c r="M141" s="47"/>
      <c r="N141" s="46"/>
    </row>
    <row r="142" spans="1:14" s="57" customFormat="1">
      <c r="A142" s="61"/>
      <c r="B142" s="46"/>
      <c r="C142" s="47"/>
      <c r="D142" s="47"/>
      <c r="E142" s="47"/>
      <c r="F142" s="47"/>
      <c r="G142" s="47"/>
      <c r="H142" s="47"/>
      <c r="I142" s="47"/>
      <c r="J142" s="47"/>
      <c r="K142" s="47"/>
      <c r="L142" s="47"/>
      <c r="M142" s="47"/>
      <c r="N142" s="46"/>
    </row>
    <row r="143" spans="1:14" s="57" customFormat="1">
      <c r="A143" s="60"/>
      <c r="B143" s="46"/>
      <c r="C143" s="47"/>
      <c r="D143" s="47"/>
      <c r="E143" s="47"/>
      <c r="F143" s="47"/>
      <c r="G143" s="47"/>
      <c r="H143" s="47"/>
      <c r="I143" s="47"/>
      <c r="J143" s="47"/>
      <c r="K143" s="47"/>
      <c r="L143" s="47"/>
      <c r="M143" s="47"/>
      <c r="N143" s="46"/>
    </row>
    <row r="144" spans="1:14" s="57" customFormat="1">
      <c r="A144" s="60"/>
      <c r="B144" s="46"/>
      <c r="C144" s="47"/>
      <c r="D144" s="47"/>
      <c r="E144" s="47"/>
      <c r="F144" s="47"/>
      <c r="G144" s="47"/>
      <c r="H144" s="47"/>
      <c r="I144" s="47"/>
      <c r="J144" s="47"/>
      <c r="K144" s="47"/>
      <c r="L144" s="47"/>
      <c r="M144" s="47"/>
      <c r="N144" s="46"/>
    </row>
    <row r="145" spans="1:14" s="57" customFormat="1">
      <c r="A145" s="60"/>
      <c r="B145" s="46"/>
      <c r="C145" s="47"/>
      <c r="D145" s="47"/>
      <c r="E145" s="47"/>
      <c r="F145" s="47"/>
      <c r="G145" s="47"/>
      <c r="H145" s="47"/>
      <c r="I145" s="47"/>
      <c r="J145" s="47"/>
      <c r="K145" s="47"/>
      <c r="L145" s="47"/>
      <c r="M145" s="47"/>
      <c r="N145" s="46"/>
    </row>
    <row r="146" spans="1:14" s="57" customFormat="1">
      <c r="A146" s="61"/>
      <c r="B146" s="46"/>
      <c r="C146" s="47"/>
      <c r="D146" s="47"/>
      <c r="E146" s="47"/>
      <c r="F146" s="47"/>
      <c r="G146" s="47"/>
      <c r="H146" s="47"/>
      <c r="I146" s="47"/>
      <c r="J146" s="47"/>
      <c r="K146" s="47"/>
      <c r="L146" s="47"/>
      <c r="M146" s="47"/>
      <c r="N146" s="46"/>
    </row>
    <row r="147" spans="1:14" s="57" customFormat="1">
      <c r="A147" s="60"/>
      <c r="B147" s="46"/>
      <c r="C147" s="47"/>
      <c r="D147" s="47"/>
      <c r="E147" s="47"/>
      <c r="F147" s="47"/>
      <c r="G147" s="47"/>
      <c r="H147" s="47"/>
      <c r="I147" s="47"/>
      <c r="J147" s="47"/>
      <c r="K147" s="47"/>
      <c r="L147" s="47"/>
      <c r="M147" s="47"/>
      <c r="N147" s="46"/>
    </row>
    <row r="148" spans="1:14" s="57" customFormat="1">
      <c r="A148" s="61"/>
      <c r="B148" s="46"/>
      <c r="C148" s="47"/>
      <c r="D148" s="47"/>
      <c r="E148" s="47"/>
      <c r="F148" s="47"/>
      <c r="G148" s="47"/>
      <c r="H148" s="47"/>
      <c r="I148" s="47"/>
      <c r="J148" s="47"/>
      <c r="K148" s="47"/>
      <c r="L148" s="47"/>
      <c r="M148" s="47"/>
      <c r="N148" s="46"/>
    </row>
    <row r="149" spans="1:14" s="57" customFormat="1">
      <c r="A149" s="60"/>
      <c r="B149" s="46"/>
      <c r="C149" s="47"/>
      <c r="D149" s="47"/>
      <c r="E149" s="47"/>
      <c r="F149" s="47"/>
      <c r="G149" s="47"/>
      <c r="H149" s="47"/>
      <c r="I149" s="47"/>
      <c r="J149" s="47"/>
      <c r="K149" s="47"/>
      <c r="L149" s="47"/>
      <c r="M149" s="47"/>
      <c r="N149" s="46"/>
    </row>
    <row r="150" spans="1:14" s="57" customFormat="1">
      <c r="A150" s="60"/>
      <c r="B150" s="46"/>
      <c r="C150" s="47"/>
      <c r="D150" s="47"/>
      <c r="E150" s="47"/>
      <c r="F150" s="47"/>
      <c r="G150" s="47"/>
      <c r="H150" s="47"/>
      <c r="I150" s="47"/>
      <c r="J150" s="47"/>
      <c r="K150" s="47"/>
      <c r="L150" s="47"/>
      <c r="M150" s="47"/>
      <c r="N150" s="46"/>
    </row>
    <row r="151" spans="1:14" s="57" customFormat="1">
      <c r="A151" s="60"/>
      <c r="B151" s="46"/>
      <c r="C151" s="47"/>
      <c r="D151" s="47"/>
      <c r="E151" s="47"/>
      <c r="F151" s="47"/>
      <c r="G151" s="47"/>
      <c r="H151" s="47"/>
      <c r="I151" s="47"/>
      <c r="J151" s="47"/>
      <c r="K151" s="47"/>
      <c r="L151" s="47"/>
      <c r="M151" s="47"/>
      <c r="N151" s="46"/>
    </row>
    <row r="152" spans="1:14" s="57" customFormat="1">
      <c r="A152" s="60"/>
      <c r="B152" s="46"/>
      <c r="C152" s="47"/>
      <c r="D152" s="47"/>
      <c r="E152" s="47"/>
      <c r="F152" s="47"/>
      <c r="G152" s="47"/>
      <c r="H152" s="47"/>
      <c r="I152" s="47"/>
      <c r="J152" s="47"/>
      <c r="K152" s="47"/>
      <c r="L152" s="47"/>
      <c r="M152" s="47"/>
      <c r="N152" s="46"/>
    </row>
    <row r="153" spans="1:14" s="57" customFormat="1">
      <c r="A153" s="60"/>
      <c r="B153" s="46"/>
      <c r="C153" s="47"/>
      <c r="D153" s="47"/>
      <c r="E153" s="47"/>
      <c r="F153" s="47"/>
      <c r="G153" s="47"/>
      <c r="H153" s="47"/>
      <c r="I153" s="47"/>
      <c r="J153" s="47"/>
      <c r="K153" s="47"/>
      <c r="L153" s="47"/>
      <c r="M153" s="47"/>
      <c r="N153" s="46"/>
    </row>
    <row r="154" spans="1:14" s="57" customFormat="1">
      <c r="A154" s="60"/>
      <c r="B154" s="46"/>
      <c r="C154" s="47"/>
      <c r="D154" s="47"/>
      <c r="E154" s="47"/>
      <c r="F154" s="47"/>
      <c r="G154" s="47"/>
      <c r="H154" s="47"/>
      <c r="I154" s="47"/>
      <c r="J154" s="47"/>
      <c r="K154" s="47"/>
      <c r="L154" s="47"/>
      <c r="M154" s="47"/>
      <c r="N154" s="46"/>
    </row>
    <row r="155" spans="1:14" s="57" customFormat="1">
      <c r="A155" s="60"/>
      <c r="B155" s="46"/>
      <c r="C155" s="47"/>
      <c r="D155" s="47"/>
      <c r="E155" s="47"/>
      <c r="F155" s="47"/>
      <c r="G155" s="47"/>
      <c r="H155" s="47"/>
      <c r="I155" s="47"/>
      <c r="J155" s="47"/>
      <c r="K155" s="47"/>
      <c r="L155" s="47"/>
      <c r="M155" s="47"/>
      <c r="N155" s="46"/>
    </row>
    <row r="156" spans="1:14" s="57" customFormat="1">
      <c r="A156" s="60"/>
      <c r="B156" s="46"/>
      <c r="C156" s="47"/>
      <c r="D156" s="47"/>
      <c r="E156" s="47"/>
      <c r="F156" s="47"/>
      <c r="G156" s="47"/>
      <c r="H156" s="47"/>
      <c r="I156" s="47"/>
      <c r="J156" s="47"/>
      <c r="K156" s="47"/>
      <c r="L156" s="47"/>
      <c r="M156" s="47"/>
      <c r="N156" s="46"/>
    </row>
    <row r="157" spans="1:14" s="57" customFormat="1">
      <c r="A157" s="60"/>
      <c r="B157" s="46"/>
      <c r="C157" s="47"/>
      <c r="D157" s="47"/>
      <c r="E157" s="47"/>
      <c r="F157" s="47"/>
      <c r="G157" s="47"/>
      <c r="H157" s="47"/>
      <c r="I157" s="47"/>
      <c r="J157" s="47"/>
      <c r="K157" s="47"/>
      <c r="L157" s="47"/>
      <c r="M157" s="47"/>
      <c r="N157" s="46"/>
    </row>
    <row r="158" spans="1:14" s="57" customFormat="1">
      <c r="A158" s="60"/>
      <c r="B158" s="46"/>
      <c r="C158" s="47"/>
      <c r="D158" s="47"/>
      <c r="E158" s="47"/>
      <c r="F158" s="47"/>
      <c r="G158" s="47"/>
      <c r="H158" s="47"/>
      <c r="I158" s="47"/>
      <c r="J158" s="47"/>
      <c r="K158" s="47"/>
      <c r="L158" s="47"/>
      <c r="M158" s="47"/>
      <c r="N158" s="46"/>
    </row>
    <row r="159" spans="1:14" s="57" customFormat="1">
      <c r="A159" s="60"/>
      <c r="B159" s="46"/>
      <c r="C159" s="47"/>
      <c r="D159" s="47"/>
      <c r="E159" s="47"/>
      <c r="F159" s="47"/>
      <c r="G159" s="47"/>
      <c r="H159" s="47"/>
      <c r="I159" s="47"/>
      <c r="J159" s="47"/>
      <c r="K159" s="47"/>
      <c r="L159" s="47"/>
      <c r="M159" s="47"/>
      <c r="N159" s="46"/>
    </row>
    <row r="160" spans="1:14" s="57" customFormat="1">
      <c r="A160" s="61"/>
      <c r="B160" s="46"/>
      <c r="C160" s="47"/>
      <c r="D160" s="47"/>
      <c r="E160" s="47"/>
      <c r="F160" s="47"/>
      <c r="G160" s="47"/>
      <c r="H160" s="47"/>
      <c r="I160" s="47"/>
      <c r="J160" s="47"/>
      <c r="K160" s="47"/>
      <c r="L160" s="47"/>
      <c r="M160" s="47"/>
      <c r="N160" s="46"/>
    </row>
    <row r="161" spans="1:14" s="57" customFormat="1">
      <c r="A161" s="60"/>
      <c r="B161" s="46"/>
      <c r="C161" s="47"/>
      <c r="D161" s="47"/>
      <c r="E161" s="47"/>
      <c r="F161" s="47"/>
      <c r="G161" s="47"/>
      <c r="H161" s="47"/>
      <c r="I161" s="47"/>
      <c r="J161" s="47"/>
      <c r="K161" s="47"/>
      <c r="L161" s="47"/>
      <c r="M161" s="47"/>
      <c r="N161" s="46"/>
    </row>
    <row r="162" spans="1:14" s="57" customFormat="1">
      <c r="A162" s="61"/>
      <c r="B162" s="46"/>
      <c r="C162" s="47"/>
      <c r="D162" s="47"/>
      <c r="E162" s="47"/>
      <c r="F162" s="47"/>
      <c r="G162" s="47"/>
      <c r="H162" s="47"/>
      <c r="I162" s="47"/>
      <c r="J162" s="47"/>
      <c r="K162" s="47"/>
      <c r="L162" s="47"/>
      <c r="M162" s="47"/>
      <c r="N162" s="46"/>
    </row>
    <row r="163" spans="1:14" s="57" customFormat="1">
      <c r="A163" s="60"/>
      <c r="B163" s="46"/>
      <c r="C163" s="47"/>
      <c r="D163" s="47"/>
      <c r="E163" s="47"/>
      <c r="F163" s="47"/>
      <c r="G163" s="47"/>
      <c r="H163" s="47"/>
      <c r="I163" s="47"/>
      <c r="J163" s="47"/>
      <c r="K163" s="47"/>
      <c r="L163" s="47"/>
      <c r="M163" s="47"/>
      <c r="N163" s="46"/>
    </row>
    <row r="164" spans="1:14" s="57" customFormat="1">
      <c r="A164" s="60"/>
      <c r="B164" s="46"/>
      <c r="C164" s="47"/>
      <c r="D164" s="47"/>
      <c r="E164" s="47"/>
      <c r="F164" s="47"/>
      <c r="G164" s="47"/>
      <c r="H164" s="47"/>
      <c r="I164" s="47"/>
      <c r="J164" s="47"/>
      <c r="K164" s="47"/>
      <c r="L164" s="47"/>
      <c r="M164" s="47"/>
      <c r="N164" s="46"/>
    </row>
    <row r="165" spans="1:14" s="57" customFormat="1">
      <c r="A165" s="60"/>
      <c r="B165" s="46"/>
      <c r="C165" s="47"/>
      <c r="D165" s="47"/>
      <c r="E165" s="47"/>
      <c r="F165" s="47"/>
      <c r="G165" s="47"/>
      <c r="H165" s="47"/>
      <c r="I165" s="47"/>
      <c r="J165" s="47"/>
      <c r="K165" s="47"/>
      <c r="L165" s="47"/>
      <c r="M165" s="47"/>
      <c r="N165" s="46"/>
    </row>
    <row r="166" spans="1:14" s="57" customFormat="1">
      <c r="A166" s="60"/>
      <c r="B166" s="46"/>
      <c r="C166" s="47"/>
      <c r="D166" s="47"/>
      <c r="E166" s="47"/>
      <c r="F166" s="47"/>
      <c r="G166" s="47"/>
      <c r="H166" s="47"/>
      <c r="I166" s="47"/>
      <c r="J166" s="47"/>
      <c r="K166" s="47"/>
      <c r="L166" s="47"/>
      <c r="M166" s="47"/>
      <c r="N166" s="46"/>
    </row>
    <row r="167" spans="1:14" s="57" customFormat="1">
      <c r="A167" s="60"/>
      <c r="B167" s="46"/>
      <c r="C167" s="47"/>
      <c r="D167" s="47"/>
      <c r="E167" s="47"/>
      <c r="F167" s="47"/>
      <c r="G167" s="47"/>
      <c r="H167" s="47"/>
      <c r="I167" s="47"/>
      <c r="J167" s="47"/>
      <c r="K167" s="47"/>
      <c r="L167" s="47"/>
      <c r="M167" s="47"/>
      <c r="N167" s="46"/>
    </row>
    <row r="168" spans="1:14" s="57" customFormat="1">
      <c r="A168" s="60"/>
      <c r="B168" s="46"/>
      <c r="C168" s="47"/>
      <c r="D168" s="47"/>
      <c r="E168" s="47"/>
      <c r="F168" s="47"/>
      <c r="G168" s="47"/>
      <c r="H168" s="47"/>
      <c r="I168" s="47"/>
      <c r="J168" s="47"/>
      <c r="K168" s="47"/>
      <c r="L168" s="47"/>
      <c r="M168" s="47"/>
      <c r="N168" s="46"/>
    </row>
    <row r="169" spans="1:14" s="57" customFormat="1">
      <c r="A169" s="60"/>
      <c r="B169" s="46"/>
      <c r="C169" s="47"/>
      <c r="D169" s="47"/>
      <c r="E169" s="47"/>
      <c r="F169" s="47"/>
      <c r="G169" s="47"/>
      <c r="H169" s="47"/>
      <c r="I169" s="47"/>
      <c r="J169" s="47"/>
      <c r="K169" s="47"/>
      <c r="L169" s="47"/>
      <c r="M169" s="47"/>
      <c r="N169" s="46"/>
    </row>
    <row r="170" spans="1:14" s="57" customFormat="1">
      <c r="A170" s="60"/>
      <c r="B170" s="46"/>
      <c r="C170" s="47"/>
      <c r="D170" s="47"/>
      <c r="E170" s="47"/>
      <c r="F170" s="47"/>
      <c r="G170" s="47"/>
      <c r="H170" s="47"/>
      <c r="I170" s="47"/>
      <c r="J170" s="47"/>
      <c r="K170" s="47"/>
      <c r="L170" s="47"/>
      <c r="M170" s="47"/>
      <c r="N170" s="46"/>
    </row>
    <row r="171" spans="1:14" s="57" customFormat="1">
      <c r="A171" s="60"/>
      <c r="B171" s="46"/>
      <c r="C171" s="47"/>
      <c r="D171" s="47"/>
      <c r="E171" s="47"/>
      <c r="F171" s="47"/>
      <c r="G171" s="47"/>
      <c r="H171" s="47"/>
      <c r="I171" s="47"/>
      <c r="J171" s="47"/>
      <c r="K171" s="47"/>
      <c r="L171" s="47"/>
      <c r="M171" s="47"/>
      <c r="N171" s="46"/>
    </row>
    <row r="172" spans="1:14" s="57" customFormat="1">
      <c r="A172" s="60"/>
      <c r="B172" s="46"/>
      <c r="C172" s="47"/>
      <c r="D172" s="47"/>
      <c r="E172" s="47"/>
      <c r="F172" s="47"/>
      <c r="G172" s="47"/>
      <c r="H172" s="47"/>
      <c r="I172" s="47"/>
      <c r="J172" s="47"/>
      <c r="K172" s="47"/>
      <c r="L172" s="47"/>
      <c r="M172" s="47"/>
      <c r="N172" s="46"/>
    </row>
    <row r="173" spans="1:14" s="57" customFormat="1">
      <c r="A173" s="61"/>
      <c r="B173" s="46"/>
      <c r="C173" s="47"/>
      <c r="D173" s="47"/>
      <c r="E173" s="47"/>
      <c r="F173" s="47"/>
      <c r="G173" s="47"/>
      <c r="H173" s="47"/>
      <c r="I173" s="47"/>
      <c r="J173" s="47"/>
      <c r="K173" s="47"/>
      <c r="L173" s="47"/>
      <c r="M173" s="47"/>
      <c r="N173" s="46"/>
    </row>
    <row r="174" spans="1:14" s="57" customFormat="1">
      <c r="A174" s="60"/>
      <c r="B174" s="46"/>
      <c r="C174" s="47"/>
      <c r="D174" s="47"/>
      <c r="E174" s="47"/>
      <c r="F174" s="47"/>
      <c r="G174" s="47"/>
      <c r="H174" s="47"/>
      <c r="I174" s="47"/>
      <c r="J174" s="47"/>
      <c r="K174" s="47"/>
      <c r="L174" s="47"/>
      <c r="M174" s="47"/>
      <c r="N174" s="46"/>
    </row>
    <row r="175" spans="1:14" s="57" customFormat="1">
      <c r="A175" s="60"/>
      <c r="B175" s="46"/>
      <c r="C175" s="47"/>
      <c r="D175" s="47"/>
      <c r="E175" s="47"/>
      <c r="F175" s="47"/>
      <c r="G175" s="47"/>
      <c r="H175" s="47"/>
      <c r="I175" s="47"/>
      <c r="J175" s="47"/>
      <c r="K175" s="47"/>
      <c r="L175" s="47"/>
      <c r="M175" s="47"/>
      <c r="N175" s="46"/>
    </row>
    <row r="176" spans="1:14" s="57" customFormat="1">
      <c r="A176" s="61"/>
      <c r="B176" s="46"/>
      <c r="C176" s="47"/>
      <c r="D176" s="47"/>
      <c r="E176" s="47"/>
      <c r="F176" s="47"/>
      <c r="G176" s="47"/>
      <c r="H176" s="47"/>
      <c r="I176" s="47"/>
      <c r="J176" s="47"/>
      <c r="K176" s="47"/>
      <c r="L176" s="47"/>
      <c r="M176" s="47"/>
      <c r="N176" s="46"/>
    </row>
    <row r="177" spans="1:14" s="57" customFormat="1">
      <c r="A177" s="60"/>
      <c r="B177" s="46"/>
      <c r="C177" s="47"/>
      <c r="D177" s="47"/>
      <c r="E177" s="47"/>
      <c r="F177" s="47"/>
      <c r="G177" s="47"/>
      <c r="H177" s="47"/>
      <c r="I177" s="47"/>
      <c r="J177" s="47"/>
      <c r="K177" s="47"/>
      <c r="L177" s="47"/>
      <c r="M177" s="47"/>
      <c r="N177" s="46"/>
    </row>
    <row r="178" spans="1:14" s="57" customFormat="1">
      <c r="A178" s="61"/>
      <c r="B178" s="46"/>
      <c r="C178" s="47"/>
      <c r="D178" s="47"/>
      <c r="E178" s="47"/>
      <c r="F178" s="47"/>
      <c r="G178" s="47"/>
      <c r="H178" s="47"/>
      <c r="I178" s="47"/>
      <c r="J178" s="47"/>
      <c r="K178" s="47"/>
      <c r="L178" s="47"/>
      <c r="M178" s="47"/>
      <c r="N178" s="46"/>
    </row>
    <row r="179" spans="1:14" s="57" customFormat="1">
      <c r="A179" s="60"/>
      <c r="B179" s="46"/>
      <c r="C179" s="47"/>
      <c r="D179" s="47"/>
      <c r="E179" s="47"/>
      <c r="F179" s="47"/>
      <c r="G179" s="47"/>
      <c r="H179" s="47"/>
      <c r="I179" s="47"/>
      <c r="J179" s="47"/>
      <c r="K179" s="47"/>
      <c r="L179" s="47"/>
      <c r="M179" s="47"/>
      <c r="N179" s="46"/>
    </row>
    <row r="180" spans="1:14" s="57" customFormat="1">
      <c r="A180" s="60"/>
      <c r="B180" s="46"/>
      <c r="C180" s="47"/>
      <c r="D180" s="47"/>
      <c r="E180" s="47"/>
      <c r="F180" s="47"/>
      <c r="G180" s="47"/>
      <c r="H180" s="47"/>
      <c r="I180" s="47"/>
      <c r="J180" s="47"/>
      <c r="K180" s="47"/>
      <c r="L180" s="47"/>
      <c r="M180" s="47"/>
      <c r="N180" s="46"/>
    </row>
    <row r="181" spans="1:14" s="57" customFormat="1">
      <c r="A181" s="60"/>
      <c r="B181" s="46"/>
      <c r="C181" s="47"/>
      <c r="D181" s="47"/>
      <c r="E181" s="47"/>
      <c r="F181" s="47"/>
      <c r="G181" s="47"/>
      <c r="H181" s="47"/>
      <c r="I181" s="47"/>
      <c r="J181" s="47"/>
      <c r="K181" s="47"/>
      <c r="L181" s="47"/>
      <c r="M181" s="47"/>
      <c r="N181" s="46"/>
    </row>
    <row r="182" spans="1:14" s="57" customFormat="1">
      <c r="A182" s="60"/>
      <c r="B182" s="46"/>
      <c r="C182" s="47"/>
      <c r="D182" s="47"/>
      <c r="E182" s="47"/>
      <c r="F182" s="47"/>
      <c r="G182" s="47"/>
      <c r="H182" s="47"/>
      <c r="I182" s="47"/>
      <c r="J182" s="47"/>
      <c r="K182" s="47"/>
      <c r="L182" s="47"/>
      <c r="M182" s="47"/>
      <c r="N182" s="46"/>
    </row>
    <row r="183" spans="1:14" s="57" customFormat="1">
      <c r="A183" s="60"/>
      <c r="B183" s="46"/>
      <c r="C183" s="47"/>
      <c r="D183" s="47"/>
      <c r="E183" s="47"/>
      <c r="F183" s="47"/>
      <c r="G183" s="47"/>
      <c r="H183" s="47"/>
      <c r="I183" s="47"/>
      <c r="J183" s="47"/>
      <c r="K183" s="47"/>
      <c r="L183" s="47"/>
      <c r="M183" s="47"/>
      <c r="N183" s="46"/>
    </row>
    <row r="184" spans="1:14" s="57" customFormat="1">
      <c r="A184" s="60"/>
      <c r="B184" s="46"/>
      <c r="C184" s="47"/>
      <c r="D184" s="47"/>
      <c r="E184" s="47"/>
      <c r="F184" s="47"/>
      <c r="G184" s="47"/>
      <c r="H184" s="47"/>
      <c r="I184" s="47"/>
      <c r="J184" s="47"/>
      <c r="K184" s="47"/>
      <c r="L184" s="47"/>
      <c r="M184" s="47"/>
      <c r="N184" s="46"/>
    </row>
    <row r="185" spans="1:14" s="57" customFormat="1">
      <c r="A185" s="60"/>
      <c r="B185" s="46"/>
      <c r="C185" s="47"/>
      <c r="D185" s="47"/>
      <c r="E185" s="47"/>
      <c r="F185" s="47"/>
      <c r="G185" s="47"/>
      <c r="H185" s="47"/>
      <c r="I185" s="47"/>
      <c r="J185" s="47"/>
      <c r="K185" s="47"/>
      <c r="L185" s="47"/>
      <c r="M185" s="47"/>
      <c r="N185" s="46"/>
    </row>
    <row r="186" spans="1:14" s="57" customFormat="1">
      <c r="A186" s="60"/>
      <c r="B186" s="46"/>
      <c r="C186" s="47"/>
      <c r="D186" s="47"/>
      <c r="E186" s="47"/>
      <c r="F186" s="47"/>
      <c r="G186" s="47"/>
      <c r="H186" s="47"/>
      <c r="I186" s="47"/>
      <c r="J186" s="47"/>
      <c r="K186" s="47"/>
      <c r="L186" s="47"/>
      <c r="M186" s="47"/>
      <c r="N186" s="46"/>
    </row>
    <row r="187" spans="1:14" s="57" customFormat="1">
      <c r="A187" s="60"/>
      <c r="B187" s="46"/>
      <c r="C187" s="47"/>
      <c r="D187" s="47"/>
      <c r="E187" s="47"/>
      <c r="F187" s="47"/>
      <c r="G187" s="47"/>
      <c r="H187" s="47"/>
      <c r="I187" s="47"/>
      <c r="J187" s="47"/>
      <c r="K187" s="47"/>
      <c r="L187" s="47"/>
      <c r="M187" s="47"/>
      <c r="N187" s="46"/>
    </row>
    <row r="188" spans="1:14" s="57" customFormat="1">
      <c r="A188" s="60"/>
      <c r="B188" s="46"/>
      <c r="C188" s="47"/>
      <c r="D188" s="47"/>
      <c r="E188" s="47"/>
      <c r="F188" s="47"/>
      <c r="G188" s="47"/>
      <c r="H188" s="47"/>
      <c r="I188" s="47"/>
      <c r="J188" s="47"/>
      <c r="K188" s="47"/>
      <c r="L188" s="47"/>
      <c r="M188" s="47"/>
      <c r="N188" s="46"/>
    </row>
    <row r="189" spans="1:14" s="57" customFormat="1">
      <c r="A189" s="60"/>
      <c r="B189" s="46"/>
      <c r="C189" s="47"/>
      <c r="D189" s="47"/>
      <c r="E189" s="47"/>
      <c r="F189" s="47"/>
      <c r="G189" s="47"/>
      <c r="H189" s="47"/>
      <c r="I189" s="47"/>
      <c r="J189" s="47"/>
      <c r="K189" s="47"/>
      <c r="L189" s="47"/>
      <c r="M189" s="47"/>
      <c r="N189" s="46"/>
    </row>
    <row r="190" spans="1:14" s="57" customFormat="1">
      <c r="A190" s="60"/>
      <c r="B190" s="46"/>
      <c r="C190" s="47"/>
      <c r="D190" s="47"/>
      <c r="E190" s="47"/>
      <c r="F190" s="47"/>
      <c r="G190" s="47"/>
      <c r="H190" s="47"/>
      <c r="I190" s="47"/>
      <c r="J190" s="47"/>
      <c r="K190" s="47"/>
      <c r="L190" s="47"/>
      <c r="M190" s="47"/>
      <c r="N190" s="46"/>
    </row>
    <row r="191" spans="1:14" s="57" customFormat="1">
      <c r="A191" s="60"/>
      <c r="B191" s="46"/>
      <c r="C191" s="47"/>
      <c r="D191" s="47"/>
      <c r="E191" s="47"/>
      <c r="F191" s="47"/>
      <c r="G191" s="47"/>
      <c r="H191" s="47"/>
      <c r="I191" s="47"/>
      <c r="J191" s="47"/>
      <c r="K191" s="47"/>
      <c r="L191" s="47"/>
      <c r="M191" s="47"/>
      <c r="N191" s="46"/>
    </row>
    <row r="192" spans="1:14" s="57" customFormat="1">
      <c r="A192" s="60"/>
      <c r="B192" s="46"/>
      <c r="C192" s="47"/>
      <c r="D192" s="47"/>
      <c r="E192" s="47"/>
      <c r="F192" s="47"/>
      <c r="G192" s="47"/>
      <c r="H192" s="47"/>
      <c r="I192" s="47"/>
      <c r="J192" s="47"/>
      <c r="K192" s="47"/>
      <c r="L192" s="47"/>
      <c r="M192" s="47"/>
      <c r="N192" s="46"/>
    </row>
    <row r="193" spans="1:14" s="57" customFormat="1">
      <c r="A193" s="61"/>
      <c r="B193" s="46"/>
      <c r="C193" s="47"/>
      <c r="D193" s="47"/>
      <c r="E193" s="47"/>
      <c r="F193" s="47"/>
      <c r="G193" s="47"/>
      <c r="H193" s="47"/>
      <c r="I193" s="47"/>
      <c r="J193" s="47"/>
      <c r="K193" s="47"/>
      <c r="L193" s="47"/>
      <c r="M193" s="47"/>
      <c r="N193" s="46"/>
    </row>
    <row r="194" spans="1:14" s="57" customFormat="1">
      <c r="A194" s="60"/>
      <c r="B194" s="46"/>
      <c r="C194" s="47"/>
      <c r="D194" s="47"/>
      <c r="E194" s="47"/>
      <c r="F194" s="47"/>
      <c r="G194" s="47"/>
      <c r="H194" s="47"/>
      <c r="I194" s="47"/>
      <c r="J194" s="47"/>
      <c r="K194" s="47"/>
      <c r="L194" s="47"/>
      <c r="M194" s="47"/>
      <c r="N194" s="46"/>
    </row>
    <row r="195" spans="1:14" s="57" customFormat="1">
      <c r="A195" s="61"/>
      <c r="B195" s="46"/>
      <c r="C195" s="47"/>
      <c r="D195" s="47"/>
      <c r="E195" s="47"/>
      <c r="F195" s="47"/>
      <c r="G195" s="47"/>
      <c r="H195" s="47"/>
      <c r="I195" s="47"/>
      <c r="J195" s="47"/>
      <c r="K195" s="47"/>
      <c r="L195" s="47"/>
      <c r="M195" s="47"/>
      <c r="N195" s="46"/>
    </row>
    <row r="196" spans="1:14" s="57" customFormat="1">
      <c r="A196" s="60"/>
      <c r="B196" s="46"/>
      <c r="C196" s="47"/>
      <c r="D196" s="47"/>
      <c r="E196" s="47"/>
      <c r="F196" s="47"/>
      <c r="G196" s="47"/>
      <c r="H196" s="47"/>
      <c r="I196" s="47"/>
      <c r="J196" s="47"/>
      <c r="K196" s="47"/>
      <c r="L196" s="47"/>
      <c r="M196" s="47"/>
      <c r="N196" s="46"/>
    </row>
    <row r="197" spans="1:14" s="57" customFormat="1">
      <c r="A197" s="60"/>
      <c r="B197" s="46"/>
      <c r="C197" s="47"/>
      <c r="D197" s="47"/>
      <c r="E197" s="47"/>
      <c r="F197" s="47"/>
      <c r="G197" s="47"/>
      <c r="H197" s="47"/>
      <c r="I197" s="47"/>
      <c r="J197" s="47"/>
      <c r="K197" s="47"/>
      <c r="L197" s="47"/>
      <c r="M197" s="47"/>
      <c r="N197" s="46"/>
    </row>
    <row r="198" spans="1:14" s="57" customFormat="1">
      <c r="A198" s="60"/>
      <c r="B198" s="46"/>
      <c r="C198" s="47"/>
      <c r="D198" s="47"/>
      <c r="E198" s="47"/>
      <c r="F198" s="47"/>
      <c r="G198" s="47"/>
      <c r="H198" s="47"/>
      <c r="I198" s="47"/>
      <c r="J198" s="47"/>
      <c r="K198" s="47"/>
      <c r="L198" s="47"/>
      <c r="M198" s="47"/>
      <c r="N198" s="46"/>
    </row>
    <row r="199" spans="1:14" s="57" customFormat="1">
      <c r="A199" s="60"/>
      <c r="B199" s="46"/>
      <c r="C199" s="47"/>
      <c r="D199" s="47"/>
      <c r="E199" s="47"/>
      <c r="F199" s="47"/>
      <c r="G199" s="47"/>
      <c r="H199" s="47"/>
      <c r="I199" s="47"/>
      <c r="J199" s="47"/>
      <c r="K199" s="47"/>
      <c r="L199" s="47"/>
      <c r="M199" s="47"/>
      <c r="N199" s="46"/>
    </row>
    <row r="200" spans="1:14" s="57" customFormat="1">
      <c r="A200" s="60"/>
      <c r="B200" s="46"/>
      <c r="C200" s="47"/>
      <c r="D200" s="47"/>
      <c r="E200" s="47"/>
      <c r="F200" s="47"/>
      <c r="G200" s="47"/>
      <c r="H200" s="47"/>
      <c r="I200" s="47"/>
      <c r="J200" s="47"/>
      <c r="K200" s="47"/>
      <c r="L200" s="47"/>
      <c r="M200" s="47"/>
      <c r="N200" s="46"/>
    </row>
    <row r="201" spans="1:14" s="57" customFormat="1">
      <c r="A201" s="60"/>
      <c r="B201" s="46"/>
      <c r="C201" s="47"/>
      <c r="D201" s="47"/>
      <c r="E201" s="47"/>
      <c r="F201" s="47"/>
      <c r="G201" s="47"/>
      <c r="H201" s="47"/>
      <c r="I201" s="47"/>
      <c r="J201" s="47"/>
      <c r="K201" s="47"/>
      <c r="L201" s="47"/>
      <c r="M201" s="47"/>
      <c r="N201" s="46"/>
    </row>
    <row r="202" spans="1:14" s="57" customFormat="1">
      <c r="A202" s="60"/>
      <c r="B202" s="46"/>
      <c r="C202" s="47"/>
      <c r="D202" s="47"/>
      <c r="E202" s="47"/>
      <c r="F202" s="47"/>
      <c r="G202" s="47"/>
      <c r="H202" s="47"/>
      <c r="I202" s="47"/>
      <c r="J202" s="47"/>
      <c r="K202" s="47"/>
      <c r="L202" s="47"/>
      <c r="M202" s="47"/>
      <c r="N202" s="46"/>
    </row>
    <row r="203" spans="1:14" s="57" customFormat="1">
      <c r="A203" s="60"/>
      <c r="B203" s="46"/>
      <c r="C203" s="47"/>
      <c r="D203" s="47"/>
      <c r="E203" s="47"/>
      <c r="F203" s="47"/>
      <c r="G203" s="47"/>
      <c r="H203" s="47"/>
      <c r="I203" s="47"/>
      <c r="J203" s="47"/>
      <c r="K203" s="47"/>
      <c r="L203" s="47"/>
      <c r="M203" s="47"/>
      <c r="N203" s="46"/>
    </row>
    <row r="204" spans="1:14" s="57" customFormat="1">
      <c r="A204" s="60"/>
      <c r="B204" s="46"/>
      <c r="C204" s="47"/>
      <c r="D204" s="47"/>
      <c r="E204" s="47"/>
      <c r="F204" s="47"/>
      <c r="G204" s="47"/>
      <c r="H204" s="47"/>
      <c r="I204" s="47"/>
      <c r="J204" s="47"/>
      <c r="K204" s="47"/>
      <c r="L204" s="47"/>
      <c r="M204" s="47"/>
      <c r="N204" s="46"/>
    </row>
    <row r="205" spans="1:14" s="57" customFormat="1">
      <c r="A205" s="60"/>
      <c r="B205" s="46"/>
      <c r="C205" s="47"/>
      <c r="D205" s="47"/>
      <c r="E205" s="47"/>
      <c r="F205" s="47"/>
      <c r="G205" s="47"/>
      <c r="H205" s="47"/>
      <c r="I205" s="47"/>
      <c r="J205" s="47"/>
      <c r="K205" s="47"/>
      <c r="L205" s="47"/>
      <c r="M205" s="47"/>
      <c r="N205" s="46"/>
    </row>
    <row r="206" spans="1:14" s="57" customFormat="1">
      <c r="A206" s="60"/>
      <c r="B206" s="46"/>
      <c r="C206" s="47"/>
      <c r="D206" s="47"/>
      <c r="E206" s="47"/>
      <c r="F206" s="47"/>
      <c r="G206" s="47"/>
      <c r="H206" s="47"/>
      <c r="I206" s="47"/>
      <c r="J206" s="47"/>
      <c r="K206" s="47"/>
      <c r="L206" s="47"/>
      <c r="M206" s="47"/>
      <c r="N206" s="46"/>
    </row>
    <row r="207" spans="1:14" s="57" customFormat="1">
      <c r="A207" s="61"/>
      <c r="B207" s="46"/>
      <c r="C207" s="47"/>
      <c r="D207" s="47"/>
      <c r="E207" s="47"/>
      <c r="F207" s="47"/>
      <c r="G207" s="47"/>
      <c r="H207" s="47"/>
      <c r="I207" s="47"/>
      <c r="J207" s="47"/>
      <c r="K207" s="47"/>
      <c r="L207" s="47"/>
      <c r="M207" s="47"/>
      <c r="N207" s="46"/>
    </row>
    <row r="208" spans="1:14" s="57" customFormat="1">
      <c r="A208" s="60"/>
      <c r="B208" s="46"/>
      <c r="C208" s="47"/>
      <c r="D208" s="47"/>
      <c r="E208" s="47"/>
      <c r="F208" s="47"/>
      <c r="G208" s="47"/>
      <c r="H208" s="47"/>
      <c r="I208" s="47"/>
      <c r="J208" s="47"/>
      <c r="K208" s="47"/>
      <c r="L208" s="47"/>
      <c r="M208" s="47"/>
      <c r="N208" s="46"/>
    </row>
    <row r="209" spans="1:14" s="57" customFormat="1">
      <c r="A209" s="61"/>
      <c r="B209" s="46"/>
      <c r="C209" s="47"/>
      <c r="D209" s="47"/>
      <c r="E209" s="47"/>
      <c r="F209" s="47"/>
      <c r="G209" s="47"/>
      <c r="H209" s="47"/>
      <c r="I209" s="47"/>
      <c r="J209" s="47"/>
      <c r="K209" s="47"/>
      <c r="L209" s="47"/>
      <c r="M209" s="47"/>
      <c r="N209" s="46"/>
    </row>
    <row r="210" spans="1:14" s="57" customFormat="1">
      <c r="A210" s="60"/>
      <c r="B210" s="46"/>
      <c r="C210" s="47"/>
      <c r="D210" s="47"/>
      <c r="E210" s="47"/>
      <c r="F210" s="47"/>
      <c r="G210" s="47"/>
      <c r="H210" s="47"/>
      <c r="I210" s="47"/>
      <c r="J210" s="47"/>
      <c r="K210" s="47"/>
      <c r="L210" s="47"/>
      <c r="M210" s="47"/>
      <c r="N210" s="46"/>
    </row>
    <row r="211" spans="1:14" s="57" customFormat="1">
      <c r="A211" s="60"/>
      <c r="B211" s="46"/>
      <c r="C211" s="47"/>
      <c r="D211" s="47"/>
      <c r="E211" s="47"/>
      <c r="F211" s="47"/>
      <c r="G211" s="47"/>
      <c r="H211" s="47"/>
      <c r="I211" s="47"/>
      <c r="J211" s="47"/>
      <c r="K211" s="47"/>
      <c r="L211" s="47"/>
      <c r="M211" s="47"/>
      <c r="N211" s="46"/>
    </row>
    <row r="212" spans="1:14" s="57" customFormat="1">
      <c r="A212" s="60"/>
      <c r="B212" s="46"/>
      <c r="C212" s="47"/>
      <c r="D212" s="47"/>
      <c r="E212" s="47"/>
      <c r="F212" s="47"/>
      <c r="G212" s="47"/>
      <c r="H212" s="47"/>
      <c r="I212" s="47"/>
      <c r="J212" s="47"/>
      <c r="K212" s="47"/>
      <c r="L212" s="47"/>
      <c r="M212" s="47"/>
      <c r="N212" s="46"/>
    </row>
    <row r="213" spans="1:14" s="57" customFormat="1">
      <c r="A213" s="61"/>
      <c r="B213" s="46"/>
      <c r="C213" s="47"/>
      <c r="D213" s="47"/>
      <c r="E213" s="47"/>
      <c r="F213" s="47"/>
      <c r="G213" s="47"/>
      <c r="H213" s="47"/>
      <c r="I213" s="47"/>
      <c r="J213" s="47"/>
      <c r="K213" s="47"/>
      <c r="L213" s="47"/>
      <c r="M213" s="47"/>
      <c r="N213" s="46"/>
    </row>
    <row r="214" spans="1:14" s="57" customFormat="1">
      <c r="A214" s="60"/>
      <c r="B214" s="46"/>
      <c r="C214" s="47"/>
      <c r="D214" s="47"/>
      <c r="E214" s="47"/>
      <c r="F214" s="47"/>
      <c r="G214" s="47"/>
      <c r="H214" s="47"/>
      <c r="I214" s="47"/>
      <c r="J214" s="47"/>
      <c r="K214" s="47"/>
      <c r="L214" s="47"/>
      <c r="M214" s="47"/>
      <c r="N214" s="46"/>
    </row>
    <row r="215" spans="1:14" s="57" customFormat="1">
      <c r="A215" s="60"/>
      <c r="B215" s="46"/>
      <c r="C215" s="47"/>
      <c r="D215" s="47"/>
      <c r="E215" s="47"/>
      <c r="F215" s="47"/>
      <c r="G215" s="47"/>
      <c r="H215" s="47"/>
      <c r="I215" s="47"/>
      <c r="J215" s="47"/>
      <c r="K215" s="47"/>
      <c r="L215" s="47"/>
      <c r="M215" s="47"/>
      <c r="N215" s="46"/>
    </row>
    <row r="216" spans="1:14" s="57" customFormat="1">
      <c r="A216" s="60"/>
      <c r="B216" s="46"/>
      <c r="C216" s="47"/>
      <c r="D216" s="47"/>
      <c r="E216" s="47"/>
      <c r="F216" s="47"/>
      <c r="G216" s="47"/>
      <c r="H216" s="47"/>
      <c r="I216" s="47"/>
      <c r="J216" s="47"/>
      <c r="K216" s="47"/>
      <c r="L216" s="47"/>
      <c r="M216" s="47"/>
      <c r="N216" s="46"/>
    </row>
    <row r="217" spans="1:14" s="57" customFormat="1">
      <c r="A217" s="60"/>
      <c r="B217" s="46"/>
      <c r="C217" s="47"/>
      <c r="D217" s="47"/>
      <c r="E217" s="47"/>
      <c r="F217" s="47"/>
      <c r="G217" s="47"/>
      <c r="H217" s="47"/>
      <c r="I217" s="47"/>
      <c r="J217" s="47"/>
      <c r="K217" s="47"/>
      <c r="L217" s="47"/>
      <c r="M217" s="47"/>
      <c r="N217" s="46"/>
    </row>
    <row r="218" spans="1:14" s="57" customFormat="1">
      <c r="A218" s="60"/>
      <c r="B218" s="46"/>
      <c r="C218" s="47"/>
      <c r="D218" s="47"/>
      <c r="E218" s="47"/>
      <c r="F218" s="47"/>
      <c r="G218" s="47"/>
      <c r="H218" s="47"/>
      <c r="I218" s="47"/>
      <c r="J218" s="47"/>
      <c r="K218" s="47"/>
      <c r="L218" s="47"/>
      <c r="M218" s="47"/>
      <c r="N218" s="46"/>
    </row>
    <row r="219" spans="1:14" s="57" customFormat="1">
      <c r="A219" s="60"/>
      <c r="B219" s="46"/>
      <c r="C219" s="47"/>
      <c r="D219" s="47"/>
      <c r="E219" s="47"/>
      <c r="F219" s="47"/>
      <c r="G219" s="47"/>
      <c r="H219" s="47"/>
      <c r="I219" s="47"/>
      <c r="J219" s="47"/>
      <c r="K219" s="47"/>
      <c r="L219" s="47"/>
      <c r="M219" s="47"/>
      <c r="N219" s="46"/>
    </row>
    <row r="220" spans="1:14" s="57" customFormat="1">
      <c r="A220" s="61"/>
      <c r="B220" s="46"/>
      <c r="C220" s="47"/>
      <c r="D220" s="47"/>
      <c r="E220" s="47"/>
      <c r="F220" s="47"/>
      <c r="G220" s="47"/>
      <c r="H220" s="47"/>
      <c r="I220" s="47"/>
      <c r="J220" s="47"/>
      <c r="K220" s="47"/>
      <c r="L220" s="47"/>
      <c r="M220" s="47"/>
      <c r="N220" s="46"/>
    </row>
    <row r="221" spans="1:14" s="57" customFormat="1">
      <c r="A221" s="60"/>
      <c r="B221" s="46"/>
      <c r="C221" s="47"/>
      <c r="D221" s="47"/>
      <c r="E221" s="47"/>
      <c r="F221" s="47"/>
      <c r="G221" s="47"/>
      <c r="H221" s="47"/>
      <c r="I221" s="47"/>
      <c r="J221" s="47"/>
      <c r="K221" s="47"/>
      <c r="L221" s="47"/>
      <c r="M221" s="47"/>
      <c r="N221" s="46"/>
    </row>
    <row r="222" spans="1:14" s="57" customFormat="1">
      <c r="A222" s="60"/>
      <c r="B222" s="46"/>
      <c r="C222" s="47"/>
      <c r="D222" s="47"/>
      <c r="E222" s="47"/>
      <c r="F222" s="47"/>
      <c r="G222" s="47"/>
      <c r="H222" s="47"/>
      <c r="I222" s="47"/>
      <c r="J222" s="47"/>
      <c r="K222" s="47"/>
      <c r="L222" s="47"/>
      <c r="M222" s="47"/>
      <c r="N222" s="46"/>
    </row>
    <row r="223" spans="1:14" s="57" customFormat="1">
      <c r="A223" s="60"/>
      <c r="B223" s="46"/>
      <c r="C223" s="47"/>
      <c r="D223" s="47"/>
      <c r="E223" s="47"/>
      <c r="F223" s="47"/>
      <c r="G223" s="47"/>
      <c r="H223" s="47"/>
      <c r="I223" s="47"/>
      <c r="J223" s="47"/>
      <c r="K223" s="47"/>
      <c r="L223" s="47"/>
      <c r="M223" s="47"/>
      <c r="N223" s="46"/>
    </row>
    <row r="224" spans="1:14" s="57" customFormat="1">
      <c r="A224" s="60"/>
      <c r="B224" s="46"/>
      <c r="C224" s="47"/>
      <c r="D224" s="47"/>
      <c r="E224" s="47"/>
      <c r="F224" s="47"/>
      <c r="G224" s="47"/>
      <c r="H224" s="47"/>
      <c r="I224" s="47"/>
      <c r="J224" s="47"/>
      <c r="K224" s="47"/>
      <c r="L224" s="47"/>
      <c r="M224" s="47"/>
      <c r="N224" s="46"/>
    </row>
    <row r="225" spans="1:14" s="57" customFormat="1">
      <c r="A225" s="60"/>
      <c r="B225" s="46"/>
      <c r="C225" s="47"/>
      <c r="D225" s="47"/>
      <c r="E225" s="47"/>
      <c r="F225" s="47"/>
      <c r="G225" s="47"/>
      <c r="H225" s="47"/>
      <c r="I225" s="47"/>
      <c r="J225" s="47"/>
      <c r="K225" s="47"/>
      <c r="L225" s="47"/>
      <c r="M225" s="47"/>
      <c r="N225" s="46"/>
    </row>
    <row r="226" spans="1:14" s="57" customFormat="1">
      <c r="A226" s="60"/>
      <c r="B226" s="46"/>
      <c r="C226" s="47"/>
      <c r="D226" s="47"/>
      <c r="E226" s="47"/>
      <c r="F226" s="47"/>
      <c r="G226" s="47"/>
      <c r="H226" s="47"/>
      <c r="I226" s="47"/>
      <c r="J226" s="47"/>
      <c r="K226" s="47"/>
      <c r="L226" s="47"/>
      <c r="M226" s="47"/>
      <c r="N226" s="46"/>
    </row>
    <row r="227" spans="1:14" s="57" customFormat="1">
      <c r="A227" s="60"/>
      <c r="B227" s="46"/>
      <c r="C227" s="47"/>
      <c r="D227" s="47"/>
      <c r="E227" s="47"/>
      <c r="F227" s="47"/>
      <c r="G227" s="47"/>
      <c r="H227" s="47"/>
      <c r="I227" s="47"/>
      <c r="J227" s="47"/>
      <c r="K227" s="47"/>
      <c r="L227" s="47"/>
      <c r="M227" s="47"/>
      <c r="N227" s="46"/>
    </row>
    <row r="228" spans="1:14" s="57" customFormat="1">
      <c r="A228" s="60"/>
      <c r="B228" s="46"/>
      <c r="C228" s="47"/>
      <c r="D228" s="47"/>
      <c r="E228" s="47"/>
      <c r="F228" s="47"/>
      <c r="G228" s="47"/>
      <c r="H228" s="47"/>
      <c r="I228" s="47"/>
      <c r="J228" s="47"/>
      <c r="K228" s="47"/>
      <c r="L228" s="47"/>
      <c r="M228" s="47"/>
      <c r="N228" s="46"/>
    </row>
    <row r="229" spans="1:14" s="57" customFormat="1">
      <c r="A229" s="60"/>
      <c r="B229" s="46"/>
      <c r="C229" s="47"/>
      <c r="D229" s="47"/>
      <c r="E229" s="47"/>
      <c r="F229" s="47"/>
      <c r="G229" s="47"/>
      <c r="H229" s="47"/>
      <c r="I229" s="47"/>
      <c r="J229" s="47"/>
      <c r="K229" s="47"/>
      <c r="L229" s="47"/>
      <c r="M229" s="47"/>
      <c r="N229" s="46"/>
    </row>
    <row r="230" spans="1:14" s="57" customFormat="1">
      <c r="A230" s="60"/>
      <c r="B230" s="46"/>
      <c r="C230" s="47"/>
      <c r="D230" s="47"/>
      <c r="E230" s="47"/>
      <c r="F230" s="47"/>
      <c r="G230" s="47"/>
      <c r="H230" s="47"/>
      <c r="I230" s="47"/>
      <c r="J230" s="47"/>
      <c r="K230" s="47"/>
      <c r="L230" s="47"/>
      <c r="M230" s="47"/>
      <c r="N230" s="46"/>
    </row>
    <row r="231" spans="1:14" s="57" customFormat="1">
      <c r="A231" s="60"/>
      <c r="B231" s="46"/>
      <c r="C231" s="47"/>
      <c r="D231" s="47"/>
      <c r="E231" s="47"/>
      <c r="F231" s="47"/>
      <c r="G231" s="47"/>
      <c r="H231" s="47"/>
      <c r="I231" s="47"/>
      <c r="J231" s="47"/>
      <c r="K231" s="47"/>
      <c r="L231" s="47"/>
      <c r="M231" s="47"/>
      <c r="N231" s="46"/>
    </row>
    <row r="232" spans="1:14" s="57" customFormat="1">
      <c r="A232" s="60"/>
      <c r="B232" s="46"/>
      <c r="C232" s="47"/>
      <c r="D232" s="47"/>
      <c r="E232" s="47"/>
      <c r="F232" s="47"/>
      <c r="G232" s="47"/>
      <c r="H232" s="47"/>
      <c r="I232" s="47"/>
      <c r="J232" s="47"/>
      <c r="K232" s="47"/>
      <c r="L232" s="47"/>
      <c r="M232" s="47"/>
      <c r="N232" s="46"/>
    </row>
    <row r="233" spans="1:14" s="57" customFormat="1">
      <c r="A233" s="60"/>
      <c r="B233" s="46"/>
      <c r="C233" s="47"/>
      <c r="D233" s="47"/>
      <c r="E233" s="47"/>
      <c r="F233" s="47"/>
      <c r="G233" s="47"/>
      <c r="H233" s="47"/>
      <c r="I233" s="47"/>
      <c r="J233" s="47"/>
      <c r="K233" s="47"/>
      <c r="L233" s="47"/>
      <c r="M233" s="47"/>
      <c r="N233" s="46"/>
    </row>
    <row r="234" spans="1:14" s="57" customFormat="1">
      <c r="A234" s="60"/>
      <c r="B234" s="46"/>
      <c r="C234" s="47"/>
      <c r="D234" s="47"/>
      <c r="E234" s="47"/>
      <c r="F234" s="47"/>
      <c r="G234" s="47"/>
      <c r="H234" s="47"/>
      <c r="I234" s="47"/>
      <c r="J234" s="47"/>
      <c r="K234" s="47"/>
      <c r="L234" s="47"/>
      <c r="M234" s="47"/>
      <c r="N234" s="46"/>
    </row>
    <row r="235" spans="1:14" s="57" customFormat="1">
      <c r="A235" s="60"/>
      <c r="B235" s="46"/>
      <c r="C235" s="47"/>
      <c r="D235" s="47"/>
      <c r="E235" s="47"/>
      <c r="F235" s="47"/>
      <c r="G235" s="47"/>
      <c r="H235" s="47"/>
      <c r="I235" s="47"/>
      <c r="J235" s="47"/>
      <c r="K235" s="47"/>
      <c r="L235" s="47"/>
      <c r="M235" s="47"/>
      <c r="N235" s="46"/>
    </row>
    <row r="236" spans="1:14" s="57" customFormat="1">
      <c r="A236" s="60"/>
      <c r="B236" s="46"/>
      <c r="C236" s="47"/>
      <c r="D236" s="47"/>
      <c r="E236" s="47"/>
      <c r="F236" s="47"/>
      <c r="G236" s="47"/>
      <c r="H236" s="47"/>
      <c r="I236" s="47"/>
      <c r="J236" s="47"/>
      <c r="K236" s="47"/>
      <c r="L236" s="47"/>
      <c r="M236" s="47"/>
      <c r="N236" s="46"/>
    </row>
    <row r="237" spans="1:14" s="57" customFormat="1">
      <c r="A237" s="61"/>
      <c r="B237" s="46"/>
      <c r="C237" s="47"/>
      <c r="D237" s="47"/>
      <c r="E237" s="47"/>
      <c r="F237" s="47"/>
      <c r="G237" s="47"/>
      <c r="H237" s="47"/>
      <c r="I237" s="47"/>
      <c r="J237" s="47"/>
      <c r="K237" s="47"/>
      <c r="L237" s="47"/>
      <c r="M237" s="47"/>
      <c r="N237" s="46"/>
    </row>
    <row r="238" spans="1:14" s="57" customFormat="1">
      <c r="A238" s="60"/>
      <c r="B238" s="46"/>
      <c r="C238" s="47"/>
      <c r="D238" s="47"/>
      <c r="E238" s="47"/>
      <c r="F238" s="47"/>
      <c r="G238" s="47"/>
      <c r="H238" s="47"/>
      <c r="I238" s="47"/>
      <c r="J238" s="47"/>
      <c r="K238" s="47"/>
      <c r="L238" s="47"/>
      <c r="M238" s="47"/>
      <c r="N238" s="46"/>
    </row>
    <row r="239" spans="1:14" s="57" customFormat="1">
      <c r="A239" s="60"/>
      <c r="B239" s="46"/>
      <c r="C239" s="47"/>
      <c r="D239" s="47"/>
      <c r="E239" s="47"/>
      <c r="F239" s="47"/>
      <c r="G239" s="47"/>
      <c r="H239" s="47"/>
      <c r="I239" s="47"/>
      <c r="J239" s="47"/>
      <c r="K239" s="47"/>
      <c r="L239" s="47"/>
      <c r="M239" s="47"/>
      <c r="N239" s="46"/>
    </row>
    <row r="240" spans="1:14" s="57" customFormat="1">
      <c r="A240" s="60"/>
      <c r="B240" s="46"/>
      <c r="C240" s="47"/>
      <c r="D240" s="47"/>
      <c r="E240" s="47"/>
      <c r="F240" s="47"/>
      <c r="G240" s="47"/>
      <c r="H240" s="47"/>
      <c r="I240" s="47"/>
      <c r="J240" s="47"/>
      <c r="K240" s="47"/>
      <c r="L240" s="47"/>
      <c r="M240" s="47"/>
      <c r="N240" s="46"/>
    </row>
    <row r="241" spans="1:14" s="57" customFormat="1">
      <c r="A241" s="61"/>
      <c r="B241" s="46"/>
      <c r="C241" s="47"/>
      <c r="D241" s="47"/>
      <c r="E241" s="47"/>
      <c r="F241" s="47"/>
      <c r="G241" s="47"/>
      <c r="H241" s="47"/>
      <c r="I241" s="47"/>
      <c r="J241" s="47"/>
      <c r="K241" s="47"/>
      <c r="L241" s="47"/>
      <c r="M241" s="47"/>
      <c r="N241" s="46"/>
    </row>
    <row r="242" spans="1:14" s="57" customFormat="1">
      <c r="A242" s="60"/>
      <c r="B242" s="46"/>
      <c r="C242" s="47"/>
      <c r="D242" s="47"/>
      <c r="E242" s="47"/>
      <c r="F242" s="47"/>
      <c r="G242" s="47"/>
      <c r="H242" s="47"/>
      <c r="I242" s="47"/>
      <c r="J242" s="47"/>
      <c r="K242" s="47"/>
      <c r="L242" s="47"/>
      <c r="M242" s="47"/>
      <c r="N242" s="46"/>
    </row>
    <row r="243" spans="1:14" s="57" customFormat="1">
      <c r="A243" s="60"/>
      <c r="B243" s="46"/>
      <c r="C243" s="47"/>
      <c r="D243" s="47"/>
      <c r="E243" s="47"/>
      <c r="F243" s="47"/>
      <c r="G243" s="47"/>
      <c r="H243" s="47"/>
      <c r="I243" s="47"/>
      <c r="J243" s="47"/>
      <c r="K243" s="47"/>
      <c r="L243" s="47"/>
      <c r="M243" s="47"/>
      <c r="N243" s="46"/>
    </row>
    <row r="244" spans="1:14" s="57" customFormat="1">
      <c r="A244" s="60"/>
      <c r="B244" s="46"/>
      <c r="C244" s="47"/>
      <c r="D244" s="47"/>
      <c r="E244" s="47"/>
      <c r="F244" s="47"/>
      <c r="G244" s="47"/>
      <c r="H244" s="47"/>
      <c r="I244" s="47"/>
      <c r="J244" s="47"/>
      <c r="K244" s="47"/>
      <c r="L244" s="47"/>
      <c r="M244" s="47"/>
      <c r="N244" s="46"/>
    </row>
    <row r="245" spans="1:14" s="57" customFormat="1">
      <c r="A245" s="60"/>
      <c r="B245" s="46"/>
      <c r="C245" s="47"/>
      <c r="D245" s="47"/>
      <c r="E245" s="47"/>
      <c r="F245" s="47"/>
      <c r="G245" s="47"/>
      <c r="H245" s="47"/>
      <c r="I245" s="47"/>
      <c r="J245" s="47"/>
      <c r="K245" s="47"/>
      <c r="L245" s="47"/>
      <c r="M245" s="47"/>
      <c r="N245" s="46"/>
    </row>
    <row r="246" spans="1:14" s="57" customFormat="1">
      <c r="A246" s="61"/>
      <c r="B246" s="46"/>
      <c r="C246" s="47"/>
      <c r="D246" s="47"/>
      <c r="E246" s="47"/>
      <c r="F246" s="47"/>
      <c r="G246" s="47"/>
      <c r="H246" s="47"/>
      <c r="I246" s="47"/>
      <c r="J246" s="47"/>
      <c r="K246" s="47"/>
      <c r="L246" s="47"/>
      <c r="M246" s="47"/>
      <c r="N246" s="46"/>
    </row>
    <row r="247" spans="1:14" s="57" customFormat="1">
      <c r="A247" s="60"/>
      <c r="B247" s="46"/>
      <c r="C247" s="47"/>
      <c r="D247" s="47"/>
      <c r="E247" s="47"/>
      <c r="F247" s="47"/>
      <c r="G247" s="47"/>
      <c r="H247" s="47"/>
      <c r="I247" s="47"/>
      <c r="J247" s="47"/>
      <c r="K247" s="47"/>
      <c r="L247" s="47"/>
      <c r="M247" s="47"/>
      <c r="N247" s="46"/>
    </row>
    <row r="248" spans="1:14" s="57" customFormat="1">
      <c r="A248" s="61"/>
      <c r="B248" s="46"/>
      <c r="C248" s="47"/>
      <c r="D248" s="47"/>
      <c r="E248" s="47"/>
      <c r="F248" s="47"/>
      <c r="G248" s="47"/>
      <c r="H248" s="47"/>
      <c r="I248" s="47"/>
      <c r="J248" s="47"/>
      <c r="K248" s="47"/>
      <c r="L248" s="47"/>
      <c r="M248" s="47"/>
      <c r="N248" s="46"/>
    </row>
    <row r="249" spans="1:14" s="57" customFormat="1">
      <c r="A249" s="60"/>
      <c r="B249" s="46"/>
      <c r="C249" s="47"/>
      <c r="D249" s="47"/>
      <c r="E249" s="47"/>
      <c r="F249" s="47"/>
      <c r="G249" s="47"/>
      <c r="H249" s="47"/>
      <c r="I249" s="47"/>
      <c r="J249" s="47"/>
      <c r="K249" s="47"/>
      <c r="L249" s="47"/>
      <c r="M249" s="47"/>
      <c r="N249" s="46"/>
    </row>
  </sheetData>
  <sheetProtection formatCells="0" insertHyperlinks="0" autoFilter="0"/>
  <sortState xmlns:xlrd2="http://schemas.microsoft.com/office/spreadsheetml/2017/richdata2" ref="A2:N249">
    <sortCondition descending="1" ref="F1"/>
  </sortState>
  <phoneticPr fontId="2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V74"/>
  <sheetViews>
    <sheetView zoomScale="90" zoomScaleNormal="90" workbookViewId="0">
      <pane xSplit="2" ySplit="6" topLeftCell="C67" activePane="bottomRight" state="frozen"/>
      <selection pane="topRight"/>
      <selection pane="bottomLeft"/>
      <selection pane="bottomRight" activeCell="C54" sqref="C54:K54"/>
    </sheetView>
  </sheetViews>
  <sheetFormatPr defaultColWidth="9" defaultRowHeight="15"/>
  <cols>
    <col min="1" max="1" width="10.59765625" style="40" customWidth="1"/>
    <col min="2" max="2" width="10.59765625" style="39" customWidth="1"/>
    <col min="3" max="3" width="20.59765625" style="39" customWidth="1"/>
    <col min="4" max="4" width="15.69921875" style="39" customWidth="1"/>
    <col min="5" max="6" width="15.59765625" style="39" customWidth="1"/>
    <col min="7" max="7" width="20.3984375" style="39" customWidth="1"/>
    <col min="8" max="9" width="15.59765625" style="39" customWidth="1"/>
    <col min="10" max="10" width="16.19921875" style="39" customWidth="1"/>
    <col min="11" max="11" width="20.59765625" style="41" customWidth="1"/>
    <col min="12" max="14" width="15.59765625" style="39" customWidth="1"/>
    <col min="15" max="16384" width="9" style="39"/>
  </cols>
  <sheetData>
    <row r="1" spans="1:22" ht="16.5" customHeight="1">
      <c r="A1" s="237" t="s">
        <v>155</v>
      </c>
      <c r="B1" s="237"/>
      <c r="C1" s="238" t="s">
        <v>314</v>
      </c>
      <c r="D1" s="239"/>
      <c r="E1" s="239"/>
      <c r="F1" s="239"/>
      <c r="G1" s="240" t="s">
        <v>315</v>
      </c>
      <c r="H1" s="241"/>
      <c r="I1" s="241"/>
      <c r="J1" s="241"/>
      <c r="K1" s="238" t="s">
        <v>316</v>
      </c>
      <c r="L1" s="242"/>
      <c r="M1" s="239"/>
      <c r="N1" s="239"/>
    </row>
    <row r="2" spans="1:22" ht="16.5" customHeight="1">
      <c r="A2" s="237" t="s">
        <v>156</v>
      </c>
      <c r="B2" s="237"/>
      <c r="C2" s="42" t="s">
        <v>157</v>
      </c>
      <c r="D2" s="42" t="s">
        <v>158</v>
      </c>
      <c r="E2" s="42" t="s">
        <v>159</v>
      </c>
      <c r="F2" s="42" t="s">
        <v>160</v>
      </c>
      <c r="G2" s="49" t="s">
        <v>157</v>
      </c>
      <c r="H2" s="49" t="s">
        <v>158</v>
      </c>
      <c r="I2" s="49" t="s">
        <v>159</v>
      </c>
      <c r="J2" s="49" t="s">
        <v>160</v>
      </c>
      <c r="K2" s="42" t="s">
        <v>157</v>
      </c>
      <c r="L2" s="53" t="s">
        <v>158</v>
      </c>
      <c r="M2" s="42" t="s">
        <v>159</v>
      </c>
      <c r="N2" s="42" t="s">
        <v>160</v>
      </c>
    </row>
    <row r="3" spans="1:22" ht="16.5" customHeight="1">
      <c r="A3" s="243" t="s">
        <v>161</v>
      </c>
      <c r="B3" s="243"/>
      <c r="C3" s="43"/>
      <c r="D3" s="44"/>
      <c r="E3" s="50"/>
      <c r="F3" s="50"/>
      <c r="G3" s="51"/>
      <c r="H3" s="52"/>
      <c r="I3" s="54"/>
      <c r="J3" s="54"/>
      <c r="K3" s="43"/>
      <c r="L3" s="44"/>
      <c r="M3" s="50"/>
      <c r="N3" s="50"/>
    </row>
    <row r="4" spans="1:22" ht="16.5" customHeight="1">
      <c r="A4" s="243" t="s">
        <v>162</v>
      </c>
      <c r="B4" s="243"/>
      <c r="C4" s="43"/>
      <c r="D4" s="44"/>
      <c r="E4" s="50"/>
      <c r="F4" s="50"/>
      <c r="G4" s="51"/>
      <c r="H4" s="52"/>
      <c r="I4" s="54"/>
      <c r="J4" s="54"/>
      <c r="K4" s="43"/>
      <c r="L4" s="55"/>
      <c r="M4" s="50"/>
      <c r="N4" s="50"/>
    </row>
    <row r="5" spans="1:22" ht="16.5" customHeight="1">
      <c r="A5" s="281" t="s">
        <v>163</v>
      </c>
      <c r="B5" s="281"/>
      <c r="C5" s="43"/>
      <c r="D5" s="44"/>
      <c r="E5" s="50"/>
      <c r="F5" s="50"/>
      <c r="G5" s="51"/>
      <c r="H5" s="52"/>
      <c r="I5" s="54"/>
      <c r="J5" s="54"/>
      <c r="K5" s="43"/>
      <c r="L5" s="55"/>
      <c r="M5" s="50"/>
      <c r="N5" s="50"/>
    </row>
    <row r="6" spans="1:22" ht="16.5" customHeight="1">
      <c r="A6" s="281"/>
      <c r="B6" s="281"/>
      <c r="C6" s="43"/>
      <c r="D6" s="44"/>
      <c r="E6" s="50"/>
      <c r="F6" s="50"/>
      <c r="G6" s="51"/>
      <c r="H6" s="52"/>
      <c r="I6" s="54"/>
      <c r="J6" s="54"/>
      <c r="K6" s="43"/>
      <c r="L6" s="55"/>
      <c r="M6" s="50"/>
      <c r="N6" s="50"/>
    </row>
    <row r="7" spans="1:22" ht="16.5" customHeight="1">
      <c r="A7" s="244" t="s">
        <v>164</v>
      </c>
      <c r="B7" s="244"/>
      <c r="C7" s="245"/>
      <c r="D7" s="245"/>
      <c r="E7" s="245"/>
      <c r="F7" s="245"/>
      <c r="G7" s="245"/>
      <c r="H7" s="245"/>
      <c r="I7" s="245"/>
      <c r="J7" s="245"/>
      <c r="K7" s="245"/>
      <c r="L7" s="18"/>
      <c r="M7" s="18"/>
      <c r="N7" s="18"/>
    </row>
    <row r="8" spans="1:22" ht="16.5" customHeight="1">
      <c r="A8" s="244" t="s">
        <v>165</v>
      </c>
      <c r="B8" s="244"/>
      <c r="C8" s="246"/>
      <c r="D8" s="246"/>
      <c r="E8" s="246"/>
      <c r="F8" s="246"/>
      <c r="G8" s="246"/>
      <c r="H8" s="246"/>
      <c r="I8" s="246"/>
      <c r="J8" s="246"/>
      <c r="K8" s="246"/>
      <c r="L8" s="18"/>
      <c r="M8" s="18"/>
      <c r="N8" s="18"/>
    </row>
    <row r="9" spans="1:22" ht="16.5" customHeight="1">
      <c r="A9" s="247" t="s">
        <v>166</v>
      </c>
      <c r="B9" s="247"/>
      <c r="L9" s="18"/>
      <c r="M9" s="18"/>
      <c r="N9" s="18"/>
    </row>
    <row r="10" spans="1:22" ht="16.5" customHeight="1">
      <c r="A10" s="247" t="s">
        <v>167</v>
      </c>
      <c r="B10" s="247"/>
      <c r="C10" s="246"/>
      <c r="D10" s="246"/>
      <c r="E10" s="246"/>
      <c r="F10" s="246"/>
      <c r="G10" s="246"/>
      <c r="H10" s="246"/>
      <c r="I10" s="246"/>
      <c r="J10" s="246"/>
      <c r="K10" s="246"/>
      <c r="L10" s="18"/>
      <c r="M10" s="18"/>
      <c r="N10" s="18"/>
    </row>
    <row r="11" spans="1:22" ht="16.5" customHeight="1">
      <c r="A11" s="244" t="s">
        <v>168</v>
      </c>
      <c r="B11" s="244"/>
      <c r="C11" s="246"/>
      <c r="D11" s="246"/>
      <c r="E11" s="246"/>
      <c r="F11" s="246"/>
      <c r="G11" s="246"/>
      <c r="H11" s="246"/>
      <c r="I11" s="246"/>
      <c r="J11" s="246"/>
      <c r="K11" s="246"/>
      <c r="L11" s="18"/>
      <c r="M11" s="18"/>
      <c r="N11" s="18"/>
    </row>
    <row r="12" spans="1:22" customFormat="1" ht="15.6">
      <c r="A12" s="286" t="s">
        <v>169</v>
      </c>
      <c r="B12" s="287"/>
      <c r="C12" s="248" t="s">
        <v>143</v>
      </c>
      <c r="D12" s="249"/>
      <c r="E12" s="250"/>
      <c r="F12" s="248" t="s">
        <v>144</v>
      </c>
      <c r="G12" s="249"/>
      <c r="H12" s="250"/>
      <c r="I12" s="248" t="s">
        <v>146</v>
      </c>
      <c r="J12" s="249"/>
      <c r="K12" s="250"/>
      <c r="L12" s="39"/>
      <c r="M12" s="39"/>
      <c r="N12" s="39"/>
      <c r="O12" s="39"/>
      <c r="P12" s="39"/>
      <c r="Q12" s="39"/>
      <c r="R12" s="39"/>
      <c r="S12" s="39"/>
      <c r="T12" s="39"/>
      <c r="U12" s="39"/>
      <c r="V12" s="39"/>
    </row>
    <row r="13" spans="1:22" customFormat="1" ht="15.6">
      <c r="A13" s="286"/>
      <c r="B13" s="287"/>
      <c r="C13" s="45"/>
      <c r="D13" s="45" t="s">
        <v>144</v>
      </c>
      <c r="E13" s="45" t="s">
        <v>146</v>
      </c>
      <c r="F13" s="45"/>
      <c r="G13" s="45" t="s">
        <v>143</v>
      </c>
      <c r="H13" s="45" t="s">
        <v>146</v>
      </c>
      <c r="I13" s="45"/>
      <c r="J13" s="45" t="s">
        <v>143</v>
      </c>
      <c r="K13" s="45" t="s">
        <v>144</v>
      </c>
      <c r="L13" s="39"/>
      <c r="M13" s="39"/>
      <c r="N13" s="39"/>
      <c r="O13" s="39"/>
      <c r="P13" s="39"/>
      <c r="Q13" s="39"/>
      <c r="R13" s="39"/>
      <c r="S13" s="39"/>
      <c r="T13" s="39"/>
      <c r="U13" s="39"/>
      <c r="V13" s="39"/>
    </row>
    <row r="14" spans="1:22" customFormat="1" ht="15.6">
      <c r="A14" s="286"/>
      <c r="B14" s="287"/>
      <c r="C14" s="46"/>
      <c r="D14" s="47"/>
      <c r="E14" s="47"/>
      <c r="F14" s="46"/>
      <c r="G14" s="47"/>
      <c r="H14" s="47"/>
      <c r="I14" s="46"/>
      <c r="J14" s="47"/>
      <c r="K14" s="47"/>
      <c r="L14" s="39"/>
      <c r="M14" s="39"/>
      <c r="N14" s="39"/>
      <c r="O14" s="39"/>
      <c r="P14" s="39"/>
      <c r="Q14" s="39"/>
      <c r="R14" s="39"/>
      <c r="S14" s="39"/>
      <c r="T14" s="39"/>
      <c r="U14" s="39"/>
      <c r="V14" s="39"/>
    </row>
    <row r="15" spans="1:22" customFormat="1" ht="15.6">
      <c r="A15" s="286"/>
      <c r="B15" s="287"/>
      <c r="C15" s="46"/>
      <c r="D15" s="47"/>
      <c r="E15" s="47"/>
      <c r="F15" s="46"/>
      <c r="G15" s="47"/>
      <c r="H15" s="47"/>
      <c r="I15" s="46"/>
      <c r="J15" s="47"/>
      <c r="K15" s="47"/>
      <c r="L15" s="39"/>
      <c r="M15" s="39"/>
      <c r="N15" s="39"/>
      <c r="O15" s="39"/>
      <c r="P15" s="39"/>
      <c r="Q15" s="39"/>
      <c r="R15" s="39"/>
      <c r="S15" s="39"/>
      <c r="T15" s="39"/>
      <c r="U15" s="39"/>
      <c r="V15" s="39"/>
    </row>
    <row r="16" spans="1:22" customFormat="1" ht="15.6">
      <c r="A16" s="286"/>
      <c r="B16" s="287"/>
      <c r="C16" s="46"/>
      <c r="D16" s="47"/>
      <c r="E16" s="47"/>
      <c r="F16" s="46"/>
      <c r="G16" s="47"/>
      <c r="H16" s="47"/>
      <c r="I16" s="46"/>
      <c r="J16" s="47"/>
      <c r="K16" s="47"/>
      <c r="L16" s="39"/>
      <c r="M16" s="39"/>
      <c r="N16" s="39"/>
      <c r="O16" s="39"/>
      <c r="P16" s="39"/>
      <c r="Q16" s="39"/>
      <c r="R16" s="39"/>
      <c r="S16" s="39"/>
      <c r="T16" s="39"/>
      <c r="U16" s="39"/>
      <c r="V16" s="39"/>
    </row>
    <row r="17" spans="1:22" customFormat="1" ht="15.6">
      <c r="A17" s="286"/>
      <c r="B17" s="287"/>
      <c r="C17" s="46"/>
      <c r="D17" s="47"/>
      <c r="E17" s="47"/>
      <c r="F17" s="46"/>
      <c r="G17" s="47"/>
      <c r="H17" s="47"/>
      <c r="I17" s="46"/>
      <c r="J17" s="47"/>
      <c r="K17" s="47"/>
      <c r="L17" s="39"/>
      <c r="M17" s="39"/>
      <c r="N17" s="39"/>
      <c r="O17" s="39"/>
      <c r="P17" s="39"/>
      <c r="Q17" s="39"/>
      <c r="R17" s="39"/>
      <c r="S17" s="39"/>
      <c r="T17" s="39"/>
      <c r="U17" s="39"/>
      <c r="V17" s="39"/>
    </row>
    <row r="18" spans="1:22" customFormat="1" ht="15.6">
      <c r="A18" s="286"/>
      <c r="B18" s="287"/>
      <c r="C18" s="46"/>
      <c r="D18" s="47"/>
      <c r="E18" s="47"/>
      <c r="F18" s="46"/>
      <c r="G18" s="47"/>
      <c r="H18" s="47"/>
      <c r="I18" s="46"/>
      <c r="J18" s="47"/>
      <c r="K18" s="47"/>
      <c r="L18" s="39"/>
      <c r="M18" s="39"/>
      <c r="N18" s="39"/>
      <c r="O18" s="39"/>
      <c r="P18" s="39"/>
      <c r="Q18" s="39"/>
      <c r="R18" s="39"/>
      <c r="S18" s="39"/>
      <c r="T18" s="39"/>
      <c r="U18" s="39"/>
      <c r="V18" s="39"/>
    </row>
    <row r="19" spans="1:22" customFormat="1" ht="15.6">
      <c r="A19" s="251" t="s">
        <v>170</v>
      </c>
      <c r="B19" s="252"/>
      <c r="C19" s="253" t="s">
        <v>313</v>
      </c>
      <c r="D19" s="254"/>
      <c r="E19" s="255"/>
      <c r="F19" s="253" t="s">
        <v>313</v>
      </c>
      <c r="G19" s="254"/>
      <c r="H19" s="255"/>
      <c r="I19" s="253" t="s">
        <v>313</v>
      </c>
      <c r="J19" s="254"/>
      <c r="K19" s="255"/>
      <c r="L19" s="39"/>
      <c r="M19" s="39"/>
      <c r="N19" s="39"/>
      <c r="O19" s="39"/>
      <c r="P19" s="39"/>
      <c r="Q19" s="39"/>
      <c r="R19" s="39"/>
      <c r="S19" s="39"/>
      <c r="T19" s="39"/>
      <c r="U19" s="39"/>
      <c r="V19" s="39"/>
    </row>
    <row r="20" spans="1:22" customFormat="1" ht="16.5" customHeight="1">
      <c r="A20" s="282" t="s">
        <v>171</v>
      </c>
      <c r="B20" s="283"/>
      <c r="C20" s="256" t="s">
        <v>312</v>
      </c>
      <c r="D20" s="257"/>
      <c r="E20" s="257"/>
      <c r="F20" s="257"/>
      <c r="G20" s="257"/>
      <c r="H20" s="257"/>
      <c r="I20" s="257"/>
      <c r="J20" s="257"/>
      <c r="K20" s="257"/>
      <c r="L20" s="18"/>
      <c r="M20" s="18"/>
      <c r="N20" s="18"/>
    </row>
    <row r="21" spans="1:22" customFormat="1" ht="33" customHeight="1">
      <c r="A21" s="284"/>
      <c r="B21" s="285"/>
      <c r="C21" s="258"/>
      <c r="D21" s="259"/>
      <c r="E21" s="259"/>
      <c r="F21" s="259"/>
      <c r="G21" s="259"/>
      <c r="H21" s="259"/>
      <c r="I21" s="259"/>
      <c r="J21" s="259"/>
      <c r="K21" s="259"/>
      <c r="L21" s="18"/>
      <c r="M21" s="18"/>
      <c r="N21" s="18"/>
    </row>
    <row r="22" spans="1:22" ht="16.5" customHeight="1">
      <c r="A22" s="260"/>
      <c r="B22" s="261"/>
      <c r="C22" s="261"/>
      <c r="D22" s="261"/>
      <c r="E22" s="261"/>
      <c r="F22" s="261"/>
      <c r="G22" s="261"/>
      <c r="H22" s="261"/>
      <c r="I22" s="261"/>
      <c r="J22" s="261"/>
      <c r="K22" s="262"/>
      <c r="L22" s="18"/>
      <c r="M22" s="18"/>
      <c r="N22" s="18"/>
    </row>
    <row r="23" spans="1:22" ht="32.25" customHeight="1">
      <c r="A23" s="263" t="s">
        <v>172</v>
      </c>
      <c r="B23" s="264"/>
      <c r="C23" s="265"/>
      <c r="D23" s="265"/>
      <c r="E23" s="265"/>
      <c r="F23" s="265"/>
      <c r="G23" s="265"/>
      <c r="H23" s="265"/>
      <c r="I23" s="265"/>
      <c r="J23" s="265"/>
      <c r="K23" s="266"/>
      <c r="L23" s="18"/>
      <c r="M23" s="18"/>
      <c r="N23" s="18"/>
    </row>
    <row r="24" spans="1:22" ht="16.5" customHeight="1">
      <c r="A24" s="260"/>
      <c r="B24" s="261"/>
      <c r="C24" s="261"/>
      <c r="D24" s="261"/>
      <c r="E24" s="261"/>
      <c r="F24" s="261"/>
      <c r="G24" s="261"/>
      <c r="H24" s="261"/>
      <c r="I24" s="261"/>
      <c r="J24" s="261"/>
      <c r="K24" s="262"/>
      <c r="L24" s="18"/>
      <c r="M24" s="18"/>
      <c r="N24" s="18"/>
    </row>
    <row r="25" spans="1:22" ht="30" customHeight="1">
      <c r="A25" s="278" t="s">
        <v>173</v>
      </c>
      <c r="B25" s="48" t="s">
        <v>174</v>
      </c>
      <c r="C25" s="267"/>
      <c r="D25" s="267"/>
      <c r="E25" s="267"/>
      <c r="F25" s="267"/>
      <c r="G25" s="267"/>
      <c r="H25" s="267"/>
      <c r="I25" s="267"/>
      <c r="J25" s="267"/>
      <c r="K25" s="267"/>
      <c r="L25" s="18"/>
      <c r="M25" s="18"/>
      <c r="N25" s="18"/>
    </row>
    <row r="26" spans="1:22" ht="30" customHeight="1">
      <c r="A26" s="279"/>
      <c r="B26" s="48" t="s">
        <v>175</v>
      </c>
      <c r="C26" s="267"/>
      <c r="D26" s="267"/>
      <c r="E26" s="267"/>
      <c r="F26" s="267"/>
      <c r="G26" s="267"/>
      <c r="H26" s="267"/>
      <c r="I26" s="267"/>
      <c r="J26" s="267"/>
      <c r="K26" s="267"/>
      <c r="L26" s="18"/>
      <c r="M26" s="18"/>
      <c r="N26" s="18"/>
    </row>
    <row r="27" spans="1:22" ht="30" customHeight="1">
      <c r="A27" s="279"/>
      <c r="B27" s="48" t="s">
        <v>176</v>
      </c>
      <c r="C27" s="267"/>
      <c r="D27" s="267"/>
      <c r="E27" s="267"/>
      <c r="F27" s="267"/>
      <c r="G27" s="267"/>
      <c r="H27" s="267"/>
      <c r="I27" s="267"/>
      <c r="J27" s="267"/>
      <c r="K27" s="267"/>
      <c r="L27" s="18"/>
      <c r="M27" s="18"/>
      <c r="N27" s="18"/>
    </row>
    <row r="28" spans="1:22" ht="30" customHeight="1">
      <c r="A28" s="279"/>
      <c r="B28" s="48" t="s">
        <v>177</v>
      </c>
      <c r="C28" s="267"/>
      <c r="D28" s="267"/>
      <c r="E28" s="267"/>
      <c r="F28" s="267"/>
      <c r="G28" s="267"/>
      <c r="H28" s="267"/>
      <c r="I28" s="267"/>
      <c r="J28" s="267"/>
      <c r="K28" s="267"/>
      <c r="L28" s="18"/>
      <c r="M28" s="18"/>
      <c r="N28" s="18"/>
    </row>
    <row r="29" spans="1:22" ht="30" customHeight="1">
      <c r="A29" s="279"/>
      <c r="B29" s="48" t="s">
        <v>178</v>
      </c>
      <c r="C29" s="267"/>
      <c r="D29" s="267"/>
      <c r="E29" s="267"/>
      <c r="F29" s="267"/>
      <c r="G29" s="267"/>
      <c r="H29" s="267"/>
      <c r="I29" s="267"/>
      <c r="J29" s="267"/>
      <c r="K29" s="267"/>
      <c r="L29" s="18"/>
      <c r="M29" s="18"/>
      <c r="N29" s="18"/>
    </row>
    <row r="30" spans="1:22" ht="16.5" customHeight="1">
      <c r="A30" s="260"/>
      <c r="B30" s="261"/>
      <c r="C30" s="261"/>
      <c r="D30" s="261"/>
      <c r="E30" s="261"/>
      <c r="F30" s="261"/>
      <c r="G30" s="261"/>
      <c r="H30" s="261"/>
      <c r="I30" s="261"/>
      <c r="J30" s="261"/>
      <c r="K30" s="262"/>
      <c r="L30" s="18"/>
      <c r="M30" s="18"/>
      <c r="N30" s="18"/>
    </row>
    <row r="31" spans="1:22" ht="33" customHeight="1">
      <c r="A31" s="279" t="s">
        <v>179</v>
      </c>
      <c r="B31" s="48" t="s">
        <v>174</v>
      </c>
      <c r="C31" s="267" t="s">
        <v>180</v>
      </c>
      <c r="D31" s="268"/>
      <c r="E31" s="268"/>
      <c r="F31" s="268"/>
      <c r="G31" s="268"/>
      <c r="H31" s="268"/>
      <c r="I31" s="268"/>
      <c r="J31" s="268"/>
      <c r="K31" s="268"/>
      <c r="L31" s="18"/>
      <c r="M31" s="18"/>
      <c r="N31" s="18"/>
    </row>
    <row r="32" spans="1:22" ht="33" customHeight="1">
      <c r="A32" s="279"/>
      <c r="B32" s="48" t="s">
        <v>175</v>
      </c>
      <c r="C32" s="267" t="s">
        <v>180</v>
      </c>
      <c r="D32" s="268"/>
      <c r="E32" s="268"/>
      <c r="F32" s="268"/>
      <c r="G32" s="268"/>
      <c r="H32" s="268"/>
      <c r="I32" s="268"/>
      <c r="J32" s="268"/>
      <c r="K32" s="268"/>
      <c r="L32" s="18"/>
      <c r="M32" s="18"/>
      <c r="N32" s="18"/>
    </row>
    <row r="33" spans="1:14" ht="33" customHeight="1">
      <c r="A33" s="279"/>
      <c r="B33" s="48" t="s">
        <v>176</v>
      </c>
      <c r="C33" s="267" t="s">
        <v>180</v>
      </c>
      <c r="D33" s="268"/>
      <c r="E33" s="268"/>
      <c r="F33" s="268"/>
      <c r="G33" s="268"/>
      <c r="H33" s="268"/>
      <c r="I33" s="268"/>
      <c r="J33" s="268"/>
      <c r="K33" s="268"/>
      <c r="L33" s="18"/>
      <c r="M33" s="18"/>
      <c r="N33" s="18"/>
    </row>
    <row r="34" spans="1:14" ht="33" customHeight="1">
      <c r="A34" s="279"/>
      <c r="B34" s="48" t="s">
        <v>177</v>
      </c>
      <c r="C34" s="267" t="s">
        <v>180</v>
      </c>
      <c r="D34" s="268"/>
      <c r="E34" s="268"/>
      <c r="F34" s="268"/>
      <c r="G34" s="268"/>
      <c r="H34" s="268"/>
      <c r="I34" s="268"/>
      <c r="J34" s="268"/>
      <c r="K34" s="268"/>
      <c r="L34" s="18"/>
      <c r="M34" s="18"/>
      <c r="N34" s="18"/>
    </row>
    <row r="35" spans="1:14" ht="33" customHeight="1">
      <c r="A35" s="279"/>
      <c r="B35" s="48" t="s">
        <v>178</v>
      </c>
      <c r="C35" s="267" t="s">
        <v>180</v>
      </c>
      <c r="D35" s="268"/>
      <c r="E35" s="268"/>
      <c r="F35" s="268"/>
      <c r="G35" s="268"/>
      <c r="H35" s="268"/>
      <c r="I35" s="268"/>
      <c r="J35" s="268"/>
      <c r="K35" s="268"/>
      <c r="L35" s="18"/>
      <c r="M35" s="18"/>
      <c r="N35" s="18"/>
    </row>
    <row r="36" spans="1:14" ht="33" customHeight="1">
      <c r="A36" s="279"/>
      <c r="B36" s="48" t="s">
        <v>181</v>
      </c>
      <c r="C36" s="267" t="s">
        <v>180</v>
      </c>
      <c r="D36" s="268"/>
      <c r="E36" s="268"/>
      <c r="F36" s="268"/>
      <c r="G36" s="268"/>
      <c r="H36" s="268"/>
      <c r="I36" s="268"/>
      <c r="J36" s="268"/>
      <c r="K36" s="268"/>
      <c r="L36" s="18"/>
      <c r="M36" s="18"/>
      <c r="N36" s="18"/>
    </row>
    <row r="37" spans="1:14" ht="33" customHeight="1">
      <c r="A37" s="279"/>
      <c r="B37" s="48" t="s">
        <v>182</v>
      </c>
      <c r="C37" s="267" t="s">
        <v>180</v>
      </c>
      <c r="D37" s="268"/>
      <c r="E37" s="268"/>
      <c r="F37" s="268"/>
      <c r="G37" s="268"/>
      <c r="H37" s="268"/>
      <c r="I37" s="268"/>
      <c r="J37" s="268"/>
      <c r="K37" s="268"/>
      <c r="L37" s="18"/>
      <c r="M37" s="18"/>
      <c r="N37" s="18"/>
    </row>
    <row r="38" spans="1:14" ht="33" customHeight="1">
      <c r="A38" s="279"/>
      <c r="B38" s="48" t="s">
        <v>183</v>
      </c>
      <c r="C38" s="267" t="s">
        <v>180</v>
      </c>
      <c r="D38" s="268"/>
      <c r="E38" s="268"/>
      <c r="F38" s="268"/>
      <c r="G38" s="268"/>
      <c r="H38" s="268"/>
      <c r="I38" s="268"/>
      <c r="J38" s="268"/>
      <c r="K38" s="268"/>
      <c r="L38" s="18"/>
      <c r="M38" s="18"/>
      <c r="N38" s="18"/>
    </row>
    <row r="39" spans="1:14" ht="33" customHeight="1">
      <c r="A39" s="279"/>
      <c r="B39" s="48" t="s">
        <v>184</v>
      </c>
      <c r="C39" s="267" t="s">
        <v>180</v>
      </c>
      <c r="D39" s="268"/>
      <c r="E39" s="268"/>
      <c r="F39" s="268"/>
      <c r="G39" s="268"/>
      <c r="H39" s="268"/>
      <c r="I39" s="268"/>
      <c r="J39" s="268"/>
      <c r="K39" s="268"/>
      <c r="L39" s="18"/>
      <c r="M39" s="18"/>
      <c r="N39" s="18"/>
    </row>
    <row r="40" spans="1:14" ht="33" customHeight="1">
      <c r="A40" s="279"/>
      <c r="B40" s="48" t="s">
        <v>185</v>
      </c>
      <c r="C40" s="267" t="s">
        <v>180</v>
      </c>
      <c r="D40" s="268"/>
      <c r="E40" s="268"/>
      <c r="F40" s="268"/>
      <c r="G40" s="268"/>
      <c r="H40" s="268"/>
      <c r="I40" s="268"/>
      <c r="J40" s="268"/>
      <c r="K40" s="268"/>
      <c r="L40" s="18"/>
      <c r="M40" s="18"/>
      <c r="N40" s="18"/>
    </row>
    <row r="41" spans="1:14" ht="16.5" customHeight="1">
      <c r="A41" s="260"/>
      <c r="B41" s="261"/>
      <c r="C41" s="261"/>
      <c r="D41" s="261"/>
      <c r="E41" s="261"/>
      <c r="F41" s="261"/>
      <c r="G41" s="261"/>
      <c r="H41" s="261"/>
      <c r="I41" s="261"/>
      <c r="J41" s="261"/>
      <c r="K41" s="262"/>
      <c r="L41" s="18"/>
      <c r="M41" s="18"/>
      <c r="N41" s="18"/>
    </row>
    <row r="42" spans="1:14" ht="33" customHeight="1">
      <c r="A42" s="280" t="s">
        <v>186</v>
      </c>
      <c r="B42" s="48" t="s">
        <v>174</v>
      </c>
      <c r="C42" s="267" t="s">
        <v>332</v>
      </c>
      <c r="D42" s="268"/>
      <c r="E42" s="268"/>
      <c r="F42" s="268"/>
      <c r="G42" s="268"/>
      <c r="H42" s="268"/>
      <c r="I42" s="268"/>
      <c r="J42" s="268"/>
      <c r="K42" s="268"/>
      <c r="L42" s="18"/>
      <c r="M42" s="18"/>
      <c r="N42" s="18"/>
    </row>
    <row r="43" spans="1:14" ht="33" customHeight="1">
      <c r="A43" s="280"/>
      <c r="B43" s="48" t="s">
        <v>175</v>
      </c>
      <c r="C43" s="267" t="s">
        <v>187</v>
      </c>
      <c r="D43" s="268"/>
      <c r="E43" s="268"/>
      <c r="F43" s="268"/>
      <c r="G43" s="268"/>
      <c r="H43" s="268"/>
      <c r="I43" s="268"/>
      <c r="J43" s="268"/>
      <c r="K43" s="268"/>
      <c r="L43" s="18"/>
      <c r="M43" s="18"/>
      <c r="N43" s="18"/>
    </row>
    <row r="44" spans="1:14" ht="33" customHeight="1">
      <c r="A44" s="280"/>
      <c r="B44" s="48" t="s">
        <v>176</v>
      </c>
      <c r="C44" s="267" t="s">
        <v>187</v>
      </c>
      <c r="D44" s="268"/>
      <c r="E44" s="268"/>
      <c r="F44" s="268"/>
      <c r="G44" s="268"/>
      <c r="H44" s="268"/>
      <c r="I44" s="268"/>
      <c r="J44" s="268"/>
      <c r="K44" s="268"/>
      <c r="L44" s="18"/>
      <c r="M44" s="18"/>
      <c r="N44" s="18"/>
    </row>
    <row r="45" spans="1:14" ht="33" customHeight="1">
      <c r="A45" s="280"/>
      <c r="B45" s="48" t="s">
        <v>177</v>
      </c>
      <c r="C45" s="267" t="s">
        <v>187</v>
      </c>
      <c r="D45" s="268"/>
      <c r="E45" s="268"/>
      <c r="F45" s="268"/>
      <c r="G45" s="268"/>
      <c r="H45" s="268"/>
      <c r="I45" s="268"/>
      <c r="J45" s="268"/>
      <c r="K45" s="268"/>
      <c r="L45" s="18"/>
      <c r="M45" s="18"/>
      <c r="N45" s="18"/>
    </row>
    <row r="46" spans="1:14" ht="33" customHeight="1">
      <c r="A46" s="280"/>
      <c r="B46" s="48" t="s">
        <v>178</v>
      </c>
      <c r="C46" s="267" t="s">
        <v>187</v>
      </c>
      <c r="D46" s="268"/>
      <c r="E46" s="268"/>
      <c r="F46" s="268"/>
      <c r="G46" s="268"/>
      <c r="H46" s="268"/>
      <c r="I46" s="268"/>
      <c r="J46" s="268"/>
      <c r="K46" s="268"/>
      <c r="L46" s="18"/>
      <c r="M46" s="18"/>
      <c r="N46" s="18"/>
    </row>
    <row r="47" spans="1:14" ht="33" customHeight="1">
      <c r="A47" s="280"/>
      <c r="B47" s="48" t="s">
        <v>181</v>
      </c>
      <c r="C47" s="267" t="s">
        <v>187</v>
      </c>
      <c r="D47" s="268"/>
      <c r="E47" s="268"/>
      <c r="F47" s="268"/>
      <c r="G47" s="268"/>
      <c r="H47" s="268"/>
      <c r="I47" s="268"/>
      <c r="J47" s="268"/>
      <c r="K47" s="268"/>
      <c r="L47" s="18"/>
      <c r="M47" s="18"/>
      <c r="N47" s="18"/>
    </row>
    <row r="48" spans="1:14" ht="33" customHeight="1">
      <c r="A48" s="280"/>
      <c r="B48" s="48" t="s">
        <v>182</v>
      </c>
      <c r="C48" s="267" t="s">
        <v>187</v>
      </c>
      <c r="D48" s="268"/>
      <c r="E48" s="268"/>
      <c r="F48" s="268"/>
      <c r="G48" s="268"/>
      <c r="H48" s="268"/>
      <c r="I48" s="268"/>
      <c r="J48" s="268"/>
      <c r="K48" s="268"/>
      <c r="L48" s="18"/>
      <c r="M48" s="18"/>
      <c r="N48" s="18"/>
    </row>
    <row r="49" spans="1:14" ht="33" customHeight="1">
      <c r="A49" s="280"/>
      <c r="B49" s="48" t="s">
        <v>183</v>
      </c>
      <c r="C49" s="267" t="s">
        <v>187</v>
      </c>
      <c r="D49" s="268"/>
      <c r="E49" s="268"/>
      <c r="F49" s="268"/>
      <c r="G49" s="268"/>
      <c r="H49" s="268"/>
      <c r="I49" s="268"/>
      <c r="J49" s="268"/>
      <c r="K49" s="268"/>
      <c r="L49" s="18"/>
      <c r="M49" s="18"/>
      <c r="N49" s="18"/>
    </row>
    <row r="50" spans="1:14" ht="33" customHeight="1">
      <c r="A50" s="280"/>
      <c r="B50" s="48" t="s">
        <v>184</v>
      </c>
      <c r="C50" s="267" t="s">
        <v>187</v>
      </c>
      <c r="D50" s="268"/>
      <c r="E50" s="268"/>
      <c r="F50" s="268"/>
      <c r="G50" s="268"/>
      <c r="H50" s="268"/>
      <c r="I50" s="268"/>
      <c r="J50" s="268"/>
      <c r="K50" s="268"/>
      <c r="L50" s="18"/>
      <c r="M50" s="18"/>
      <c r="N50" s="18"/>
    </row>
    <row r="51" spans="1:14" ht="33" customHeight="1">
      <c r="A51" s="280"/>
      <c r="B51" s="48" t="s">
        <v>185</v>
      </c>
      <c r="C51" s="267" t="s">
        <v>187</v>
      </c>
      <c r="D51" s="268"/>
      <c r="E51" s="268"/>
      <c r="F51" s="268"/>
      <c r="G51" s="268"/>
      <c r="H51" s="268"/>
      <c r="I51" s="268"/>
      <c r="J51" s="268"/>
      <c r="K51" s="268"/>
      <c r="L51" s="18"/>
      <c r="M51" s="18"/>
      <c r="N51" s="18"/>
    </row>
    <row r="52" spans="1:14" ht="33" customHeight="1">
      <c r="A52" s="280"/>
      <c r="B52" s="48" t="s">
        <v>188</v>
      </c>
      <c r="C52" s="267" t="s">
        <v>187</v>
      </c>
      <c r="D52" s="268"/>
      <c r="E52" s="268"/>
      <c r="F52" s="268"/>
      <c r="G52" s="268"/>
      <c r="H52" s="268"/>
      <c r="I52" s="268"/>
      <c r="J52" s="268"/>
      <c r="K52" s="268"/>
      <c r="L52" s="18"/>
      <c r="M52" s="18"/>
      <c r="N52" s="18"/>
    </row>
    <row r="53" spans="1:14" ht="33" customHeight="1">
      <c r="A53" s="280"/>
      <c r="B53" s="48" t="s">
        <v>189</v>
      </c>
      <c r="C53" s="267" t="s">
        <v>187</v>
      </c>
      <c r="D53" s="268"/>
      <c r="E53" s="268"/>
      <c r="F53" s="268"/>
      <c r="G53" s="268"/>
      <c r="H53" s="268"/>
      <c r="I53" s="268"/>
      <c r="J53" s="268"/>
      <c r="K53" s="268"/>
      <c r="L53" s="18"/>
      <c r="M53" s="18"/>
      <c r="N53" s="18"/>
    </row>
    <row r="54" spans="1:14" ht="33" customHeight="1">
      <c r="A54" s="280"/>
      <c r="B54" s="48" t="s">
        <v>190</v>
      </c>
      <c r="C54" s="267" t="s">
        <v>332</v>
      </c>
      <c r="D54" s="268"/>
      <c r="E54" s="268"/>
      <c r="F54" s="268"/>
      <c r="G54" s="268"/>
      <c r="H54" s="268"/>
      <c r="I54" s="268"/>
      <c r="J54" s="268"/>
      <c r="K54" s="268"/>
      <c r="L54" s="18"/>
      <c r="M54" s="18"/>
      <c r="N54" s="18"/>
    </row>
    <row r="55" spans="1:14" ht="33" customHeight="1">
      <c r="A55" s="280"/>
      <c r="B55" s="48" t="s">
        <v>191</v>
      </c>
      <c r="C55" s="267" t="s">
        <v>187</v>
      </c>
      <c r="D55" s="268"/>
      <c r="E55" s="268"/>
      <c r="F55" s="268"/>
      <c r="G55" s="268"/>
      <c r="H55" s="268"/>
      <c r="I55" s="268"/>
      <c r="J55" s="268"/>
      <c r="K55" s="268"/>
      <c r="L55" s="18"/>
      <c r="M55" s="18"/>
      <c r="N55" s="18"/>
    </row>
    <row r="56" spans="1:14" ht="33" customHeight="1">
      <c r="A56" s="280"/>
      <c r="B56" s="48" t="s">
        <v>192</v>
      </c>
      <c r="C56" s="267" t="s">
        <v>187</v>
      </c>
      <c r="D56" s="268"/>
      <c r="E56" s="268"/>
      <c r="F56" s="268"/>
      <c r="G56" s="268"/>
      <c r="H56" s="268"/>
      <c r="I56" s="268"/>
      <c r="J56" s="268"/>
      <c r="K56" s="268"/>
      <c r="L56" s="18"/>
      <c r="M56" s="18"/>
      <c r="N56" s="18"/>
    </row>
    <row r="57" spans="1:14" ht="33" customHeight="1">
      <c r="A57" s="280"/>
      <c r="B57" s="48" t="s">
        <v>193</v>
      </c>
      <c r="C57" s="267" t="s">
        <v>187</v>
      </c>
      <c r="D57" s="268"/>
      <c r="E57" s="268"/>
      <c r="F57" s="268"/>
      <c r="G57" s="268"/>
      <c r="H57" s="268"/>
      <c r="I57" s="268"/>
      <c r="J57" s="268"/>
      <c r="K57" s="268"/>
      <c r="L57" s="18"/>
      <c r="M57" s="18"/>
      <c r="N57" s="18"/>
    </row>
    <row r="58" spans="1:14" ht="33" customHeight="1">
      <c r="A58" s="280"/>
      <c r="B58" s="48" t="s">
        <v>194</v>
      </c>
      <c r="C58" s="267" t="s">
        <v>187</v>
      </c>
      <c r="D58" s="268"/>
      <c r="E58" s="268"/>
      <c r="F58" s="268"/>
      <c r="G58" s="268"/>
      <c r="H58" s="268"/>
      <c r="I58" s="268"/>
      <c r="J58" s="268"/>
      <c r="K58" s="268"/>
      <c r="L58" s="18"/>
      <c r="M58" s="18"/>
      <c r="N58" s="18"/>
    </row>
    <row r="59" spans="1:14" ht="33" customHeight="1">
      <c r="A59" s="280"/>
      <c r="B59" s="48" t="s">
        <v>195</v>
      </c>
      <c r="C59" s="267" t="s">
        <v>187</v>
      </c>
      <c r="D59" s="268"/>
      <c r="E59" s="268"/>
      <c r="F59" s="268"/>
      <c r="G59" s="268"/>
      <c r="H59" s="268"/>
      <c r="I59" s="268"/>
      <c r="J59" s="268"/>
      <c r="K59" s="268"/>
      <c r="L59" s="18"/>
      <c r="M59" s="18"/>
      <c r="N59" s="18"/>
    </row>
    <row r="60" spans="1:14" ht="33" customHeight="1">
      <c r="A60" s="280"/>
      <c r="B60" s="48" t="s">
        <v>196</v>
      </c>
      <c r="C60" s="267" t="s">
        <v>187</v>
      </c>
      <c r="D60" s="268"/>
      <c r="E60" s="268"/>
      <c r="F60" s="268"/>
      <c r="G60" s="268"/>
      <c r="H60" s="268"/>
      <c r="I60" s="268"/>
      <c r="J60" s="268"/>
      <c r="K60" s="268"/>
      <c r="L60" s="18"/>
      <c r="M60" s="18"/>
      <c r="N60" s="18"/>
    </row>
    <row r="61" spans="1:14" ht="33" customHeight="1">
      <c r="A61" s="280"/>
      <c r="B61" s="48" t="s">
        <v>197</v>
      </c>
      <c r="C61" s="267" t="s">
        <v>187</v>
      </c>
      <c r="D61" s="268"/>
      <c r="E61" s="268"/>
      <c r="F61" s="268"/>
      <c r="G61" s="268"/>
      <c r="H61" s="268"/>
      <c r="I61" s="268"/>
      <c r="J61" s="268"/>
      <c r="K61" s="268"/>
      <c r="L61" s="18"/>
      <c r="M61" s="18"/>
      <c r="N61" s="18"/>
    </row>
    <row r="62" spans="1:14" ht="16.5" customHeight="1">
      <c r="A62" s="260"/>
      <c r="B62" s="261"/>
      <c r="C62" s="261"/>
      <c r="D62" s="261"/>
      <c r="E62" s="261"/>
      <c r="F62" s="261"/>
      <c r="G62" s="261"/>
      <c r="H62" s="261"/>
      <c r="I62" s="261"/>
      <c r="J62" s="261"/>
      <c r="K62" s="262"/>
      <c r="L62" s="18"/>
      <c r="M62" s="18"/>
      <c r="N62" s="18"/>
    </row>
    <row r="63" spans="1:14" ht="34.5" customHeight="1">
      <c r="A63" s="272" t="s">
        <v>198</v>
      </c>
      <c r="B63" s="273"/>
      <c r="C63" s="273"/>
      <c r="D63" s="273"/>
      <c r="E63" s="273"/>
      <c r="F63" s="273"/>
      <c r="G63" s="273"/>
      <c r="H63" s="273"/>
      <c r="I63" s="273"/>
      <c r="J63" s="273"/>
      <c r="K63" s="274"/>
      <c r="L63" s="18"/>
      <c r="M63" s="18"/>
      <c r="N63" s="18"/>
    </row>
    <row r="64" spans="1:14" ht="16.5" customHeight="1">
      <c r="A64" s="294" t="s">
        <v>199</v>
      </c>
      <c r="B64" s="295"/>
      <c r="C64" s="295"/>
      <c r="D64" s="295"/>
      <c r="E64" s="295"/>
      <c r="F64" s="295"/>
      <c r="G64" s="295"/>
      <c r="H64" s="295"/>
      <c r="I64" s="295"/>
      <c r="J64" s="295"/>
      <c r="K64" s="296"/>
      <c r="L64" s="18"/>
      <c r="M64" s="18"/>
      <c r="N64" s="18"/>
    </row>
    <row r="65" spans="1:14" ht="101.25" customHeight="1">
      <c r="A65" s="288" t="s">
        <v>200</v>
      </c>
      <c r="B65" s="289"/>
      <c r="C65" s="289"/>
      <c r="D65" s="289"/>
      <c r="E65" s="289"/>
      <c r="F65" s="289"/>
      <c r="G65" s="289"/>
      <c r="H65" s="289"/>
      <c r="I65" s="289"/>
      <c r="J65" s="289"/>
      <c r="K65" s="290"/>
      <c r="L65" s="18"/>
      <c r="M65" s="18"/>
      <c r="N65" s="18"/>
    </row>
    <row r="66" spans="1:14" ht="16.5" customHeight="1">
      <c r="A66" s="297" t="s">
        <v>201</v>
      </c>
      <c r="B66" s="298"/>
      <c r="C66" s="298"/>
      <c r="D66" s="298"/>
      <c r="E66" s="298"/>
      <c r="F66" s="298"/>
      <c r="G66" s="298"/>
      <c r="H66" s="298"/>
      <c r="I66" s="298"/>
      <c r="J66" s="298"/>
      <c r="K66" s="299"/>
      <c r="L66" s="18"/>
      <c r="M66" s="18"/>
      <c r="N66" s="18"/>
    </row>
    <row r="67" spans="1:14" ht="118.5" customHeight="1">
      <c r="A67" s="300" t="s">
        <v>202</v>
      </c>
      <c r="B67" s="301"/>
      <c r="C67" s="301"/>
      <c r="D67" s="301"/>
      <c r="E67" s="301"/>
      <c r="F67" s="301"/>
      <c r="G67" s="301"/>
      <c r="H67" s="301"/>
      <c r="I67" s="301"/>
      <c r="J67" s="301"/>
      <c r="K67" s="302"/>
      <c r="L67" s="18"/>
      <c r="M67" s="18"/>
      <c r="N67" s="18"/>
    </row>
    <row r="68" spans="1:14" ht="16.5" customHeight="1">
      <c r="A68" s="269" t="s">
        <v>203</v>
      </c>
      <c r="B68" s="270"/>
      <c r="C68" s="270"/>
      <c r="D68" s="270"/>
      <c r="E68" s="270"/>
      <c r="F68" s="270"/>
      <c r="G68" s="270"/>
      <c r="H68" s="270"/>
      <c r="I68" s="270"/>
      <c r="J68" s="270"/>
      <c r="K68" s="271"/>
      <c r="L68" s="18"/>
      <c r="M68" s="18"/>
      <c r="N68" s="18"/>
    </row>
    <row r="69" spans="1:14" ht="69" customHeight="1">
      <c r="A69" s="288" t="s">
        <v>204</v>
      </c>
      <c r="B69" s="289"/>
      <c r="C69" s="289"/>
      <c r="D69" s="289"/>
      <c r="E69" s="289"/>
      <c r="F69" s="289"/>
      <c r="G69" s="289"/>
      <c r="H69" s="289"/>
      <c r="I69" s="289"/>
      <c r="J69" s="289"/>
      <c r="K69" s="290"/>
      <c r="L69" s="18"/>
      <c r="M69" s="18"/>
      <c r="N69" s="18"/>
    </row>
    <row r="70" spans="1:14" ht="16.5" customHeight="1">
      <c r="A70" s="269" t="s">
        <v>205</v>
      </c>
      <c r="B70" s="270"/>
      <c r="C70" s="270"/>
      <c r="D70" s="270"/>
      <c r="E70" s="270"/>
      <c r="F70" s="270"/>
      <c r="G70" s="270"/>
      <c r="H70" s="270"/>
      <c r="I70" s="270"/>
      <c r="J70" s="270"/>
      <c r="K70" s="271"/>
      <c r="L70" s="18"/>
      <c r="M70" s="18"/>
      <c r="N70" s="18"/>
    </row>
    <row r="71" spans="1:14" ht="84" customHeight="1">
      <c r="A71" s="288" t="s">
        <v>206</v>
      </c>
      <c r="B71" s="289"/>
      <c r="C71" s="289"/>
      <c r="D71" s="289"/>
      <c r="E71" s="289"/>
      <c r="F71" s="289"/>
      <c r="G71" s="289"/>
      <c r="H71" s="289"/>
      <c r="I71" s="289"/>
      <c r="J71" s="289"/>
      <c r="K71" s="290"/>
      <c r="L71" s="18"/>
      <c r="M71" s="18"/>
      <c r="N71" s="18"/>
    </row>
    <row r="72" spans="1:14" ht="16.5" customHeight="1">
      <c r="A72" s="291" t="s">
        <v>205</v>
      </c>
      <c r="B72" s="292"/>
      <c r="C72" s="292"/>
      <c r="D72" s="292"/>
      <c r="E72" s="292"/>
      <c r="F72" s="292"/>
      <c r="G72" s="292"/>
      <c r="H72" s="292"/>
      <c r="I72" s="292"/>
      <c r="J72" s="292"/>
      <c r="K72" s="293"/>
      <c r="L72" s="18"/>
      <c r="M72" s="18"/>
      <c r="N72" s="18"/>
    </row>
    <row r="73" spans="1:14" ht="82.5" customHeight="1">
      <c r="A73" s="288" t="s">
        <v>207</v>
      </c>
      <c r="B73" s="289"/>
      <c r="C73" s="289"/>
      <c r="D73" s="289"/>
      <c r="E73" s="289"/>
      <c r="F73" s="289"/>
      <c r="G73" s="289"/>
      <c r="H73" s="289"/>
      <c r="I73" s="289"/>
      <c r="J73" s="289"/>
      <c r="K73" s="290"/>
      <c r="L73" s="18"/>
      <c r="M73" s="18"/>
      <c r="N73" s="18"/>
    </row>
    <row r="74" spans="1:14" ht="16.5" customHeight="1">
      <c r="A74" s="275"/>
      <c r="B74" s="276"/>
      <c r="C74" s="276"/>
      <c r="D74" s="276"/>
      <c r="E74" s="276"/>
      <c r="F74" s="276"/>
      <c r="G74" s="276"/>
      <c r="H74" s="276"/>
      <c r="I74" s="276"/>
      <c r="J74" s="276"/>
      <c r="K74" s="277"/>
    </row>
  </sheetData>
  <sheetProtection formatCells="0" insertHyperlinks="0" autoFilter="0"/>
  <mergeCells count="85">
    <mergeCell ref="A74:K74"/>
    <mergeCell ref="A25:A29"/>
    <mergeCell ref="A31:A40"/>
    <mergeCell ref="A42:A61"/>
    <mergeCell ref="A5:B6"/>
    <mergeCell ref="A20:B21"/>
    <mergeCell ref="A12:B18"/>
    <mergeCell ref="A69:K69"/>
    <mergeCell ref="A70:K70"/>
    <mergeCell ref="A71:K71"/>
    <mergeCell ref="A72:K72"/>
    <mergeCell ref="A73:K73"/>
    <mergeCell ref="A64:K64"/>
    <mergeCell ref="A65:K65"/>
    <mergeCell ref="A66:K66"/>
    <mergeCell ref="A67:K67"/>
    <mergeCell ref="A68:K68"/>
    <mergeCell ref="C59:K59"/>
    <mergeCell ref="C60:K60"/>
    <mergeCell ref="C61:K61"/>
    <mergeCell ref="A62:K62"/>
    <mergeCell ref="A63:K63"/>
    <mergeCell ref="C54:K54"/>
    <mergeCell ref="C55:K55"/>
    <mergeCell ref="C56:K56"/>
    <mergeCell ref="C57:K57"/>
    <mergeCell ref="C58:K58"/>
    <mergeCell ref="C49:K49"/>
    <mergeCell ref="C50:K50"/>
    <mergeCell ref="C51:K51"/>
    <mergeCell ref="C52:K52"/>
    <mergeCell ref="C53:K53"/>
    <mergeCell ref="C44:K44"/>
    <mergeCell ref="C45:K45"/>
    <mergeCell ref="C46:K46"/>
    <mergeCell ref="C47:K47"/>
    <mergeCell ref="C48:K48"/>
    <mergeCell ref="C39:K39"/>
    <mergeCell ref="C40:K40"/>
    <mergeCell ref="A41:K41"/>
    <mergeCell ref="C42:K42"/>
    <mergeCell ref="C43:K43"/>
    <mergeCell ref="C34:K34"/>
    <mergeCell ref="C35:K35"/>
    <mergeCell ref="C36:K36"/>
    <mergeCell ref="C37:K37"/>
    <mergeCell ref="C38:K38"/>
    <mergeCell ref="C29:K29"/>
    <mergeCell ref="A30:K30"/>
    <mergeCell ref="C31:K31"/>
    <mergeCell ref="C32:K32"/>
    <mergeCell ref="C33:K33"/>
    <mergeCell ref="A24:K24"/>
    <mergeCell ref="C25:K25"/>
    <mergeCell ref="C26:K26"/>
    <mergeCell ref="C27:K27"/>
    <mergeCell ref="C28:K28"/>
    <mergeCell ref="C20:K20"/>
    <mergeCell ref="C21:K21"/>
    <mergeCell ref="A22:K22"/>
    <mergeCell ref="A23:B23"/>
    <mergeCell ref="C23:K23"/>
    <mergeCell ref="C12:E12"/>
    <mergeCell ref="F12:H12"/>
    <mergeCell ref="I12:K12"/>
    <mergeCell ref="A19:B19"/>
    <mergeCell ref="C19:E19"/>
    <mergeCell ref="F19:H19"/>
    <mergeCell ref="I19:K19"/>
    <mergeCell ref="A9:B9"/>
    <mergeCell ref="A10:B10"/>
    <mergeCell ref="C10:K10"/>
    <mergeCell ref="A11:B11"/>
    <mergeCell ref="C11:K11"/>
    <mergeCell ref="A3:B3"/>
    <mergeCell ref="A4:B4"/>
    <mergeCell ref="A7:B7"/>
    <mergeCell ref="C7:K7"/>
    <mergeCell ref="A8:B8"/>
    <mergeCell ref="C8:K8"/>
    <mergeCell ref="A1:B1"/>
    <mergeCell ref="C1:F1"/>
    <mergeCell ref="G1:J1"/>
    <mergeCell ref="K1:N1"/>
    <mergeCell ref="A2:B2"/>
  </mergeCells>
  <phoneticPr fontId="27"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S25"/>
  <sheetViews>
    <sheetView workbookViewId="0">
      <pane xSplit="3" ySplit="1" topLeftCell="D2" activePane="bottomRight" state="frozen"/>
      <selection pane="topRight"/>
      <selection pane="bottomLeft"/>
      <selection pane="bottomRight" activeCell="E18" sqref="E18"/>
    </sheetView>
  </sheetViews>
  <sheetFormatPr defaultColWidth="9.59765625" defaultRowHeight="15"/>
  <cols>
    <col min="1" max="1" width="5.09765625" style="27" customWidth="1"/>
    <col min="2" max="2" width="11.5" style="28" customWidth="1"/>
    <col min="3" max="3" width="10" style="27" customWidth="1"/>
    <col min="4" max="4" width="16.5" style="27" customWidth="1"/>
    <col min="5" max="5" width="11.296875" style="27" customWidth="1"/>
    <col min="6" max="6" width="11.19921875" style="29" customWidth="1"/>
    <col min="7" max="7" width="22.69921875" style="27" customWidth="1"/>
    <col min="8" max="8" width="8.796875" style="27" customWidth="1"/>
    <col min="9" max="9" width="9.296875" style="27" customWidth="1"/>
    <col min="10" max="10" width="12.796875" style="27" customWidth="1"/>
    <col min="11" max="11" width="12.8984375" style="27" customWidth="1"/>
    <col min="12" max="12" width="14.796875" style="27" customWidth="1"/>
    <col min="13" max="15" width="22.69921875" style="27" customWidth="1"/>
    <col min="16" max="16" width="8.5" style="27" customWidth="1"/>
    <col min="17" max="18" width="12.5" style="27" customWidth="1"/>
    <col min="19" max="19" width="14.09765625" style="27" customWidth="1"/>
    <col min="20" max="16384" width="9.59765625" style="30"/>
  </cols>
  <sheetData>
    <row r="1" spans="1:19" s="1" customFormat="1" ht="16.2">
      <c r="A1" s="31" t="s">
        <v>208</v>
      </c>
      <c r="B1" s="32" t="s">
        <v>209</v>
      </c>
      <c r="C1" s="33" t="s">
        <v>210</v>
      </c>
      <c r="D1" s="33" t="s">
        <v>211</v>
      </c>
      <c r="E1" s="33" t="s">
        <v>212</v>
      </c>
      <c r="F1" s="34" t="s">
        <v>213</v>
      </c>
      <c r="G1" s="35" t="s">
        <v>214</v>
      </c>
      <c r="H1" s="36" t="s">
        <v>215</v>
      </c>
      <c r="I1" s="36" t="s">
        <v>216</v>
      </c>
      <c r="J1" s="36" t="s">
        <v>217</v>
      </c>
      <c r="K1" s="31" t="s">
        <v>218</v>
      </c>
      <c r="L1" s="31" t="s">
        <v>219</v>
      </c>
      <c r="M1" s="35" t="s">
        <v>220</v>
      </c>
      <c r="N1" s="35" t="s">
        <v>221</v>
      </c>
      <c r="O1" s="35" t="s">
        <v>222</v>
      </c>
      <c r="P1" s="31" t="s">
        <v>1</v>
      </c>
      <c r="Q1" s="38" t="s">
        <v>223</v>
      </c>
      <c r="R1" s="38" t="s">
        <v>224</v>
      </c>
      <c r="S1" s="38" t="s">
        <v>225</v>
      </c>
    </row>
    <row r="2" spans="1:19">
      <c r="A2" s="20"/>
      <c r="G2" s="37"/>
      <c r="H2" s="20"/>
      <c r="I2" s="20"/>
      <c r="J2" s="20"/>
      <c r="K2" s="20"/>
      <c r="Q2" s="20"/>
      <c r="R2" s="20"/>
      <c r="S2" s="20"/>
    </row>
    <row r="3" spans="1:19">
      <c r="A3" s="20"/>
    </row>
    <row r="4" spans="1:19">
      <c r="A4" s="20"/>
    </row>
    <row r="5" spans="1:19">
      <c r="A5" s="20"/>
    </row>
    <row r="6" spans="1:19">
      <c r="A6" s="20"/>
    </row>
    <row r="7" spans="1:19">
      <c r="A7" s="20"/>
    </row>
    <row r="8" spans="1:19">
      <c r="A8" s="20"/>
    </row>
    <row r="9" spans="1:19">
      <c r="A9" s="20"/>
    </row>
    <row r="10" spans="1:19">
      <c r="A10" s="20"/>
    </row>
    <row r="11" spans="1:19">
      <c r="A11" s="20"/>
    </row>
    <row r="12" spans="1:19">
      <c r="A12" s="20"/>
    </row>
    <row r="13" spans="1:19">
      <c r="A13" s="20"/>
    </row>
    <row r="14" spans="1:19">
      <c r="A14" s="20"/>
    </row>
    <row r="15" spans="1:19">
      <c r="A15" s="20"/>
    </row>
    <row r="16" spans="1:19">
      <c r="A16" s="20"/>
    </row>
    <row r="17" spans="1:1">
      <c r="A17" s="20"/>
    </row>
    <row r="18" spans="1:1">
      <c r="A18" s="20"/>
    </row>
    <row r="19" spans="1:1">
      <c r="A19" s="20"/>
    </row>
    <row r="20" spans="1:1">
      <c r="A20" s="20"/>
    </row>
    <row r="21" spans="1:1">
      <c r="A21" s="20"/>
    </row>
    <row r="22" spans="1:1">
      <c r="A22" s="20"/>
    </row>
    <row r="23" spans="1:1">
      <c r="A23" s="20"/>
    </row>
    <row r="24" spans="1:1">
      <c r="A24" s="20"/>
    </row>
    <row r="25" spans="1:1">
      <c r="A25" s="20"/>
    </row>
  </sheetData>
  <sheetProtection formatCells="0" insertHyperlinks="0" autoFilter="0"/>
  <phoneticPr fontId="27" type="noConversion"/>
  <pageMargins left="0.75" right="0.75" top="1" bottom="1" header="0.50902777777777797" footer="0.5090277777777779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W21"/>
  <sheetViews>
    <sheetView workbookViewId="0">
      <pane xSplit="1" ySplit="1" topLeftCell="B2" activePane="bottomRight" state="frozen"/>
      <selection pane="topRight"/>
      <selection pane="bottomLeft"/>
      <selection pane="bottomRight" activeCell="G21" sqref="G21"/>
    </sheetView>
  </sheetViews>
  <sheetFormatPr defaultColWidth="8.796875" defaultRowHeight="15"/>
  <cols>
    <col min="1" max="6" width="8.796875" style="17"/>
    <col min="7" max="7" width="9.8984375" style="17" customWidth="1"/>
    <col min="8" max="16" width="8.796875" style="17"/>
    <col min="17" max="17" width="10.796875" style="17" customWidth="1"/>
    <col min="18" max="23" width="8.796875" style="17"/>
    <col min="24" max="16384" width="8.796875" style="18"/>
  </cols>
  <sheetData>
    <row r="1" spans="1:23" s="16" customFormat="1" ht="46.8">
      <c r="A1" s="21" t="s">
        <v>226</v>
      </c>
      <c r="B1" s="21" t="s">
        <v>227</v>
      </c>
      <c r="C1" s="21" t="s">
        <v>160</v>
      </c>
      <c r="D1" s="21" t="s">
        <v>159</v>
      </c>
      <c r="E1" s="21" t="s">
        <v>228</v>
      </c>
      <c r="F1" s="21" t="s">
        <v>229</v>
      </c>
      <c r="G1" s="21" t="s">
        <v>230</v>
      </c>
      <c r="H1" s="24" t="s">
        <v>231</v>
      </c>
      <c r="I1" s="24" t="s">
        <v>232</v>
      </c>
      <c r="J1" s="21" t="s">
        <v>233</v>
      </c>
      <c r="K1" s="21" t="s">
        <v>234</v>
      </c>
      <c r="L1" s="21" t="s">
        <v>235</v>
      </c>
      <c r="M1" s="21" t="s">
        <v>236</v>
      </c>
      <c r="N1" s="25" t="s">
        <v>237</v>
      </c>
      <c r="O1" s="26" t="s">
        <v>238</v>
      </c>
      <c r="P1" s="26" t="s">
        <v>239</v>
      </c>
      <c r="Q1" s="26" t="s">
        <v>240</v>
      </c>
      <c r="R1" s="21" t="s">
        <v>241</v>
      </c>
      <c r="S1" s="21" t="s">
        <v>242</v>
      </c>
      <c r="T1" s="21" t="s">
        <v>243</v>
      </c>
      <c r="U1" s="21" t="s">
        <v>244</v>
      </c>
      <c r="V1" s="21" t="s">
        <v>245</v>
      </c>
      <c r="W1" s="21" t="s">
        <v>246</v>
      </c>
    </row>
    <row r="2" spans="1:23">
      <c r="A2" s="22" t="s">
        <v>137</v>
      </c>
      <c r="B2" s="22"/>
      <c r="C2" s="22"/>
      <c r="D2" s="22"/>
      <c r="E2" s="22"/>
      <c r="F2" s="22"/>
      <c r="G2" s="22"/>
      <c r="H2" s="22"/>
      <c r="I2" s="22"/>
      <c r="J2" s="22"/>
      <c r="K2" s="22"/>
      <c r="L2" s="22"/>
      <c r="M2" s="22"/>
      <c r="N2" s="22"/>
      <c r="O2" s="22"/>
      <c r="P2" s="22"/>
      <c r="Q2" s="22"/>
      <c r="R2" s="22"/>
      <c r="S2" s="22"/>
      <c r="T2" s="22"/>
      <c r="U2" s="22"/>
      <c r="V2" s="22"/>
      <c r="W2" s="22"/>
    </row>
    <row r="3" spans="1:23">
      <c r="A3" s="22" t="s">
        <v>138</v>
      </c>
      <c r="B3" s="22"/>
      <c r="C3" s="22"/>
      <c r="D3" s="22"/>
      <c r="E3" s="22"/>
      <c r="F3" s="22"/>
      <c r="G3" s="22"/>
      <c r="H3" s="22"/>
      <c r="I3" s="22"/>
      <c r="J3" s="22"/>
      <c r="K3" s="22"/>
      <c r="L3" s="22"/>
      <c r="M3" s="22"/>
      <c r="N3" s="22"/>
      <c r="O3" s="22"/>
      <c r="P3" s="22"/>
      <c r="Q3" s="22"/>
      <c r="R3" s="22"/>
      <c r="S3" s="22"/>
      <c r="T3" s="22"/>
      <c r="U3" s="22"/>
      <c r="V3" s="22"/>
      <c r="W3" s="22"/>
    </row>
    <row r="4" spans="1:23">
      <c r="A4" s="22" t="s">
        <v>139</v>
      </c>
      <c r="B4" s="22"/>
      <c r="C4" s="22"/>
      <c r="D4" s="22"/>
      <c r="E4" s="22"/>
      <c r="F4" s="22"/>
      <c r="G4" s="22"/>
      <c r="H4" s="22"/>
      <c r="I4" s="22"/>
      <c r="J4" s="22"/>
      <c r="K4" s="22"/>
      <c r="L4" s="22"/>
      <c r="M4" s="22"/>
      <c r="N4" s="22"/>
      <c r="O4" s="22"/>
      <c r="P4" s="22"/>
      <c r="Q4" s="22"/>
      <c r="R4" s="22"/>
      <c r="S4" s="22"/>
      <c r="T4" s="22"/>
      <c r="U4" s="22"/>
      <c r="V4" s="22"/>
      <c r="W4" s="22"/>
    </row>
    <row r="5" spans="1:23">
      <c r="A5" s="22" t="s">
        <v>140</v>
      </c>
      <c r="B5" s="22"/>
      <c r="C5" s="22"/>
      <c r="D5" s="22"/>
      <c r="E5" s="22"/>
      <c r="F5" s="22"/>
      <c r="G5" s="22"/>
      <c r="H5" s="22"/>
      <c r="I5" s="22"/>
      <c r="J5" s="22"/>
      <c r="K5" s="22"/>
      <c r="L5" s="22"/>
      <c r="M5" s="22"/>
      <c r="N5" s="22"/>
      <c r="O5" s="22"/>
      <c r="P5" s="22"/>
      <c r="Q5" s="22"/>
      <c r="R5" s="22"/>
      <c r="S5" s="22"/>
      <c r="T5" s="22"/>
      <c r="U5" s="22"/>
      <c r="V5" s="22"/>
      <c r="W5" s="22"/>
    </row>
    <row r="6" spans="1:23">
      <c r="A6" s="22" t="s">
        <v>247</v>
      </c>
      <c r="B6" s="22"/>
      <c r="C6" s="22"/>
      <c r="D6" s="22"/>
      <c r="E6" s="22"/>
      <c r="F6" s="22"/>
      <c r="G6" s="22"/>
      <c r="H6" s="22"/>
      <c r="I6" s="22"/>
      <c r="J6" s="22"/>
      <c r="K6" s="22"/>
      <c r="L6" s="22"/>
      <c r="M6" s="22"/>
      <c r="N6" s="22"/>
      <c r="O6" s="22"/>
      <c r="P6" s="22"/>
      <c r="Q6" s="22"/>
      <c r="R6" s="22"/>
      <c r="S6" s="22"/>
      <c r="T6" s="22"/>
      <c r="U6" s="22"/>
      <c r="V6" s="22"/>
      <c r="W6" s="22"/>
    </row>
    <row r="7" spans="1:23">
      <c r="A7" s="22" t="s">
        <v>248</v>
      </c>
      <c r="B7" s="22"/>
      <c r="C7" s="22"/>
      <c r="D7" s="22"/>
      <c r="E7" s="22"/>
      <c r="F7" s="22"/>
      <c r="G7" s="22"/>
      <c r="H7" s="22"/>
      <c r="I7" s="22"/>
      <c r="J7" s="22"/>
      <c r="K7" s="22"/>
      <c r="L7" s="22"/>
      <c r="M7" s="22"/>
      <c r="N7" s="22"/>
      <c r="O7" s="22"/>
      <c r="P7" s="22"/>
      <c r="Q7" s="22"/>
      <c r="R7" s="22"/>
      <c r="S7" s="22"/>
      <c r="T7" s="22"/>
      <c r="U7" s="22"/>
      <c r="V7" s="22"/>
      <c r="W7" s="22"/>
    </row>
    <row r="8" spans="1:23">
      <c r="A8" s="22" t="s">
        <v>249</v>
      </c>
      <c r="B8" s="22"/>
      <c r="C8" s="22"/>
      <c r="D8" s="22"/>
      <c r="E8" s="22"/>
      <c r="F8" s="22"/>
      <c r="G8" s="22"/>
      <c r="H8" s="22"/>
      <c r="I8" s="22"/>
      <c r="J8" s="22"/>
      <c r="K8" s="22"/>
      <c r="L8" s="22"/>
      <c r="M8" s="22"/>
      <c r="N8" s="22"/>
      <c r="O8" s="22"/>
      <c r="P8" s="22"/>
      <c r="Q8" s="22"/>
      <c r="R8" s="22"/>
      <c r="S8" s="22"/>
      <c r="T8" s="22"/>
      <c r="U8" s="22"/>
      <c r="V8" s="22"/>
      <c r="W8" s="22"/>
    </row>
    <row r="9" spans="1:23">
      <c r="A9" s="22" t="s">
        <v>250</v>
      </c>
      <c r="B9" s="22"/>
      <c r="C9" s="22"/>
      <c r="D9" s="22"/>
      <c r="E9" s="22"/>
      <c r="F9" s="22"/>
      <c r="G9" s="22"/>
      <c r="H9" s="22"/>
      <c r="I9" s="22"/>
      <c r="J9" s="22"/>
      <c r="K9" s="22"/>
      <c r="L9" s="22"/>
      <c r="M9" s="22"/>
      <c r="N9" s="22"/>
      <c r="O9" s="22"/>
      <c r="P9" s="22"/>
      <c r="Q9" s="22"/>
      <c r="R9" s="22"/>
      <c r="S9" s="22"/>
      <c r="T9" s="22"/>
      <c r="U9" s="22"/>
      <c r="V9" s="22"/>
      <c r="W9" s="22"/>
    </row>
    <row r="10" spans="1:23">
      <c r="A10" s="22" t="s">
        <v>251</v>
      </c>
      <c r="B10" s="22"/>
      <c r="C10" s="22"/>
      <c r="D10" s="22"/>
      <c r="E10" s="23"/>
      <c r="F10" s="23"/>
      <c r="G10" s="23"/>
      <c r="H10" s="23"/>
      <c r="I10" s="23"/>
      <c r="J10" s="23"/>
      <c r="K10" s="23"/>
      <c r="L10" s="23"/>
      <c r="M10" s="23"/>
      <c r="N10" s="23"/>
      <c r="O10" s="23"/>
      <c r="P10" s="23"/>
      <c r="Q10" s="23"/>
      <c r="R10" s="23"/>
      <c r="S10" s="23"/>
      <c r="T10" s="23"/>
      <c r="U10" s="23"/>
      <c r="V10" s="23"/>
      <c r="W10" s="23"/>
    </row>
    <row r="11" spans="1:23">
      <c r="A11" s="22" t="s">
        <v>252</v>
      </c>
      <c r="B11" s="22"/>
      <c r="C11" s="23"/>
      <c r="D11" s="22"/>
      <c r="E11" s="23"/>
      <c r="F11" s="23"/>
      <c r="G11" s="23"/>
      <c r="H11" s="23"/>
      <c r="I11" s="23"/>
      <c r="J11" s="23"/>
      <c r="K11" s="23"/>
      <c r="L11" s="23"/>
      <c r="M11" s="23"/>
      <c r="N11" s="23"/>
      <c r="O11" s="23"/>
      <c r="P11" s="23"/>
      <c r="Q11" s="23"/>
      <c r="R11" s="23"/>
      <c r="S11" s="23"/>
      <c r="T11" s="23"/>
      <c r="U11" s="23"/>
      <c r="V11" s="23"/>
      <c r="W11" s="23"/>
    </row>
    <row r="12" spans="1:23">
      <c r="A12" s="22" t="s">
        <v>253</v>
      </c>
      <c r="B12" s="22"/>
      <c r="C12" s="22"/>
      <c r="D12" s="22"/>
      <c r="E12" s="22"/>
      <c r="F12" s="22"/>
      <c r="G12" s="22"/>
      <c r="H12" s="22"/>
      <c r="I12" s="22"/>
      <c r="J12" s="22"/>
      <c r="K12" s="22"/>
      <c r="L12" s="22"/>
      <c r="M12" s="22"/>
      <c r="N12" s="22"/>
      <c r="O12" s="22"/>
      <c r="P12" s="22"/>
      <c r="Q12" s="22"/>
      <c r="R12" s="22"/>
      <c r="S12" s="22"/>
      <c r="T12" s="22"/>
      <c r="U12" s="22"/>
      <c r="V12" s="22"/>
      <c r="W12" s="22"/>
    </row>
    <row r="13" spans="1:23">
      <c r="A13" s="22" t="s">
        <v>254</v>
      </c>
      <c r="B13" s="22"/>
      <c r="C13" s="22"/>
      <c r="D13" s="22"/>
      <c r="E13" s="22"/>
      <c r="F13" s="22"/>
      <c r="G13" s="22"/>
      <c r="H13" s="22"/>
      <c r="I13" s="22"/>
      <c r="J13" s="22"/>
      <c r="K13" s="22"/>
      <c r="L13" s="22"/>
      <c r="M13" s="22"/>
      <c r="N13" s="22"/>
      <c r="O13" s="22"/>
      <c r="P13" s="22"/>
      <c r="Q13" s="22"/>
      <c r="R13" s="22"/>
      <c r="S13" s="22"/>
      <c r="T13" s="22"/>
      <c r="U13" s="22"/>
      <c r="V13" s="22"/>
      <c r="W13" s="22"/>
    </row>
    <row r="14" spans="1:23">
      <c r="A14" s="22" t="s">
        <v>255</v>
      </c>
      <c r="B14" s="22"/>
      <c r="C14" s="22"/>
      <c r="D14" s="22"/>
      <c r="E14" s="22"/>
      <c r="F14" s="22"/>
      <c r="G14" s="22"/>
      <c r="H14" s="22"/>
      <c r="I14" s="22"/>
      <c r="J14" s="22"/>
      <c r="K14" s="22"/>
      <c r="L14" s="22"/>
      <c r="M14" s="22"/>
      <c r="N14" s="22"/>
      <c r="O14" s="22"/>
      <c r="P14" s="22"/>
      <c r="Q14" s="22"/>
      <c r="R14" s="22"/>
      <c r="S14" s="22"/>
      <c r="T14" s="22"/>
      <c r="U14" s="22"/>
      <c r="V14" s="22"/>
      <c r="W14" s="22"/>
    </row>
    <row r="15" spans="1:23">
      <c r="A15" s="22" t="s">
        <v>256</v>
      </c>
      <c r="B15" s="22"/>
      <c r="C15" s="22"/>
      <c r="D15" s="22"/>
      <c r="E15" s="22"/>
      <c r="F15" s="22"/>
      <c r="G15" s="22"/>
      <c r="H15" s="22"/>
      <c r="I15" s="22"/>
      <c r="J15" s="22"/>
      <c r="K15" s="22"/>
      <c r="L15" s="22"/>
      <c r="M15" s="22"/>
      <c r="N15" s="22"/>
      <c r="O15" s="22"/>
      <c r="P15" s="22"/>
      <c r="Q15" s="22"/>
      <c r="R15" s="22"/>
      <c r="S15" s="22"/>
      <c r="T15" s="22"/>
      <c r="U15" s="22"/>
      <c r="V15" s="22"/>
      <c r="W15" s="22"/>
    </row>
    <row r="16" spans="1:23">
      <c r="A16" s="22" t="s">
        <v>257</v>
      </c>
      <c r="B16" s="22"/>
      <c r="C16" s="22"/>
      <c r="D16" s="22"/>
      <c r="E16" s="22"/>
      <c r="F16" s="22"/>
      <c r="G16" s="22"/>
      <c r="H16" s="22"/>
      <c r="I16" s="22"/>
      <c r="J16" s="22"/>
      <c r="K16" s="22"/>
      <c r="L16" s="22"/>
      <c r="M16" s="22"/>
      <c r="N16" s="22"/>
      <c r="O16" s="22"/>
      <c r="P16" s="22"/>
      <c r="Q16" s="22"/>
      <c r="R16" s="22"/>
      <c r="S16" s="22"/>
      <c r="T16" s="22"/>
      <c r="U16" s="22"/>
      <c r="V16" s="22"/>
      <c r="W16" s="22"/>
    </row>
    <row r="17" spans="1:23">
      <c r="A17" s="22" t="s">
        <v>258</v>
      </c>
      <c r="B17" s="22"/>
      <c r="C17" s="22"/>
      <c r="D17" s="22"/>
      <c r="E17" s="22"/>
      <c r="F17" s="22"/>
      <c r="G17" s="22"/>
      <c r="H17" s="22"/>
      <c r="I17" s="22"/>
      <c r="J17" s="22"/>
      <c r="K17" s="22"/>
      <c r="L17" s="22"/>
      <c r="M17" s="22"/>
      <c r="N17" s="22"/>
      <c r="O17" s="22"/>
      <c r="P17" s="22"/>
      <c r="Q17" s="22"/>
      <c r="R17" s="22"/>
      <c r="S17" s="22"/>
      <c r="T17" s="22"/>
      <c r="U17" s="22"/>
      <c r="V17" s="22"/>
      <c r="W17" s="22"/>
    </row>
    <row r="18" spans="1:23">
      <c r="A18" s="22" t="s">
        <v>259</v>
      </c>
      <c r="B18" s="22"/>
      <c r="C18" s="22"/>
      <c r="D18" s="22"/>
      <c r="E18" s="22"/>
      <c r="F18" s="22"/>
      <c r="G18" s="22"/>
      <c r="H18" s="22"/>
      <c r="I18" s="22"/>
      <c r="J18" s="22"/>
      <c r="K18" s="22"/>
      <c r="L18" s="22"/>
      <c r="M18" s="22"/>
      <c r="N18" s="22"/>
      <c r="O18" s="22"/>
      <c r="P18" s="22"/>
      <c r="Q18" s="22"/>
      <c r="R18" s="22"/>
      <c r="S18" s="22"/>
      <c r="T18" s="22"/>
      <c r="U18" s="22"/>
      <c r="V18" s="22"/>
      <c r="W18" s="22"/>
    </row>
    <row r="19" spans="1:23">
      <c r="A19" s="22" t="s">
        <v>260</v>
      </c>
      <c r="B19" s="22"/>
      <c r="C19" s="22"/>
      <c r="D19" s="22"/>
      <c r="E19" s="22"/>
      <c r="F19" s="22"/>
      <c r="G19" s="22"/>
      <c r="H19" s="22"/>
      <c r="I19" s="22"/>
      <c r="J19" s="22"/>
      <c r="K19" s="22"/>
      <c r="L19" s="22"/>
      <c r="M19" s="22"/>
      <c r="N19" s="22"/>
      <c r="O19" s="22"/>
      <c r="P19" s="22"/>
      <c r="Q19" s="22"/>
      <c r="R19" s="22"/>
      <c r="S19" s="22"/>
      <c r="T19" s="22"/>
      <c r="U19" s="22"/>
      <c r="V19" s="22"/>
      <c r="W19" s="22"/>
    </row>
    <row r="20" spans="1:23">
      <c r="A20" s="22" t="s">
        <v>261</v>
      </c>
      <c r="B20" s="22"/>
      <c r="C20" s="22"/>
      <c r="D20" s="22"/>
      <c r="E20" s="22"/>
      <c r="F20" s="22"/>
      <c r="G20" s="22"/>
      <c r="H20" s="22"/>
      <c r="I20" s="22"/>
      <c r="J20" s="22"/>
      <c r="K20" s="22"/>
      <c r="L20" s="22"/>
      <c r="M20" s="22"/>
      <c r="N20" s="22"/>
      <c r="O20" s="22"/>
      <c r="P20" s="22"/>
      <c r="Q20" s="22"/>
      <c r="R20" s="22"/>
      <c r="S20" s="22"/>
      <c r="T20" s="22"/>
      <c r="U20" s="22"/>
      <c r="V20" s="22"/>
      <c r="W20" s="22"/>
    </row>
    <row r="21" spans="1:23">
      <c r="A21" s="22" t="s">
        <v>262</v>
      </c>
      <c r="B21" s="22"/>
      <c r="C21" s="22"/>
      <c r="D21" s="22"/>
      <c r="E21" s="22"/>
      <c r="F21" s="22"/>
      <c r="G21" s="22"/>
      <c r="H21" s="22"/>
      <c r="I21" s="22"/>
      <c r="J21" s="22"/>
      <c r="K21" s="22"/>
      <c r="L21" s="22"/>
      <c r="M21" s="22"/>
      <c r="N21" s="22"/>
      <c r="O21" s="22"/>
      <c r="P21" s="22"/>
      <c r="Q21" s="22"/>
      <c r="R21" s="22"/>
      <c r="S21" s="22"/>
      <c r="T21" s="22"/>
      <c r="U21" s="22"/>
      <c r="V21" s="22"/>
      <c r="W21" s="22"/>
    </row>
  </sheetData>
  <sheetProtection formatCells="0" insertHyperlinks="0" autoFilter="0"/>
  <phoneticPr fontId="27" type="noConversion"/>
  <conditionalFormatting sqref="C1">
    <cfRule type="duplicateValues" dxfId="8" priority="11"/>
  </conditionalFormatting>
  <conditionalFormatting sqref="H1">
    <cfRule type="cellIs" dxfId="7" priority="9" operator="equal">
      <formula>3</formula>
    </cfRule>
  </conditionalFormatting>
  <conditionalFormatting sqref="H1:I1">
    <cfRule type="cellIs" dxfId="6" priority="4" operator="greaterThan">
      <formula>3</formula>
    </cfRule>
  </conditionalFormatting>
  <conditionalFormatting sqref="J1">
    <cfRule type="cellIs" dxfId="5" priority="2" operator="lessThan">
      <formula>1</formula>
    </cfRule>
    <cfRule type="cellIs" dxfId="4" priority="3" operator="lessThan">
      <formula>1</formula>
    </cfRule>
  </conditionalFormatting>
  <conditionalFormatting sqref="N1">
    <cfRule type="cellIs" dxfId="3" priority="6" operator="lessThan">
      <formula>20</formula>
    </cfRule>
    <cfRule type="cellIs" dxfId="2" priority="7" operator="greaterThan">
      <formula>60</formula>
    </cfRule>
  </conditionalFormatting>
  <conditionalFormatting sqref="P1">
    <cfRule type="cellIs" dxfId="1" priority="5" operator="lessThan">
      <formula>1.5</formula>
    </cfRule>
  </conditionalFormatting>
  <conditionalFormatting sqref="T1:W1">
    <cfRule type="duplicateValues" dxfId="0"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X22"/>
  <sheetViews>
    <sheetView workbookViewId="0">
      <pane xSplit="4" ySplit="1" topLeftCell="K2" activePane="bottomRight" state="frozen"/>
      <selection pane="topRight"/>
      <selection pane="bottomLeft"/>
      <selection pane="bottomRight" sqref="A1:X1048576"/>
    </sheetView>
  </sheetViews>
  <sheetFormatPr defaultColWidth="15.59765625" defaultRowHeight="20.100000000000001" customHeight="1"/>
  <cols>
    <col min="1" max="3" width="14.3984375" style="17" customWidth="1"/>
    <col min="4" max="4" width="12.8984375" style="17" customWidth="1"/>
    <col min="5" max="7" width="8.19921875" style="17" customWidth="1"/>
    <col min="8" max="8" width="4.796875" style="17" customWidth="1"/>
    <col min="9" max="9" width="7.19921875" style="17" customWidth="1"/>
    <col min="10" max="15" width="8.19921875" style="17" customWidth="1"/>
    <col min="16" max="16" width="6.5" style="17" customWidth="1"/>
    <col min="17" max="17" width="11.69921875" style="17" customWidth="1"/>
    <col min="18" max="18" width="4.796875" style="17" customWidth="1"/>
    <col min="19" max="20" width="6.5" style="17" customWidth="1"/>
    <col min="21" max="21" width="4.796875" style="17" customWidth="1"/>
    <col min="22" max="23" width="11.69921875" style="17" customWidth="1"/>
    <col min="24" max="24" width="13.59765625" style="17" customWidth="1"/>
    <col min="25" max="258" width="10.69921875" style="18" customWidth="1"/>
    <col min="259" max="16384" width="15.59765625" style="18"/>
  </cols>
  <sheetData>
    <row r="1" spans="1:24" s="16" customFormat="1" ht="20.100000000000001" customHeight="1">
      <c r="A1" s="19" t="s">
        <v>227</v>
      </c>
      <c r="B1" s="19" t="s">
        <v>160</v>
      </c>
      <c r="C1" s="19" t="s">
        <v>159</v>
      </c>
      <c r="D1" s="19" t="s">
        <v>263</v>
      </c>
      <c r="E1" s="19" t="s">
        <v>264</v>
      </c>
      <c r="F1" s="19" t="s">
        <v>265</v>
      </c>
      <c r="G1" s="19" t="s">
        <v>266</v>
      </c>
      <c r="H1" s="19" t="s">
        <v>267</v>
      </c>
      <c r="I1" s="19" t="s">
        <v>268</v>
      </c>
      <c r="J1" s="19" t="s">
        <v>269</v>
      </c>
      <c r="K1" s="19" t="s">
        <v>270</v>
      </c>
      <c r="L1" s="19" t="s">
        <v>271</v>
      </c>
      <c r="M1" s="19" t="s">
        <v>272</v>
      </c>
      <c r="N1" s="19" t="s">
        <v>273</v>
      </c>
      <c r="O1" s="19" t="s">
        <v>274</v>
      </c>
      <c r="P1" s="19" t="s">
        <v>275</v>
      </c>
      <c r="Q1" s="19" t="s">
        <v>276</v>
      </c>
      <c r="R1" s="19" t="s">
        <v>277</v>
      </c>
      <c r="S1" s="19" t="s">
        <v>278</v>
      </c>
      <c r="T1" s="19" t="s">
        <v>4</v>
      </c>
      <c r="U1" s="19" t="s">
        <v>279</v>
      </c>
      <c r="V1" s="19" t="s">
        <v>280</v>
      </c>
      <c r="W1" s="19" t="s">
        <v>281</v>
      </c>
      <c r="X1" s="19" t="s">
        <v>282</v>
      </c>
    </row>
    <row r="2" spans="1:24" ht="20.100000000000001" customHeight="1">
      <c r="A2" s="20"/>
      <c r="B2" s="20"/>
      <c r="C2" s="20"/>
      <c r="D2" s="20"/>
      <c r="E2" s="20"/>
      <c r="F2" s="20"/>
      <c r="G2" s="20"/>
      <c r="H2" s="20"/>
      <c r="I2" s="20"/>
      <c r="J2" s="20"/>
      <c r="K2" s="20"/>
      <c r="L2" s="20"/>
      <c r="M2" s="20" t="s">
        <v>40</v>
      </c>
      <c r="N2" s="20"/>
      <c r="O2" s="20"/>
      <c r="P2" s="20"/>
      <c r="Q2" s="20"/>
      <c r="R2" s="20"/>
      <c r="S2" s="20"/>
      <c r="T2" s="20"/>
      <c r="U2" s="20"/>
      <c r="V2" s="20"/>
      <c r="W2" s="20"/>
      <c r="X2" s="20"/>
    </row>
    <row r="3" spans="1:24" ht="20.100000000000001" customHeight="1">
      <c r="A3" s="20"/>
      <c r="B3" s="20"/>
      <c r="C3" s="20"/>
      <c r="D3" s="20"/>
      <c r="E3" s="20"/>
      <c r="F3" s="20"/>
      <c r="G3" s="20"/>
      <c r="H3" s="20"/>
      <c r="I3" s="20"/>
      <c r="J3" s="20"/>
      <c r="K3" s="20"/>
      <c r="L3" s="20"/>
      <c r="M3" s="20" t="s">
        <v>41</v>
      </c>
      <c r="N3" s="20"/>
      <c r="O3" s="20"/>
      <c r="P3" s="20"/>
      <c r="Q3" s="20"/>
      <c r="R3" s="20"/>
      <c r="S3" s="20"/>
      <c r="T3" s="20"/>
      <c r="U3" s="20"/>
      <c r="V3" s="20"/>
      <c r="W3" s="20"/>
      <c r="X3" s="20"/>
    </row>
    <row r="4" spans="1:24" ht="20.100000000000001" customHeight="1">
      <c r="A4" s="20"/>
      <c r="B4" s="20"/>
      <c r="C4" s="20"/>
      <c r="D4" s="20"/>
      <c r="E4" s="20"/>
      <c r="F4" s="20"/>
      <c r="G4" s="20"/>
      <c r="H4" s="20"/>
      <c r="I4" s="20"/>
      <c r="J4" s="20"/>
      <c r="K4" s="20"/>
      <c r="L4" s="20"/>
      <c r="M4" s="20" t="s">
        <v>283</v>
      </c>
      <c r="N4" s="20"/>
      <c r="O4" s="20"/>
      <c r="P4" s="20"/>
      <c r="Q4" s="20"/>
      <c r="R4" s="20"/>
      <c r="S4" s="20"/>
      <c r="T4" s="20"/>
      <c r="U4" s="20"/>
      <c r="V4" s="20"/>
      <c r="W4" s="20"/>
      <c r="X4" s="20"/>
    </row>
    <row r="5" spans="1:24" ht="20.100000000000001" customHeight="1">
      <c r="A5" s="20"/>
      <c r="B5" s="20"/>
      <c r="C5" s="20"/>
      <c r="D5" s="20"/>
      <c r="E5" s="20"/>
      <c r="F5" s="20"/>
      <c r="G5" s="20"/>
      <c r="H5" s="20"/>
      <c r="I5" s="20"/>
      <c r="J5" s="20"/>
      <c r="K5" s="20"/>
      <c r="L5" s="20"/>
      <c r="M5" s="20" t="s">
        <v>284</v>
      </c>
      <c r="N5" s="20"/>
      <c r="O5" s="20"/>
      <c r="P5" s="20"/>
      <c r="Q5" s="20"/>
      <c r="R5" s="20"/>
      <c r="S5" s="20"/>
      <c r="T5" s="20"/>
      <c r="U5" s="20"/>
      <c r="V5" s="20"/>
      <c r="W5" s="20"/>
      <c r="X5" s="20"/>
    </row>
    <row r="6" spans="1:24" ht="20.100000000000001" customHeight="1">
      <c r="A6" s="20"/>
      <c r="B6" s="20"/>
      <c r="C6" s="20"/>
      <c r="D6" s="20"/>
      <c r="E6" s="20"/>
      <c r="F6" s="20"/>
      <c r="G6" s="20"/>
      <c r="H6" s="20"/>
      <c r="I6" s="20"/>
      <c r="J6" s="20"/>
      <c r="K6" s="20"/>
      <c r="L6" s="20"/>
      <c r="M6" s="20"/>
      <c r="N6" s="20"/>
      <c r="O6" s="20"/>
      <c r="P6" s="20"/>
      <c r="Q6" s="20"/>
      <c r="R6" s="20"/>
      <c r="S6" s="20"/>
      <c r="T6" s="20"/>
      <c r="U6" s="20"/>
      <c r="V6" s="20"/>
      <c r="W6" s="20"/>
      <c r="X6" s="20"/>
    </row>
    <row r="7" spans="1:24" ht="20.100000000000001" customHeight="1">
      <c r="A7" s="20"/>
      <c r="B7" s="20"/>
      <c r="C7" s="20"/>
      <c r="D7" s="20"/>
      <c r="E7" s="20"/>
      <c r="F7" s="20"/>
      <c r="G7" s="20"/>
      <c r="H7" s="20"/>
      <c r="I7" s="20"/>
      <c r="J7" s="20"/>
      <c r="K7" s="20"/>
      <c r="L7" s="20"/>
      <c r="M7" s="20"/>
      <c r="N7" s="20"/>
      <c r="O7" s="20"/>
      <c r="R7" s="20"/>
      <c r="S7" s="20"/>
      <c r="T7" s="20"/>
      <c r="U7" s="20"/>
      <c r="V7" s="20"/>
      <c r="W7" s="20"/>
      <c r="X7" s="20"/>
    </row>
    <row r="8" spans="1:24" ht="20.100000000000001" customHeight="1">
      <c r="A8" s="20"/>
      <c r="B8" s="20"/>
      <c r="C8" s="20"/>
      <c r="D8" s="20"/>
      <c r="E8" s="20"/>
      <c r="F8" s="20"/>
      <c r="G8" s="20"/>
      <c r="H8" s="20"/>
      <c r="I8" s="20"/>
      <c r="J8" s="20"/>
      <c r="K8" s="20"/>
      <c r="L8" s="20"/>
      <c r="M8" s="20"/>
      <c r="N8" s="20"/>
      <c r="O8" s="20"/>
      <c r="P8" s="20"/>
      <c r="Q8" s="20"/>
      <c r="R8" s="20"/>
      <c r="S8" s="20"/>
      <c r="T8" s="20"/>
      <c r="U8" s="20"/>
      <c r="V8" s="20"/>
      <c r="W8" s="20"/>
      <c r="X8" s="20"/>
    </row>
    <row r="9" spans="1:24" ht="20.100000000000001" customHeight="1">
      <c r="A9" s="20"/>
      <c r="B9" s="20"/>
      <c r="C9" s="20"/>
      <c r="D9" s="20"/>
      <c r="E9" s="20"/>
      <c r="F9" s="20"/>
      <c r="G9" s="20"/>
      <c r="H9" s="20"/>
      <c r="I9" s="20"/>
      <c r="J9" s="20"/>
      <c r="K9" s="20"/>
      <c r="L9" s="20"/>
      <c r="M9" s="20"/>
      <c r="N9" s="20"/>
      <c r="O9" s="20"/>
      <c r="P9" s="20"/>
      <c r="Q9" s="20"/>
      <c r="R9" s="20"/>
      <c r="S9" s="20"/>
      <c r="T9" s="20"/>
      <c r="U9" s="20"/>
      <c r="V9" s="20"/>
      <c r="W9" s="20"/>
      <c r="X9" s="20"/>
    </row>
    <row r="10" spans="1:24" ht="20.100000000000001" customHeight="1">
      <c r="A10" s="20"/>
      <c r="B10" s="20"/>
      <c r="C10" s="20"/>
      <c r="D10" s="20"/>
      <c r="E10" s="20"/>
      <c r="F10" s="20"/>
      <c r="G10" s="20"/>
      <c r="H10" s="20"/>
      <c r="I10" s="20"/>
      <c r="J10" s="20"/>
      <c r="K10" s="20"/>
      <c r="L10" s="20"/>
      <c r="M10" s="20"/>
      <c r="N10" s="20"/>
      <c r="O10" s="20"/>
      <c r="P10" s="20"/>
      <c r="Q10" s="20"/>
      <c r="R10" s="20"/>
      <c r="S10" s="20"/>
      <c r="T10" s="20"/>
      <c r="U10" s="20"/>
      <c r="V10" s="20"/>
      <c r="W10" s="20"/>
      <c r="X10" s="20"/>
    </row>
    <row r="11" spans="1:24" ht="20.100000000000001" customHeight="1">
      <c r="A11" s="20"/>
      <c r="B11" s="20"/>
      <c r="C11" s="20"/>
      <c r="D11" s="20"/>
      <c r="E11" s="20"/>
      <c r="F11" s="20"/>
      <c r="G11" s="20"/>
      <c r="H11" s="20"/>
      <c r="I11" s="20"/>
      <c r="J11" s="20"/>
      <c r="K11" s="20"/>
      <c r="L11" s="20"/>
      <c r="M11" s="20"/>
      <c r="N11" s="20"/>
      <c r="O11" s="20"/>
      <c r="P11" s="20"/>
      <c r="Q11" s="20"/>
      <c r="R11" s="20"/>
      <c r="S11" s="20"/>
      <c r="T11" s="20"/>
      <c r="U11" s="20"/>
      <c r="V11" s="20"/>
      <c r="W11" s="20"/>
      <c r="X11" s="20"/>
    </row>
    <row r="12" spans="1:24" ht="20.10000000000000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row>
    <row r="13" spans="1:24" ht="20.100000000000001" customHeight="1">
      <c r="A13" s="20"/>
      <c r="B13" s="20"/>
      <c r="C13" s="20"/>
      <c r="D13" s="20"/>
      <c r="E13" s="20"/>
      <c r="F13" s="20"/>
      <c r="G13" s="20"/>
      <c r="H13" s="20"/>
      <c r="I13" s="20"/>
      <c r="J13" s="20"/>
      <c r="K13" s="20"/>
      <c r="L13" s="20"/>
      <c r="M13" s="20"/>
      <c r="N13" s="20"/>
      <c r="O13" s="20"/>
      <c r="P13" s="20"/>
      <c r="Q13" s="20"/>
      <c r="R13" s="20"/>
      <c r="S13" s="20"/>
      <c r="T13" s="20"/>
      <c r="U13" s="20"/>
      <c r="V13" s="20"/>
      <c r="W13" s="20"/>
      <c r="X13" s="20"/>
    </row>
    <row r="14" spans="1:24" ht="20.100000000000001" customHeight="1">
      <c r="A14" s="20"/>
      <c r="B14" s="20"/>
      <c r="C14" s="20"/>
      <c r="D14" s="20"/>
      <c r="E14" s="20"/>
      <c r="F14" s="20"/>
      <c r="G14" s="20"/>
      <c r="H14" s="20"/>
      <c r="I14" s="20"/>
      <c r="J14" s="20"/>
      <c r="K14" s="20"/>
      <c r="L14" s="20"/>
      <c r="M14" s="20"/>
      <c r="N14" s="20"/>
      <c r="O14" s="20"/>
      <c r="P14" s="20"/>
      <c r="Q14" s="20"/>
      <c r="R14" s="20"/>
      <c r="S14" s="20"/>
      <c r="T14" s="20"/>
      <c r="U14" s="20"/>
      <c r="V14" s="20"/>
      <c r="W14" s="20"/>
      <c r="X14" s="20"/>
    </row>
    <row r="15" spans="1:24" ht="20.100000000000001" customHeight="1">
      <c r="A15" s="20"/>
      <c r="B15" s="20"/>
      <c r="C15" s="20"/>
      <c r="D15" s="20"/>
      <c r="E15" s="20"/>
      <c r="F15" s="20"/>
      <c r="G15" s="20"/>
      <c r="H15" s="20"/>
      <c r="I15" s="20"/>
      <c r="J15" s="20"/>
      <c r="K15" s="20"/>
      <c r="L15" s="20"/>
      <c r="M15" s="20"/>
      <c r="N15" s="20"/>
      <c r="O15" s="20"/>
      <c r="P15" s="20"/>
      <c r="Q15" s="20"/>
      <c r="R15" s="20"/>
      <c r="S15" s="20"/>
      <c r="T15" s="20"/>
      <c r="U15" s="20"/>
      <c r="V15" s="20"/>
      <c r="W15" s="20"/>
      <c r="X15" s="20"/>
    </row>
    <row r="16" spans="1:24" ht="20.100000000000001" customHeight="1">
      <c r="A16" s="20"/>
      <c r="B16" s="20"/>
      <c r="C16" s="20"/>
      <c r="D16" s="20"/>
      <c r="E16" s="20"/>
      <c r="F16" s="20"/>
      <c r="G16" s="20"/>
      <c r="H16" s="20"/>
      <c r="I16" s="20"/>
      <c r="J16" s="20"/>
      <c r="K16" s="20"/>
      <c r="L16" s="20"/>
      <c r="M16" s="20"/>
      <c r="N16" s="20"/>
      <c r="O16" s="20"/>
      <c r="P16" s="20"/>
      <c r="Q16" s="20"/>
      <c r="R16" s="20"/>
      <c r="S16" s="20"/>
      <c r="T16" s="20"/>
      <c r="U16" s="20"/>
      <c r="V16" s="20"/>
      <c r="W16" s="20"/>
      <c r="X16" s="20"/>
    </row>
    <row r="17" spans="1:24" ht="20.100000000000001" customHeight="1">
      <c r="A17" s="20"/>
      <c r="B17" s="20"/>
      <c r="C17" s="20"/>
      <c r="D17" s="20"/>
      <c r="E17" s="20"/>
      <c r="F17" s="20"/>
      <c r="G17" s="20"/>
      <c r="H17" s="20"/>
      <c r="I17" s="20"/>
      <c r="J17" s="20"/>
      <c r="K17" s="20"/>
      <c r="L17" s="20"/>
      <c r="M17" s="20"/>
      <c r="N17" s="20"/>
      <c r="O17" s="20"/>
      <c r="P17" s="20"/>
      <c r="Q17" s="20"/>
      <c r="R17" s="20"/>
      <c r="S17" s="20"/>
      <c r="T17" s="20"/>
      <c r="U17" s="20"/>
      <c r="V17" s="20"/>
      <c r="W17" s="20"/>
      <c r="X17" s="20"/>
    </row>
    <row r="18" spans="1:24" ht="20.100000000000001" customHeight="1">
      <c r="A18" s="20"/>
      <c r="B18" s="20"/>
      <c r="C18" s="20"/>
      <c r="D18" s="20"/>
      <c r="E18" s="20"/>
      <c r="F18" s="20"/>
      <c r="G18" s="20"/>
      <c r="H18" s="20"/>
      <c r="I18" s="20"/>
      <c r="J18" s="20"/>
      <c r="K18" s="20"/>
      <c r="L18" s="20"/>
      <c r="M18" s="20"/>
      <c r="N18" s="20"/>
      <c r="O18" s="20"/>
      <c r="P18" s="20"/>
      <c r="Q18" s="20"/>
      <c r="R18" s="20"/>
      <c r="S18" s="20"/>
      <c r="T18" s="20"/>
      <c r="U18" s="20"/>
      <c r="V18" s="20"/>
      <c r="W18" s="20"/>
      <c r="X18" s="20"/>
    </row>
    <row r="19" spans="1:24" ht="20.100000000000001" customHeight="1">
      <c r="A19" s="20"/>
      <c r="B19" s="20"/>
      <c r="C19" s="20"/>
      <c r="D19" s="20"/>
      <c r="E19" s="20"/>
      <c r="F19" s="20"/>
      <c r="G19" s="20"/>
      <c r="H19" s="20"/>
      <c r="I19" s="20"/>
      <c r="J19" s="20"/>
      <c r="K19" s="20"/>
      <c r="L19" s="20"/>
      <c r="M19" s="20"/>
      <c r="N19" s="20"/>
      <c r="O19" s="20"/>
      <c r="P19" s="20"/>
      <c r="Q19" s="20"/>
      <c r="R19" s="20"/>
      <c r="S19" s="20"/>
      <c r="T19" s="20"/>
      <c r="U19" s="20"/>
      <c r="V19" s="20"/>
      <c r="W19" s="20"/>
      <c r="X19" s="20"/>
    </row>
    <row r="20" spans="1:24" ht="20.100000000000001" customHeight="1">
      <c r="A20" s="20"/>
      <c r="B20" s="20"/>
      <c r="C20" s="20"/>
      <c r="D20" s="20"/>
      <c r="E20" s="20"/>
      <c r="F20" s="20"/>
      <c r="G20" s="20"/>
      <c r="H20" s="20"/>
      <c r="I20" s="20"/>
      <c r="J20" s="20"/>
      <c r="K20" s="20"/>
      <c r="L20" s="20"/>
      <c r="M20" s="20"/>
      <c r="N20" s="20"/>
      <c r="O20" s="20"/>
      <c r="P20" s="20"/>
      <c r="Q20" s="20"/>
      <c r="R20" s="20"/>
      <c r="S20" s="20"/>
      <c r="T20" s="20"/>
      <c r="U20" s="20"/>
      <c r="V20" s="20"/>
      <c r="W20" s="20"/>
      <c r="X20" s="20"/>
    </row>
    <row r="21" spans="1:24" ht="20.100000000000001" customHeight="1">
      <c r="A21" s="20"/>
      <c r="B21" s="20"/>
      <c r="C21" s="20"/>
      <c r="D21" s="20"/>
      <c r="E21" s="20"/>
      <c r="F21" s="20"/>
      <c r="G21" s="20"/>
      <c r="H21" s="20"/>
      <c r="I21" s="20"/>
      <c r="J21" s="20"/>
      <c r="K21" s="20"/>
      <c r="L21" s="20"/>
      <c r="M21" s="20"/>
      <c r="N21" s="20"/>
      <c r="O21" s="20"/>
      <c r="P21" s="20"/>
      <c r="Q21" s="20"/>
      <c r="R21" s="20"/>
      <c r="S21" s="20"/>
      <c r="T21" s="20"/>
      <c r="U21" s="20"/>
      <c r="V21" s="20"/>
      <c r="W21" s="20"/>
      <c r="X21" s="20"/>
    </row>
    <row r="22" spans="1:24" ht="20.100000000000001" customHeight="1">
      <c r="A22" s="20"/>
      <c r="B22" s="20"/>
      <c r="C22" s="20"/>
      <c r="D22" s="20"/>
      <c r="E22" s="20"/>
      <c r="F22" s="20"/>
      <c r="G22" s="20"/>
      <c r="H22" s="20"/>
      <c r="I22" s="20"/>
      <c r="J22" s="20"/>
      <c r="K22" s="20"/>
      <c r="L22" s="20"/>
      <c r="M22" s="20"/>
      <c r="N22" s="20"/>
      <c r="O22" s="20"/>
      <c r="P22" s="20"/>
      <c r="Q22" s="20"/>
      <c r="R22" s="20"/>
      <c r="S22" s="20"/>
      <c r="T22" s="20"/>
      <c r="U22" s="20"/>
      <c r="V22" s="20"/>
      <c r="W22" s="20"/>
      <c r="X22" s="20"/>
    </row>
  </sheetData>
  <sheetProtection formatCells="0" insertHyperlinks="0" autoFilter="0"/>
  <phoneticPr fontId="27" type="noConversion"/>
  <pageMargins left="0.75" right="0.75" top="1" bottom="1" header="0.50902777777777797" footer="0.5090277777777779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AC2"/>
  <sheetViews>
    <sheetView tabSelected="1" workbookViewId="0">
      <pane xSplit="1" ySplit="1" topLeftCell="B2" activePane="bottomRight" state="frozen"/>
      <selection pane="topRight"/>
      <selection pane="bottomLeft"/>
      <selection pane="bottomRight" activeCell="F25" sqref="F25"/>
    </sheetView>
  </sheetViews>
  <sheetFormatPr defaultColWidth="10" defaultRowHeight="15"/>
  <cols>
    <col min="1" max="1" width="9" style="2" customWidth="1"/>
    <col min="2" max="2" width="18.09765625" style="2" customWidth="1"/>
    <col min="3" max="3" width="14.8984375" style="2" customWidth="1"/>
    <col min="4" max="4" width="8.296875" style="3" customWidth="1"/>
    <col min="5" max="5" width="16.3984375" style="3" customWidth="1"/>
    <col min="6" max="6" width="9" style="4" customWidth="1"/>
    <col min="7" max="7" width="10.3984375" style="2" customWidth="1"/>
    <col min="8" max="10" width="14.3984375" style="2" customWidth="1"/>
    <col min="11" max="11" width="10.796875" style="2" customWidth="1"/>
    <col min="12" max="12" width="5.796875" style="2" customWidth="1"/>
    <col min="13" max="13" width="6.296875" style="2" customWidth="1"/>
    <col min="14" max="14" width="22.09765625" style="2" customWidth="1"/>
    <col min="15" max="15" width="9.59765625" style="3" customWidth="1"/>
    <col min="16" max="16" width="18.296875" style="2" customWidth="1"/>
    <col min="17" max="17" width="16.69921875" style="2" customWidth="1"/>
    <col min="18" max="21" width="9.796875" style="2" customWidth="1"/>
    <col min="22" max="22" width="12.69921875" style="2" customWidth="1"/>
    <col min="23" max="23" width="9.796875" style="5" customWidth="1"/>
    <col min="24" max="24" width="17" style="6" customWidth="1"/>
    <col min="25" max="25" width="16.3984375" style="6" customWidth="1"/>
    <col min="26" max="26" width="15.296875" style="2" customWidth="1"/>
    <col min="27" max="27" width="12.3984375" style="3" customWidth="1"/>
    <col min="28" max="29" width="9.796875" style="2" customWidth="1"/>
    <col min="30" max="16384" width="10" style="7"/>
  </cols>
  <sheetData>
    <row r="1" spans="1:29" s="1" customFormat="1" ht="15.6">
      <c r="A1" s="8" t="s">
        <v>285</v>
      </c>
      <c r="B1" s="8" t="s">
        <v>171</v>
      </c>
      <c r="C1" s="8" t="s">
        <v>286</v>
      </c>
      <c r="D1" s="9" t="s">
        <v>287</v>
      </c>
      <c r="E1" s="9" t="s">
        <v>288</v>
      </c>
      <c r="F1" s="11" t="s">
        <v>289</v>
      </c>
      <c r="G1" s="8" t="s">
        <v>290</v>
      </c>
      <c r="H1" s="8" t="s">
        <v>291</v>
      </c>
      <c r="I1" s="8" t="s">
        <v>292</v>
      </c>
      <c r="J1" s="8" t="s">
        <v>293</v>
      </c>
      <c r="K1" s="8" t="s">
        <v>294</v>
      </c>
      <c r="L1" s="8" t="s">
        <v>295</v>
      </c>
      <c r="M1" s="8" t="s">
        <v>296</v>
      </c>
      <c r="N1" s="8" t="s">
        <v>297</v>
      </c>
      <c r="O1" s="9" t="s">
        <v>298</v>
      </c>
      <c r="P1" s="8" t="s">
        <v>299</v>
      </c>
      <c r="Q1" s="8" t="s">
        <v>300</v>
      </c>
      <c r="R1" s="8" t="s">
        <v>301</v>
      </c>
      <c r="S1" s="8" t="s">
        <v>36</v>
      </c>
      <c r="T1" s="8" t="s">
        <v>302</v>
      </c>
      <c r="U1" s="8" t="s">
        <v>303</v>
      </c>
      <c r="V1" s="8" t="s">
        <v>304</v>
      </c>
      <c r="W1" s="11" t="s">
        <v>305</v>
      </c>
      <c r="X1" s="14" t="s">
        <v>306</v>
      </c>
      <c r="Y1" s="14" t="s">
        <v>307</v>
      </c>
      <c r="Z1" s="8" t="s">
        <v>308</v>
      </c>
      <c r="AA1" s="9" t="s">
        <v>309</v>
      </c>
      <c r="AB1" s="8" t="s">
        <v>310</v>
      </c>
      <c r="AC1" s="8" t="s">
        <v>311</v>
      </c>
    </row>
    <row r="2" spans="1:29" s="1" customFormat="1" ht="15" customHeight="1">
      <c r="A2" s="2"/>
      <c r="B2" s="10"/>
      <c r="C2" s="2"/>
      <c r="D2" s="3"/>
      <c r="E2" s="3"/>
      <c r="F2" s="4"/>
      <c r="G2" s="2"/>
      <c r="H2" s="2"/>
      <c r="I2" s="2"/>
      <c r="J2" s="2"/>
      <c r="K2" s="2"/>
      <c r="L2" s="2"/>
      <c r="M2" s="2"/>
      <c r="N2" s="12"/>
      <c r="O2" s="3"/>
      <c r="P2" s="13"/>
      <c r="Q2" s="13"/>
      <c r="R2" s="2"/>
      <c r="S2" s="2"/>
      <c r="T2" s="2"/>
      <c r="U2" s="2"/>
      <c r="V2" s="2"/>
      <c r="W2" s="5"/>
      <c r="X2" s="6"/>
      <c r="Y2" s="6"/>
      <c r="Z2" s="2"/>
      <c r="AA2" s="3"/>
      <c r="AB2" s="2"/>
      <c r="AC2" s="15"/>
    </row>
  </sheetData>
  <sheetProtection formatCells="0" insertHyperlinks="0" autoFilter="0"/>
  <phoneticPr fontId="27"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ixelators xmlns="https://web.wps.cn/et/2018/main" xmlns:s="http://schemas.openxmlformats.org/spreadsheetml/2006/main">
  <pixelatorList sheetStid="1"/>
  <pixelatorList sheetStid="4"/>
  <pixelatorList sheetStid="7"/>
  <pixelatorList sheetStid="36"/>
  <pixelatorList sheetStid="28"/>
  <pixelatorList sheetStid="14"/>
  <pixelatorList sheetStid="29"/>
  <pixelatorList sheetStid="19"/>
  <pixelatorList sheetStid="34"/>
  <pixelatorList sheetStid="37"/>
</pixelators>
</file>

<file path=customXml/item2.xml><?xml version="1.0" encoding="utf-8"?>
<allowEditUser xmlns="https://web.wps.cn/et/2018/main" xmlns:s="http://schemas.openxmlformats.org/spreadsheetml/2006/main" hasInvisiblePropRange="0">
  <rangeList sheetStid="1" master=""/>
  <rangeList sheetStid="4" master=""/>
  <rangeList sheetStid="7" master=""/>
  <rangeList sheetStid="36" master=""/>
  <rangeList sheetStid="28" master=""/>
  <rangeList sheetStid="14" master=""/>
  <rangeList sheetStid="29" master=""/>
  <rangeList sheetStid="19" master=""/>
  <rangeList sheetStid="34" master=""/>
</allowEditUser>
</file>

<file path=customXml/item3.xml><?xml version="1.0" encoding="utf-8"?>
<woProps xmlns="https://web.wps.cn/et/2018/main" xmlns:s="http://schemas.openxmlformats.org/spreadsheetml/2006/main">
  <woSheetsProps>
    <woSheetProps sheetStid="1" interlineOnOff="0" interlineColor="0" isDbSheet="0"/>
    <woSheetProps sheetStid="4" interlineOnOff="0" interlineColor="0" isDbSheet="0"/>
    <woSheetProps sheetStid="7" interlineOnOff="0" interlineColor="0" isDbSheet="0"/>
    <woSheetProps sheetStid="36" interlineOnOff="0" interlineColor="0" isDbSheet="0"/>
    <woSheetProps sheetStid="28" interlineOnOff="0" interlineColor="0" isDbSheet="0"/>
    <woSheetProps sheetStid="14" interlineOnOff="0" interlineColor="0" isDbSheet="0"/>
    <woSheetProps sheetStid="29" interlineOnOff="0" interlineColor="0" isDbSheet="0"/>
    <woSheetProps sheetStid="19" interlineOnOff="0" interlineColor="0" isDbSheet="0"/>
    <woSheetProps sheetStid="34" interlineOnOff="0" interlineColor="0" isDbSheet="0"/>
    <woSheetProps sheetStid="37" interlineOnOff="0" interlineColor="0" isDbSheet="0"/>
  </woSheetsProps>
  <woBookProps>
    <bookSettings isFilterShared="1" isAutoUpdatePaused="0" filterType="conn"/>
  </woBookProps>
</woProps>
</file>

<file path=customXml/item4.xml><?xml version="1.0" encoding="utf-8"?>
<comments xmlns="https://web.wps.cn/et/2018/main" xmlns:s="http://schemas.openxmlformats.org/spreadsheetml/2006/main">
  <commentList sheetStid="4">
    <comment s:ref="N1" rgbClr="FF0000">
      <item id="{8080a967-2c8c-4638-a6ed-e62347984de1}" isNormal="1">
        <s:text>
          <s:r>
            <s:t xml:space="preserve">根据20天采购周期推算出来的</s:t>
          </s:r>
        </s:text>
      </item>
    </comment>
    <comment s:ref="BJ4" rgbClr="FF0000">
      <item id="{602b4e69-3c70-44a5-8922-eaa864d09858}" isNormal="1">
        <s:text>
          <s:r>
            <s:t xml:space="preserve">广告坑位不在前三页，打”/”,须加钱或换词</s:t>
          </s:r>
        </s:text>
      </item>
    </comment>
    <comment s:ref="A5" rgbClr="FF0000">
      <item id="{f4a617e0-3460-4b08-94a6-35c11620a1eb}" isNormal="1">
        <s:text>
          <s:r>
            <s:t xml:space="preserve">测评：30件
LD：50件
销售订单：2*30=60件
</s:t>
          </s:r>
        </s:text>
      </item>
    </comment>
    <comment s:ref="Q5" rgbClr="FF0000">
      <item id="{d35ffe81-1c8b-4e89-babf-18710c37dc6e}" isNormal="1">
        <s:text>
          <s:r>
            <s:t xml:space="preserve">1、11月19日备货180pcs；
2、11月23日号到本地；
3、11月25日入本地仓，并完成质检、贴标、打包；
4、11月26日空运180pcs到FBA；
5、预计12月7日到FBA仓；
6、预计12月20日之前上架开售；</s:t>
          </s:r>
        </s:text>
      </item>
    </comment>
    <comment s:ref="AR8" rgbClr="FF0000">
      <item id="{d40cbd76-b0dd-4522-9a4e-af6b1681ab75}" isNormal="1">
        <s:text>
          <s:r>
            <s:t xml:space="preserve">预算：50件</s:t>
          </s:r>
        </s:text>
      </item>
    </comment>
    <comment s:ref="A9" rgbClr="FF0000">
      <item id="{fb483784-969c-4e0a-a1ec-9c6a002c5343}" isNormal="1">
        <s:text>
          <s:r>
            <s:t xml:space="preserve">测评：50件
LD：50件
BD：100件
站外Deals：50件
销售订单：10*30=300件</s:t>
          </s:r>
        </s:text>
      </item>
    </comment>
    <comment s:ref="AH9" rgbClr="FF0000">
      <item id="{b6fd08ff-11ab-44af-844c-4593ac2b5256}" isNormal="1">
        <s:text>
          <s:r>
            <s:t xml:space="preserve">在做活动之前加量测评，引导活动进行。</s:t>
          </s:r>
        </s:text>
      </item>
    </comment>
    <comment s:ref="AV9" rgbClr="FF0000">
      <item id="{d62b5760-7d64-473c-bf9f-fce4f9cc6400}" isNormal="1">
        <s:text>
          <s:r>
            <s:t xml:space="preserve">预算：50件</s:t>
          </s:r>
        </s:text>
      </item>
    </comment>
    <comment s:ref="AH10" rgbClr="FF0000">
      <item id="{1128f4dd-4570-4995-a111-ddeb0fee4747}" isNormal="1">
        <s:text>
          <s:r>
            <s:t xml:space="preserve">在做活动之前加量测评，引导活动进行。</s:t>
          </s:r>
        </s:text>
      </item>
    </comment>
    <comment s:ref="AZ10" rgbClr="FF0000">
      <item id="{c1b54bac-189f-4331-88f8-4d6a97004d7d}" isNormal="1">
        <s:text>
          <s:r>
            <s:t xml:space="preserve">预算：50件</s:t>
          </s:r>
        </s:text>
      </item>
    </comment>
    <comment s:ref="AH11" rgbClr="FF0000">
      <item id="{56244029-34a8-40d9-b58a-425ee1361bdd}" isNormal="1">
        <s:text>
          <s:r>
            <s:t xml:space="preserve">在做活动之前加量测评，引导活动进行。</s:t>
          </s:r>
        </s:text>
      </item>
    </comment>
    <comment s:ref="AR11" rgbClr="FF0000">
      <item id="{f0576397-ec6b-4a58-8ba7-9c768b8f2c5d}" isNormal="1">
        <s:text>
          <s:r>
            <s:t xml:space="preserve">预算：50件</s:t>
          </s:r>
        </s:text>
      </item>
    </comment>
    <comment s:ref="AH12" rgbClr="FF0000">
      <item id="{87a57304-3905-45da-b516-7c0d43671619}" isNormal="1">
        <s:text>
          <s:r>
            <s:t xml:space="preserve">在做活动之前加量测评，引导活动进行。</s:t>
          </s:r>
        </s:text>
      </item>
    </comment>
    <comment s:ref="AV12" rgbClr="FF0000">
      <item id="{cb97f612-e6cd-4393-a1da-07b25a0ccf24}" isNormal="1">
        <s:text>
          <s:r>
            <s:t xml:space="preserve">预算：50件</s:t>
          </s:r>
        </s:text>
      </item>
    </comment>
    <comment s:ref="A13" rgbClr="FF0000">
      <item id="{b2f03a18-3a9a-4d41-acfc-10a40bc0e967}" isNormal="1">
        <s:text>
          <s:r>
            <s:t xml:space="preserve">测评：100件
LD：100件
BD：100件
站外Deals：200件
销售订单：20*30=600件</s:t>
          </s:r>
        </s:text>
      </item>
    </comment>
    <comment s:ref="AH13" rgbClr="FF0000">
      <item id="{1b336936-fd4b-414f-b15b-c5a7b933cd64}" isNormal="1">
        <s:text>
          <s:r>
            <s:t xml:space="preserve">在做活动之前加量测评，引导活动进行。</s:t>
          </s:r>
        </s:text>
      </item>
    </comment>
    <comment s:ref="AZ13" rgbClr="FF0000">
      <item id="{15f6c1b6-c0e0-4983-be2d-46af2986909a}" isNormal="1">
        <s:text>
          <s:r>
            <s:t xml:space="preserve">预算：100件</s:t>
          </s:r>
        </s:text>
      </item>
    </comment>
    <comment s:ref="AH14" rgbClr="FF0000">
      <item id="{c8cf2c6b-0a3c-41aa-8722-318439c9a8f8}" isNormal="1">
        <s:text>
          <s:r>
            <s:t xml:space="preserve">在做活动之前加量测评，引导活动进行。</s:t>
          </s:r>
        </s:text>
      </item>
    </comment>
    <comment s:ref="AR14" rgbClr="FF0000">
      <item id="{e5886ee0-642c-45f7-ae30-bc4b5ddcd453}" isNormal="1">
        <s:text>
          <s:r>
            <s:t xml:space="preserve">预算：100件</s:t>
          </s:r>
        </s:text>
      </item>
    </comment>
    <comment s:ref="AH15" rgbClr="FF0000">
      <item id="{276a78af-2285-473d-b91f-7b47dc2ff116}" isNormal="1">
        <s:text>
          <s:r>
            <s:t xml:space="preserve">在做活动之前加量测评，引导活动进行。</s:t>
          </s:r>
        </s:text>
      </item>
    </comment>
    <comment s:ref="AV15" rgbClr="FF0000">
      <item id="{ba92ab15-f7f2-441d-97f9-47af0ab6e06f}" isNormal="1">
        <s:text>
          <s:r>
            <s:t xml:space="preserve">预算：100件
</s:t>
          </s:r>
        </s:text>
      </item>
    </comment>
    <comment s:ref="AH16" rgbClr="FF0000">
      <item id="{6a6df1f1-7eaf-4ea1-bca9-307fd39bff6c}" isNormal="1">
        <s:text>
          <s:r>
            <s:t xml:space="preserve">在做活动之前加量测评，引导活动进行。</s:t>
          </s:r>
        </s:text>
      </item>
    </comment>
    <comment s:ref="AZ16" rgbClr="FF0000">
      <item id="{3cee63e8-fe07-4261-b928-980bd0f0fd48}" isNormal="1">
        <s:text>
          <s:r>
            <s:t xml:space="preserve">预算：100件</s:t>
          </s:r>
        </s:text>
      </item>
    </comment>
  </commentList>
</comment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10-11月</vt:lpstr>
      <vt:lpstr>推广计划</vt:lpstr>
      <vt:lpstr>关键词库</vt:lpstr>
      <vt:lpstr>1-文案准备</vt:lpstr>
      <vt:lpstr>2-测评安排</vt:lpstr>
      <vt:lpstr>3-库存跟进</vt:lpstr>
      <vt:lpstr>4-活动申报</vt:lpstr>
      <vt:lpstr>5-竞品跟踪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Garduno Angie</cp:lastModifiedBy>
  <dcterms:created xsi:type="dcterms:W3CDTF">2019-10-05T18:19:00Z</dcterms:created>
  <dcterms:modified xsi:type="dcterms:W3CDTF">2024-03-31T15:16:26Z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