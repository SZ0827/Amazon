
<file path=[Content_Types].xml><?xml version="1.0" encoding="utf-8"?>
<Types xmlns="http://schemas.openxmlformats.org/package/2006/content-types">
  <Default Extension="jpeg" ContentType="image/jpeg"/>
  <Default Extension="JPG" ContentType="image/.jp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19200" windowHeight="7140" tabRatio="888" firstSheet="1" activeTab="1"/>
  </bookViews>
  <sheets>
    <sheet name="广告优化树状图" sheetId="11" state="hidden" r:id="rId1"/>
    <sheet name="索引目录" sheetId="1" r:id="rId2"/>
    <sheet name="词根分析" sheetId="9" r:id="rId3"/>
    <sheet name="自动广告-关键词" sheetId="2" r:id="rId4"/>
    <sheet name="自动广告-后台优化思路" sheetId="10" r:id="rId5"/>
    <sheet name="自动广告-ASIN" sheetId="8" r:id="rId6"/>
    <sheet name="商品投放-PT-类目" sheetId="6" r:id="rId7"/>
    <sheet name="商品投放-PT-AISN" sheetId="7" r:id="rId8"/>
    <sheet name="手动广泛&amp;词组" sheetId="3" r:id="rId9"/>
    <sheet name="手动精准" sheetId="5"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<sst xmlns="http://schemas.openxmlformats.org/spreadsheetml/2006/main" count="677" uniqueCount="406">
  <si>
    <t>明白SP广告的调整，SB 及SD类型的调整策略同理，基本是SP跑的好的数据才升级做SB SD投放</t>
  </si>
  <si>
    <t>广告类型</t>
  </si>
  <si>
    <t>投放类型</t>
  </si>
  <si>
    <t>定向形式</t>
  </si>
  <si>
    <t>数据来源</t>
  </si>
  <si>
    <t>分析思路</t>
  </si>
  <si>
    <t>案例索引</t>
  </si>
  <si>
    <t>SP</t>
  </si>
  <si>
    <t>自动广告</t>
  </si>
  <si>
    <t>关键词</t>
  </si>
  <si>
    <t>搜索词报告</t>
  </si>
  <si>
    <r>
      <rPr>
        <sz val="11"/>
        <color theme="1"/>
        <rFont val="微软雅黑"/>
        <charset val="134"/>
      </rPr>
      <t>1.筛选表现差的词，观察</t>
    </r>
    <r>
      <rPr>
        <b/>
        <sz val="11"/>
        <color theme="4" tint="-0.25"/>
        <rFont val="微软雅黑"/>
        <charset val="134"/>
      </rPr>
      <t>点击基数是否足够</t>
    </r>
    <r>
      <rPr>
        <sz val="11"/>
        <rFont val="微软雅黑"/>
        <charset val="134"/>
      </rPr>
      <t>（点击基数=1/均值转化率*1.5）</t>
    </r>
    <r>
      <rPr>
        <sz val="11"/>
        <color theme="1"/>
        <rFont val="微软雅黑"/>
        <charset val="134"/>
      </rPr>
      <t xml:space="preserve">
2.判定关键词的</t>
    </r>
    <r>
      <rPr>
        <b/>
        <sz val="11"/>
        <color theme="4" tint="-0.25"/>
        <rFont val="微软雅黑"/>
        <charset val="134"/>
      </rPr>
      <t>相关性
【</t>
    </r>
    <r>
      <rPr>
        <b/>
        <sz val="11"/>
        <color theme="4" tint="-0.5"/>
        <rFont val="微软雅黑"/>
        <charset val="134"/>
      </rPr>
      <t>不相关</t>
    </r>
    <r>
      <rPr>
        <sz val="11"/>
        <color theme="1"/>
        <rFont val="微软雅黑"/>
        <charset val="134"/>
      </rPr>
      <t>的关键词</t>
    </r>
    <r>
      <rPr>
        <b/>
        <sz val="11"/>
        <color rgb="FFFF0000"/>
        <rFont val="微软雅黑"/>
        <charset val="134"/>
      </rPr>
      <t>词否</t>
    </r>
    <r>
      <rPr>
        <sz val="11"/>
        <color theme="1"/>
        <rFont val="微软雅黑"/>
        <charset val="134"/>
      </rPr>
      <t>其</t>
    </r>
    <r>
      <rPr>
        <b/>
        <sz val="11"/>
        <rFont val="微软雅黑"/>
        <charset val="134"/>
      </rPr>
      <t>词根或属性</t>
    </r>
    <r>
      <rPr>
        <sz val="11"/>
        <color theme="1"/>
        <rFont val="微软雅黑"/>
        <charset val="134"/>
      </rPr>
      <t>，</t>
    </r>
    <r>
      <rPr>
        <b/>
        <sz val="11"/>
        <color theme="4" tint="-0.5"/>
        <rFont val="微软雅黑"/>
        <charset val="134"/>
      </rPr>
      <t>相关的</t>
    </r>
    <r>
      <rPr>
        <sz val="11"/>
        <color theme="1"/>
        <rFont val="微软雅黑"/>
        <charset val="134"/>
      </rPr>
      <t>参考文档《自动广告-关键词》案例操作】</t>
    </r>
  </si>
  <si>
    <t>1.点击多，低转化-案例1</t>
  </si>
  <si>
    <t>2.点击多，单复数转化不一样，汇总转化好-案例2</t>
  </si>
  <si>
    <t>3.点击多，单复数转化不一样，汇总转化差-案例3</t>
  </si>
  <si>
    <t>位置</t>
  </si>
  <si>
    <t>后台</t>
  </si>
  <si>
    <t>只看CPA和整体的曝光点击量</t>
  </si>
  <si>
    <t>不同位置表现不一样，调整策略--案例1</t>
  </si>
  <si>
    <t>自动默认值</t>
  </si>
  <si>
    <t>自动定向组优化bid,  表现好的bid&gt;表现差的组</t>
  </si>
  <si>
    <t>不同默认组bid 经过数据积累后根据CPA和曝光点击量--案例2</t>
  </si>
  <si>
    <t>广告SKU</t>
  </si>
  <si>
    <t>Ad SKU 表现差的可暂时关闭/</t>
  </si>
  <si>
    <t>点击多（触达到点击基数）无转化或低转化率的SKU 优化方法--案例3</t>
  </si>
  <si>
    <t>热卖无流量或新变体的SKU ，可拎出去单独建活动预算跑（竞价bid可以高一点）</t>
  </si>
  <si>
    <t>长时间曝光点击少或新变体，调整策略--案例4</t>
  </si>
  <si>
    <t>手动广告</t>
  </si>
  <si>
    <t>商品定向-类目</t>
  </si>
  <si>
    <t>1.先确定好曝光，点击量，CPA的衡量标准 2.根据问题找对应的优化策略 3.整体低曝光和点击情况下，直接加bid即可</t>
  </si>
  <si>
    <t>《商品投放-PT-类目》</t>
  </si>
  <si>
    <t>商品定向-ASIN</t>
  </si>
  <si>
    <t>先判断曝光和点击基数是否能达到，具体操作见表格《商品投放PT-ASIN》</t>
  </si>
  <si>
    <t>《商品投放PT-ASIN》</t>
  </si>
  <si>
    <t>1.先观察点击量是否足够，需要调整投放词的竞价时需结合搜索词报告查看具体出单词及转化差的词
2.否词若是相关的-先考虑低价精准观察两周，表现不好放弃--后续权重或做完相关优化后，可重启</t>
  </si>
  <si>
    <t>《手动广泛&amp;词组》</t>
  </si>
  <si>
    <t>直接根据表现调整，精准分高价组和低价组，同时分 多词集合活动和单词单活动</t>
  </si>
  <si>
    <t>《手动精准》</t>
  </si>
  <si>
    <t>SB</t>
  </si>
  <si>
    <t>商品-ASIN</t>
  </si>
  <si>
    <t>匹配方式为：广泛或词组</t>
  </si>
  <si>
    <t>匹配方式：精准</t>
  </si>
  <si>
    <t>SBV</t>
  </si>
  <si>
    <t>SD</t>
  </si>
  <si>
    <t>SDV</t>
  </si>
  <si>
    <t>Customer Search Term</t>
  </si>
  <si>
    <t>求和项:Impressions</t>
  </si>
  <si>
    <t>求和项:Clicks</t>
  </si>
  <si>
    <t>求和项:Spend</t>
  </si>
  <si>
    <t xml:space="preserve">求和项:7 Day Total Sales </t>
  </si>
  <si>
    <t>求和项:7 Day Total Orders (#)</t>
  </si>
  <si>
    <t>求和项:CPC</t>
  </si>
  <si>
    <t>求和项:CR</t>
  </si>
  <si>
    <t>求和项:ACOS</t>
  </si>
  <si>
    <t>求和项:cpa</t>
  </si>
  <si>
    <t>求和项:CTR</t>
  </si>
  <si>
    <r>
      <rPr>
        <sz val="11"/>
        <color rgb="FF000000"/>
        <rFont val="等线"/>
        <charset val="134"/>
      </rPr>
      <t>hair</t>
    </r>
  </si>
  <si>
    <r>
      <rPr>
        <sz val="11"/>
        <color rgb="FF000000"/>
        <rFont val="等线"/>
        <charset val="134"/>
      </rPr>
      <t>automatic</t>
    </r>
  </si>
  <si>
    <r>
      <rPr>
        <sz val="11"/>
        <color rgb="FF000000"/>
        <rFont val="等线"/>
        <charset val="134"/>
      </rPr>
      <t>iron</t>
    </r>
  </si>
  <si>
    <r>
      <rPr>
        <sz val="11"/>
        <color rgb="FF000000"/>
        <rFont val="等线"/>
        <charset val="134"/>
      </rPr>
      <t>curler</t>
    </r>
  </si>
  <si>
    <r>
      <rPr>
        <sz val="11"/>
        <color rgb="FF000000"/>
        <rFont val="等线"/>
        <charset val="134"/>
      </rPr>
      <t>curling</t>
    </r>
  </si>
  <si>
    <r>
      <rPr>
        <sz val="11"/>
        <color rgb="FF000000"/>
        <rFont val="等线"/>
        <charset val="134"/>
      </rPr>
      <t>rotating</t>
    </r>
  </si>
  <si>
    <r>
      <rPr>
        <sz val="11"/>
        <color rgb="FF000000"/>
        <rFont val="等线"/>
        <charset val="134"/>
      </rPr>
      <t>for</t>
    </r>
  </si>
  <si>
    <r>
      <rPr>
        <sz val="11"/>
        <color rgb="FF000000"/>
        <rFont val="等线"/>
        <charset val="134"/>
      </rPr>
      <t>long</t>
    </r>
  </si>
  <si>
    <r>
      <rPr>
        <sz val="11"/>
        <color rgb="FF000000"/>
        <rFont val="等线"/>
        <charset val="134"/>
      </rPr>
      <t>curlers</t>
    </r>
  </si>
  <si>
    <r>
      <rPr>
        <sz val="11"/>
        <color rgb="FF000000"/>
        <rFont val="等线"/>
        <charset val="134"/>
      </rPr>
      <t>auto</t>
    </r>
  </si>
  <si>
    <r>
      <rPr>
        <sz val="11"/>
        <color rgb="FF000000"/>
        <rFont val="等线"/>
        <charset val="134"/>
      </rPr>
      <t>wand</t>
    </r>
  </si>
  <si>
    <r>
      <rPr>
        <sz val="11"/>
        <color rgb="FF000000"/>
        <rFont val="等线"/>
        <charset val="134"/>
      </rPr>
      <t>barrel</t>
    </r>
  </si>
  <si>
    <r>
      <rPr>
        <sz val="11"/>
        <color rgb="FF000000"/>
        <rFont val="等线"/>
        <charset val="134"/>
      </rPr>
      <t>3</t>
    </r>
  </si>
  <si>
    <r>
      <rPr>
        <sz val="11"/>
        <color rgb="FF000000"/>
        <rFont val="等线"/>
        <charset val="134"/>
      </rPr>
      <t>irons</t>
    </r>
  </si>
  <si>
    <r>
      <rPr>
        <sz val="11"/>
        <color rgb="FF000000"/>
        <rFont val="等线"/>
        <charset val="134"/>
      </rPr>
      <t>short</t>
    </r>
  </si>
  <si>
    <r>
      <rPr>
        <sz val="11"/>
        <color rgb="FF000000"/>
        <rFont val="等线"/>
        <charset val="134"/>
      </rPr>
      <t>chi</t>
    </r>
  </si>
  <si>
    <r>
      <rPr>
        <sz val="11"/>
        <color rgb="FF000000"/>
        <rFont val="等线"/>
        <charset val="134"/>
      </rPr>
      <t>cordless</t>
    </r>
  </si>
  <si>
    <r>
      <rPr>
        <sz val="11"/>
        <color rgb="FF000000"/>
        <rFont val="等线"/>
        <charset val="134"/>
      </rPr>
      <t>inch</t>
    </r>
  </si>
  <si>
    <r>
      <rPr>
        <sz val="11"/>
        <color rgb="FF000000"/>
        <rFont val="等线"/>
        <charset val="134"/>
      </rPr>
      <t>with</t>
    </r>
  </si>
  <si>
    <r>
      <rPr>
        <sz val="11"/>
        <color rgb="FF000000"/>
        <rFont val="等线"/>
        <charset val="134"/>
      </rPr>
      <t>4</t>
    </r>
  </si>
  <si>
    <t>1</t>
  </si>
  <si>
    <r>
      <rPr>
        <sz val="11"/>
        <color rgb="FF000000"/>
        <rFont val="等线"/>
        <charset val="134"/>
      </rPr>
      <t>beach</t>
    </r>
  </si>
  <si>
    <r>
      <rPr>
        <sz val="11"/>
        <color rgb="FF000000"/>
        <rFont val="等线"/>
        <charset val="134"/>
      </rPr>
      <t>best</t>
    </r>
  </si>
  <si>
    <r>
      <rPr>
        <sz val="11"/>
        <color rgb="FF000000"/>
        <rFont val="等线"/>
        <charset val="134"/>
      </rPr>
      <t>waver</t>
    </r>
  </si>
  <si>
    <r>
      <rPr>
        <sz val="11"/>
        <color rgb="FF000000"/>
        <rFont val="等线"/>
        <charset val="134"/>
      </rPr>
      <t>curly</t>
    </r>
  </si>
  <si>
    <r>
      <rPr>
        <sz val="11"/>
        <color rgb="FF000000"/>
        <rFont val="等线"/>
        <charset val="134"/>
      </rPr>
      <t>ceramic</t>
    </r>
  </si>
  <si>
    <r>
      <rPr>
        <sz val="11"/>
        <color rgb="FF000000"/>
        <rFont val="等线"/>
        <charset val="134"/>
      </rPr>
      <t>styling</t>
    </r>
  </si>
  <si>
    <r>
      <rPr>
        <sz val="11"/>
        <color rgb="FF000000"/>
        <rFont val="等线"/>
        <charset val="134"/>
      </rPr>
      <t>temperatures</t>
    </r>
  </si>
  <si>
    <r>
      <rPr>
        <sz val="11"/>
        <color rgb="FF000000"/>
        <rFont val="等线"/>
        <charset val="134"/>
      </rPr>
      <t>shut</t>
    </r>
  </si>
  <si>
    <r>
      <rPr>
        <sz val="11"/>
        <color rgb="FF000000"/>
        <rFont val="等线"/>
        <charset val="134"/>
      </rPr>
      <t>ghkjok</t>
    </r>
  </si>
  <si>
    <r>
      <rPr>
        <sz val="11"/>
        <color rgb="FF000000"/>
        <rFont val="等线"/>
        <charset val="134"/>
      </rPr>
      <t>and</t>
    </r>
  </si>
  <si>
    <r>
      <rPr>
        <sz val="11"/>
        <color rgb="FF000000"/>
        <rFont val="等线"/>
        <charset val="134"/>
      </rPr>
      <t>off</t>
    </r>
  </si>
  <si>
    <r>
      <rPr>
        <sz val="11"/>
        <color rgb="FF000000"/>
        <rFont val="等线"/>
        <charset val="134"/>
      </rPr>
      <t>2</t>
    </r>
  </si>
  <si>
    <r>
      <rPr>
        <sz val="11"/>
        <color rgb="FF000000"/>
        <rFont val="等线"/>
        <charset val="134"/>
      </rPr>
      <t>bejarm</t>
    </r>
  </si>
  <si>
    <r>
      <rPr>
        <sz val="11"/>
        <color rgb="FF000000"/>
        <rFont val="等线"/>
        <charset val="134"/>
      </rPr>
      <t>twist</t>
    </r>
  </si>
  <si>
    <r>
      <rPr>
        <sz val="11"/>
        <color rgb="FF000000"/>
        <rFont val="等线"/>
        <charset val="134"/>
      </rPr>
      <t>professional</t>
    </r>
  </si>
  <si>
    <r>
      <rPr>
        <sz val="11"/>
        <color rgb="FF000000"/>
        <rFont val="等线"/>
        <charset val="134"/>
      </rPr>
      <t>dual</t>
    </r>
  </si>
  <si>
    <r>
      <rPr>
        <sz val="11"/>
        <color rgb="FF000000"/>
        <rFont val="等线"/>
        <charset val="134"/>
      </rPr>
      <t>wrap</t>
    </r>
  </si>
  <si>
    <r>
      <rPr>
        <sz val="11"/>
        <color rgb="FF000000"/>
        <rFont val="等线"/>
        <charset val="134"/>
      </rPr>
      <t>heating</t>
    </r>
  </si>
  <si>
    <r>
      <rPr>
        <sz val="11"/>
        <color rgb="FF000000"/>
        <rFont val="等线"/>
        <charset val="134"/>
      </rPr>
      <t>conair</t>
    </r>
  </si>
  <si>
    <r>
      <rPr>
        <sz val="11"/>
        <color rgb="FF000000"/>
        <rFont val="等线"/>
        <charset val="134"/>
      </rPr>
      <t>women</t>
    </r>
  </si>
  <si>
    <r>
      <rPr>
        <sz val="11"/>
        <color rgb="FF000000"/>
        <rFont val="等线"/>
        <charset val="134"/>
      </rPr>
      <t>superduomishu</t>
    </r>
  </si>
  <si>
    <r>
      <rPr>
        <sz val="11"/>
        <color rgb="FF000000"/>
        <rFont val="等线"/>
        <charset val="134"/>
      </rPr>
      <t>big</t>
    </r>
  </si>
  <si>
    <r>
      <rPr>
        <sz val="11"/>
        <color rgb="FF000000"/>
        <rFont val="等线"/>
        <charset val="134"/>
      </rPr>
      <t>self</t>
    </r>
  </si>
  <si>
    <r>
      <rPr>
        <sz val="11"/>
        <color rgb="FF000000"/>
        <rFont val="等线"/>
        <charset val="134"/>
      </rPr>
      <t>voltage</t>
    </r>
  </si>
  <si>
    <r>
      <rPr>
        <sz val="11"/>
        <color rgb="FF000000"/>
        <rFont val="等线"/>
        <charset val="134"/>
      </rPr>
      <t>large</t>
    </r>
  </si>
  <si>
    <r>
      <rPr>
        <sz val="11"/>
        <color rgb="FF000000"/>
        <rFont val="等线"/>
        <charset val="134"/>
      </rPr>
      <t>temperature</t>
    </r>
  </si>
  <si>
    <r>
      <rPr>
        <sz val="11"/>
        <color rgb="FF000000"/>
        <rFont val="等线"/>
        <charset val="134"/>
      </rPr>
      <t>fast</t>
    </r>
  </si>
  <si>
    <r>
      <rPr>
        <sz val="11"/>
        <color rgb="FF000000"/>
        <rFont val="等线"/>
        <charset val="134"/>
      </rPr>
      <t>pink</t>
    </r>
  </si>
  <si>
    <r>
      <rPr>
        <sz val="11"/>
        <color rgb="FF000000"/>
        <rFont val="等线"/>
        <charset val="134"/>
      </rPr>
      <t>electric</t>
    </r>
  </si>
  <si>
    <r>
      <rPr>
        <sz val="11"/>
        <color rgb="FF000000"/>
        <rFont val="等线"/>
        <charset val="134"/>
      </rPr>
      <t>super</t>
    </r>
  </si>
  <si>
    <r>
      <rPr>
        <sz val="11"/>
        <color rgb="FF000000"/>
        <rFont val="等线"/>
        <charset val="134"/>
      </rPr>
      <t>duomishu</t>
    </r>
  </si>
  <si>
    <r>
      <rPr>
        <sz val="11"/>
        <color rgb="FF000000"/>
        <rFont val="等线"/>
        <charset val="134"/>
      </rPr>
      <t>upgrade</t>
    </r>
  </si>
  <si>
    <r>
      <rPr>
        <sz val="11"/>
        <color rgb="FF000000"/>
        <rFont val="等线"/>
        <charset val="134"/>
      </rPr>
      <t>isoweshe</t>
    </r>
  </si>
  <si>
    <r>
      <rPr>
        <sz val="11"/>
        <color rgb="FF000000"/>
        <rFont val="等线"/>
        <charset val="134"/>
      </rPr>
      <t>spin</t>
    </r>
  </si>
  <si>
    <r>
      <rPr>
        <sz val="11"/>
        <color rgb="FF000000"/>
        <rFont val="等线"/>
        <charset val="134"/>
      </rPr>
      <t>curl</t>
    </r>
  </si>
  <si>
    <r>
      <rPr>
        <sz val="11"/>
        <color rgb="FF000000"/>
        <rFont val="等线"/>
        <charset val="134"/>
      </rPr>
      <t>high</t>
    </r>
  </si>
  <si>
    <r>
      <rPr>
        <sz val="11"/>
        <color rgb="FF000000"/>
        <rFont val="等线"/>
        <charset val="134"/>
      </rPr>
      <t>heat</t>
    </r>
  </si>
  <si>
    <r>
      <rPr>
        <sz val="11"/>
        <color rgb="FF000000"/>
        <rFont val="等线"/>
        <charset val="134"/>
      </rPr>
      <t>philips</t>
    </r>
  </si>
  <si>
    <r>
      <rPr>
        <sz val="11"/>
        <color rgb="FF000000"/>
        <rFont val="等线"/>
        <charset val="134"/>
      </rPr>
      <t>womens</t>
    </r>
  </si>
  <si>
    <r>
      <rPr>
        <sz val="11"/>
        <color rgb="FF000000"/>
        <rFont val="等线"/>
        <charset val="134"/>
      </rPr>
      <t>interchangeable</t>
    </r>
  </si>
  <si>
    <r>
      <rPr>
        <sz val="11"/>
        <color rgb="FF000000"/>
        <rFont val="等线"/>
        <charset val="134"/>
      </rPr>
      <t>barrels</t>
    </r>
  </si>
  <si>
    <r>
      <rPr>
        <sz val="11"/>
        <color rgb="FF000000"/>
        <rFont val="等线"/>
        <charset val="134"/>
      </rPr>
      <t>tools</t>
    </r>
  </si>
  <si>
    <r>
      <rPr>
        <sz val="11"/>
        <color rgb="FF000000"/>
        <rFont val="等线"/>
        <charset val="134"/>
      </rPr>
      <t>wireless</t>
    </r>
  </si>
  <si>
    <r>
      <rPr>
        <sz val="11"/>
        <color rgb="FF000000"/>
        <rFont val="等线"/>
        <charset val="134"/>
      </rPr>
      <t>titanium</t>
    </r>
  </si>
  <si>
    <r>
      <rPr>
        <sz val="11"/>
        <color rgb="FF000000"/>
        <rFont val="等线"/>
        <charset val="134"/>
      </rPr>
      <t>thick</t>
    </r>
  </si>
  <si>
    <r>
      <rPr>
        <sz val="11"/>
        <color rgb="FF000000"/>
        <rFont val="等线"/>
        <charset val="134"/>
      </rPr>
      <t>portable</t>
    </r>
  </si>
  <si>
    <r>
      <rPr>
        <sz val="11"/>
        <color rgb="FF000000"/>
        <rFont val="等线"/>
        <charset val="134"/>
      </rPr>
      <t>1.25</t>
    </r>
  </si>
  <si>
    <r>
      <rPr>
        <sz val="11"/>
        <color rgb="FF000000"/>
        <rFont val="等线"/>
        <charset val="134"/>
      </rPr>
      <t>anti</t>
    </r>
  </si>
  <si>
    <r>
      <rPr>
        <sz val="11"/>
        <color rgb="FF000000"/>
        <rFont val="等线"/>
        <charset val="134"/>
      </rPr>
      <t>adjustable</t>
    </r>
  </si>
  <si>
    <r>
      <rPr>
        <sz val="11"/>
        <color rgb="FF000000"/>
        <rFont val="等线"/>
        <charset val="134"/>
      </rPr>
      <t>4”curling</t>
    </r>
  </si>
  <si>
    <r>
      <rPr>
        <sz val="11"/>
        <color rgb="FF000000"/>
        <rFont val="等线"/>
        <charset val="134"/>
      </rPr>
      <t>brush</t>
    </r>
  </si>
  <si>
    <r>
      <rPr>
        <sz val="11"/>
        <color rgb="FF000000"/>
        <rFont val="等线"/>
        <charset val="134"/>
      </rPr>
      <t>baby</t>
    </r>
  </si>
  <si>
    <r>
      <rPr>
        <sz val="11"/>
        <color rgb="FF000000"/>
        <rFont val="等线"/>
        <charset val="134"/>
      </rPr>
      <t>bliss</t>
    </r>
  </si>
  <si>
    <r>
      <rPr>
        <sz val="11"/>
        <color rgb="FF000000"/>
        <rFont val="等线"/>
        <charset val="134"/>
      </rPr>
      <t>febfox</t>
    </r>
  </si>
  <si>
    <r>
      <rPr>
        <sz val="11"/>
        <color rgb="FF000000"/>
        <rFont val="等线"/>
        <charset val="134"/>
      </rPr>
      <t>ewsbi</t>
    </r>
  </si>
  <si>
    <r>
      <rPr>
        <sz val="11"/>
        <color rgb="FF000000"/>
        <rFont val="等线"/>
        <charset val="134"/>
      </rPr>
      <t>comes</t>
    </r>
  </si>
  <si>
    <r>
      <rPr>
        <sz val="11"/>
        <color rgb="FF000000"/>
        <rFont val="等线"/>
        <charset val="134"/>
      </rPr>
      <t>a</t>
    </r>
  </si>
  <si>
    <r>
      <rPr>
        <sz val="11"/>
        <color rgb="FF000000"/>
        <rFont val="等线"/>
        <charset val="134"/>
      </rPr>
      <t>settings</t>
    </r>
  </si>
  <si>
    <r>
      <rPr>
        <sz val="11"/>
        <color rgb="FF000000"/>
        <rFont val="等线"/>
        <charset val="134"/>
      </rPr>
      <t>can</t>
    </r>
  </si>
  <si>
    <r>
      <rPr>
        <sz val="11"/>
        <color rgb="FF000000"/>
        <rFont val="等线"/>
        <charset val="134"/>
      </rPr>
      <t>easily</t>
    </r>
  </si>
  <si>
    <r>
      <rPr>
        <sz val="11"/>
        <color rgb="FF000000"/>
        <rFont val="等线"/>
        <charset val="134"/>
      </rPr>
      <t>complete</t>
    </r>
  </si>
  <si>
    <r>
      <rPr>
        <sz val="11"/>
        <color rgb="FF000000"/>
        <rFont val="等线"/>
        <charset val="134"/>
      </rPr>
      <t>hairstyles</t>
    </r>
  </si>
  <si>
    <r>
      <rPr>
        <sz val="11"/>
        <color rgb="FF000000"/>
        <rFont val="等线"/>
        <charset val="134"/>
      </rPr>
      <t>wave</t>
    </r>
  </si>
  <si>
    <r>
      <rPr>
        <sz val="11"/>
        <color rgb="FF000000"/>
        <rFont val="等线"/>
        <charset val="134"/>
      </rPr>
      <t>machine</t>
    </r>
  </si>
  <si>
    <r>
      <rPr>
        <sz val="11"/>
        <color rgb="FF000000"/>
        <rFont val="等线"/>
        <charset val="134"/>
      </rPr>
      <t>prettyfirst</t>
    </r>
  </si>
  <si>
    <r>
      <rPr>
        <sz val="11"/>
        <color rgb="FF000000"/>
        <rFont val="等线"/>
        <charset val="134"/>
      </rPr>
      <t>agt</t>
    </r>
  </si>
  <si>
    <r>
      <rPr>
        <sz val="11"/>
        <color rgb="FF000000"/>
        <rFont val="等线"/>
        <charset val="134"/>
      </rPr>
      <t>black</t>
    </r>
  </si>
  <si>
    <r>
      <rPr>
        <sz val="11"/>
        <color rgb="FF000000"/>
        <rFont val="等线"/>
        <charset val="134"/>
      </rPr>
      <t>in</t>
    </r>
  </si>
  <si>
    <r>
      <rPr>
        <sz val="11"/>
        <color rgb="FF000000"/>
        <rFont val="等线"/>
        <charset val="134"/>
      </rPr>
      <t>twisting</t>
    </r>
  </si>
  <si>
    <r>
      <rPr>
        <sz val="11"/>
        <color rgb="FF000000"/>
        <rFont val="等线"/>
        <charset val="134"/>
      </rPr>
      <t>curls</t>
    </r>
  </si>
  <si>
    <r>
      <rPr>
        <sz val="11"/>
        <color rgb="FF000000"/>
        <rFont val="等线"/>
        <charset val="134"/>
      </rPr>
      <t>beachwaver</t>
    </r>
  </si>
  <si>
    <r>
      <rPr>
        <sz val="11"/>
        <color rgb="FF000000"/>
        <rFont val="等线"/>
        <charset val="134"/>
      </rPr>
      <t>rotate</t>
    </r>
  </si>
  <si>
    <r>
      <rPr>
        <sz val="11"/>
        <color rgb="FF000000"/>
        <rFont val="等线"/>
        <charset val="134"/>
      </rPr>
      <t>usb</t>
    </r>
  </si>
  <si>
    <r>
      <rPr>
        <sz val="11"/>
        <color rgb="FF000000"/>
        <rFont val="等线"/>
        <charset val="134"/>
      </rPr>
      <t>rated</t>
    </r>
  </si>
  <si>
    <r>
      <rPr>
        <sz val="11"/>
        <color rgb="FF000000"/>
        <rFont val="等线"/>
        <charset val="134"/>
      </rPr>
      <t>up</t>
    </r>
  </si>
  <si>
    <r>
      <rPr>
        <sz val="11"/>
        <color rgb="FF000000"/>
        <rFont val="等线"/>
        <charset val="134"/>
      </rPr>
      <t>ci</t>
    </r>
  </si>
  <si>
    <r>
      <rPr>
        <sz val="11"/>
        <color rgb="FF000000"/>
        <rFont val="等线"/>
        <charset val="134"/>
      </rPr>
      <t>19</t>
    </r>
  </si>
  <si>
    <r>
      <rPr>
        <sz val="11"/>
        <color rgb="FF000000"/>
        <rFont val="等线"/>
        <charset val="134"/>
      </rPr>
      <t>1.5</t>
    </r>
  </si>
  <si>
    <r>
      <rPr>
        <sz val="11"/>
        <color rgb="FF000000"/>
        <rFont val="等线"/>
        <charset val="134"/>
      </rPr>
      <t>no</t>
    </r>
  </si>
  <si>
    <r>
      <rPr>
        <sz val="11"/>
        <color rgb="FF000000"/>
        <rFont val="等线"/>
        <charset val="134"/>
      </rPr>
      <t>hot</t>
    </r>
  </si>
  <si>
    <r>
      <rPr>
        <sz val="11"/>
        <color rgb="FF000000"/>
        <rFont val="等线"/>
        <charset val="134"/>
      </rPr>
      <t>heated</t>
    </r>
  </si>
  <si>
    <r>
      <rPr>
        <sz val="11"/>
        <color rgb="FF000000"/>
        <rFont val="等线"/>
        <charset val="134"/>
      </rPr>
      <t>3”</t>
    </r>
  </si>
  <si>
    <r>
      <rPr>
        <sz val="11"/>
        <color rgb="FF000000"/>
        <rFont val="等线"/>
        <charset val="134"/>
      </rPr>
      <t>that</t>
    </r>
  </si>
  <si>
    <r>
      <rPr>
        <sz val="11"/>
        <color rgb="FF000000"/>
        <rFont val="等线"/>
        <charset val="134"/>
      </rPr>
      <t>you</t>
    </r>
  </si>
  <si>
    <r>
      <rPr>
        <sz val="11"/>
        <color rgb="FF000000"/>
        <rFont val="等线"/>
        <charset val="134"/>
      </rPr>
      <t>4”</t>
    </r>
  </si>
  <si>
    <r>
      <rPr>
        <sz val="11"/>
        <color rgb="FF000000"/>
        <rFont val="等线"/>
        <charset val="134"/>
      </rPr>
      <t>ikonic</t>
    </r>
  </si>
  <si>
    <r>
      <rPr>
        <sz val="11"/>
        <color rgb="FF000000"/>
        <rFont val="等线"/>
        <charset val="134"/>
      </rPr>
      <t>spinning</t>
    </r>
  </si>
  <si>
    <r>
      <rPr>
        <sz val="11"/>
        <color rgb="FF000000"/>
        <rFont val="等线"/>
        <charset val="134"/>
      </rPr>
      <t>ionic</t>
    </r>
  </si>
  <si>
    <r>
      <rPr>
        <sz val="11"/>
        <color rgb="FF000000"/>
        <rFont val="等线"/>
        <charset val="134"/>
      </rPr>
      <t>wands</t>
    </r>
  </si>
  <si>
    <r>
      <rPr>
        <sz val="11"/>
        <color rgb="FF000000"/>
        <rFont val="等线"/>
        <charset val="134"/>
      </rPr>
      <t>curler1.25</t>
    </r>
  </si>
  <si>
    <r>
      <rPr>
        <sz val="11"/>
        <color rgb="FF000000"/>
        <rFont val="等线"/>
        <charset val="134"/>
      </rPr>
      <t>seller</t>
    </r>
  </si>
  <si>
    <r>
      <rPr>
        <sz val="11"/>
        <color rgb="FF000000"/>
        <rFont val="等线"/>
        <charset val="134"/>
      </rPr>
      <t>fine</t>
    </r>
  </si>
  <si>
    <r>
      <rPr>
        <sz val="11"/>
        <color rgb="FF000000"/>
        <rFont val="等线"/>
        <charset val="134"/>
      </rPr>
      <t>lanxi</t>
    </r>
  </si>
  <si>
    <r>
      <rPr>
        <sz val="11"/>
        <color rgb="FF000000"/>
        <rFont val="等线"/>
        <charset val="134"/>
      </rPr>
      <t>llc</t>
    </r>
  </si>
  <si>
    <r>
      <rPr>
        <sz val="11"/>
        <color rgb="FF000000"/>
        <rFont val="等线"/>
        <charset val="134"/>
      </rPr>
      <t>purpose</t>
    </r>
  </si>
  <si>
    <r>
      <rPr>
        <sz val="11"/>
        <color rgb="FF000000"/>
        <rFont val="等线"/>
        <charset val="134"/>
      </rPr>
      <t>mini</t>
    </r>
  </si>
  <si>
    <r>
      <rPr>
        <sz val="11"/>
        <color rgb="FF000000"/>
        <rFont val="等线"/>
        <charset val="134"/>
      </rPr>
      <t>kids</t>
    </r>
  </si>
  <si>
    <r>
      <rPr>
        <sz val="11"/>
        <color rgb="FF000000"/>
        <rFont val="等线"/>
        <charset val="134"/>
      </rPr>
      <t>air</t>
    </r>
  </si>
  <si>
    <r>
      <rPr>
        <sz val="11"/>
        <color rgb="FF000000"/>
        <rFont val="等线"/>
        <charset val="134"/>
      </rPr>
      <t>22mm</t>
    </r>
  </si>
  <si>
    <r>
      <rPr>
        <sz val="11"/>
        <color rgb="FF000000"/>
        <rFont val="等线"/>
        <charset val="134"/>
      </rPr>
      <t>scald</t>
    </r>
  </si>
  <si>
    <r>
      <rPr>
        <sz val="11"/>
        <color rgb="FF000000"/>
        <rFont val="等线"/>
        <charset val="134"/>
      </rPr>
      <t>free</t>
    </r>
  </si>
  <si>
    <r>
      <rPr>
        <sz val="11"/>
        <color rgb="FF000000"/>
        <rFont val="等线"/>
        <charset val="134"/>
      </rPr>
      <t>medium</t>
    </r>
  </si>
  <si>
    <r>
      <rPr>
        <sz val="11"/>
        <color rgb="FF000000"/>
        <rFont val="等线"/>
        <charset val="134"/>
      </rPr>
      <t>length</t>
    </r>
  </si>
  <si>
    <r>
      <rPr>
        <sz val="11"/>
        <color rgb="FF000000"/>
        <rFont val="等线"/>
        <charset val="134"/>
      </rPr>
      <t>8</t>
    </r>
  </si>
  <si>
    <r>
      <rPr>
        <sz val="11"/>
        <color rgb="FF000000"/>
        <rFont val="等线"/>
        <charset val="134"/>
      </rPr>
      <t>device</t>
    </r>
  </si>
  <si>
    <r>
      <rPr>
        <sz val="11"/>
        <color rgb="FF000000"/>
        <rFont val="等线"/>
        <charset val="134"/>
      </rPr>
      <t>travel</t>
    </r>
  </si>
  <si>
    <r>
      <rPr>
        <sz val="11"/>
        <color rgb="FF000000"/>
        <rFont val="等线"/>
        <charset val="134"/>
      </rPr>
      <t>beyced</t>
    </r>
  </si>
  <si>
    <r>
      <rPr>
        <sz val="11"/>
        <color rgb="FF000000"/>
        <rFont val="等线"/>
        <charset val="134"/>
      </rPr>
      <t>rolling</t>
    </r>
  </si>
  <si>
    <r>
      <rPr>
        <sz val="11"/>
        <color rgb="FF000000"/>
        <rFont val="等线"/>
        <charset val="134"/>
      </rPr>
      <t>open</t>
    </r>
  </si>
  <si>
    <r>
      <rPr>
        <sz val="11"/>
        <color rgb="FF000000"/>
        <rFont val="等线"/>
        <charset val="134"/>
      </rPr>
      <t>box</t>
    </r>
  </si>
  <si>
    <r>
      <rPr>
        <sz val="11"/>
        <color rgb="FF000000"/>
        <rFont val="等线"/>
        <charset val="134"/>
      </rPr>
      <t>sejoy</t>
    </r>
  </si>
  <si>
    <r>
      <rPr>
        <sz val="11"/>
        <color rgb="FF000000"/>
        <rFont val="等线"/>
        <charset val="134"/>
      </rPr>
      <t>hand</t>
    </r>
  </si>
  <si>
    <r>
      <rPr>
        <sz val="11"/>
        <color rgb="FF000000"/>
        <rFont val="等线"/>
        <charset val="134"/>
      </rPr>
      <t>held</t>
    </r>
  </si>
  <si>
    <r>
      <rPr>
        <sz val="11"/>
        <color rgb="FF000000"/>
        <rFont val="等线"/>
        <charset val="134"/>
      </rPr>
      <t>tight</t>
    </r>
  </si>
  <si>
    <r>
      <rPr>
        <sz val="11"/>
        <color rgb="FF000000"/>
        <rFont val="等线"/>
        <charset val="134"/>
      </rPr>
      <t>my</t>
    </r>
  </si>
  <si>
    <r>
      <rPr>
        <sz val="11"/>
        <color rgb="FF000000"/>
        <rFont val="等线"/>
        <charset val="134"/>
      </rPr>
      <t>ion</t>
    </r>
  </si>
  <si>
    <r>
      <rPr>
        <sz val="11"/>
        <color rgb="FF000000"/>
        <rFont val="等线"/>
        <charset val="134"/>
      </rPr>
      <t>sprimere</t>
    </r>
  </si>
  <si>
    <r>
      <rPr>
        <sz val="11"/>
        <color rgb="FF000000"/>
        <rFont val="等线"/>
        <charset val="134"/>
      </rPr>
      <t>rechargeable</t>
    </r>
  </si>
  <si>
    <r>
      <rPr>
        <sz val="11"/>
        <color rgb="FF000000"/>
        <rFont val="等线"/>
        <charset val="134"/>
      </rPr>
      <t>laluztop</t>
    </r>
  </si>
  <si>
    <r>
      <rPr>
        <sz val="11"/>
        <color rgb="FF000000"/>
        <rFont val="等线"/>
        <charset val="134"/>
      </rPr>
      <t>kiss</t>
    </r>
  </si>
  <si>
    <r>
      <rPr>
        <sz val="11"/>
        <color rgb="FF000000"/>
        <rFont val="等线"/>
        <charset val="134"/>
      </rPr>
      <t>products</t>
    </r>
  </si>
  <si>
    <r>
      <rPr>
        <sz val="11"/>
        <color rgb="FF000000"/>
        <rFont val="等线"/>
        <charset val="134"/>
      </rPr>
      <t>instawave</t>
    </r>
  </si>
  <si>
    <r>
      <rPr>
        <sz val="11"/>
        <color rgb="FF000000"/>
        <rFont val="等线"/>
        <charset val="134"/>
      </rPr>
      <t>kaci01</t>
    </r>
  </si>
  <si>
    <r>
      <rPr>
        <sz val="11"/>
        <color rgb="FF000000"/>
        <rFont val="等线"/>
        <charset val="134"/>
      </rPr>
      <t>beam</t>
    </r>
  </si>
  <si>
    <r>
      <rPr>
        <sz val="11"/>
        <color rgb="FF000000"/>
        <rFont val="等线"/>
        <charset val="134"/>
      </rPr>
      <t>twirling</t>
    </r>
  </si>
  <si>
    <r>
      <rPr>
        <sz val="11"/>
        <color rgb="FF000000"/>
        <rFont val="等线"/>
        <charset val="134"/>
      </rPr>
      <t>roll</t>
    </r>
  </si>
  <si>
    <r>
      <rPr>
        <sz val="11"/>
        <color rgb="FF000000"/>
        <rFont val="等线"/>
        <charset val="134"/>
      </rPr>
      <t>negative</t>
    </r>
  </si>
  <si>
    <r>
      <rPr>
        <sz val="11"/>
        <color rgb="FF000000"/>
        <rFont val="等线"/>
        <charset val="134"/>
      </rPr>
      <t>ions</t>
    </r>
  </si>
  <si>
    <r>
      <rPr>
        <sz val="11"/>
        <color rgb="FF000000"/>
        <rFont val="等线"/>
        <charset val="134"/>
      </rPr>
      <t>model</t>
    </r>
  </si>
  <si>
    <r>
      <rPr>
        <sz val="11"/>
        <color rgb="FF000000"/>
        <rFont val="等线"/>
        <charset val="134"/>
      </rPr>
      <t>1.25””</t>
    </r>
  </si>
  <si>
    <r>
      <rPr>
        <sz val="11"/>
        <color rgb="FF000000"/>
        <rFont val="等线"/>
        <charset val="134"/>
      </rPr>
      <t>.75</t>
    </r>
  </si>
  <si>
    <r>
      <rPr>
        <sz val="11"/>
        <color rgb="FF000000"/>
        <rFont val="等线"/>
        <charset val="134"/>
      </rPr>
      <t>spiral</t>
    </r>
  </si>
  <si>
    <r>
      <rPr>
        <sz val="11"/>
        <color rgb="FF000000"/>
        <rFont val="等线"/>
        <charset val="134"/>
      </rPr>
      <t>comen</t>
    </r>
  </si>
  <si>
    <r>
      <rPr>
        <sz val="11"/>
        <color rgb="FF000000"/>
        <rFont val="等线"/>
        <charset val="134"/>
      </rPr>
      <t>tool</t>
    </r>
  </si>
  <si>
    <r>
      <rPr>
        <sz val="11"/>
        <color rgb="FF000000"/>
        <rFont val="等线"/>
        <charset val="134"/>
      </rPr>
      <t>straight</t>
    </r>
  </si>
  <si>
    <r>
      <rPr>
        <sz val="11"/>
        <color rgb="FF000000"/>
        <rFont val="等线"/>
        <charset val="134"/>
      </rPr>
      <t>waverunner</t>
    </r>
  </si>
  <si>
    <r>
      <rPr>
        <sz val="11"/>
        <color rgb="FF000000"/>
        <rFont val="等线"/>
        <charset val="134"/>
      </rPr>
      <t>the</t>
    </r>
  </si>
  <si>
    <r>
      <rPr>
        <sz val="11"/>
        <color rgb="FF000000"/>
        <rFont val="等线"/>
        <charset val="134"/>
      </rPr>
      <t>farrah</t>
    </r>
  </si>
  <si>
    <r>
      <rPr>
        <sz val="11"/>
        <color rgb="FF000000"/>
        <rFont val="等线"/>
        <charset val="134"/>
      </rPr>
      <t>small</t>
    </r>
  </si>
  <si>
    <r>
      <rPr>
        <sz val="11"/>
        <color rgb="FF000000"/>
        <rFont val="等线"/>
        <charset val="134"/>
      </rPr>
      <t>miuopur</t>
    </r>
  </si>
  <si>
    <r>
      <rPr>
        <sz val="11"/>
        <color rgb="FF000000"/>
        <rFont val="等线"/>
        <charset val="134"/>
      </rPr>
      <t>loythrost</t>
    </r>
  </si>
  <si>
    <r>
      <rPr>
        <sz val="11"/>
        <color rgb="FF000000"/>
        <rFont val="等线"/>
        <charset val="134"/>
      </rPr>
      <t>lena</t>
    </r>
  </si>
  <si>
    <r>
      <rPr>
        <sz val="11"/>
        <color rgb="FF000000"/>
        <rFont val="等线"/>
        <charset val="134"/>
      </rPr>
      <t>1.2</t>
    </r>
  </si>
  <si>
    <r>
      <rPr>
        <sz val="11"/>
        <color rgb="FF000000"/>
        <rFont val="等线"/>
        <charset val="134"/>
      </rPr>
      <t>dryer</t>
    </r>
  </si>
  <si>
    <r>
      <rPr>
        <sz val="11"/>
        <color rgb="FF000000"/>
        <rFont val="等线"/>
        <charset val="134"/>
      </rPr>
      <t>waves</t>
    </r>
  </si>
  <si>
    <r>
      <rPr>
        <sz val="11"/>
        <color rgb="FF000000"/>
        <rFont val="等线"/>
        <charset val="134"/>
      </rPr>
      <t>epoya</t>
    </r>
  </si>
  <si>
    <r>
      <rPr>
        <sz val="11"/>
        <color rgb="FF000000"/>
        <rFont val="等线"/>
        <charset val="134"/>
      </rPr>
      <t>offhair</t>
    </r>
  </si>
  <si>
    <r>
      <rPr>
        <sz val="11"/>
        <color rgb="FF000000"/>
        <rFont val="等线"/>
        <charset val="134"/>
      </rPr>
      <t>charger</t>
    </r>
  </si>
  <si>
    <r>
      <rPr>
        <sz val="11"/>
        <color rgb="FF000000"/>
        <rFont val="等线"/>
        <charset val="134"/>
      </rPr>
      <t>cord</t>
    </r>
  </si>
  <si>
    <r>
      <rPr>
        <sz val="11"/>
        <color rgb="FF000000"/>
        <rFont val="等线"/>
        <charset val="134"/>
      </rPr>
      <t>cheap</t>
    </r>
  </si>
  <si>
    <r>
      <rPr>
        <sz val="11"/>
        <color rgb="FF000000"/>
        <rFont val="等线"/>
        <charset val="134"/>
      </rPr>
      <t>10</t>
    </r>
  </si>
  <si>
    <r>
      <rPr>
        <sz val="11"/>
        <color rgb="FF000000"/>
        <rFont val="等线"/>
        <charset val="134"/>
      </rPr>
      <t>dollars</t>
    </r>
  </si>
  <si>
    <r>
      <rPr>
        <sz val="11"/>
        <color rgb="FF000000"/>
        <rFont val="等线"/>
        <charset val="134"/>
      </rPr>
      <t>babyliss</t>
    </r>
  </si>
  <si>
    <r>
      <rPr>
        <sz val="11"/>
        <color rgb="FF000000"/>
        <rFont val="等线"/>
        <charset val="134"/>
      </rPr>
      <t>tangle</t>
    </r>
  </si>
  <si>
    <r>
      <rPr>
        <sz val="11"/>
        <color rgb="FF000000"/>
        <rFont val="等线"/>
        <charset val="134"/>
      </rPr>
      <t>slot</t>
    </r>
  </si>
  <si>
    <r>
      <rPr>
        <sz val="11"/>
        <color rgb="FF000000"/>
        <rFont val="等线"/>
        <charset val="134"/>
      </rPr>
      <t>timer</t>
    </r>
  </si>
  <si>
    <r>
      <rPr>
        <sz val="11"/>
        <color rgb="FF000000"/>
        <rFont val="等线"/>
        <charset val="134"/>
      </rPr>
      <t>extra</t>
    </r>
  </si>
  <si>
    <r>
      <rPr>
        <sz val="11"/>
        <color rgb="FF000000"/>
        <rFont val="等线"/>
        <charset val="134"/>
      </rPr>
      <t>clip</t>
    </r>
  </si>
  <si>
    <r>
      <rPr>
        <sz val="11"/>
        <color rgb="FF000000"/>
        <rFont val="等线"/>
        <charset val="134"/>
      </rPr>
      <t>coupon</t>
    </r>
  </si>
  <si>
    <r>
      <rPr>
        <sz val="11"/>
        <color rgb="FF000000"/>
        <rFont val="等线"/>
        <charset val="134"/>
      </rPr>
      <t>amazon</t>
    </r>
  </si>
  <si>
    <r>
      <rPr>
        <sz val="11"/>
        <color rgb="FF000000"/>
        <rFont val="等线"/>
        <charset val="134"/>
      </rPr>
      <t>choice</t>
    </r>
  </si>
  <si>
    <r>
      <rPr>
        <sz val="11"/>
        <color rgb="FF000000"/>
        <rFont val="等线"/>
        <charset val="134"/>
      </rPr>
      <t>kid</t>
    </r>
  </si>
  <si>
    <r>
      <rPr>
        <sz val="11"/>
        <color rgb="FF000000"/>
        <rFont val="等线"/>
        <charset val="134"/>
      </rPr>
      <t>use</t>
    </r>
  </si>
  <si>
    <r>
      <rPr>
        <sz val="11"/>
        <color rgb="FF000000"/>
        <rFont val="等线"/>
        <charset val="134"/>
      </rPr>
      <t>human</t>
    </r>
  </si>
  <si>
    <r>
      <rPr>
        <sz val="11"/>
        <color rgb="FF000000"/>
        <rFont val="等线"/>
        <charset val="134"/>
      </rPr>
      <t>wigs</t>
    </r>
  </si>
  <si>
    <r>
      <rPr>
        <sz val="11"/>
        <color rgb="FF000000"/>
        <rFont val="等线"/>
        <charset val="134"/>
      </rPr>
      <t>lcd</t>
    </r>
  </si>
  <si>
    <r>
      <rPr>
        <sz val="11"/>
        <color rgb="FF000000"/>
        <rFont val="等线"/>
        <charset val="134"/>
      </rPr>
      <t>display</t>
    </r>
  </si>
  <si>
    <r>
      <rPr>
        <sz val="11"/>
        <color rgb="FF000000"/>
        <rFont val="等线"/>
        <charset val="134"/>
      </rPr>
      <t>17</t>
    </r>
  </si>
  <si>
    <r>
      <rPr>
        <sz val="11"/>
        <color rgb="FF000000"/>
        <rFont val="等线"/>
        <charset val="134"/>
      </rPr>
      <t>tangling</t>
    </r>
  </si>
  <si>
    <r>
      <rPr>
        <sz val="11"/>
        <color rgb="FF000000"/>
        <rFont val="等线"/>
        <charset val="134"/>
      </rPr>
      <t>scalding</t>
    </r>
  </si>
  <si>
    <r>
      <rPr>
        <sz val="11"/>
        <color rgb="FF000000"/>
        <rFont val="等线"/>
        <charset val="134"/>
      </rPr>
      <t>salon</t>
    </r>
  </si>
  <si>
    <r>
      <rPr>
        <sz val="11"/>
        <color rgb="FF000000"/>
        <rFont val="等线"/>
        <charset val="134"/>
      </rPr>
      <t>green</t>
    </r>
  </si>
  <si>
    <r>
      <rPr>
        <sz val="11"/>
        <color rgb="FF000000"/>
        <rFont val="等线"/>
        <charset val="134"/>
      </rPr>
      <t>temp</t>
    </r>
  </si>
  <si>
    <r>
      <rPr>
        <sz val="11"/>
        <color rgb="FF000000"/>
        <rFont val="等线"/>
        <charset val="134"/>
      </rPr>
      <t>to</t>
    </r>
  </si>
  <si>
    <r>
      <rPr>
        <sz val="11"/>
        <color rgb="FF000000"/>
        <rFont val="等线"/>
        <charset val="134"/>
      </rPr>
      <t>450℉</t>
    </r>
  </si>
  <si>
    <r>
      <rPr>
        <sz val="11"/>
        <color rgb="FF000000"/>
        <rFont val="等线"/>
        <charset val="134"/>
      </rPr>
      <t>stuck</t>
    </r>
  </si>
  <si>
    <r>
      <rPr>
        <sz val="11"/>
        <color rgb="FF000000"/>
        <rFont val="等线"/>
        <charset val="134"/>
      </rPr>
      <t>left</t>
    </r>
  </si>
  <si>
    <r>
      <rPr>
        <sz val="11"/>
        <color rgb="FF000000"/>
        <rFont val="等线"/>
        <charset val="134"/>
      </rPr>
      <t>right</t>
    </r>
  </si>
  <si>
    <t>7%以下均为低，5.9%以下低于均值20%</t>
  </si>
  <si>
    <t>指标</t>
  </si>
  <si>
    <t>CPC</t>
  </si>
  <si>
    <t>CR</t>
  </si>
  <si>
    <t>ACOS</t>
  </si>
  <si>
    <t>CPA</t>
  </si>
  <si>
    <t>CTR</t>
  </si>
  <si>
    <t>均值</t>
  </si>
  <si>
    <t>案例1</t>
  </si>
  <si>
    <t>看点击多转化差的词，通常CR低于均值的ACOS一般情况也偏高</t>
  </si>
  <si>
    <t>此情况可在自动精准否定，投放手动精准低价观察</t>
  </si>
  <si>
    <t>Impressions</t>
  </si>
  <si>
    <t>Clicks</t>
  </si>
  <si>
    <t>Spend</t>
  </si>
  <si>
    <t xml:space="preserve">7 Day Total Sales </t>
  </si>
  <si>
    <t>7 Day Total Orders (#)</t>
  </si>
  <si>
    <t>cpa</t>
  </si>
  <si>
    <t>hair curling iron</t>
  </si>
  <si>
    <t>curlers for long hair</t>
  </si>
  <si>
    <t>hair curlers for long hair</t>
  </si>
  <si>
    <t>案例2</t>
  </si>
  <si>
    <t>特殊情况不能否定，（单复数，所有格，虚介词）视为一个关键词情况不能直接精准否定，需结合多个词的汇总数据分析后决定，汇总后转化率高，不能否定</t>
  </si>
  <si>
    <t>汇总转化率</t>
  </si>
  <si>
    <t>hair curlers</t>
  </si>
  <si>
    <t>hair curler</t>
  </si>
  <si>
    <t>curling iron</t>
  </si>
  <si>
    <t>curling irons</t>
  </si>
  <si>
    <t>curlers</t>
  </si>
  <si>
    <t>curler</t>
  </si>
  <si>
    <t>案例3</t>
  </si>
  <si>
    <t>视为一个关键词情况，汇总转化率远低于均值转化率，可精准否定，投放手动精准低价观察</t>
  </si>
  <si>
    <t>均值转换率1.7%</t>
  </si>
  <si>
    <t>baby crib</t>
  </si>
  <si>
    <t>baby cribs</t>
  </si>
  <si>
    <t>表现好情况下，观察不同广告位表现，根据CPA越低越好逻辑，加大CPA低位置的投放，位置竞价涨幅</t>
  </si>
  <si>
    <t>时间维度筛选（最近30天/最近7天）</t>
  </si>
  <si>
    <t>时间维度</t>
  </si>
  <si>
    <t>曝光/点击</t>
  </si>
  <si>
    <t>策略</t>
  </si>
  <si>
    <t>最近7天/最近30天</t>
  </si>
  <si>
    <t>多</t>
  </si>
  <si>
    <t>高</t>
  </si>
  <si>
    <t>取消位置涨幅，无涨幅考虑降低基础bid</t>
  </si>
  <si>
    <t>低</t>
  </si>
  <si>
    <t>根据曝光配比，调整竞价涨幅和基数（提高涨幅）</t>
  </si>
  <si>
    <t>少</t>
  </si>
  <si>
    <t>保持现状，CPA高的位置涨幅可取消</t>
  </si>
  <si>
    <t>可以加涨幅的，提高涨幅</t>
  </si>
  <si>
    <t>Ad SKU 表现差的可暂时关闭，设置低价广告组观察</t>
  </si>
  <si>
    <t>案例4</t>
  </si>
  <si>
    <t>长时间曝光点击少或新变体  拿出去另外一个组或活动观察</t>
  </si>
  <si>
    <t>转化好的ASIN</t>
  </si>
  <si>
    <t>相关性</t>
  </si>
  <si>
    <t>我方优劣情况</t>
  </si>
  <si>
    <t>相关</t>
  </si>
  <si>
    <t>优</t>
  </si>
  <si>
    <t>SP-PT/SD-PT对打</t>
  </si>
  <si>
    <t>劣</t>
  </si>
  <si>
    <t>观察（关注对方秒杀情况）</t>
  </si>
  <si>
    <t>不相关</t>
  </si>
  <si>
    <t>/</t>
  </si>
  <si>
    <t>观察/出现多个共性的ASIN（查看是否相关/互补类目），考虑对标类目</t>
  </si>
  <si>
    <t>转化差的ASIN</t>
  </si>
  <si>
    <t>自动中否定，SP-PT/SD-PT对打 低CPC</t>
  </si>
  <si>
    <t>否定ASIN-多变体ASIN流量大的需批量否定整个链接</t>
  </si>
  <si>
    <t>搜索词报告分析</t>
  </si>
  <si>
    <t>曝光衡量标准：1K为基准线</t>
  </si>
  <si>
    <t>点击量：根据客单价来衡量，</t>
  </si>
  <si>
    <t>CPA衡量标准：利润（以总出单所要的CPA为衡量基准）</t>
  </si>
  <si>
    <t>曝光</t>
  </si>
  <si>
    <t>点击</t>
  </si>
  <si>
    <t>ACOS/CPA</t>
  </si>
  <si>
    <t>否定，拿去跑PT-ASIN 低bid</t>
  </si>
  <si>
    <t>否定整个链接</t>
  </si>
  <si>
    <t>先保持，同时跑PT-ASIN 高bid 快速转移</t>
  </si>
  <si>
    <t>观察，曝光过高垄断，可否定，投放PT-AIN，同类目出价bid</t>
  </si>
  <si>
    <t>否定，拿去跑PT-ASIN 提bid 跑出数据，观察转化率</t>
  </si>
  <si>
    <t>否定</t>
  </si>
  <si>
    <t>拿去跑PT-ASIN,出高bid;如果曝光过高垄断，可否定</t>
  </si>
  <si>
    <t>如果曝光过高，可否定，否则观察</t>
  </si>
  <si>
    <t>否定，拿去pt-ASIN ,低bid</t>
  </si>
  <si>
    <t>观察</t>
  </si>
  <si>
    <t>一般出现在低客单价高CPC的品类上，否定，投放PT-ASIN 提bid,观察转化率</t>
  </si>
  <si>
    <t>定期观察，或拉长分析时间维度看点击数量</t>
  </si>
  <si>
    <t>提高bid</t>
  </si>
  <si>
    <t>降低bid</t>
  </si>
  <si>
    <t>保持，可同链接的其他变体加进来，采用SD/SB-PT-ASIN对打</t>
  </si>
  <si>
    <t>此情况比较少，调低bid</t>
  </si>
  <si>
    <t>此情况比较少，保持，观察ASIN流量情况</t>
  </si>
  <si>
    <t>互补/相关产品，更多关注引入后整体的转化率是否稳定，否则不建议对标，流量瓶颈可适用</t>
  </si>
  <si>
    <t>从投放关键词和用户搜索词的维度分析优化</t>
  </si>
  <si>
    <r>
      <rPr>
        <b/>
        <sz val="11"/>
        <color theme="4" tint="-0.5"/>
        <rFont val="微软雅黑"/>
        <charset val="134"/>
      </rPr>
      <t>点击量衡量标准</t>
    </r>
    <r>
      <rPr>
        <sz val="11"/>
        <color theme="1"/>
        <rFont val="微软雅黑"/>
        <charset val="134"/>
      </rPr>
      <t>：以出单词平均转化率反推点击量为基准
举例：出单词均值转化率10%，即出一单需要达到点击10个为基准，均值转化率的1.5倍所要的点击量，即15个点击算高点击量，少于均值转化率的出单数量的点击量为低点击量）</t>
    </r>
  </si>
  <si>
    <r>
      <rPr>
        <b/>
        <sz val="11"/>
        <color theme="4" tint="-0.5"/>
        <rFont val="微软雅黑"/>
        <charset val="134"/>
      </rPr>
      <t>转化率衡量标准：</t>
    </r>
    <r>
      <rPr>
        <sz val="11"/>
        <color theme="1"/>
        <rFont val="微软雅黑"/>
        <charset val="134"/>
      </rPr>
      <t>品类均值转化率/出单词平均转化率</t>
    </r>
  </si>
  <si>
    <r>
      <rPr>
        <b/>
        <sz val="11"/>
        <color theme="4" tint="-0.5"/>
        <rFont val="微软雅黑"/>
        <charset val="134"/>
      </rPr>
      <t>CPA衡量标准：</t>
    </r>
    <r>
      <rPr>
        <sz val="11"/>
        <color theme="1"/>
        <rFont val="微软雅黑"/>
        <charset val="134"/>
      </rPr>
      <t>目标ACOS下的CPA或者单位订单利润</t>
    </r>
  </si>
  <si>
    <t>用户搜索词维度</t>
  </si>
  <si>
    <t>后台投放关键词维度</t>
  </si>
  <si>
    <t>这个不能单独去调整，需结果实际用户搜索词报告调整</t>
  </si>
  <si>
    <t>表现好的词</t>
  </si>
  <si>
    <t>点击量</t>
  </si>
  <si>
    <t>转化率</t>
  </si>
  <si>
    <t>曝光量少或点击量少的情况可以直接加bid</t>
  </si>
  <si>
    <t>源组中精准否定，拿出去低价精准观察</t>
  </si>
  <si>
    <t>搜索词报告点击分散，均无转化情况可直接调低bid</t>
  </si>
  <si>
    <t>提炼做精准匹配，出价比目前的CPC高</t>
  </si>
  <si>
    <t>中</t>
  </si>
  <si>
    <t>其他情况需结果搜索词报告分析，具体案例参考中级课程关键词优化案例版块内容调整</t>
  </si>
  <si>
    <t>有出单</t>
  </si>
  <si>
    <t>曝光量高点击率低情况，可精准否定，拿出去单词单活动提高bid观察广告位表现，调整出价和策略（具体看三个广告位版块数据调整</t>
  </si>
  <si>
    <t>精准否定</t>
  </si>
  <si>
    <t>稳定期流量瓶颈期可留，但不能占有太多的预算，导致流量偏离，或者通过PT投放相关品类；发展期产品需下周下个月需关注用户反馈情况</t>
  </si>
  <si>
    <t>无出单</t>
  </si>
  <si>
    <t>点击少</t>
  </si>
  <si>
    <t>表现差的词</t>
  </si>
  <si>
    <t>精否，精准单词单活动观察广告位表现，若是SPR/CPR高的词，不是我们现阶段能创造坑产的词，先不投放，等权重排名上去后再投</t>
  </si>
  <si>
    <t>注意坑产，SPR/CPR，合理就先观察，不合理需另起炉灶（隔离他人还是隔离它）</t>
  </si>
  <si>
    <t>中低</t>
  </si>
  <si>
    <t>①观察，积累数据分析;②词频分析有规律同步调整文案，无规律观察</t>
  </si>
  <si>
    <t>精否</t>
  </si>
  <si>
    <t>词频分析属性词效果，差就关，好就先观察</t>
  </si>
  <si>
    <t>精准分高价组和低价组，同时分多词集合活动和单词单活动</t>
  </si>
  <si>
    <t>精准高价组--单词单活动（推排位），持续跟进广告和自然排位，看自然排位是否持续稳定向前推</t>
  </si>
  <si>
    <t>关注指标</t>
  </si>
  <si>
    <t>广告位排名，自然位排名，CPA</t>
  </si>
  <si>
    <t>自然位排名</t>
  </si>
  <si>
    <t>推到目标排名</t>
  </si>
  <si>
    <t>逐步降低bid,观察CVR和排名变动情况，以稳定为主，波动则复原</t>
  </si>
  <si>
    <t>保持，开发新词跟进测试</t>
  </si>
  <si>
    <t>未到目标排名</t>
  </si>
  <si>
    <t>关注广告位表现，取最优CPA的位置去卡控，三个位置都不好，暂时关闭</t>
  </si>
  <si>
    <t>加bid,注意关注预算利用率情况</t>
  </si>
  <si>
    <t>最终目标就是占据自然坑位后-CPC及CPA最优</t>
  </si>
  <si>
    <t>卡位顺序参考</t>
  </si>
  <si>
    <t>ASIN出单情况（自动广告）</t>
  </si>
  <si>
    <t>从TOP-&gt;ROS-&gt;PP位置推广</t>
  </si>
  <si>
    <t>从PP-&gt;ROS-&gt;TOS位置推广</t>
  </si>
  <si>
    <t>精准高价组--多词单活动（保证出单词），持续跟进关键词的CPA,表现差可适当调低CPC观察</t>
  </si>
  <si>
    <t>CTR  CPA</t>
  </si>
  <si>
    <t>CPA/ACOS</t>
  </si>
  <si>
    <t>调低CPC</t>
  </si>
  <si>
    <t>保持</t>
  </si>
  <si>
    <t>拎出去单词单活动观察广告位表现--若同样的出价，曝光点击集中在PP位置或ROS点击少，则加CPC观察；否则设置低价精准</t>
  </si>
  <si>
    <t>提高CPC，增加点击量</t>
  </si>
  <si>
    <t>精准低价组---多词一个活动（相关词转化差低价观察组），跟进CPA</t>
  </si>
  <si>
    <t>CPA，listing整体出单变动情况</t>
  </si>
  <si>
    <t>继续调低bid</t>
  </si>
  <si>
    <t>此策略执行后随着产品坑产足够，页面以及产品能承受得住转化情况下，可以重新当成正常要推广的词使用</t>
  </si>
  <si>
    <t>精准低价组-单词单活动，此类词关键词搜索量占比大，跟其他词一起抢曝光量</t>
  </si>
  <si>
    <t>降低BID</t>
  </si>
  <si>
    <t>关注广告位表现，若数据集中在PP位置，CPA高，CTR低，可适当提高bid跑到ROS和TOS观察</t>
  </si>
  <si>
    <t>保持，注意避免超预算</t>
  </si>
  <si>
    <t>提高BID</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</si>
</sst>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0.0%"/>
  </numFmts>
  <fonts count="37">
    <font>
      <sz val="11"/>
      <color theme="1"/>
      <name val="宋体"/>
      <charset val="134"/>
      <scheme val="minor"/>
    </font>
    <font>
      <b/>
      <sz val="18"/>
      <color theme="1"/>
      <name val="微软雅黑"/>
      <charset val="134"/>
    </font>
    <font>
      <b/>
      <sz val="11"/>
      <color theme="1"/>
      <name val="微软雅黑"/>
      <charset val="134"/>
    </font>
    <font>
      <sz val="11"/>
      <color theme="1"/>
      <name val="微软雅黑"/>
      <charset val="134"/>
    </font>
    <font>
      <b/>
      <sz val="11"/>
      <color theme="4" tint="-0.5"/>
      <name val="微软雅黑"/>
      <charset val="134"/>
    </font>
    <font>
      <b/>
      <sz val="11"/>
      <color theme="0"/>
      <name val="微软雅黑"/>
      <charset val="134"/>
    </font>
    <font>
      <b/>
      <sz val="16"/>
      <color theme="0"/>
      <name val="微软雅黑"/>
      <charset val="134"/>
    </font>
    <font>
      <b/>
      <sz val="11"/>
      <name val="微软雅黑"/>
      <charset val="134"/>
    </font>
    <font>
      <sz val="11"/>
      <color theme="0"/>
      <name val="微软雅黑"/>
      <charset val="134"/>
    </font>
    <font>
      <b/>
      <sz val="11"/>
      <color theme="1"/>
      <name val="宋体"/>
      <charset val="134"/>
      <scheme val="minor"/>
    </font>
    <font>
      <b/>
      <sz val="11"/>
      <color indexed="8"/>
      <name val="宋体"/>
      <charset val="134"/>
      <scheme val="minor"/>
    </font>
    <font>
      <sz val="11"/>
      <color rgb="FF000000"/>
      <name val="等线"/>
      <charset val="134"/>
    </font>
    <font>
      <sz val="11"/>
      <color indexed="8"/>
      <name val="宋体"/>
      <charset val="134"/>
      <scheme val="minor"/>
    </font>
    <font>
      <u/>
      <sz val="11"/>
      <color rgb="FF800080"/>
      <name val="微软雅黑"/>
      <charset val="0"/>
    </font>
    <font>
      <u/>
      <sz val="11"/>
      <color rgb="FF0000FF"/>
      <name val="微软雅黑"/>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theme="4" tint="-0.25"/>
      <name val="微软雅黑"/>
      <charset val="134"/>
    </font>
    <font>
      <sz val="11"/>
      <name val="微软雅黑"/>
      <charset val="134"/>
    </font>
    <font>
      <b/>
      <sz val="11"/>
      <color rgb="FFFF0000"/>
      <name val="微软雅黑"/>
      <charset val="134"/>
    </font>
  </fonts>
  <fills count="48">
    <fill>
      <patternFill patternType="none"/>
    </fill>
    <fill>
      <patternFill patternType="gray125"/>
    </fill>
    <fill>
      <patternFill patternType="solid">
        <fgColor rgb="FF92D050"/>
        <bgColor indexed="64"/>
      </patternFill>
    </fill>
    <fill>
      <patternFill patternType="solid">
        <fgColor theme="4" tint="0.6"/>
        <bgColor indexed="64"/>
      </patternFill>
    </fill>
    <fill>
      <patternFill patternType="solid">
        <fgColor theme="6" tint="0.8"/>
        <bgColor indexed="64"/>
      </patternFill>
    </fill>
    <fill>
      <patternFill patternType="solid">
        <fgColor rgb="FFFFC000"/>
        <bgColor indexed="64"/>
      </patternFill>
    </fill>
    <fill>
      <patternFill patternType="solid">
        <fgColor theme="7" tint="0.4"/>
        <bgColor indexed="64"/>
      </patternFill>
    </fill>
    <fill>
      <patternFill patternType="solid">
        <fgColor rgb="FFFF0000"/>
        <bgColor indexed="64"/>
      </patternFill>
    </fill>
    <fill>
      <patternFill patternType="solid">
        <fgColor theme="1" tint="0.05"/>
        <bgColor indexed="64"/>
      </patternFill>
    </fill>
    <fill>
      <patternFill patternType="solid">
        <fgColor theme="4" tint="0.4"/>
        <bgColor indexed="64"/>
      </patternFill>
    </fill>
    <fill>
      <patternFill patternType="solid">
        <fgColor theme="6" tint="0.6"/>
        <bgColor indexed="64"/>
      </patternFill>
    </fill>
    <fill>
      <patternFill patternType="solid">
        <fgColor rgb="FFFFFF00"/>
        <bgColor indexed="64"/>
      </patternFill>
    </fill>
    <fill>
      <patternFill patternType="solid">
        <fgColor theme="4" tint="0.799981688894314"/>
        <bgColor theme="4" tint="0.799981688894314"/>
      </patternFill>
    </fill>
    <fill>
      <patternFill patternType="solid">
        <fgColor theme="9" tint="0.8"/>
        <bgColor indexed="64"/>
      </patternFill>
    </fill>
    <fill>
      <patternFill patternType="solid">
        <fgColor theme="3" tint="0.8"/>
        <bgColor indexed="64"/>
      </patternFill>
    </fill>
    <fill>
      <patternFill patternType="solid">
        <fgColor theme="7" tint="0.8"/>
        <bgColor indexed="64"/>
      </patternFill>
    </fill>
    <fill>
      <patternFill patternType="solid">
        <fgColor theme="9" tint="-0.2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17" borderId="5"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6" applyNumberFormat="0" applyFill="0" applyAlignment="0" applyProtection="0">
      <alignment vertical="center"/>
    </xf>
    <xf numFmtId="0" fontId="21" fillId="0" borderId="6" applyNumberFormat="0" applyFill="0" applyAlignment="0" applyProtection="0">
      <alignment vertical="center"/>
    </xf>
    <xf numFmtId="0" fontId="22" fillId="0" borderId="7" applyNumberFormat="0" applyFill="0" applyAlignment="0" applyProtection="0">
      <alignment vertical="center"/>
    </xf>
    <xf numFmtId="0" fontId="22" fillId="0" borderId="0" applyNumberFormat="0" applyFill="0" applyBorder="0" applyAlignment="0" applyProtection="0">
      <alignment vertical="center"/>
    </xf>
    <xf numFmtId="0" fontId="23" fillId="18" borderId="8" applyNumberFormat="0" applyAlignment="0" applyProtection="0">
      <alignment vertical="center"/>
    </xf>
    <xf numFmtId="0" fontId="24" fillId="19" borderId="9" applyNumberFormat="0" applyAlignment="0" applyProtection="0">
      <alignment vertical="center"/>
    </xf>
    <xf numFmtId="0" fontId="25" fillId="19" borderId="8" applyNumberFormat="0" applyAlignment="0" applyProtection="0">
      <alignment vertical="center"/>
    </xf>
    <xf numFmtId="0" fontId="26" fillId="20" borderId="10" applyNumberFormat="0" applyAlignment="0" applyProtection="0">
      <alignment vertical="center"/>
    </xf>
    <xf numFmtId="0" fontId="27" fillId="0" borderId="11" applyNumberFormat="0" applyFill="0" applyAlignment="0" applyProtection="0">
      <alignment vertical="center"/>
    </xf>
    <xf numFmtId="0" fontId="28" fillId="0" borderId="12" applyNumberFormat="0" applyFill="0" applyAlignment="0" applyProtection="0">
      <alignment vertical="center"/>
    </xf>
    <xf numFmtId="0" fontId="29" fillId="21" borderId="0" applyNumberFormat="0" applyBorder="0" applyAlignment="0" applyProtection="0">
      <alignment vertical="center"/>
    </xf>
    <xf numFmtId="0" fontId="30" fillId="22" borderId="0" applyNumberFormat="0" applyBorder="0" applyAlignment="0" applyProtection="0">
      <alignment vertical="center"/>
    </xf>
    <xf numFmtId="0" fontId="31" fillId="23" borderId="0" applyNumberFormat="0" applyBorder="0" applyAlignment="0" applyProtection="0">
      <alignment vertical="center"/>
    </xf>
    <xf numFmtId="0" fontId="32"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32" fillId="35" borderId="0" applyNumberFormat="0" applyBorder="0" applyAlignment="0" applyProtection="0">
      <alignment vertical="center"/>
    </xf>
    <xf numFmtId="0" fontId="32" fillId="36" borderId="0" applyNumberFormat="0" applyBorder="0" applyAlignment="0" applyProtection="0">
      <alignment vertical="center"/>
    </xf>
    <xf numFmtId="0" fontId="33" fillId="37" borderId="0" applyNumberFormat="0" applyBorder="0" applyAlignment="0" applyProtection="0">
      <alignment vertical="center"/>
    </xf>
    <xf numFmtId="0" fontId="33" fillId="38" borderId="0" applyNumberFormat="0" applyBorder="0" applyAlignment="0" applyProtection="0">
      <alignment vertical="center"/>
    </xf>
    <xf numFmtId="0" fontId="32" fillId="39" borderId="0" applyNumberFormat="0" applyBorder="0" applyAlignment="0" applyProtection="0">
      <alignment vertical="center"/>
    </xf>
    <xf numFmtId="0" fontId="32" fillId="40" borderId="0" applyNumberFormat="0" applyBorder="0" applyAlignment="0" applyProtection="0">
      <alignment vertical="center"/>
    </xf>
    <xf numFmtId="0" fontId="33" fillId="41" borderId="0" applyNumberFormat="0" applyBorder="0" applyAlignment="0" applyProtection="0">
      <alignment vertical="center"/>
    </xf>
    <xf numFmtId="0" fontId="33" fillId="42" borderId="0" applyNumberFormat="0" applyBorder="0" applyAlignment="0" applyProtection="0">
      <alignment vertical="center"/>
    </xf>
    <xf numFmtId="0" fontId="32" fillId="43" borderId="0" applyNumberFormat="0" applyBorder="0" applyAlignment="0" applyProtection="0">
      <alignment vertical="center"/>
    </xf>
    <xf numFmtId="0" fontId="32" fillId="44" borderId="0" applyNumberFormat="0" applyBorder="0" applyAlignment="0" applyProtection="0">
      <alignment vertical="center"/>
    </xf>
    <xf numFmtId="0" fontId="33" fillId="45" borderId="0" applyNumberFormat="0" applyBorder="0" applyAlignment="0" applyProtection="0">
      <alignment vertical="center"/>
    </xf>
    <xf numFmtId="0" fontId="33" fillId="46" borderId="0" applyNumberFormat="0" applyBorder="0" applyAlignment="0" applyProtection="0">
      <alignment vertical="center"/>
    </xf>
    <xf numFmtId="0" fontId="32" fillId="47" borderId="0" applyNumberFormat="0" applyBorder="0" applyAlignment="0" applyProtection="0">
      <alignment vertical="center"/>
    </xf>
  </cellStyleXfs>
  <cellXfs count="85">
    <xf numFmtId="0" fontId="0" fillId="0" borderId="0" xfId="0">
      <alignment vertical="center"/>
    </xf>
    <xf numFmtId="0" fontId="1" fillId="0" borderId="0" xfId="0" applyFont="1">
      <alignment vertical="center"/>
    </xf>
    <xf numFmtId="0" fontId="2" fillId="0" borderId="0" xfId="0" applyFont="1">
      <alignment vertical="center"/>
    </xf>
    <xf numFmtId="0" fontId="3" fillId="0" borderId="0" xfId="0" applyFont="1">
      <alignment vertical="center"/>
    </xf>
    <xf numFmtId="0" fontId="2" fillId="2" borderId="0" xfId="0" applyFont="1" applyFill="1">
      <alignment vertical="center"/>
    </xf>
    <xf numFmtId="0" fontId="3" fillId="2" borderId="0" xfId="0" applyFont="1" applyFill="1">
      <alignment vertical="center"/>
    </xf>
    <xf numFmtId="0" fontId="2" fillId="3" borderId="1" xfId="0" applyFont="1" applyFill="1" applyBorder="1">
      <alignment vertical="center"/>
    </xf>
    <xf numFmtId="0" fontId="3" fillId="0" borderId="1" xfId="0" applyFont="1" applyBorder="1">
      <alignment vertical="center"/>
    </xf>
    <xf numFmtId="0" fontId="3" fillId="4" borderId="1" xfId="0" applyFont="1" applyFill="1" applyBorder="1">
      <alignment vertical="center"/>
    </xf>
    <xf numFmtId="0" fontId="3" fillId="5" borderId="0" xfId="0" applyFont="1" applyFill="1">
      <alignment vertical="center"/>
    </xf>
    <xf numFmtId="0" fontId="2" fillId="6" borderId="0" xfId="0" applyFont="1" applyFill="1">
      <alignment vertical="center"/>
    </xf>
    <xf numFmtId="0" fontId="3" fillId="6" borderId="0" xfId="0" applyFont="1" applyFill="1">
      <alignment vertical="center"/>
    </xf>
    <xf numFmtId="0" fontId="3" fillId="0" borderId="1" xfId="0" applyFont="1" applyBorder="1" applyAlignment="1">
      <alignment vertical="center" wrapText="1"/>
    </xf>
    <xf numFmtId="0" fontId="4" fillId="0" borderId="0" xfId="0" applyFont="1" applyAlignment="1">
      <alignment horizontal="left" vertical="center" wrapText="1"/>
    </xf>
    <xf numFmtId="0" fontId="3" fillId="0" borderId="0" xfId="0" applyFont="1" applyAlignment="1">
      <alignment horizontal="left" vertical="center" wrapText="1"/>
    </xf>
    <xf numFmtId="0" fontId="4" fillId="0" borderId="0" xfId="0" applyFont="1">
      <alignment vertical="center"/>
    </xf>
    <xf numFmtId="0" fontId="5" fillId="7" borderId="0" xfId="0" applyFont="1" applyFill="1">
      <alignment vertical="center"/>
    </xf>
    <xf numFmtId="0" fontId="6" fillId="8" borderId="0" xfId="0" applyFont="1" applyFill="1" applyAlignment="1">
      <alignment horizontal="center" vertical="center"/>
    </xf>
    <xf numFmtId="0" fontId="2" fillId="9" borderId="1" xfId="0" applyFont="1" applyFill="1" applyBorder="1" applyAlignment="1">
      <alignment horizontal="center" vertical="center"/>
    </xf>
    <xf numFmtId="0" fontId="3" fillId="0" borderId="1" xfId="0" applyFont="1" applyBorder="1" applyAlignment="1">
      <alignment horizontal="center" vertical="center"/>
    </xf>
    <xf numFmtId="0" fontId="3" fillId="10" borderId="1" xfId="0" applyFont="1" applyFill="1" applyBorder="1">
      <alignment vertical="center"/>
    </xf>
    <xf numFmtId="0" fontId="3" fillId="0" borderId="1" xfId="0" applyFont="1" applyFill="1" applyBorder="1">
      <alignment vertical="center"/>
    </xf>
    <xf numFmtId="0" fontId="3" fillId="0" borderId="0" xfId="0" applyFont="1" applyAlignment="1">
      <alignment vertical="center" wrapText="1"/>
    </xf>
    <xf numFmtId="0" fontId="7" fillId="0" borderId="0" xfId="0" applyFont="1" applyFill="1" applyBorder="1" applyAlignment="1">
      <alignment horizontal="left" vertical="center"/>
    </xf>
    <xf numFmtId="0" fontId="7" fillId="0" borderId="0" xfId="0" applyFont="1" applyFill="1" applyBorder="1" applyAlignment="1">
      <alignment horizontal="center" vertical="center"/>
    </xf>
    <xf numFmtId="0" fontId="2" fillId="0" borderId="0" xfId="0" applyFont="1" applyFill="1" applyBorder="1" applyAlignment="1">
      <alignment horizontal="center" vertical="center"/>
    </xf>
    <xf numFmtId="0" fontId="7" fillId="0" borderId="0" xfId="0" applyFont="1" applyFill="1" applyAlignment="1">
      <alignment horizontal="left" vertical="center" wrapText="1"/>
    </xf>
    <xf numFmtId="0" fontId="7" fillId="0" borderId="0" xfId="0" applyFont="1" applyFill="1" applyAlignment="1">
      <alignment horizontal="left" vertical="center"/>
    </xf>
    <xf numFmtId="0" fontId="8" fillId="0" borderId="0" xfId="0" applyFont="1" applyFill="1">
      <alignment vertical="center"/>
    </xf>
    <xf numFmtId="0" fontId="3" fillId="0" borderId="0" xfId="0" applyFont="1" applyFill="1">
      <alignment vertical="center"/>
    </xf>
    <xf numFmtId="0" fontId="8" fillId="0" borderId="0" xfId="0" applyFont="1" applyFill="1" applyAlignment="1">
      <alignment horizontal="center" vertical="center"/>
    </xf>
    <xf numFmtId="0" fontId="8" fillId="7" borderId="0" xfId="0" applyFont="1" applyFill="1" applyAlignment="1">
      <alignment horizontal="left" vertical="center"/>
    </xf>
    <xf numFmtId="0" fontId="8" fillId="7" borderId="0" xfId="0" applyFont="1" applyFill="1">
      <alignment vertical="center"/>
    </xf>
    <xf numFmtId="0" fontId="2" fillId="0" borderId="1" xfId="0" applyFont="1" applyBorder="1">
      <alignment vertical="center"/>
    </xf>
    <xf numFmtId="0" fontId="0" fillId="0" borderId="1" xfId="0" applyBorder="1">
      <alignment vertical="center"/>
    </xf>
    <xf numFmtId="0" fontId="2" fillId="3" borderId="1" xfId="0" applyFont="1" applyFill="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1" xfId="0" applyFont="1" applyBorder="1" applyAlignment="1">
      <alignment horizontal="center" vertical="center" wrapText="1"/>
    </xf>
    <xf numFmtId="0" fontId="9" fillId="0" borderId="0" xfId="0" applyFont="1">
      <alignment vertical="center"/>
    </xf>
    <xf numFmtId="176" fontId="9" fillId="11" borderId="4" xfId="0" applyNumberFormat="1" applyFont="1" applyFill="1" applyBorder="1" applyAlignment="1">
      <alignment horizontal="center" vertical="center" wrapText="1"/>
    </xf>
    <xf numFmtId="177" fontId="9" fillId="11" borderId="4" xfId="0" applyNumberFormat="1" applyFont="1" applyFill="1" applyBorder="1" applyAlignment="1">
      <alignment horizontal="center" vertical="center" wrapText="1"/>
    </xf>
    <xf numFmtId="176" fontId="10" fillId="0" borderId="0" xfId="0" applyNumberFormat="1" applyFont="1" applyFill="1" applyAlignment="1">
      <alignment vertical="center"/>
    </xf>
    <xf numFmtId="177" fontId="10" fillId="0" borderId="0" xfId="0" applyNumberFormat="1" applyFont="1" applyFill="1" applyAlignment="1">
      <alignment vertical="center"/>
    </xf>
    <xf numFmtId="0" fontId="10" fillId="0" borderId="0" xfId="0" applyFont="1" applyFill="1" applyAlignment="1">
      <alignment vertical="center"/>
    </xf>
    <xf numFmtId="0" fontId="9" fillId="12" borderId="4" xfId="0" applyFont="1" applyFill="1" applyBorder="1" applyAlignment="1">
      <alignment horizontal="center" vertical="center" wrapText="1"/>
    </xf>
    <xf numFmtId="0" fontId="0" fillId="13" borderId="4" xfId="0" applyFont="1" applyFill="1" applyBorder="1" applyAlignment="1">
      <alignment vertical="center"/>
    </xf>
    <xf numFmtId="0" fontId="9" fillId="13" borderId="4" xfId="0" applyFont="1" applyFill="1" applyBorder="1" applyAlignment="1">
      <alignment vertical="center"/>
    </xf>
    <xf numFmtId="176" fontId="9" fillId="13" borderId="4" xfId="0" applyNumberFormat="1" applyFont="1" applyFill="1" applyBorder="1" applyAlignment="1">
      <alignment vertical="center"/>
    </xf>
    <xf numFmtId="0" fontId="0" fillId="2" borderId="4" xfId="0" applyFont="1" applyFill="1" applyBorder="1" applyAlignment="1">
      <alignment vertical="center"/>
    </xf>
    <xf numFmtId="0" fontId="9" fillId="2" borderId="4" xfId="0" applyFont="1" applyFill="1" applyBorder="1" applyAlignment="1">
      <alignment vertical="center"/>
    </xf>
    <xf numFmtId="176" fontId="9" fillId="2" borderId="4" xfId="0" applyNumberFormat="1" applyFont="1" applyFill="1" applyBorder="1" applyAlignment="1">
      <alignment vertical="center"/>
    </xf>
    <xf numFmtId="0" fontId="0" fillId="14" borderId="4" xfId="0" applyFont="1" applyFill="1" applyBorder="1" applyAlignment="1">
      <alignment vertical="center"/>
    </xf>
    <xf numFmtId="0" fontId="9" fillId="14" borderId="4" xfId="0" applyFont="1" applyFill="1" applyBorder="1" applyAlignment="1">
      <alignment vertical="center"/>
    </xf>
    <xf numFmtId="176" fontId="9" fillId="14" borderId="4" xfId="0" applyNumberFormat="1" applyFont="1" applyFill="1" applyBorder="1" applyAlignment="1">
      <alignment vertical="center"/>
    </xf>
    <xf numFmtId="0" fontId="0" fillId="15" borderId="4" xfId="0" applyFont="1" applyFill="1" applyBorder="1" applyAlignment="1">
      <alignment vertical="center"/>
    </xf>
    <xf numFmtId="0" fontId="9" fillId="15" borderId="4" xfId="0" applyFont="1" applyFill="1" applyBorder="1" applyAlignment="1">
      <alignment vertical="center"/>
    </xf>
    <xf numFmtId="176" fontId="9" fillId="15" borderId="4" xfId="0" applyNumberFormat="1" applyFont="1" applyFill="1" applyBorder="1" applyAlignment="1">
      <alignment vertical="center"/>
    </xf>
    <xf numFmtId="0" fontId="0" fillId="0" borderId="0" xfId="0" applyNumberFormat="1">
      <alignment vertical="center"/>
    </xf>
    <xf numFmtId="176" fontId="0" fillId="0" borderId="0" xfId="0" applyNumberFormat="1">
      <alignment vertical="center"/>
    </xf>
    <xf numFmtId="177" fontId="9" fillId="13" borderId="4" xfId="0" applyNumberFormat="1" applyFont="1" applyFill="1" applyBorder="1" applyAlignment="1">
      <alignment vertical="center"/>
    </xf>
    <xf numFmtId="0" fontId="9" fillId="5" borderId="0" xfId="0" applyFont="1" applyFill="1">
      <alignment vertical="center"/>
    </xf>
    <xf numFmtId="177" fontId="9" fillId="2" borderId="4" xfId="0" applyNumberFormat="1" applyFont="1" applyFill="1" applyBorder="1" applyAlignment="1">
      <alignment vertical="center"/>
    </xf>
    <xf numFmtId="177" fontId="0" fillId="0" borderId="0" xfId="3" applyNumberFormat="1" applyAlignment="1">
      <alignment horizontal="center" vertical="center"/>
    </xf>
    <xf numFmtId="177" fontId="9" fillId="14" borderId="4" xfId="0" applyNumberFormat="1" applyFont="1" applyFill="1" applyBorder="1" applyAlignment="1">
      <alignment vertical="center"/>
    </xf>
    <xf numFmtId="177" fontId="9" fillId="15" borderId="4" xfId="0" applyNumberFormat="1" applyFont="1" applyFill="1" applyBorder="1" applyAlignment="1">
      <alignment vertical="center"/>
    </xf>
    <xf numFmtId="177" fontId="0" fillId="0" borderId="0" xfId="0" applyNumberFormat="1" applyAlignment="1">
      <alignment vertical="center" wrapText="1"/>
    </xf>
    <xf numFmtId="177" fontId="9" fillId="11" borderId="4" xfId="3" applyNumberFormat="1" applyFont="1" applyFill="1" applyBorder="1" applyAlignment="1">
      <alignment horizontal="center" vertical="center" wrapText="1"/>
    </xf>
    <xf numFmtId="49" fontId="11" fillId="0" borderId="0" xfId="0" applyNumberFormat="1" applyFont="1" applyFill="1" applyAlignment="1"/>
    <xf numFmtId="0" fontId="11" fillId="0" borderId="0" xfId="0" applyFont="1" applyFill="1" applyAlignment="1"/>
    <xf numFmtId="176" fontId="12" fillId="0" borderId="0" xfId="0" applyNumberFormat="1" applyFont="1" applyFill="1" applyAlignment="1">
      <alignment vertical="center"/>
    </xf>
    <xf numFmtId="177" fontId="12" fillId="0" borderId="0" xfId="3" applyNumberFormat="1" applyFont="1">
      <alignment vertical="center"/>
    </xf>
    <xf numFmtId="49" fontId="11" fillId="5" borderId="0" xfId="0" applyNumberFormat="1" applyFont="1" applyFill="1" applyAlignment="1"/>
    <xf numFmtId="49" fontId="11" fillId="4" borderId="0" xfId="0" applyNumberFormat="1" applyFont="1" applyFill="1" applyAlignment="1"/>
    <xf numFmtId="0" fontId="11" fillId="4" borderId="0" xfId="0" applyFont="1" applyFill="1" applyAlignment="1"/>
    <xf numFmtId="176" fontId="12" fillId="4" borderId="0" xfId="0" applyNumberFormat="1" applyFont="1" applyFill="1" applyAlignment="1">
      <alignment vertical="center"/>
    </xf>
    <xf numFmtId="177" fontId="12" fillId="4" borderId="0" xfId="3" applyNumberFormat="1" applyFont="1" applyFill="1">
      <alignment vertical="center"/>
    </xf>
    <xf numFmtId="0" fontId="2" fillId="0" borderId="0" xfId="0" applyFont="1" applyAlignment="1">
      <alignment horizontal="center" vertical="center"/>
    </xf>
    <xf numFmtId="0" fontId="5" fillId="16" borderId="1" xfId="0" applyFont="1" applyFill="1" applyBorder="1" applyAlignment="1">
      <alignment horizontal="center" vertical="center"/>
    </xf>
    <xf numFmtId="0" fontId="2" fillId="0" borderId="1" xfId="0" applyFont="1" applyBorder="1" applyAlignment="1">
      <alignment horizontal="center" vertical="center"/>
    </xf>
    <xf numFmtId="0" fontId="13" fillId="0" borderId="1" xfId="6" applyFont="1" applyBorder="1" applyAlignment="1">
      <alignment horizontal="center" vertical="center" wrapText="1"/>
    </xf>
    <xf numFmtId="0" fontId="13" fillId="0" borderId="1" xfId="6" applyFont="1" applyBorder="1" applyAlignment="1">
      <alignment horizontal="center" vertical="center"/>
    </xf>
    <xf numFmtId="0" fontId="14" fillId="0" borderId="1" xfId="6" applyFont="1" applyBorder="1" applyAlignment="1">
      <alignment horizontal="center" vertical="center"/>
    </xf>
    <xf numFmtId="0" fontId="15" fillId="0" borderId="1" xfId="6" applyBorder="1" applyAlignment="1">
      <alignment horizontal="center" vertical="center"/>
    </xf>
    <xf numFmtId="0" fontId="16" fillId="0" borderId="1" xfId="6"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haredStrings" Target="sharedStrings.xml"/><Relationship Id="rId12" Type="http://schemas.openxmlformats.org/officeDocument/2006/relationships/styles" Target="style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4" Type="http://schemas.openxmlformats.org/officeDocument/2006/relationships/image" Target="../media/image5.png"/><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635</xdr:rowOff>
    </xdr:from>
    <xdr:to>
      <xdr:col>18</xdr:col>
      <xdr:colOff>393700</xdr:colOff>
      <xdr:row>30</xdr:row>
      <xdr:rowOff>130175</xdr:rowOff>
    </xdr:to>
    <xdr:pic>
      <xdr:nvPicPr>
        <xdr:cNvPr id="2" name="图片 1" descr="广告优化树状图"/>
        <xdr:cNvPicPr>
          <a:picLocks noChangeAspect="1"/>
        </xdr:cNvPicPr>
      </xdr:nvPicPr>
      <xdr:blipFill>
        <a:blip r:embed="rId1"/>
        <a:stretch>
          <a:fillRect/>
        </a:stretch>
      </xdr:blipFill>
      <xdr:spPr>
        <a:xfrm>
          <a:off x="635" y="635"/>
          <a:ext cx="11365865" cy="546354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25400</xdr:colOff>
      <xdr:row>4</xdr:row>
      <xdr:rowOff>26670</xdr:rowOff>
    </xdr:from>
    <xdr:to>
      <xdr:col>10</xdr:col>
      <xdr:colOff>133350</xdr:colOff>
      <xdr:row>14</xdr:row>
      <xdr:rowOff>208915</xdr:rowOff>
    </xdr:to>
    <xdr:pic>
      <xdr:nvPicPr>
        <xdr:cNvPr id="2" name="图片 1"/>
        <xdr:cNvPicPr>
          <a:picLocks noChangeAspect="1"/>
        </xdr:cNvPicPr>
      </xdr:nvPicPr>
      <xdr:blipFill>
        <a:blip r:embed="rId1"/>
        <a:stretch>
          <a:fillRect/>
        </a:stretch>
      </xdr:blipFill>
      <xdr:spPr>
        <a:xfrm>
          <a:off x="635000" y="864870"/>
          <a:ext cx="9391650" cy="2277745"/>
        </a:xfrm>
        <a:prstGeom prst="rect">
          <a:avLst/>
        </a:prstGeom>
        <a:noFill/>
        <a:ln w="9525">
          <a:noFill/>
        </a:ln>
      </xdr:spPr>
    </xdr:pic>
    <xdr:clientData/>
  </xdr:twoCellAnchor>
  <xdr:twoCellAnchor editAs="oneCell">
    <xdr:from>
      <xdr:col>1</xdr:col>
      <xdr:colOff>0</xdr:colOff>
      <xdr:row>27</xdr:row>
      <xdr:rowOff>0</xdr:rowOff>
    </xdr:from>
    <xdr:to>
      <xdr:col>10</xdr:col>
      <xdr:colOff>355600</xdr:colOff>
      <xdr:row>41</xdr:row>
      <xdr:rowOff>38100</xdr:rowOff>
    </xdr:to>
    <xdr:pic>
      <xdr:nvPicPr>
        <xdr:cNvPr id="3" name="图片 2"/>
        <xdr:cNvPicPr>
          <a:picLocks noChangeAspect="1"/>
        </xdr:cNvPicPr>
      </xdr:nvPicPr>
      <xdr:blipFill>
        <a:blip r:embed="rId2"/>
        <a:stretch>
          <a:fillRect/>
        </a:stretch>
      </xdr:blipFill>
      <xdr:spPr>
        <a:xfrm>
          <a:off x="609600" y="5657850"/>
          <a:ext cx="9639300" cy="2971800"/>
        </a:xfrm>
        <a:prstGeom prst="rect">
          <a:avLst/>
        </a:prstGeom>
        <a:noFill/>
        <a:ln w="9525">
          <a:noFill/>
        </a:ln>
      </xdr:spPr>
    </xdr:pic>
    <xdr:clientData/>
  </xdr:twoCellAnchor>
  <xdr:twoCellAnchor editAs="oneCell">
    <xdr:from>
      <xdr:col>1</xdr:col>
      <xdr:colOff>0</xdr:colOff>
      <xdr:row>47</xdr:row>
      <xdr:rowOff>0</xdr:rowOff>
    </xdr:from>
    <xdr:to>
      <xdr:col>10</xdr:col>
      <xdr:colOff>482600</xdr:colOff>
      <xdr:row>64</xdr:row>
      <xdr:rowOff>69850</xdr:rowOff>
    </xdr:to>
    <xdr:pic>
      <xdr:nvPicPr>
        <xdr:cNvPr id="4" name="图片 3"/>
        <xdr:cNvPicPr>
          <a:picLocks noChangeAspect="1"/>
        </xdr:cNvPicPr>
      </xdr:nvPicPr>
      <xdr:blipFill>
        <a:blip r:embed="rId3"/>
        <a:stretch>
          <a:fillRect/>
        </a:stretch>
      </xdr:blipFill>
      <xdr:spPr>
        <a:xfrm>
          <a:off x="609600" y="9848850"/>
          <a:ext cx="9766300" cy="3632200"/>
        </a:xfrm>
        <a:prstGeom prst="rect">
          <a:avLst/>
        </a:prstGeom>
        <a:noFill/>
        <a:ln w="9525">
          <a:noFill/>
        </a:ln>
      </xdr:spPr>
    </xdr:pic>
    <xdr:clientData/>
  </xdr:twoCellAnchor>
  <xdr:twoCellAnchor editAs="oneCell">
    <xdr:from>
      <xdr:col>1</xdr:col>
      <xdr:colOff>0</xdr:colOff>
      <xdr:row>72</xdr:row>
      <xdr:rowOff>0</xdr:rowOff>
    </xdr:from>
    <xdr:to>
      <xdr:col>10</xdr:col>
      <xdr:colOff>539750</xdr:colOff>
      <xdr:row>95</xdr:row>
      <xdr:rowOff>19050</xdr:rowOff>
    </xdr:to>
    <xdr:pic>
      <xdr:nvPicPr>
        <xdr:cNvPr id="5" name="图片 4"/>
        <xdr:cNvPicPr>
          <a:picLocks noChangeAspect="1"/>
        </xdr:cNvPicPr>
      </xdr:nvPicPr>
      <xdr:blipFill>
        <a:blip r:embed="rId4"/>
        <a:stretch>
          <a:fillRect/>
        </a:stretch>
      </xdr:blipFill>
      <xdr:spPr>
        <a:xfrm>
          <a:off x="609600" y="15087600"/>
          <a:ext cx="9823450" cy="483870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sheetPr>
  <dimension ref="A1"/>
  <sheetViews>
    <sheetView zoomScale="85" zoomScaleNormal="85" workbookViewId="0">
      <selection activeCell="U16" sqref="U16"/>
    </sheetView>
  </sheetViews>
  <sheetFormatPr defaultColWidth="8.72727272727273" defaultRowHeight="14"/>
  <sheetData/>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9" tint="-0.25"/>
  </sheetPr>
  <dimension ref="A1:G25"/>
  <sheetViews>
    <sheetView tabSelected="1" workbookViewId="0">
      <selection activeCell="A26" sqref="A26"/>
    </sheetView>
  </sheetViews>
  <sheetFormatPr defaultColWidth="9" defaultRowHeight="16.5" outlineLevelCol="6"/>
  <cols>
    <col min="1" max="1" width="15.7272727272727" style="3" customWidth="1"/>
    <col min="2" max="2" width="12.1818181818182" style="3" customWidth="1"/>
    <col min="3" max="3" width="16.3636363636364" style="3" customWidth="1"/>
    <col min="4" max="4" width="12.1818181818182" style="3" customWidth="1"/>
    <col min="5" max="5" width="78.9090909090909" style="3" customWidth="1"/>
    <col min="6" max="6" width="61.9090909090909" style="3" customWidth="1"/>
    <col min="7" max="16384" width="9" style="3"/>
  </cols>
  <sheetData>
    <row r="1" spans="1:1">
      <c r="A1" s="3" t="s">
        <v>0</v>
      </c>
    </row>
    <row r="2" s="77" customFormat="1" spans="1:7">
      <c r="A2" s="78" t="s">
        <v>1</v>
      </c>
      <c r="B2" s="78" t="s">
        <v>2</v>
      </c>
      <c r="C2" s="78" t="s">
        <v>3</v>
      </c>
      <c r="D2" s="78" t="s">
        <v>4</v>
      </c>
      <c r="E2" s="78" t="s">
        <v>5</v>
      </c>
      <c r="F2" s="78" t="s">
        <v>6</v>
      </c>
      <c r="G2" s="79"/>
    </row>
    <row r="3" spans="1:7">
      <c r="A3" s="19" t="s">
        <v>7</v>
      </c>
      <c r="B3" s="19" t="s">
        <v>8</v>
      </c>
      <c r="C3" s="19" t="s">
        <v>9</v>
      </c>
      <c r="D3" s="19" t="s">
        <v>10</v>
      </c>
      <c r="E3" s="38" t="s">
        <v>11</v>
      </c>
      <c r="F3" s="80" t="s">
        <v>12</v>
      </c>
      <c r="G3" s="7"/>
    </row>
    <row r="4" spans="1:7">
      <c r="A4" s="19"/>
      <c r="B4" s="19"/>
      <c r="C4" s="19"/>
      <c r="D4" s="19"/>
      <c r="E4" s="38"/>
      <c r="F4" s="81" t="s">
        <v>13</v>
      </c>
      <c r="G4" s="7"/>
    </row>
    <row r="5" spans="1:7">
      <c r="A5" s="19"/>
      <c r="B5" s="19"/>
      <c r="C5" s="19"/>
      <c r="D5" s="19"/>
      <c r="E5" s="38"/>
      <c r="F5" s="81" t="s">
        <v>14</v>
      </c>
      <c r="G5" s="7"/>
    </row>
    <row r="6" spans="1:7">
      <c r="A6" s="19"/>
      <c r="B6" s="19"/>
      <c r="C6" s="19" t="s">
        <v>15</v>
      </c>
      <c r="D6" s="19" t="s">
        <v>16</v>
      </c>
      <c r="E6" s="19" t="s">
        <v>17</v>
      </c>
      <c r="F6" s="82" t="s">
        <v>18</v>
      </c>
      <c r="G6" s="7"/>
    </row>
    <row r="7" spans="1:7">
      <c r="A7" s="19"/>
      <c r="B7" s="19"/>
      <c r="C7" s="19" t="s">
        <v>19</v>
      </c>
      <c r="D7" s="19"/>
      <c r="E7" s="19" t="s">
        <v>20</v>
      </c>
      <c r="F7" s="82" t="s">
        <v>21</v>
      </c>
      <c r="G7" s="7"/>
    </row>
    <row r="8" spans="1:7">
      <c r="A8" s="19"/>
      <c r="B8" s="19"/>
      <c r="C8" s="19" t="s">
        <v>22</v>
      </c>
      <c r="D8" s="19"/>
      <c r="E8" s="19" t="s">
        <v>23</v>
      </c>
      <c r="F8" s="81" t="s">
        <v>24</v>
      </c>
      <c r="G8" s="7"/>
    </row>
    <row r="9" spans="1:7">
      <c r="A9" s="19"/>
      <c r="B9" s="19"/>
      <c r="C9" s="19"/>
      <c r="D9" s="19"/>
      <c r="E9" s="19" t="s">
        <v>25</v>
      </c>
      <c r="F9" s="82" t="s">
        <v>26</v>
      </c>
      <c r="G9" s="7"/>
    </row>
    <row r="10" ht="33" spans="1:7">
      <c r="A10" s="19"/>
      <c r="B10" s="19" t="s">
        <v>27</v>
      </c>
      <c r="C10" s="19" t="s">
        <v>28</v>
      </c>
      <c r="D10" s="19" t="s">
        <v>10</v>
      </c>
      <c r="E10" s="38" t="s">
        <v>29</v>
      </c>
      <c r="F10" s="83" t="s">
        <v>30</v>
      </c>
      <c r="G10" s="7"/>
    </row>
    <row r="11" spans="1:7">
      <c r="A11" s="19"/>
      <c r="B11" s="19"/>
      <c r="C11" s="19" t="s">
        <v>31</v>
      </c>
      <c r="D11" s="19" t="s">
        <v>16</v>
      </c>
      <c r="E11" s="19" t="s">
        <v>32</v>
      </c>
      <c r="F11" s="83" t="s">
        <v>33</v>
      </c>
      <c r="G11" s="7"/>
    </row>
    <row r="12" ht="66" spans="1:7">
      <c r="A12" s="19"/>
      <c r="B12" s="19"/>
      <c r="C12" s="19" t="s">
        <v>9</v>
      </c>
      <c r="D12" s="19" t="s">
        <v>10</v>
      </c>
      <c r="E12" s="38" t="s">
        <v>34</v>
      </c>
      <c r="F12" s="83" t="s">
        <v>35</v>
      </c>
      <c r="G12" s="7"/>
    </row>
    <row r="13" spans="1:7">
      <c r="A13" s="19"/>
      <c r="B13" s="19"/>
      <c r="C13" s="19"/>
      <c r="D13" s="19" t="s">
        <v>16</v>
      </c>
      <c r="E13" s="19" t="s">
        <v>36</v>
      </c>
      <c r="F13" s="83" t="s">
        <v>37</v>
      </c>
      <c r="G13" s="7"/>
    </row>
    <row r="14" spans="1:6">
      <c r="A14" s="19" t="s">
        <v>38</v>
      </c>
      <c r="B14" s="19"/>
      <c r="C14" s="19" t="s">
        <v>39</v>
      </c>
      <c r="D14" s="19" t="s">
        <v>16</v>
      </c>
      <c r="E14" s="19" t="s">
        <v>32</v>
      </c>
      <c r="F14" s="83" t="s">
        <v>33</v>
      </c>
    </row>
    <row r="15" ht="66" spans="1:6">
      <c r="A15" s="19"/>
      <c r="B15" s="19"/>
      <c r="C15" s="19" t="s">
        <v>9</v>
      </c>
      <c r="D15" s="19" t="s">
        <v>10</v>
      </c>
      <c r="E15" s="38" t="s">
        <v>34</v>
      </c>
      <c r="F15" s="83" t="s">
        <v>40</v>
      </c>
    </row>
    <row r="16" spans="1:6">
      <c r="A16" s="19"/>
      <c r="B16" s="19"/>
      <c r="C16" s="19"/>
      <c r="D16" s="19" t="s">
        <v>16</v>
      </c>
      <c r="E16" s="19" t="s">
        <v>36</v>
      </c>
      <c r="F16" s="83" t="s">
        <v>41</v>
      </c>
    </row>
    <row r="17" spans="1:6">
      <c r="A17" s="19" t="s">
        <v>42</v>
      </c>
      <c r="B17" s="19"/>
      <c r="C17" s="19" t="s">
        <v>39</v>
      </c>
      <c r="D17" s="19" t="s">
        <v>16</v>
      </c>
      <c r="E17" s="19" t="s">
        <v>32</v>
      </c>
      <c r="F17" s="83" t="s">
        <v>33</v>
      </c>
    </row>
    <row r="18" ht="66" spans="1:6">
      <c r="A18" s="19"/>
      <c r="B18" s="19"/>
      <c r="C18" s="19" t="s">
        <v>9</v>
      </c>
      <c r="D18" s="19" t="s">
        <v>10</v>
      </c>
      <c r="E18" s="38" t="s">
        <v>34</v>
      </c>
      <c r="F18" s="83" t="s">
        <v>40</v>
      </c>
    </row>
    <row r="19" spans="1:6">
      <c r="A19" s="19"/>
      <c r="B19" s="19"/>
      <c r="C19" s="19"/>
      <c r="D19" s="19" t="s">
        <v>16</v>
      </c>
      <c r="E19" s="19" t="s">
        <v>36</v>
      </c>
      <c r="F19" s="83" t="s">
        <v>41</v>
      </c>
    </row>
    <row r="20" spans="1:6">
      <c r="A20" s="19" t="s">
        <v>43</v>
      </c>
      <c r="B20" s="19"/>
      <c r="C20" s="19" t="s">
        <v>39</v>
      </c>
      <c r="D20" s="19" t="s">
        <v>16</v>
      </c>
      <c r="E20" s="19" t="s">
        <v>32</v>
      </c>
      <c r="F20" s="83" t="s">
        <v>33</v>
      </c>
    </row>
    <row r="21" ht="66" spans="1:6">
      <c r="A21" s="19"/>
      <c r="B21" s="19"/>
      <c r="C21" s="19" t="s">
        <v>9</v>
      </c>
      <c r="D21" s="19" t="s">
        <v>10</v>
      </c>
      <c r="E21" s="38" t="s">
        <v>34</v>
      </c>
      <c r="F21" s="83" t="s">
        <v>40</v>
      </c>
    </row>
    <row r="22" spans="1:6">
      <c r="A22" s="19"/>
      <c r="B22" s="19"/>
      <c r="C22" s="19"/>
      <c r="D22" s="19" t="s">
        <v>16</v>
      </c>
      <c r="E22" s="19" t="s">
        <v>36</v>
      </c>
      <c r="F22" s="83" t="s">
        <v>41</v>
      </c>
    </row>
    <row r="23" spans="1:6">
      <c r="A23" s="19" t="s">
        <v>44</v>
      </c>
      <c r="B23" s="19"/>
      <c r="C23" s="19" t="s">
        <v>39</v>
      </c>
      <c r="D23" s="19" t="s">
        <v>16</v>
      </c>
      <c r="E23" s="19" t="s">
        <v>32</v>
      </c>
      <c r="F23" s="83" t="s">
        <v>33</v>
      </c>
    </row>
    <row r="24" ht="66" spans="1:6">
      <c r="A24" s="19"/>
      <c r="B24" s="19"/>
      <c r="C24" s="19" t="s">
        <v>9</v>
      </c>
      <c r="D24" s="19" t="s">
        <v>10</v>
      </c>
      <c r="E24" s="38" t="s">
        <v>34</v>
      </c>
      <c r="F24" s="83" t="s">
        <v>40</v>
      </c>
    </row>
    <row r="25" spans="1:6">
      <c r="A25" s="19"/>
      <c r="B25" s="19"/>
      <c r="C25" s="19"/>
      <c r="D25" s="19" t="s">
        <v>16</v>
      </c>
      <c r="E25" s="19" t="s">
        <v>36</v>
      </c>
      <c r="F25" s="84" t="s">
        <v>41</v>
      </c>
    </row>
  </sheetData>
  <mergeCells count="21">
    <mergeCell ref="A3:A13"/>
    <mergeCell ref="A14:A16"/>
    <mergeCell ref="A17:A19"/>
    <mergeCell ref="A20:A22"/>
    <mergeCell ref="A23:A25"/>
    <mergeCell ref="B3:B9"/>
    <mergeCell ref="B10:B13"/>
    <mergeCell ref="B14:B16"/>
    <mergeCell ref="B17:B19"/>
    <mergeCell ref="B20:B22"/>
    <mergeCell ref="B23:B25"/>
    <mergeCell ref="C3:C5"/>
    <mergeCell ref="C8:C9"/>
    <mergeCell ref="C12:C13"/>
    <mergeCell ref="C15:C16"/>
    <mergeCell ref="C18:C19"/>
    <mergeCell ref="C21:C22"/>
    <mergeCell ref="C24:C25"/>
    <mergeCell ref="D3:D5"/>
    <mergeCell ref="D6:D9"/>
    <mergeCell ref="E3:E5"/>
  </mergeCells>
  <hyperlinks>
    <hyperlink ref="F3" location="'自动广告-关键词'!A1" display="1.点击多，低转化-案例1"/>
    <hyperlink ref="F4" location="'自动广告-关键词'!A1" display="2.点击多，单复数转化不一样，汇总转化好-案例2"/>
    <hyperlink ref="F5" location="'自动广告-关键词'!A1" display="3.点击多，单复数转化不一样，汇总转化差-案例3"/>
    <hyperlink ref="F6" location="'自动广告-后台优化思路'!A1" display="不同位置表现不一样，调整策略--案例1"/>
    <hyperlink ref="F7" location="'自动广告-后台优化思路'!A1" display="不同默认组bid 经过数据积累后根据CPA和曝光点击量--案例2"/>
    <hyperlink ref="F8" location="'自动广告-后台优化思路'!A1" display="点击多（触达到点击基数）无转化或低转化率的SKU 优化方法--案例3"/>
    <hyperlink ref="F9" location="'自动广告-后台优化思路'!A1" display="长时间曝光点击少或新变体，调整策略--案例4"/>
    <hyperlink ref="F11" location="'商品投放-PT-AISN'!A1" display="《商品投放PT-ASIN》"/>
    <hyperlink ref="F10" location="'商品投放-PT-类目'!A1" display="《商品投放-PT-类目》"/>
    <hyperlink ref="F12" location="'手动广泛&amp;词组'!A1" display="《手动广泛&amp;词组》"/>
    <hyperlink ref="F13" location="手动精准!A1" display="《手动精准》"/>
    <hyperlink ref="F21" location="'手动广泛&amp;词组'!A1" display="匹配方式为：广泛或词组"/>
    <hyperlink ref="F22" location="手动精准!A1" display="匹配方式：精准"/>
    <hyperlink ref="F20" location="'商品投放-PT-AISN'!A1" display="《商品投放PT-ASIN》"/>
    <hyperlink ref="F18" location="'手动广泛&amp;词组'!A1" display="匹配方式为：广泛或词组"/>
    <hyperlink ref="F19" location="手动精准!A1" display="匹配方式：精准"/>
    <hyperlink ref="F17" location="'商品投放-PT-AISN'!A1" display="《商品投放PT-ASIN》"/>
    <hyperlink ref="F15" location="'手动广泛&amp;词组'!A1" display="匹配方式为：广泛或词组"/>
    <hyperlink ref="F16" location="手动精准!A1" display="匹配方式：精准"/>
    <hyperlink ref="F14" location="'商品投放-PT-AISN'!A1" display="《商品投放PT-ASIN》"/>
    <hyperlink ref="F24" location="'手动广泛&amp;词组'!A1" display="匹配方式为：广泛或词组"/>
    <hyperlink ref="F25" location="手动精准!A1" display="匹配方式：精准"/>
    <hyperlink ref="F23" location="'商品投放-PT-AISN'!A1" display="《商品投放PT-ASIN》"/>
  </hyperlink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6"/>
  </sheetPr>
  <dimension ref="A1:K201"/>
  <sheetViews>
    <sheetView zoomScale="115" zoomScaleNormal="115" workbookViewId="0">
      <selection activeCell="I9" sqref="I9"/>
    </sheetView>
  </sheetViews>
  <sheetFormatPr defaultColWidth="8.72727272727273" defaultRowHeight="14"/>
  <cols>
    <col min="1" max="1" width="21.4545454545455" customWidth="1"/>
  </cols>
  <sheetData>
    <row r="1" ht="84" spans="1:11">
      <c r="A1" s="45" t="s">
        <v>45</v>
      </c>
      <c r="B1" s="45" t="s">
        <v>46</v>
      </c>
      <c r="C1" s="45" t="s">
        <v>47</v>
      </c>
      <c r="D1" s="45" t="s">
        <v>48</v>
      </c>
      <c r="E1" s="45" t="s">
        <v>49</v>
      </c>
      <c r="F1" s="45" t="s">
        <v>50</v>
      </c>
      <c r="G1" s="40" t="s">
        <v>51</v>
      </c>
      <c r="H1" s="67" t="s">
        <v>52</v>
      </c>
      <c r="I1" s="67" t="s">
        <v>53</v>
      </c>
      <c r="J1" s="40" t="s">
        <v>54</v>
      </c>
      <c r="K1" s="67" t="s">
        <v>55</v>
      </c>
    </row>
    <row r="2" spans="1:11">
      <c r="A2" s="68" t="s">
        <v>56</v>
      </c>
      <c r="B2" s="69">
        <v>114026</v>
      </c>
      <c r="C2" s="69">
        <v>1061</v>
      </c>
      <c r="D2" s="69">
        <v>1439.23</v>
      </c>
      <c r="E2" s="69">
        <v>3638.06</v>
      </c>
      <c r="F2" s="69">
        <v>79</v>
      </c>
      <c r="G2" s="70">
        <f>D2/C2</f>
        <v>1.35648444863336</v>
      </c>
      <c r="H2" s="71">
        <f t="shared" ref="H2:H65" si="0">F2/C2</f>
        <v>0.0744580584354383</v>
      </c>
      <c r="I2" s="71">
        <f t="shared" ref="I2:I65" si="1">D2/E2</f>
        <v>0.395603700873543</v>
      </c>
      <c r="J2" s="70">
        <f t="shared" ref="J2:J65" si="2">D2/F2</f>
        <v>18.2181012658228</v>
      </c>
      <c r="K2" s="71">
        <f t="shared" ref="K2:K65" si="3">C2/B2</f>
        <v>0.00930489537473909</v>
      </c>
    </row>
    <row r="3" spans="1:11">
      <c r="A3" s="68" t="s">
        <v>57</v>
      </c>
      <c r="B3" s="69">
        <v>130258</v>
      </c>
      <c r="C3" s="69">
        <v>1028</v>
      </c>
      <c r="D3" s="69">
        <v>1479.9</v>
      </c>
      <c r="E3" s="69">
        <v>3786.08</v>
      </c>
      <c r="F3" s="69">
        <v>82</v>
      </c>
      <c r="G3" s="70">
        <f t="shared" ref="G2:G65" si="4">D3/C3</f>
        <v>1.43959143968872</v>
      </c>
      <c r="H3" s="71">
        <f t="shared" si="0"/>
        <v>0.0797665369649805</v>
      </c>
      <c r="I3" s="71">
        <f t="shared" si="1"/>
        <v>0.390879220724338</v>
      </c>
      <c r="J3" s="70">
        <f t="shared" si="2"/>
        <v>18.0475609756098</v>
      </c>
      <c r="K3" s="71">
        <f t="shared" si="3"/>
        <v>0.00789202966420489</v>
      </c>
    </row>
    <row r="4" spans="1:11">
      <c r="A4" s="68" t="s">
        <v>58</v>
      </c>
      <c r="B4" s="69">
        <v>98337</v>
      </c>
      <c r="C4" s="69">
        <v>937</v>
      </c>
      <c r="D4" s="69">
        <v>1240.34</v>
      </c>
      <c r="E4" s="69">
        <v>3222.2</v>
      </c>
      <c r="F4" s="69">
        <v>70</v>
      </c>
      <c r="G4" s="70">
        <f t="shared" si="4"/>
        <v>1.32373532550694</v>
      </c>
      <c r="H4" s="71">
        <f t="shared" si="0"/>
        <v>0.0747065101387407</v>
      </c>
      <c r="I4" s="71">
        <f t="shared" si="1"/>
        <v>0.384935758177643</v>
      </c>
      <c r="J4" s="70">
        <f t="shared" si="2"/>
        <v>17.7191428571429</v>
      </c>
      <c r="K4" s="71">
        <f t="shared" si="3"/>
        <v>0.00952845826087841</v>
      </c>
    </row>
    <row r="5" spans="1:11">
      <c r="A5" s="72" t="s">
        <v>59</v>
      </c>
      <c r="B5" s="69">
        <v>99927</v>
      </c>
      <c r="C5" s="69">
        <v>771</v>
      </c>
      <c r="D5" s="69">
        <v>1072.1</v>
      </c>
      <c r="E5" s="69">
        <v>2960.37</v>
      </c>
      <c r="F5" s="69">
        <v>63</v>
      </c>
      <c r="G5" s="70">
        <f t="shared" si="4"/>
        <v>1.3905317769131</v>
      </c>
      <c r="H5" s="71">
        <f t="shared" si="0"/>
        <v>0.0817120622568093</v>
      </c>
      <c r="I5" s="71">
        <f t="shared" si="1"/>
        <v>0.362150677111307</v>
      </c>
      <c r="J5" s="70">
        <f t="shared" si="2"/>
        <v>17.0174603174603</v>
      </c>
      <c r="K5" s="71">
        <f t="shared" si="3"/>
        <v>0.00771563241166051</v>
      </c>
    </row>
    <row r="6" spans="1:11">
      <c r="A6" s="68" t="s">
        <v>60</v>
      </c>
      <c r="B6" s="69">
        <v>84117</v>
      </c>
      <c r="C6" s="69">
        <v>755</v>
      </c>
      <c r="D6" s="69">
        <v>1059.93</v>
      </c>
      <c r="E6" s="69">
        <v>2564.34</v>
      </c>
      <c r="F6" s="69">
        <v>56</v>
      </c>
      <c r="G6" s="70">
        <f t="shared" si="4"/>
        <v>1.40388079470199</v>
      </c>
      <c r="H6" s="71">
        <f t="shared" si="0"/>
        <v>0.0741721854304636</v>
      </c>
      <c r="I6" s="71">
        <f t="shared" si="1"/>
        <v>0.413334425232224</v>
      </c>
      <c r="J6" s="70">
        <f t="shared" si="2"/>
        <v>18.9273214285714</v>
      </c>
      <c r="K6" s="71">
        <f t="shared" si="3"/>
        <v>0.00897559351855154</v>
      </c>
    </row>
    <row r="7" spans="1:11">
      <c r="A7" s="68" t="s">
        <v>61</v>
      </c>
      <c r="B7" s="69">
        <v>26964</v>
      </c>
      <c r="C7" s="69">
        <v>300</v>
      </c>
      <c r="D7" s="69">
        <v>401.57</v>
      </c>
      <c r="E7" s="69">
        <v>1235.68</v>
      </c>
      <c r="F7" s="69">
        <v>27</v>
      </c>
      <c r="G7" s="70">
        <f t="shared" si="4"/>
        <v>1.33856666666667</v>
      </c>
      <c r="H7" s="71">
        <f t="shared" si="0"/>
        <v>0.09</v>
      </c>
      <c r="I7" s="71">
        <f t="shared" si="1"/>
        <v>0.324978958953774</v>
      </c>
      <c r="J7" s="70">
        <f t="shared" si="2"/>
        <v>14.872962962963</v>
      </c>
      <c r="K7" s="71">
        <f t="shared" si="3"/>
        <v>0.011125945705385</v>
      </c>
    </row>
    <row r="8" spans="1:11">
      <c r="A8" s="72" t="s">
        <v>60</v>
      </c>
      <c r="B8" s="69">
        <v>15868</v>
      </c>
      <c r="C8" s="69">
        <v>233</v>
      </c>
      <c r="D8" s="69">
        <v>250.92</v>
      </c>
      <c r="E8" s="69">
        <v>838.77</v>
      </c>
      <c r="F8" s="69">
        <v>18</v>
      </c>
      <c r="G8" s="70">
        <f t="shared" si="4"/>
        <v>1.07690987124464</v>
      </c>
      <c r="H8" s="71">
        <f t="shared" si="0"/>
        <v>0.0772532188841202</v>
      </c>
      <c r="I8" s="71">
        <f t="shared" si="1"/>
        <v>0.29915233019779</v>
      </c>
      <c r="J8" s="70">
        <f t="shared" si="2"/>
        <v>13.94</v>
      </c>
      <c r="K8" s="71">
        <f t="shared" si="3"/>
        <v>0.0146836400302496</v>
      </c>
    </row>
    <row r="9" spans="1:11">
      <c r="A9" s="68" t="s">
        <v>62</v>
      </c>
      <c r="B9" s="69">
        <v>4976</v>
      </c>
      <c r="C9" s="69">
        <v>183</v>
      </c>
      <c r="D9" s="69">
        <v>241.97</v>
      </c>
      <c r="E9" s="69">
        <v>603.82</v>
      </c>
      <c r="F9" s="69">
        <v>13</v>
      </c>
      <c r="G9" s="70">
        <f t="shared" si="4"/>
        <v>1.32224043715847</v>
      </c>
      <c r="H9" s="71">
        <f t="shared" si="0"/>
        <v>0.0710382513661202</v>
      </c>
      <c r="I9" s="71">
        <f t="shared" si="1"/>
        <v>0.400732006227021</v>
      </c>
      <c r="J9" s="70">
        <f t="shared" si="2"/>
        <v>18.6130769230769</v>
      </c>
      <c r="K9" s="71">
        <f t="shared" si="3"/>
        <v>0.0367765273311897</v>
      </c>
    </row>
    <row r="10" spans="1:11">
      <c r="A10" s="68" t="s">
        <v>63</v>
      </c>
      <c r="B10" s="69">
        <v>4953</v>
      </c>
      <c r="C10" s="69">
        <v>165</v>
      </c>
      <c r="D10" s="69">
        <v>216.61</v>
      </c>
      <c r="E10" s="69">
        <v>556.83</v>
      </c>
      <c r="F10" s="69">
        <v>12</v>
      </c>
      <c r="G10" s="70">
        <f t="shared" si="4"/>
        <v>1.31278787878788</v>
      </c>
      <c r="H10" s="71">
        <f t="shared" si="0"/>
        <v>0.0727272727272727</v>
      </c>
      <c r="I10" s="71">
        <f t="shared" si="1"/>
        <v>0.389005621105185</v>
      </c>
      <c r="J10" s="70">
        <f t="shared" si="2"/>
        <v>18.0508333333333</v>
      </c>
      <c r="K10" s="71">
        <f t="shared" si="3"/>
        <v>0.033313143549364</v>
      </c>
    </row>
    <row r="11" spans="1:11">
      <c r="A11" s="72" t="s">
        <v>64</v>
      </c>
      <c r="B11" s="69">
        <v>9908</v>
      </c>
      <c r="C11" s="69">
        <v>141</v>
      </c>
      <c r="D11" s="69">
        <v>170.57</v>
      </c>
      <c r="E11" s="69">
        <v>321.88</v>
      </c>
      <c r="F11" s="69">
        <v>7</v>
      </c>
      <c r="G11" s="70">
        <f t="shared" si="4"/>
        <v>1.20971631205674</v>
      </c>
      <c r="H11" s="71">
        <f t="shared" si="0"/>
        <v>0.049645390070922</v>
      </c>
      <c r="I11" s="71">
        <f t="shared" si="1"/>
        <v>0.529917981856593</v>
      </c>
      <c r="J11" s="70">
        <f t="shared" si="2"/>
        <v>24.3671428571429</v>
      </c>
      <c r="K11" s="71">
        <f t="shared" si="3"/>
        <v>0.0142309245054501</v>
      </c>
    </row>
    <row r="12" spans="1:11">
      <c r="A12" s="68" t="s">
        <v>65</v>
      </c>
      <c r="B12" s="69">
        <v>9033</v>
      </c>
      <c r="C12" s="69">
        <v>132</v>
      </c>
      <c r="D12" s="69">
        <v>204.79</v>
      </c>
      <c r="E12" s="69">
        <v>556.83</v>
      </c>
      <c r="F12" s="69">
        <v>12</v>
      </c>
      <c r="G12" s="70">
        <f t="shared" si="4"/>
        <v>1.55143939393939</v>
      </c>
      <c r="H12" s="71">
        <f t="shared" si="0"/>
        <v>0.0909090909090909</v>
      </c>
      <c r="I12" s="71">
        <f t="shared" si="1"/>
        <v>0.367778316541853</v>
      </c>
      <c r="J12" s="70">
        <f t="shared" si="2"/>
        <v>17.0658333333333</v>
      </c>
      <c r="K12" s="71">
        <f t="shared" si="3"/>
        <v>0.0146130853537031</v>
      </c>
    </row>
    <row r="13" spans="1:11">
      <c r="A13" s="68" t="s">
        <v>66</v>
      </c>
      <c r="B13" s="69">
        <v>3374</v>
      </c>
      <c r="C13" s="69">
        <v>64</v>
      </c>
      <c r="D13" s="69">
        <v>86.74</v>
      </c>
      <c r="E13" s="69">
        <v>274.89</v>
      </c>
      <c r="F13" s="69">
        <v>6</v>
      </c>
      <c r="G13" s="70">
        <f t="shared" si="4"/>
        <v>1.3553125</v>
      </c>
      <c r="H13" s="71">
        <f t="shared" si="0"/>
        <v>0.09375</v>
      </c>
      <c r="I13" s="71">
        <f t="shared" si="1"/>
        <v>0.315544399578013</v>
      </c>
      <c r="J13" s="70">
        <f t="shared" si="2"/>
        <v>14.4566666666667</v>
      </c>
      <c r="K13" s="71">
        <f t="shared" si="3"/>
        <v>0.018968583283936</v>
      </c>
    </row>
    <row r="14" spans="1:11">
      <c r="A14" s="73" t="s">
        <v>67</v>
      </c>
      <c r="B14" s="74">
        <v>3485</v>
      </c>
      <c r="C14" s="74">
        <v>37</v>
      </c>
      <c r="D14" s="74">
        <v>44.4</v>
      </c>
      <c r="E14" s="74">
        <v>46.99</v>
      </c>
      <c r="F14" s="74">
        <v>1</v>
      </c>
      <c r="G14" s="75">
        <f t="shared" si="4"/>
        <v>1.2</v>
      </c>
      <c r="H14" s="76">
        <f t="shared" si="0"/>
        <v>0.027027027027027</v>
      </c>
      <c r="I14" s="76">
        <f t="shared" si="1"/>
        <v>0.944881889763779</v>
      </c>
      <c r="J14" s="75">
        <f t="shared" si="2"/>
        <v>44.4</v>
      </c>
      <c r="K14" s="76">
        <f t="shared" si="3"/>
        <v>0.0106169296987088</v>
      </c>
    </row>
    <row r="15" spans="1:11">
      <c r="A15" s="73" t="s">
        <v>68</v>
      </c>
      <c r="B15" s="74">
        <v>3442</v>
      </c>
      <c r="C15" s="74">
        <v>31</v>
      </c>
      <c r="D15" s="74">
        <v>39.34</v>
      </c>
      <c r="E15" s="74">
        <v>46.99</v>
      </c>
      <c r="F15" s="74">
        <v>1</v>
      </c>
      <c r="G15" s="75">
        <f t="shared" si="4"/>
        <v>1.26903225806452</v>
      </c>
      <c r="H15" s="76">
        <f t="shared" si="0"/>
        <v>0.032258064516129</v>
      </c>
      <c r="I15" s="76">
        <f t="shared" si="1"/>
        <v>0.837199404128538</v>
      </c>
      <c r="J15" s="75">
        <f t="shared" si="2"/>
        <v>39.34</v>
      </c>
      <c r="K15" s="76">
        <f t="shared" si="3"/>
        <v>0.00900639163277164</v>
      </c>
    </row>
    <row r="16" spans="1:11">
      <c r="A16" s="73" t="s">
        <v>69</v>
      </c>
      <c r="B16" s="74">
        <v>1003</v>
      </c>
      <c r="C16" s="74">
        <v>25</v>
      </c>
      <c r="D16" s="74">
        <v>29.08</v>
      </c>
      <c r="E16" s="74">
        <v>0</v>
      </c>
      <c r="F16" s="74">
        <v>0</v>
      </c>
      <c r="G16" s="75">
        <f t="shared" si="4"/>
        <v>1.1632</v>
      </c>
      <c r="H16" s="76">
        <f t="shared" si="0"/>
        <v>0</v>
      </c>
      <c r="I16" s="76" t="e">
        <f t="shared" si="1"/>
        <v>#DIV/0!</v>
      </c>
      <c r="J16" s="75" t="e">
        <f t="shared" si="2"/>
        <v>#DIV/0!</v>
      </c>
      <c r="K16" s="76">
        <f t="shared" si="3"/>
        <v>0.0249252243270189</v>
      </c>
    </row>
    <row r="17" spans="1:11">
      <c r="A17" s="68" t="s">
        <v>70</v>
      </c>
      <c r="B17" s="69">
        <v>227</v>
      </c>
      <c r="C17" s="69">
        <v>20</v>
      </c>
      <c r="D17" s="69">
        <v>31.09</v>
      </c>
      <c r="E17" s="69">
        <v>93.98</v>
      </c>
      <c r="F17" s="69">
        <v>2</v>
      </c>
      <c r="G17" s="70">
        <f t="shared" si="4"/>
        <v>1.5545</v>
      </c>
      <c r="H17" s="71">
        <f t="shared" si="0"/>
        <v>0.1</v>
      </c>
      <c r="I17" s="71">
        <f t="shared" si="1"/>
        <v>0.330815067035539</v>
      </c>
      <c r="J17" s="70">
        <f t="shared" si="2"/>
        <v>15.545</v>
      </c>
      <c r="K17" s="71">
        <f t="shared" si="3"/>
        <v>0.0881057268722467</v>
      </c>
    </row>
    <row r="18" spans="1:11">
      <c r="A18" s="73" t="s">
        <v>71</v>
      </c>
      <c r="B18" s="74">
        <v>2103</v>
      </c>
      <c r="C18" s="74">
        <v>17</v>
      </c>
      <c r="D18" s="74">
        <v>21.23</v>
      </c>
      <c r="E18" s="74">
        <v>0</v>
      </c>
      <c r="F18" s="74">
        <v>0</v>
      </c>
      <c r="G18" s="75">
        <f t="shared" si="4"/>
        <v>1.24882352941176</v>
      </c>
      <c r="H18" s="76">
        <f t="shared" si="0"/>
        <v>0</v>
      </c>
      <c r="I18" s="76" t="e">
        <f t="shared" si="1"/>
        <v>#DIV/0!</v>
      </c>
      <c r="J18" s="75" t="e">
        <f t="shared" si="2"/>
        <v>#DIV/0!</v>
      </c>
      <c r="K18" s="76">
        <f t="shared" si="3"/>
        <v>0.00808368996671422</v>
      </c>
    </row>
    <row r="19" spans="1:11">
      <c r="A19" s="73" t="s">
        <v>72</v>
      </c>
      <c r="B19" s="74">
        <v>894</v>
      </c>
      <c r="C19" s="74">
        <v>17</v>
      </c>
      <c r="D19" s="74">
        <v>24.49</v>
      </c>
      <c r="E19" s="74">
        <v>46.99</v>
      </c>
      <c r="F19" s="74">
        <v>1</v>
      </c>
      <c r="G19" s="75">
        <f t="shared" si="4"/>
        <v>1.44058823529412</v>
      </c>
      <c r="H19" s="76">
        <f t="shared" si="0"/>
        <v>0.0588235294117647</v>
      </c>
      <c r="I19" s="76">
        <f t="shared" si="1"/>
        <v>0.521174718025112</v>
      </c>
      <c r="J19" s="75">
        <f t="shared" si="2"/>
        <v>24.49</v>
      </c>
      <c r="K19" s="76">
        <f t="shared" si="3"/>
        <v>0.0190156599552573</v>
      </c>
    </row>
    <row r="20" spans="1:11">
      <c r="A20" s="68" t="s">
        <v>73</v>
      </c>
      <c r="B20" s="69">
        <v>347</v>
      </c>
      <c r="C20" s="69">
        <v>17</v>
      </c>
      <c r="D20" s="69">
        <v>24.08</v>
      </c>
      <c r="E20" s="69">
        <v>46.99</v>
      </c>
      <c r="F20" s="69">
        <v>1</v>
      </c>
      <c r="G20" s="70">
        <f t="shared" si="4"/>
        <v>1.41647058823529</v>
      </c>
      <c r="H20" s="71">
        <f t="shared" si="0"/>
        <v>0.0588235294117647</v>
      </c>
      <c r="I20" s="71">
        <f t="shared" si="1"/>
        <v>0.512449457331347</v>
      </c>
      <c r="J20" s="70">
        <f t="shared" si="2"/>
        <v>24.08</v>
      </c>
      <c r="K20" s="71">
        <f t="shared" si="3"/>
        <v>0.0489913544668588</v>
      </c>
    </row>
    <row r="21" spans="1:11">
      <c r="A21" s="68" t="s">
        <v>74</v>
      </c>
      <c r="B21" s="69">
        <v>2061</v>
      </c>
      <c r="C21" s="69">
        <v>16</v>
      </c>
      <c r="D21" s="69">
        <v>23.3</v>
      </c>
      <c r="E21" s="69">
        <v>46.99</v>
      </c>
      <c r="F21" s="69">
        <v>1</v>
      </c>
      <c r="G21" s="70">
        <f t="shared" si="4"/>
        <v>1.45625</v>
      </c>
      <c r="H21" s="71">
        <f t="shared" si="0"/>
        <v>0.0625</v>
      </c>
      <c r="I21" s="71">
        <f t="shared" si="1"/>
        <v>0.495850180889551</v>
      </c>
      <c r="J21" s="70">
        <f t="shared" si="2"/>
        <v>23.3</v>
      </c>
      <c r="K21" s="71">
        <f t="shared" si="3"/>
        <v>0.00776322173702086</v>
      </c>
    </row>
    <row r="22" spans="1:11">
      <c r="A22" s="68" t="s">
        <v>75</v>
      </c>
      <c r="B22" s="69">
        <v>2084</v>
      </c>
      <c r="C22" s="69">
        <v>15</v>
      </c>
      <c r="D22" s="69">
        <v>21.26</v>
      </c>
      <c r="E22" s="69">
        <v>46.99</v>
      </c>
      <c r="F22" s="69">
        <v>1</v>
      </c>
      <c r="G22" s="70">
        <f t="shared" si="4"/>
        <v>1.41733333333333</v>
      </c>
      <c r="H22" s="71">
        <f t="shared" si="0"/>
        <v>0.0666666666666667</v>
      </c>
      <c r="I22" s="71">
        <f t="shared" si="1"/>
        <v>0.452436688657161</v>
      </c>
      <c r="J22" s="70">
        <f t="shared" si="2"/>
        <v>21.26</v>
      </c>
      <c r="K22" s="71">
        <f t="shared" si="3"/>
        <v>0.00719769673704415</v>
      </c>
    </row>
    <row r="23" spans="1:11">
      <c r="A23" s="68" t="s">
        <v>76</v>
      </c>
      <c r="B23" s="69">
        <v>390</v>
      </c>
      <c r="C23" s="69">
        <v>15</v>
      </c>
      <c r="D23" s="69">
        <v>20.36</v>
      </c>
      <c r="E23" s="69">
        <v>46.99</v>
      </c>
      <c r="F23" s="69">
        <v>1</v>
      </c>
      <c r="G23" s="70">
        <f t="shared" si="4"/>
        <v>1.35733333333333</v>
      </c>
      <c r="H23" s="71">
        <f t="shared" si="0"/>
        <v>0.0666666666666667</v>
      </c>
      <c r="I23" s="71">
        <f t="shared" si="1"/>
        <v>0.433283677378166</v>
      </c>
      <c r="J23" s="70">
        <f t="shared" si="2"/>
        <v>20.36</v>
      </c>
      <c r="K23" s="71">
        <f t="shared" si="3"/>
        <v>0.0384615384615385</v>
      </c>
    </row>
    <row r="24" spans="1:11">
      <c r="A24" s="68" t="s">
        <v>77</v>
      </c>
      <c r="B24" s="69">
        <v>771</v>
      </c>
      <c r="C24" s="69">
        <v>14</v>
      </c>
      <c r="D24" s="69">
        <v>18.21</v>
      </c>
      <c r="E24" s="69">
        <v>46.99</v>
      </c>
      <c r="F24" s="69">
        <v>1</v>
      </c>
      <c r="G24" s="70">
        <f t="shared" si="4"/>
        <v>1.30071428571429</v>
      </c>
      <c r="H24" s="71">
        <f t="shared" si="0"/>
        <v>0.0714285714285714</v>
      </c>
      <c r="I24" s="71">
        <f t="shared" si="1"/>
        <v>0.38752926154501</v>
      </c>
      <c r="J24" s="70">
        <f t="shared" si="2"/>
        <v>18.21</v>
      </c>
      <c r="K24" s="71">
        <f t="shared" si="3"/>
        <v>0.0181582360570687</v>
      </c>
    </row>
    <row r="25" spans="1:11">
      <c r="A25" s="68" t="s">
        <v>78</v>
      </c>
      <c r="B25" s="69">
        <v>152</v>
      </c>
      <c r="C25" s="69">
        <v>14</v>
      </c>
      <c r="D25" s="69">
        <v>20.01</v>
      </c>
      <c r="E25" s="69">
        <v>93.98</v>
      </c>
      <c r="F25" s="69">
        <v>2</v>
      </c>
      <c r="G25" s="70">
        <f t="shared" si="4"/>
        <v>1.42928571428571</v>
      </c>
      <c r="H25" s="71">
        <f t="shared" si="0"/>
        <v>0.142857142857143</v>
      </c>
      <c r="I25" s="71">
        <f t="shared" si="1"/>
        <v>0.2129176420515</v>
      </c>
      <c r="J25" s="70">
        <f t="shared" si="2"/>
        <v>10.005</v>
      </c>
      <c r="K25" s="71">
        <f t="shared" si="3"/>
        <v>0.0921052631578947</v>
      </c>
    </row>
    <row r="26" spans="1:11">
      <c r="A26" s="68" t="s">
        <v>79</v>
      </c>
      <c r="B26" s="69">
        <v>762</v>
      </c>
      <c r="C26" s="69">
        <v>11</v>
      </c>
      <c r="D26" s="69">
        <v>13.81</v>
      </c>
      <c r="E26" s="69">
        <v>0</v>
      </c>
      <c r="F26" s="69">
        <v>0</v>
      </c>
      <c r="G26" s="70">
        <f t="shared" si="4"/>
        <v>1.25545454545455</v>
      </c>
      <c r="H26" s="71">
        <f t="shared" si="0"/>
        <v>0</v>
      </c>
      <c r="I26" s="71" t="e">
        <f t="shared" si="1"/>
        <v>#DIV/0!</v>
      </c>
      <c r="J26" s="70" t="e">
        <f t="shared" si="2"/>
        <v>#DIV/0!</v>
      </c>
      <c r="K26" s="71">
        <f t="shared" si="3"/>
        <v>0.0144356955380577</v>
      </c>
    </row>
    <row r="27" spans="1:11">
      <c r="A27" s="68" t="s">
        <v>80</v>
      </c>
      <c r="B27" s="69">
        <v>76</v>
      </c>
      <c r="C27" s="69">
        <v>10</v>
      </c>
      <c r="D27" s="69">
        <v>10</v>
      </c>
      <c r="E27" s="69">
        <v>46.99</v>
      </c>
      <c r="F27" s="69">
        <v>1</v>
      </c>
      <c r="G27" s="70">
        <f t="shared" si="4"/>
        <v>1</v>
      </c>
      <c r="H27" s="71">
        <f t="shared" si="0"/>
        <v>0.1</v>
      </c>
      <c r="I27" s="71">
        <f t="shared" si="1"/>
        <v>0.212811236433284</v>
      </c>
      <c r="J27" s="70">
        <f t="shared" si="2"/>
        <v>10</v>
      </c>
      <c r="K27" s="71">
        <f t="shared" si="3"/>
        <v>0.131578947368421</v>
      </c>
    </row>
    <row r="28" spans="1:11">
      <c r="A28" s="68" t="s">
        <v>81</v>
      </c>
      <c r="B28" s="69">
        <v>157</v>
      </c>
      <c r="C28" s="69">
        <v>8</v>
      </c>
      <c r="D28" s="69">
        <v>10.8</v>
      </c>
      <c r="E28" s="69">
        <v>0</v>
      </c>
      <c r="F28" s="69">
        <v>0</v>
      </c>
      <c r="G28" s="70">
        <f t="shared" si="4"/>
        <v>1.35</v>
      </c>
      <c r="H28" s="71">
        <f t="shared" si="0"/>
        <v>0</v>
      </c>
      <c r="I28" s="71" t="e">
        <f t="shared" si="1"/>
        <v>#DIV/0!</v>
      </c>
      <c r="J28" s="70" t="e">
        <f t="shared" si="2"/>
        <v>#DIV/0!</v>
      </c>
      <c r="K28" s="71">
        <f t="shared" si="3"/>
        <v>0.0509554140127389</v>
      </c>
    </row>
    <row r="29" spans="1:11">
      <c r="A29" s="68" t="s">
        <v>82</v>
      </c>
      <c r="B29" s="69">
        <v>79</v>
      </c>
      <c r="C29" s="69">
        <v>8</v>
      </c>
      <c r="D29" s="69">
        <v>9.27</v>
      </c>
      <c r="E29" s="69">
        <v>46.99</v>
      </c>
      <c r="F29" s="69">
        <v>1</v>
      </c>
      <c r="G29" s="70">
        <f t="shared" si="4"/>
        <v>1.15875</v>
      </c>
      <c r="H29" s="71">
        <f t="shared" si="0"/>
        <v>0.125</v>
      </c>
      <c r="I29" s="71">
        <f t="shared" si="1"/>
        <v>0.197276016173654</v>
      </c>
      <c r="J29" s="70">
        <f t="shared" si="2"/>
        <v>9.27</v>
      </c>
      <c r="K29" s="71">
        <f t="shared" si="3"/>
        <v>0.10126582278481</v>
      </c>
    </row>
    <row r="30" spans="1:11">
      <c r="A30" s="68" t="s">
        <v>83</v>
      </c>
      <c r="B30" s="69">
        <v>2014</v>
      </c>
      <c r="C30" s="69">
        <v>7</v>
      </c>
      <c r="D30" s="69">
        <v>11.38</v>
      </c>
      <c r="E30" s="69">
        <v>46.99</v>
      </c>
      <c r="F30" s="69">
        <v>1</v>
      </c>
      <c r="G30" s="70">
        <f t="shared" si="4"/>
        <v>1.62571428571429</v>
      </c>
      <c r="H30" s="71">
        <f t="shared" si="0"/>
        <v>0.142857142857143</v>
      </c>
      <c r="I30" s="71">
        <f t="shared" si="1"/>
        <v>0.242179187061077</v>
      </c>
      <c r="J30" s="70">
        <f t="shared" si="2"/>
        <v>11.38</v>
      </c>
      <c r="K30" s="71">
        <f t="shared" si="3"/>
        <v>0.00347567030784508</v>
      </c>
    </row>
    <row r="31" spans="1:11">
      <c r="A31" s="68" t="s">
        <v>84</v>
      </c>
      <c r="B31" s="69">
        <v>44</v>
      </c>
      <c r="C31" s="69">
        <v>7</v>
      </c>
      <c r="D31" s="69">
        <v>10.85</v>
      </c>
      <c r="E31" s="69">
        <v>46.99</v>
      </c>
      <c r="F31" s="69">
        <v>1</v>
      </c>
      <c r="G31" s="70">
        <f t="shared" si="4"/>
        <v>1.55</v>
      </c>
      <c r="H31" s="71">
        <f t="shared" si="0"/>
        <v>0.142857142857143</v>
      </c>
      <c r="I31" s="71">
        <f t="shared" si="1"/>
        <v>0.230900191530113</v>
      </c>
      <c r="J31" s="70">
        <f t="shared" si="2"/>
        <v>10.85</v>
      </c>
      <c r="K31" s="71">
        <f t="shared" si="3"/>
        <v>0.159090909090909</v>
      </c>
    </row>
    <row r="32" spans="1:11">
      <c r="A32" s="68" t="s">
        <v>85</v>
      </c>
      <c r="B32" s="69">
        <v>9</v>
      </c>
      <c r="C32" s="69">
        <v>6</v>
      </c>
      <c r="D32" s="69">
        <v>5.82</v>
      </c>
      <c r="E32" s="69">
        <v>113.97</v>
      </c>
      <c r="F32" s="69">
        <v>3</v>
      </c>
      <c r="G32" s="70">
        <f t="shared" si="4"/>
        <v>0.97</v>
      </c>
      <c r="H32" s="71">
        <f t="shared" si="0"/>
        <v>0.5</v>
      </c>
      <c r="I32" s="71">
        <f t="shared" si="1"/>
        <v>0.0510660700184259</v>
      </c>
      <c r="J32" s="70">
        <f t="shared" si="2"/>
        <v>1.94</v>
      </c>
      <c r="K32" s="71">
        <f t="shared" si="3"/>
        <v>0.666666666666667</v>
      </c>
    </row>
    <row r="33" spans="1:11">
      <c r="A33" s="68" t="s">
        <v>86</v>
      </c>
      <c r="B33" s="69">
        <v>19</v>
      </c>
      <c r="C33" s="69">
        <v>6</v>
      </c>
      <c r="D33" s="69">
        <v>7.58</v>
      </c>
      <c r="E33" s="69">
        <v>0</v>
      </c>
      <c r="F33" s="69">
        <v>0</v>
      </c>
      <c r="G33" s="70">
        <f t="shared" si="4"/>
        <v>1.26333333333333</v>
      </c>
      <c r="H33" s="71">
        <f t="shared" si="0"/>
        <v>0</v>
      </c>
      <c r="I33" s="71" t="e">
        <f t="shared" si="1"/>
        <v>#DIV/0!</v>
      </c>
      <c r="J33" s="70" t="e">
        <f t="shared" si="2"/>
        <v>#DIV/0!</v>
      </c>
      <c r="K33" s="71">
        <f t="shared" si="3"/>
        <v>0.315789473684211</v>
      </c>
    </row>
    <row r="34" spans="1:11">
      <c r="A34" s="68" t="s">
        <v>87</v>
      </c>
      <c r="B34" s="69">
        <v>41</v>
      </c>
      <c r="C34" s="69">
        <v>6</v>
      </c>
      <c r="D34" s="69">
        <v>9.25</v>
      </c>
      <c r="E34" s="69">
        <v>0</v>
      </c>
      <c r="F34" s="69">
        <v>0</v>
      </c>
      <c r="G34" s="70">
        <f t="shared" si="4"/>
        <v>1.54166666666667</v>
      </c>
      <c r="H34" s="71">
        <f t="shared" si="0"/>
        <v>0</v>
      </c>
      <c r="I34" s="71" t="e">
        <f t="shared" si="1"/>
        <v>#DIV/0!</v>
      </c>
      <c r="J34" s="70" t="e">
        <f t="shared" si="2"/>
        <v>#DIV/0!</v>
      </c>
      <c r="K34" s="71">
        <f t="shared" si="3"/>
        <v>0.146341463414634</v>
      </c>
    </row>
    <row r="35" spans="1:11">
      <c r="A35" s="68" t="s">
        <v>88</v>
      </c>
      <c r="B35" s="69">
        <v>316</v>
      </c>
      <c r="C35" s="69">
        <v>6</v>
      </c>
      <c r="D35" s="69">
        <v>8.38</v>
      </c>
      <c r="E35" s="69">
        <v>0</v>
      </c>
      <c r="F35" s="69">
        <v>0</v>
      </c>
      <c r="G35" s="70">
        <f t="shared" si="4"/>
        <v>1.39666666666667</v>
      </c>
      <c r="H35" s="71">
        <f t="shared" si="0"/>
        <v>0</v>
      </c>
      <c r="I35" s="71" t="e">
        <f t="shared" si="1"/>
        <v>#DIV/0!</v>
      </c>
      <c r="J35" s="70" t="e">
        <f t="shared" si="2"/>
        <v>#DIV/0!</v>
      </c>
      <c r="K35" s="71">
        <f t="shared" si="3"/>
        <v>0.0189873417721519</v>
      </c>
    </row>
    <row r="36" spans="1:11">
      <c r="A36" s="68" t="s">
        <v>89</v>
      </c>
      <c r="B36" s="69">
        <v>210</v>
      </c>
      <c r="C36" s="69">
        <v>5</v>
      </c>
      <c r="D36" s="69">
        <v>5.35</v>
      </c>
      <c r="E36" s="69">
        <v>0</v>
      </c>
      <c r="F36" s="69">
        <v>0</v>
      </c>
      <c r="G36" s="70">
        <f t="shared" si="4"/>
        <v>1.07</v>
      </c>
      <c r="H36" s="71">
        <f t="shared" si="0"/>
        <v>0</v>
      </c>
      <c r="I36" s="71" t="e">
        <f t="shared" si="1"/>
        <v>#DIV/0!</v>
      </c>
      <c r="J36" s="70" t="e">
        <f t="shared" si="2"/>
        <v>#DIV/0!</v>
      </c>
      <c r="K36" s="71">
        <f t="shared" si="3"/>
        <v>0.0238095238095238</v>
      </c>
    </row>
    <row r="37" spans="1:11">
      <c r="A37" s="68" t="s">
        <v>90</v>
      </c>
      <c r="B37" s="69">
        <v>559</v>
      </c>
      <c r="C37" s="69">
        <v>5</v>
      </c>
      <c r="D37" s="69">
        <v>7.41</v>
      </c>
      <c r="E37" s="69">
        <v>46.99</v>
      </c>
      <c r="F37" s="69">
        <v>1</v>
      </c>
      <c r="G37" s="70">
        <f t="shared" si="4"/>
        <v>1.482</v>
      </c>
      <c r="H37" s="71">
        <f t="shared" si="0"/>
        <v>0.2</v>
      </c>
      <c r="I37" s="71">
        <f t="shared" si="1"/>
        <v>0.157693126197063</v>
      </c>
      <c r="J37" s="70">
        <f t="shared" si="2"/>
        <v>7.41</v>
      </c>
      <c r="K37" s="71">
        <f t="shared" si="3"/>
        <v>0.00894454382826476</v>
      </c>
    </row>
    <row r="38" spans="1:11">
      <c r="A38" s="68" t="s">
        <v>91</v>
      </c>
      <c r="B38" s="69">
        <v>28</v>
      </c>
      <c r="C38" s="69">
        <v>5</v>
      </c>
      <c r="D38" s="69">
        <v>6.1</v>
      </c>
      <c r="E38" s="69">
        <v>0</v>
      </c>
      <c r="F38" s="69">
        <v>0</v>
      </c>
      <c r="G38" s="70">
        <f t="shared" si="4"/>
        <v>1.22</v>
      </c>
      <c r="H38" s="71">
        <f t="shared" si="0"/>
        <v>0</v>
      </c>
      <c r="I38" s="71" t="e">
        <f t="shared" si="1"/>
        <v>#DIV/0!</v>
      </c>
      <c r="J38" s="70" t="e">
        <f t="shared" si="2"/>
        <v>#DIV/0!</v>
      </c>
      <c r="K38" s="71">
        <f t="shared" si="3"/>
        <v>0.178571428571429</v>
      </c>
    </row>
    <row r="39" spans="1:11">
      <c r="A39" s="68" t="s">
        <v>92</v>
      </c>
      <c r="B39" s="69">
        <v>60</v>
      </c>
      <c r="C39" s="69">
        <v>5</v>
      </c>
      <c r="D39" s="69">
        <v>7.3</v>
      </c>
      <c r="E39" s="69">
        <v>46.99</v>
      </c>
      <c r="F39" s="69">
        <v>1</v>
      </c>
      <c r="G39" s="70">
        <f t="shared" si="4"/>
        <v>1.46</v>
      </c>
      <c r="H39" s="71">
        <f t="shared" si="0"/>
        <v>0.2</v>
      </c>
      <c r="I39" s="71">
        <f t="shared" si="1"/>
        <v>0.155352202596297</v>
      </c>
      <c r="J39" s="70">
        <f t="shared" si="2"/>
        <v>7.3</v>
      </c>
      <c r="K39" s="71">
        <f t="shared" si="3"/>
        <v>0.0833333333333333</v>
      </c>
    </row>
    <row r="40" spans="1:11">
      <c r="A40" s="68" t="s">
        <v>93</v>
      </c>
      <c r="B40" s="69">
        <v>33</v>
      </c>
      <c r="C40" s="69">
        <v>5</v>
      </c>
      <c r="D40" s="69">
        <v>5.22</v>
      </c>
      <c r="E40" s="69">
        <v>0</v>
      </c>
      <c r="F40" s="69">
        <v>0</v>
      </c>
      <c r="G40" s="70">
        <f t="shared" si="4"/>
        <v>1.044</v>
      </c>
      <c r="H40" s="71">
        <f t="shared" si="0"/>
        <v>0</v>
      </c>
      <c r="I40" s="71" t="e">
        <f t="shared" si="1"/>
        <v>#DIV/0!</v>
      </c>
      <c r="J40" s="70" t="e">
        <f t="shared" si="2"/>
        <v>#DIV/0!</v>
      </c>
      <c r="K40" s="71">
        <f t="shared" si="3"/>
        <v>0.151515151515152</v>
      </c>
    </row>
    <row r="41" spans="1:11">
      <c r="A41" s="68" t="s">
        <v>94</v>
      </c>
      <c r="B41" s="69">
        <v>33</v>
      </c>
      <c r="C41" s="69">
        <v>5</v>
      </c>
      <c r="D41" s="69">
        <v>8.5</v>
      </c>
      <c r="E41" s="69">
        <v>0</v>
      </c>
      <c r="F41" s="69">
        <v>0</v>
      </c>
      <c r="G41" s="70">
        <f t="shared" si="4"/>
        <v>1.7</v>
      </c>
      <c r="H41" s="71">
        <f t="shared" si="0"/>
        <v>0</v>
      </c>
      <c r="I41" s="71" t="e">
        <f t="shared" si="1"/>
        <v>#DIV/0!</v>
      </c>
      <c r="J41" s="70" t="e">
        <f t="shared" si="2"/>
        <v>#DIV/0!</v>
      </c>
      <c r="K41" s="71">
        <f t="shared" si="3"/>
        <v>0.151515151515152</v>
      </c>
    </row>
    <row r="42" spans="1:11">
      <c r="A42" s="68" t="s">
        <v>95</v>
      </c>
      <c r="B42" s="69">
        <v>24</v>
      </c>
      <c r="C42" s="69">
        <v>5</v>
      </c>
      <c r="D42" s="69">
        <v>7.44</v>
      </c>
      <c r="E42" s="69">
        <v>0</v>
      </c>
      <c r="F42" s="69">
        <v>0</v>
      </c>
      <c r="G42" s="70">
        <f t="shared" si="4"/>
        <v>1.488</v>
      </c>
      <c r="H42" s="71">
        <f t="shared" si="0"/>
        <v>0</v>
      </c>
      <c r="I42" s="71" t="e">
        <f t="shared" si="1"/>
        <v>#DIV/0!</v>
      </c>
      <c r="J42" s="70" t="e">
        <f t="shared" si="2"/>
        <v>#DIV/0!</v>
      </c>
      <c r="K42" s="71">
        <f t="shared" si="3"/>
        <v>0.208333333333333</v>
      </c>
    </row>
    <row r="43" spans="1:11">
      <c r="A43" s="68" t="s">
        <v>96</v>
      </c>
      <c r="B43" s="69">
        <v>8</v>
      </c>
      <c r="C43" s="69">
        <v>5</v>
      </c>
      <c r="D43" s="69">
        <v>5.51</v>
      </c>
      <c r="E43" s="69">
        <v>0</v>
      </c>
      <c r="F43" s="69">
        <v>0</v>
      </c>
      <c r="G43" s="70">
        <f t="shared" si="4"/>
        <v>1.102</v>
      </c>
      <c r="H43" s="71">
        <f t="shared" si="0"/>
        <v>0</v>
      </c>
      <c r="I43" s="71" t="e">
        <f t="shared" si="1"/>
        <v>#DIV/0!</v>
      </c>
      <c r="J43" s="70" t="e">
        <f t="shared" si="2"/>
        <v>#DIV/0!</v>
      </c>
      <c r="K43" s="71">
        <f t="shared" si="3"/>
        <v>0.625</v>
      </c>
    </row>
    <row r="44" spans="1:11">
      <c r="A44" s="68" t="s">
        <v>97</v>
      </c>
      <c r="B44" s="69">
        <v>412</v>
      </c>
      <c r="C44" s="69">
        <v>4</v>
      </c>
      <c r="D44" s="69">
        <v>6.66</v>
      </c>
      <c r="E44" s="69">
        <v>46.99</v>
      </c>
      <c r="F44" s="69">
        <v>1</v>
      </c>
      <c r="G44" s="70">
        <f t="shared" si="4"/>
        <v>1.665</v>
      </c>
      <c r="H44" s="71">
        <f t="shared" si="0"/>
        <v>0.25</v>
      </c>
      <c r="I44" s="71">
        <f t="shared" si="1"/>
        <v>0.141732283464567</v>
      </c>
      <c r="J44" s="70">
        <f t="shared" si="2"/>
        <v>6.66</v>
      </c>
      <c r="K44" s="71">
        <f t="shared" si="3"/>
        <v>0.00970873786407767</v>
      </c>
    </row>
    <row r="45" spans="1:11">
      <c r="A45" s="68" t="s">
        <v>98</v>
      </c>
      <c r="B45" s="69">
        <v>47</v>
      </c>
      <c r="C45" s="69">
        <v>4</v>
      </c>
      <c r="D45" s="69">
        <v>4.92</v>
      </c>
      <c r="E45" s="69">
        <v>0</v>
      </c>
      <c r="F45" s="69">
        <v>0</v>
      </c>
      <c r="G45" s="70">
        <f t="shared" si="4"/>
        <v>1.23</v>
      </c>
      <c r="H45" s="71">
        <f t="shared" si="0"/>
        <v>0</v>
      </c>
      <c r="I45" s="71" t="e">
        <f t="shared" si="1"/>
        <v>#DIV/0!</v>
      </c>
      <c r="J45" s="70" t="e">
        <f t="shared" si="2"/>
        <v>#DIV/0!</v>
      </c>
      <c r="K45" s="71">
        <f t="shared" si="3"/>
        <v>0.0851063829787234</v>
      </c>
    </row>
    <row r="46" spans="1:11">
      <c r="A46" s="68" t="s">
        <v>99</v>
      </c>
      <c r="B46" s="69">
        <v>29</v>
      </c>
      <c r="C46" s="69">
        <v>4</v>
      </c>
      <c r="D46" s="69">
        <v>4.4</v>
      </c>
      <c r="E46" s="69">
        <v>0</v>
      </c>
      <c r="F46" s="69">
        <v>0</v>
      </c>
      <c r="G46" s="70">
        <f t="shared" si="4"/>
        <v>1.1</v>
      </c>
      <c r="H46" s="71">
        <f t="shared" si="0"/>
        <v>0</v>
      </c>
      <c r="I46" s="71" t="e">
        <f t="shared" si="1"/>
        <v>#DIV/0!</v>
      </c>
      <c r="J46" s="70" t="e">
        <f t="shared" si="2"/>
        <v>#DIV/0!</v>
      </c>
      <c r="K46" s="71">
        <f t="shared" si="3"/>
        <v>0.137931034482759</v>
      </c>
    </row>
    <row r="47" spans="1:11">
      <c r="A47" s="68" t="s">
        <v>100</v>
      </c>
      <c r="B47" s="69">
        <v>50</v>
      </c>
      <c r="C47" s="69">
        <v>4</v>
      </c>
      <c r="D47" s="69">
        <v>5.6</v>
      </c>
      <c r="E47" s="69">
        <v>46.99</v>
      </c>
      <c r="F47" s="69">
        <v>1</v>
      </c>
      <c r="G47" s="70">
        <f t="shared" si="4"/>
        <v>1.4</v>
      </c>
      <c r="H47" s="71">
        <f t="shared" si="0"/>
        <v>0.25</v>
      </c>
      <c r="I47" s="71">
        <f t="shared" si="1"/>
        <v>0.119174292402639</v>
      </c>
      <c r="J47" s="70">
        <f t="shared" si="2"/>
        <v>5.6</v>
      </c>
      <c r="K47" s="71">
        <f t="shared" si="3"/>
        <v>0.08</v>
      </c>
    </row>
    <row r="48" spans="1:11">
      <c r="A48" s="68" t="s">
        <v>101</v>
      </c>
      <c r="B48" s="69">
        <v>10</v>
      </c>
      <c r="C48" s="69">
        <v>4</v>
      </c>
      <c r="D48" s="69">
        <v>6.2</v>
      </c>
      <c r="E48" s="69">
        <v>0</v>
      </c>
      <c r="F48" s="69">
        <v>0</v>
      </c>
      <c r="G48" s="70">
        <f t="shared" si="4"/>
        <v>1.55</v>
      </c>
      <c r="H48" s="71">
        <f t="shared" si="0"/>
        <v>0</v>
      </c>
      <c r="I48" s="71" t="e">
        <f t="shared" si="1"/>
        <v>#DIV/0!</v>
      </c>
      <c r="J48" s="70" t="e">
        <f t="shared" si="2"/>
        <v>#DIV/0!</v>
      </c>
      <c r="K48" s="71">
        <f t="shared" si="3"/>
        <v>0.4</v>
      </c>
    </row>
    <row r="49" spans="1:11">
      <c r="A49" s="68" t="s">
        <v>102</v>
      </c>
      <c r="B49" s="69">
        <v>9</v>
      </c>
      <c r="C49" s="69">
        <v>4</v>
      </c>
      <c r="D49" s="69">
        <v>5.63</v>
      </c>
      <c r="E49" s="69">
        <v>0</v>
      </c>
      <c r="F49" s="69">
        <v>0</v>
      </c>
      <c r="G49" s="70">
        <f t="shared" si="4"/>
        <v>1.4075</v>
      </c>
      <c r="H49" s="71">
        <f t="shared" si="0"/>
        <v>0</v>
      </c>
      <c r="I49" s="71" t="e">
        <f t="shared" si="1"/>
        <v>#DIV/0!</v>
      </c>
      <c r="J49" s="70" t="e">
        <f t="shared" si="2"/>
        <v>#DIV/0!</v>
      </c>
      <c r="K49" s="71">
        <f t="shared" si="3"/>
        <v>0.444444444444444</v>
      </c>
    </row>
    <row r="50" spans="1:11">
      <c r="A50" s="68" t="s">
        <v>103</v>
      </c>
      <c r="B50" s="69">
        <v>12</v>
      </c>
      <c r="C50" s="69">
        <v>4</v>
      </c>
      <c r="D50" s="69">
        <v>5.35</v>
      </c>
      <c r="E50" s="69">
        <v>0</v>
      </c>
      <c r="F50" s="69">
        <v>0</v>
      </c>
      <c r="G50" s="70">
        <f t="shared" si="4"/>
        <v>1.3375</v>
      </c>
      <c r="H50" s="71">
        <f t="shared" si="0"/>
        <v>0</v>
      </c>
      <c r="I50" s="71" t="e">
        <f t="shared" si="1"/>
        <v>#DIV/0!</v>
      </c>
      <c r="J50" s="70" t="e">
        <f t="shared" si="2"/>
        <v>#DIV/0!</v>
      </c>
      <c r="K50" s="71">
        <f t="shared" si="3"/>
        <v>0.333333333333333</v>
      </c>
    </row>
    <row r="51" spans="1:11">
      <c r="A51" s="68" t="s">
        <v>104</v>
      </c>
      <c r="B51" s="69">
        <v>50</v>
      </c>
      <c r="C51" s="69">
        <v>4</v>
      </c>
      <c r="D51" s="69">
        <v>5.24</v>
      </c>
      <c r="E51" s="69">
        <v>46.99</v>
      </c>
      <c r="F51" s="69">
        <v>1</v>
      </c>
      <c r="G51" s="70">
        <f t="shared" si="4"/>
        <v>1.31</v>
      </c>
      <c r="H51" s="71">
        <f t="shared" si="0"/>
        <v>0.25</v>
      </c>
      <c r="I51" s="71">
        <f t="shared" si="1"/>
        <v>0.111513087891041</v>
      </c>
      <c r="J51" s="70">
        <f t="shared" si="2"/>
        <v>5.24</v>
      </c>
      <c r="K51" s="71">
        <f t="shared" si="3"/>
        <v>0.08</v>
      </c>
    </row>
    <row r="52" spans="1:11">
      <c r="A52" s="68" t="s">
        <v>105</v>
      </c>
      <c r="B52" s="69">
        <v>5</v>
      </c>
      <c r="C52" s="69">
        <v>4</v>
      </c>
      <c r="D52" s="69">
        <v>4.93</v>
      </c>
      <c r="E52" s="69">
        <v>93.98</v>
      </c>
      <c r="F52" s="69">
        <v>2</v>
      </c>
      <c r="G52" s="70">
        <f t="shared" si="4"/>
        <v>1.2325</v>
      </c>
      <c r="H52" s="71">
        <f t="shared" si="0"/>
        <v>0.5</v>
      </c>
      <c r="I52" s="71">
        <f t="shared" si="1"/>
        <v>0.0524579697808044</v>
      </c>
      <c r="J52" s="70">
        <f t="shared" si="2"/>
        <v>2.465</v>
      </c>
      <c r="K52" s="71">
        <f t="shared" si="3"/>
        <v>0.8</v>
      </c>
    </row>
    <row r="53" spans="1:11">
      <c r="A53" s="68" t="s">
        <v>106</v>
      </c>
      <c r="B53" s="69">
        <v>214</v>
      </c>
      <c r="C53" s="69">
        <v>3</v>
      </c>
      <c r="D53" s="69">
        <v>3.98</v>
      </c>
      <c r="E53" s="69">
        <v>46.99</v>
      </c>
      <c r="F53" s="69">
        <v>1</v>
      </c>
      <c r="G53" s="70">
        <f t="shared" si="4"/>
        <v>1.32666666666667</v>
      </c>
      <c r="H53" s="71">
        <f t="shared" si="0"/>
        <v>0.333333333333333</v>
      </c>
      <c r="I53" s="71">
        <f t="shared" si="1"/>
        <v>0.0846988721004469</v>
      </c>
      <c r="J53" s="70">
        <f t="shared" si="2"/>
        <v>3.98</v>
      </c>
      <c r="K53" s="71">
        <f t="shared" si="3"/>
        <v>0.014018691588785</v>
      </c>
    </row>
    <row r="54" spans="1:11">
      <c r="A54" s="68" t="s">
        <v>107</v>
      </c>
      <c r="B54" s="69">
        <v>214</v>
      </c>
      <c r="C54" s="69">
        <v>3</v>
      </c>
      <c r="D54" s="69">
        <v>3.98</v>
      </c>
      <c r="E54" s="69">
        <v>46.99</v>
      </c>
      <c r="F54" s="69">
        <v>1</v>
      </c>
      <c r="G54" s="70">
        <f t="shared" si="4"/>
        <v>1.32666666666667</v>
      </c>
      <c r="H54" s="71">
        <f t="shared" si="0"/>
        <v>0.333333333333333</v>
      </c>
      <c r="I54" s="71">
        <f t="shared" si="1"/>
        <v>0.0846988721004469</v>
      </c>
      <c r="J54" s="70">
        <f t="shared" si="2"/>
        <v>3.98</v>
      </c>
      <c r="K54" s="71">
        <f t="shared" si="3"/>
        <v>0.014018691588785</v>
      </c>
    </row>
    <row r="55" spans="1:11">
      <c r="A55" s="68" t="s">
        <v>108</v>
      </c>
      <c r="B55" s="69">
        <v>208</v>
      </c>
      <c r="C55" s="69">
        <v>3</v>
      </c>
      <c r="D55" s="69">
        <v>3.41</v>
      </c>
      <c r="E55" s="69">
        <v>0</v>
      </c>
      <c r="F55" s="69">
        <v>0</v>
      </c>
      <c r="G55" s="70">
        <f t="shared" si="4"/>
        <v>1.13666666666667</v>
      </c>
      <c r="H55" s="71">
        <f t="shared" si="0"/>
        <v>0</v>
      </c>
      <c r="I55" s="71" t="e">
        <f t="shared" si="1"/>
        <v>#DIV/0!</v>
      </c>
      <c r="J55" s="70" t="e">
        <f t="shared" si="2"/>
        <v>#DIV/0!</v>
      </c>
      <c r="K55" s="71">
        <f t="shared" si="3"/>
        <v>0.0144230769230769</v>
      </c>
    </row>
    <row r="56" spans="1:11">
      <c r="A56" s="68" t="s">
        <v>109</v>
      </c>
      <c r="B56" s="69">
        <v>80</v>
      </c>
      <c r="C56" s="69">
        <v>3</v>
      </c>
      <c r="D56" s="69">
        <v>4.85</v>
      </c>
      <c r="E56" s="69">
        <v>46.99</v>
      </c>
      <c r="F56" s="69">
        <v>1</v>
      </c>
      <c r="G56" s="70">
        <f t="shared" si="4"/>
        <v>1.61666666666667</v>
      </c>
      <c r="H56" s="71">
        <f t="shared" si="0"/>
        <v>0.333333333333333</v>
      </c>
      <c r="I56" s="71">
        <f t="shared" si="1"/>
        <v>0.103213449670143</v>
      </c>
      <c r="J56" s="70">
        <f t="shared" si="2"/>
        <v>4.85</v>
      </c>
      <c r="K56" s="71">
        <f t="shared" si="3"/>
        <v>0.0375</v>
      </c>
    </row>
    <row r="57" spans="1:11">
      <c r="A57" s="68" t="s">
        <v>110</v>
      </c>
      <c r="B57" s="69">
        <v>17</v>
      </c>
      <c r="C57" s="69">
        <v>3</v>
      </c>
      <c r="D57" s="69">
        <v>3.7</v>
      </c>
      <c r="E57" s="69">
        <v>0</v>
      </c>
      <c r="F57" s="69">
        <v>0</v>
      </c>
      <c r="G57" s="70">
        <f t="shared" si="4"/>
        <v>1.23333333333333</v>
      </c>
      <c r="H57" s="71">
        <f t="shared" si="0"/>
        <v>0</v>
      </c>
      <c r="I57" s="71" t="e">
        <f t="shared" si="1"/>
        <v>#DIV/0!</v>
      </c>
      <c r="J57" s="70" t="e">
        <f t="shared" si="2"/>
        <v>#DIV/0!</v>
      </c>
      <c r="K57" s="71">
        <f t="shared" si="3"/>
        <v>0.176470588235294</v>
      </c>
    </row>
    <row r="58" spans="1:11">
      <c r="A58" s="68" t="s">
        <v>111</v>
      </c>
      <c r="B58" s="69">
        <v>11</v>
      </c>
      <c r="C58" s="69">
        <v>3</v>
      </c>
      <c r="D58" s="69">
        <v>3.7</v>
      </c>
      <c r="E58" s="69">
        <v>0</v>
      </c>
      <c r="F58" s="69">
        <v>0</v>
      </c>
      <c r="G58" s="70">
        <f t="shared" si="4"/>
        <v>1.23333333333333</v>
      </c>
      <c r="H58" s="71">
        <f t="shared" si="0"/>
        <v>0</v>
      </c>
      <c r="I58" s="71" t="e">
        <f t="shared" si="1"/>
        <v>#DIV/0!</v>
      </c>
      <c r="J58" s="70" t="e">
        <f t="shared" si="2"/>
        <v>#DIV/0!</v>
      </c>
      <c r="K58" s="71">
        <f t="shared" si="3"/>
        <v>0.272727272727273</v>
      </c>
    </row>
    <row r="59" spans="1:11">
      <c r="A59" s="68" t="s">
        <v>112</v>
      </c>
      <c r="B59" s="69">
        <v>123</v>
      </c>
      <c r="C59" s="69">
        <v>3</v>
      </c>
      <c r="D59" s="69">
        <v>4.78</v>
      </c>
      <c r="E59" s="69">
        <v>93.98</v>
      </c>
      <c r="F59" s="69">
        <v>2</v>
      </c>
      <c r="G59" s="70">
        <f t="shared" si="4"/>
        <v>1.59333333333333</v>
      </c>
      <c r="H59" s="71">
        <f t="shared" si="0"/>
        <v>0.666666666666667</v>
      </c>
      <c r="I59" s="71">
        <f t="shared" si="1"/>
        <v>0.0508618855075548</v>
      </c>
      <c r="J59" s="70">
        <f t="shared" si="2"/>
        <v>2.39</v>
      </c>
      <c r="K59" s="71">
        <f t="shared" si="3"/>
        <v>0.024390243902439</v>
      </c>
    </row>
    <row r="60" spans="1:11">
      <c r="A60" s="68" t="s">
        <v>113</v>
      </c>
      <c r="B60" s="69">
        <v>124</v>
      </c>
      <c r="C60" s="69">
        <v>3</v>
      </c>
      <c r="D60" s="69">
        <v>4.3</v>
      </c>
      <c r="E60" s="69">
        <v>93.98</v>
      </c>
      <c r="F60" s="69">
        <v>2</v>
      </c>
      <c r="G60" s="70">
        <f t="shared" si="4"/>
        <v>1.43333333333333</v>
      </c>
      <c r="H60" s="71">
        <f t="shared" si="0"/>
        <v>0.666666666666667</v>
      </c>
      <c r="I60" s="71">
        <f t="shared" si="1"/>
        <v>0.045754415833156</v>
      </c>
      <c r="J60" s="70">
        <f t="shared" si="2"/>
        <v>2.15</v>
      </c>
      <c r="K60" s="71">
        <f t="shared" si="3"/>
        <v>0.0241935483870968</v>
      </c>
    </row>
    <row r="61" spans="1:11">
      <c r="A61" s="68" t="s">
        <v>114</v>
      </c>
      <c r="B61" s="69">
        <v>10</v>
      </c>
      <c r="C61" s="69">
        <v>3</v>
      </c>
      <c r="D61" s="69">
        <v>4.24</v>
      </c>
      <c r="E61" s="69">
        <v>46.99</v>
      </c>
      <c r="F61" s="69">
        <v>1</v>
      </c>
      <c r="G61" s="70">
        <f t="shared" si="4"/>
        <v>1.41333333333333</v>
      </c>
      <c r="H61" s="71">
        <f t="shared" si="0"/>
        <v>0.333333333333333</v>
      </c>
      <c r="I61" s="71">
        <f t="shared" si="1"/>
        <v>0.0902319642477123</v>
      </c>
      <c r="J61" s="70">
        <f t="shared" si="2"/>
        <v>4.24</v>
      </c>
      <c r="K61" s="71">
        <f t="shared" si="3"/>
        <v>0.3</v>
      </c>
    </row>
    <row r="62" spans="1:11">
      <c r="A62" s="68" t="s">
        <v>115</v>
      </c>
      <c r="B62" s="69">
        <v>15</v>
      </c>
      <c r="C62" s="69">
        <v>3</v>
      </c>
      <c r="D62" s="69">
        <v>3.25</v>
      </c>
      <c r="E62" s="69">
        <v>0</v>
      </c>
      <c r="F62" s="69">
        <v>0</v>
      </c>
      <c r="G62" s="70">
        <f t="shared" si="4"/>
        <v>1.08333333333333</v>
      </c>
      <c r="H62" s="71">
        <f t="shared" si="0"/>
        <v>0</v>
      </c>
      <c r="I62" s="71" t="e">
        <f t="shared" si="1"/>
        <v>#DIV/0!</v>
      </c>
      <c r="J62" s="70" t="e">
        <f t="shared" si="2"/>
        <v>#DIV/0!</v>
      </c>
      <c r="K62" s="71">
        <f t="shared" si="3"/>
        <v>0.2</v>
      </c>
    </row>
    <row r="63" spans="1:11">
      <c r="A63" s="68" t="s">
        <v>116</v>
      </c>
      <c r="B63" s="69">
        <v>26</v>
      </c>
      <c r="C63" s="69">
        <v>3</v>
      </c>
      <c r="D63" s="69">
        <v>5.4</v>
      </c>
      <c r="E63" s="69">
        <v>0</v>
      </c>
      <c r="F63" s="69">
        <v>0</v>
      </c>
      <c r="G63" s="70">
        <f t="shared" si="4"/>
        <v>1.8</v>
      </c>
      <c r="H63" s="71">
        <f t="shared" si="0"/>
        <v>0</v>
      </c>
      <c r="I63" s="71" t="e">
        <f t="shared" si="1"/>
        <v>#DIV/0!</v>
      </c>
      <c r="J63" s="70" t="e">
        <f t="shared" si="2"/>
        <v>#DIV/0!</v>
      </c>
      <c r="K63" s="71">
        <f t="shared" si="3"/>
        <v>0.115384615384615</v>
      </c>
    </row>
    <row r="64" spans="1:11">
      <c r="A64" s="68" t="s">
        <v>117</v>
      </c>
      <c r="B64" s="69">
        <v>42</v>
      </c>
      <c r="C64" s="69">
        <v>3</v>
      </c>
      <c r="D64" s="69">
        <v>4.85</v>
      </c>
      <c r="E64" s="69">
        <v>0</v>
      </c>
      <c r="F64" s="69">
        <v>0</v>
      </c>
      <c r="G64" s="70">
        <f t="shared" si="4"/>
        <v>1.61666666666667</v>
      </c>
      <c r="H64" s="71">
        <f t="shared" si="0"/>
        <v>0</v>
      </c>
      <c r="I64" s="71" t="e">
        <f t="shared" si="1"/>
        <v>#DIV/0!</v>
      </c>
      <c r="J64" s="70" t="e">
        <f t="shared" si="2"/>
        <v>#DIV/0!</v>
      </c>
      <c r="K64" s="71">
        <f t="shared" si="3"/>
        <v>0.0714285714285714</v>
      </c>
    </row>
    <row r="65" spans="1:11">
      <c r="A65" s="68" t="s">
        <v>118</v>
      </c>
      <c r="B65" s="69">
        <v>8</v>
      </c>
      <c r="C65" s="69">
        <v>3</v>
      </c>
      <c r="D65" s="69">
        <v>3.24</v>
      </c>
      <c r="E65" s="69">
        <v>0</v>
      </c>
      <c r="F65" s="69">
        <v>0</v>
      </c>
      <c r="G65" s="70">
        <f t="shared" si="4"/>
        <v>1.08</v>
      </c>
      <c r="H65" s="71">
        <f t="shared" si="0"/>
        <v>0</v>
      </c>
      <c r="I65" s="71" t="e">
        <f t="shared" si="1"/>
        <v>#DIV/0!</v>
      </c>
      <c r="J65" s="70" t="e">
        <f t="shared" si="2"/>
        <v>#DIV/0!</v>
      </c>
      <c r="K65" s="71">
        <f t="shared" si="3"/>
        <v>0.375</v>
      </c>
    </row>
    <row r="66" spans="1:11">
      <c r="A66" s="68" t="s">
        <v>119</v>
      </c>
      <c r="B66" s="69">
        <v>6</v>
      </c>
      <c r="C66" s="69">
        <v>3</v>
      </c>
      <c r="D66" s="69">
        <v>3.63</v>
      </c>
      <c r="E66" s="69">
        <v>0</v>
      </c>
      <c r="F66" s="69">
        <v>0</v>
      </c>
      <c r="G66" s="70">
        <f t="shared" ref="G66:G129" si="5">D66/C66</f>
        <v>1.21</v>
      </c>
      <c r="H66" s="71">
        <f t="shared" ref="H66:H129" si="6">F66/C66</f>
        <v>0</v>
      </c>
      <c r="I66" s="71" t="e">
        <f t="shared" ref="I66:I129" si="7">D66/E66</f>
        <v>#DIV/0!</v>
      </c>
      <c r="J66" s="70" t="e">
        <f t="shared" ref="J66:J129" si="8">D66/F66</f>
        <v>#DIV/0!</v>
      </c>
      <c r="K66" s="71">
        <f t="shared" ref="K66:K129" si="9">C66/B66</f>
        <v>0.5</v>
      </c>
    </row>
    <row r="67" spans="1:11">
      <c r="A67" s="68" t="s">
        <v>120</v>
      </c>
      <c r="B67" s="69">
        <v>7</v>
      </c>
      <c r="C67" s="69">
        <v>3</v>
      </c>
      <c r="D67" s="69">
        <v>4.7</v>
      </c>
      <c r="E67" s="69">
        <v>0</v>
      </c>
      <c r="F67" s="69">
        <v>0</v>
      </c>
      <c r="G67" s="70">
        <f t="shared" si="5"/>
        <v>1.56666666666667</v>
      </c>
      <c r="H67" s="71">
        <f t="shared" si="6"/>
        <v>0</v>
      </c>
      <c r="I67" s="71" t="e">
        <f t="shared" si="7"/>
        <v>#DIV/0!</v>
      </c>
      <c r="J67" s="70" t="e">
        <f t="shared" si="8"/>
        <v>#DIV/0!</v>
      </c>
      <c r="K67" s="71">
        <f t="shared" si="9"/>
        <v>0.428571428571429</v>
      </c>
    </row>
    <row r="68" spans="1:11">
      <c r="A68" s="68" t="s">
        <v>121</v>
      </c>
      <c r="B68" s="69">
        <v>10</v>
      </c>
      <c r="C68" s="69">
        <v>3</v>
      </c>
      <c r="D68" s="69">
        <v>4.73</v>
      </c>
      <c r="E68" s="69">
        <v>0</v>
      </c>
      <c r="F68" s="69">
        <v>0</v>
      </c>
      <c r="G68" s="70">
        <f t="shared" si="5"/>
        <v>1.57666666666667</v>
      </c>
      <c r="H68" s="71">
        <f t="shared" si="6"/>
        <v>0</v>
      </c>
      <c r="I68" s="71" t="e">
        <f t="shared" si="7"/>
        <v>#DIV/0!</v>
      </c>
      <c r="J68" s="70" t="e">
        <f t="shared" si="8"/>
        <v>#DIV/0!</v>
      </c>
      <c r="K68" s="71">
        <f t="shared" si="9"/>
        <v>0.3</v>
      </c>
    </row>
    <row r="69" spans="1:11">
      <c r="A69" s="68" t="s">
        <v>122</v>
      </c>
      <c r="B69" s="69">
        <v>7</v>
      </c>
      <c r="C69" s="69">
        <v>3</v>
      </c>
      <c r="D69" s="69">
        <v>4.32</v>
      </c>
      <c r="E69" s="69">
        <v>0</v>
      </c>
      <c r="F69" s="69">
        <v>0</v>
      </c>
      <c r="G69" s="70">
        <f t="shared" si="5"/>
        <v>1.44</v>
      </c>
      <c r="H69" s="71">
        <f t="shared" si="6"/>
        <v>0</v>
      </c>
      <c r="I69" s="71" t="e">
        <f t="shared" si="7"/>
        <v>#DIV/0!</v>
      </c>
      <c r="J69" s="70" t="e">
        <f t="shared" si="8"/>
        <v>#DIV/0!</v>
      </c>
      <c r="K69" s="71">
        <f t="shared" si="9"/>
        <v>0.428571428571429</v>
      </c>
    </row>
    <row r="70" spans="1:11">
      <c r="A70" s="68" t="s">
        <v>123</v>
      </c>
      <c r="B70" s="69">
        <v>3</v>
      </c>
      <c r="C70" s="69">
        <v>3</v>
      </c>
      <c r="D70" s="69">
        <v>3.47</v>
      </c>
      <c r="E70" s="69">
        <v>0</v>
      </c>
      <c r="F70" s="69">
        <v>0</v>
      </c>
      <c r="G70" s="70">
        <f t="shared" si="5"/>
        <v>1.15666666666667</v>
      </c>
      <c r="H70" s="71">
        <f t="shared" si="6"/>
        <v>0</v>
      </c>
      <c r="I70" s="71" t="e">
        <f t="shared" si="7"/>
        <v>#DIV/0!</v>
      </c>
      <c r="J70" s="70" t="e">
        <f t="shared" si="8"/>
        <v>#DIV/0!</v>
      </c>
      <c r="K70" s="71">
        <f t="shared" si="9"/>
        <v>1</v>
      </c>
    </row>
    <row r="71" spans="1:11">
      <c r="A71" s="68" t="s">
        <v>124</v>
      </c>
      <c r="B71" s="69">
        <v>4</v>
      </c>
      <c r="C71" s="69">
        <v>3</v>
      </c>
      <c r="D71" s="69">
        <v>3.28</v>
      </c>
      <c r="E71" s="69">
        <v>0</v>
      </c>
      <c r="F71" s="69">
        <v>0</v>
      </c>
      <c r="G71" s="70">
        <f t="shared" si="5"/>
        <v>1.09333333333333</v>
      </c>
      <c r="H71" s="71">
        <f t="shared" si="6"/>
        <v>0</v>
      </c>
      <c r="I71" s="71" t="e">
        <f t="shared" si="7"/>
        <v>#DIV/0!</v>
      </c>
      <c r="J71" s="70" t="e">
        <f t="shared" si="8"/>
        <v>#DIV/0!</v>
      </c>
      <c r="K71" s="71">
        <f t="shared" si="9"/>
        <v>0.75</v>
      </c>
    </row>
    <row r="72" spans="1:11">
      <c r="A72" s="68" t="s">
        <v>125</v>
      </c>
      <c r="B72" s="69">
        <v>10</v>
      </c>
      <c r="C72" s="69">
        <v>3</v>
      </c>
      <c r="D72" s="69">
        <v>2.83</v>
      </c>
      <c r="E72" s="69">
        <v>0</v>
      </c>
      <c r="F72" s="69">
        <v>0</v>
      </c>
      <c r="G72" s="70">
        <f t="shared" si="5"/>
        <v>0.943333333333333</v>
      </c>
      <c r="H72" s="71">
        <f t="shared" si="6"/>
        <v>0</v>
      </c>
      <c r="I72" s="71" t="e">
        <f t="shared" si="7"/>
        <v>#DIV/0!</v>
      </c>
      <c r="J72" s="70" t="e">
        <f t="shared" si="8"/>
        <v>#DIV/0!</v>
      </c>
      <c r="K72" s="71">
        <f t="shared" si="9"/>
        <v>0.3</v>
      </c>
    </row>
    <row r="73" spans="1:11">
      <c r="A73" s="68" t="s">
        <v>126</v>
      </c>
      <c r="B73" s="69">
        <v>7</v>
      </c>
      <c r="C73" s="69">
        <v>2</v>
      </c>
      <c r="D73" s="69">
        <v>2.5</v>
      </c>
      <c r="E73" s="69">
        <v>0</v>
      </c>
      <c r="F73" s="69">
        <v>0</v>
      </c>
      <c r="G73" s="70">
        <f t="shared" si="5"/>
        <v>1.25</v>
      </c>
      <c r="H73" s="71">
        <f t="shared" si="6"/>
        <v>0</v>
      </c>
      <c r="I73" s="71" t="e">
        <f t="shared" si="7"/>
        <v>#DIV/0!</v>
      </c>
      <c r="J73" s="70" t="e">
        <f t="shared" si="8"/>
        <v>#DIV/0!</v>
      </c>
      <c r="K73" s="71">
        <f t="shared" si="9"/>
        <v>0.285714285714286</v>
      </c>
    </row>
    <row r="74" spans="1:11">
      <c r="A74" s="68" t="s">
        <v>127</v>
      </c>
      <c r="B74" s="69">
        <v>70</v>
      </c>
      <c r="C74" s="69">
        <v>2</v>
      </c>
      <c r="D74" s="69">
        <v>2.8</v>
      </c>
      <c r="E74" s="69">
        <v>0</v>
      </c>
      <c r="F74" s="69">
        <v>0</v>
      </c>
      <c r="G74" s="70">
        <f t="shared" si="5"/>
        <v>1.4</v>
      </c>
      <c r="H74" s="71">
        <f t="shared" si="6"/>
        <v>0</v>
      </c>
      <c r="I74" s="71" t="e">
        <f t="shared" si="7"/>
        <v>#DIV/0!</v>
      </c>
      <c r="J74" s="70" t="e">
        <f t="shared" si="8"/>
        <v>#DIV/0!</v>
      </c>
      <c r="K74" s="71">
        <f t="shared" si="9"/>
        <v>0.0285714285714286</v>
      </c>
    </row>
    <row r="75" spans="1:11">
      <c r="A75" s="68" t="s">
        <v>128</v>
      </c>
      <c r="B75" s="69">
        <v>26</v>
      </c>
      <c r="C75" s="69">
        <v>2</v>
      </c>
      <c r="D75" s="69">
        <v>2.87</v>
      </c>
      <c r="E75" s="69">
        <v>0</v>
      </c>
      <c r="F75" s="69">
        <v>0</v>
      </c>
      <c r="G75" s="70">
        <f t="shared" si="5"/>
        <v>1.435</v>
      </c>
      <c r="H75" s="71">
        <f t="shared" si="6"/>
        <v>0</v>
      </c>
      <c r="I75" s="71" t="e">
        <f t="shared" si="7"/>
        <v>#DIV/0!</v>
      </c>
      <c r="J75" s="70" t="e">
        <f t="shared" si="8"/>
        <v>#DIV/0!</v>
      </c>
      <c r="K75" s="71">
        <f t="shared" si="9"/>
        <v>0.0769230769230769</v>
      </c>
    </row>
    <row r="76" spans="1:11">
      <c r="A76" s="68" t="s">
        <v>129</v>
      </c>
      <c r="B76" s="69">
        <v>26</v>
      </c>
      <c r="C76" s="69">
        <v>2</v>
      </c>
      <c r="D76" s="69">
        <v>2.87</v>
      </c>
      <c r="E76" s="69">
        <v>0</v>
      </c>
      <c r="F76" s="69">
        <v>0</v>
      </c>
      <c r="G76" s="70">
        <f t="shared" si="5"/>
        <v>1.435</v>
      </c>
      <c r="H76" s="71">
        <f t="shared" si="6"/>
        <v>0</v>
      </c>
      <c r="I76" s="71" t="e">
        <f t="shared" si="7"/>
        <v>#DIV/0!</v>
      </c>
      <c r="J76" s="70" t="e">
        <f t="shared" si="8"/>
        <v>#DIV/0!</v>
      </c>
      <c r="K76" s="71">
        <f t="shared" si="9"/>
        <v>0.0769230769230769</v>
      </c>
    </row>
    <row r="77" spans="1:11">
      <c r="A77" s="68" t="s">
        <v>130</v>
      </c>
      <c r="B77" s="69">
        <v>14</v>
      </c>
      <c r="C77" s="69">
        <v>2</v>
      </c>
      <c r="D77" s="69">
        <v>3.3</v>
      </c>
      <c r="E77" s="69">
        <v>46.99</v>
      </c>
      <c r="F77" s="69">
        <v>1</v>
      </c>
      <c r="G77" s="70">
        <f t="shared" si="5"/>
        <v>1.65</v>
      </c>
      <c r="H77" s="71">
        <f t="shared" si="6"/>
        <v>0.5</v>
      </c>
      <c r="I77" s="71">
        <f t="shared" si="7"/>
        <v>0.0702277080229836</v>
      </c>
      <c r="J77" s="70">
        <f t="shared" si="8"/>
        <v>3.3</v>
      </c>
      <c r="K77" s="71">
        <f t="shared" si="9"/>
        <v>0.142857142857143</v>
      </c>
    </row>
    <row r="78" spans="1:11">
      <c r="A78" s="68" t="s">
        <v>131</v>
      </c>
      <c r="B78" s="69">
        <v>7</v>
      </c>
      <c r="C78" s="69">
        <v>2</v>
      </c>
      <c r="D78" s="69">
        <v>3.1</v>
      </c>
      <c r="E78" s="69">
        <v>0</v>
      </c>
      <c r="F78" s="69">
        <v>0</v>
      </c>
      <c r="G78" s="70">
        <f t="shared" si="5"/>
        <v>1.55</v>
      </c>
      <c r="H78" s="71">
        <f t="shared" si="6"/>
        <v>0</v>
      </c>
      <c r="I78" s="71" t="e">
        <f t="shared" si="7"/>
        <v>#DIV/0!</v>
      </c>
      <c r="J78" s="70" t="e">
        <f t="shared" si="8"/>
        <v>#DIV/0!</v>
      </c>
      <c r="K78" s="71">
        <f t="shared" si="9"/>
        <v>0.285714285714286</v>
      </c>
    </row>
    <row r="79" spans="1:11">
      <c r="A79" s="68" t="s">
        <v>132</v>
      </c>
      <c r="B79" s="69">
        <v>7</v>
      </c>
      <c r="C79" s="69">
        <v>2</v>
      </c>
      <c r="D79" s="69">
        <v>3.1</v>
      </c>
      <c r="E79" s="69">
        <v>0</v>
      </c>
      <c r="F79" s="69">
        <v>0</v>
      </c>
      <c r="G79" s="70">
        <f t="shared" si="5"/>
        <v>1.55</v>
      </c>
      <c r="H79" s="71">
        <f t="shared" si="6"/>
        <v>0</v>
      </c>
      <c r="I79" s="71" t="e">
        <f t="shared" si="7"/>
        <v>#DIV/0!</v>
      </c>
      <c r="J79" s="70" t="e">
        <f t="shared" si="8"/>
        <v>#DIV/0!</v>
      </c>
      <c r="K79" s="71">
        <f t="shared" si="9"/>
        <v>0.285714285714286</v>
      </c>
    </row>
    <row r="80" spans="1:11">
      <c r="A80" s="68" t="s">
        <v>133</v>
      </c>
      <c r="B80" s="69">
        <v>7</v>
      </c>
      <c r="C80" s="69">
        <v>2</v>
      </c>
      <c r="D80" s="69">
        <v>3.1</v>
      </c>
      <c r="E80" s="69">
        <v>0</v>
      </c>
      <c r="F80" s="69">
        <v>0</v>
      </c>
      <c r="G80" s="70">
        <f t="shared" si="5"/>
        <v>1.55</v>
      </c>
      <c r="H80" s="71">
        <f t="shared" si="6"/>
        <v>0</v>
      </c>
      <c r="I80" s="71" t="e">
        <f t="shared" si="7"/>
        <v>#DIV/0!</v>
      </c>
      <c r="J80" s="70" t="e">
        <f t="shared" si="8"/>
        <v>#DIV/0!</v>
      </c>
      <c r="K80" s="71">
        <f t="shared" si="9"/>
        <v>0.285714285714286</v>
      </c>
    </row>
    <row r="81" spans="1:11">
      <c r="A81" s="68" t="s">
        <v>134</v>
      </c>
      <c r="B81" s="69">
        <v>7</v>
      </c>
      <c r="C81" s="69">
        <v>2</v>
      </c>
      <c r="D81" s="69">
        <v>3.1</v>
      </c>
      <c r="E81" s="69">
        <v>0</v>
      </c>
      <c r="F81" s="69">
        <v>0</v>
      </c>
      <c r="G81" s="70">
        <f t="shared" si="5"/>
        <v>1.55</v>
      </c>
      <c r="H81" s="71">
        <f t="shared" si="6"/>
        <v>0</v>
      </c>
      <c r="I81" s="71" t="e">
        <f t="shared" si="7"/>
        <v>#DIV/0!</v>
      </c>
      <c r="J81" s="70" t="e">
        <f t="shared" si="8"/>
        <v>#DIV/0!</v>
      </c>
      <c r="K81" s="71">
        <f t="shared" si="9"/>
        <v>0.285714285714286</v>
      </c>
    </row>
    <row r="82" spans="1:11">
      <c r="A82" s="68" t="s">
        <v>135</v>
      </c>
      <c r="B82" s="69">
        <v>7</v>
      </c>
      <c r="C82" s="69">
        <v>2</v>
      </c>
      <c r="D82" s="69">
        <v>3.1</v>
      </c>
      <c r="E82" s="69">
        <v>0</v>
      </c>
      <c r="F82" s="69">
        <v>0</v>
      </c>
      <c r="G82" s="70">
        <f t="shared" si="5"/>
        <v>1.55</v>
      </c>
      <c r="H82" s="71">
        <f t="shared" si="6"/>
        <v>0</v>
      </c>
      <c r="I82" s="71" t="e">
        <f t="shared" si="7"/>
        <v>#DIV/0!</v>
      </c>
      <c r="J82" s="70" t="e">
        <f t="shared" si="8"/>
        <v>#DIV/0!</v>
      </c>
      <c r="K82" s="71">
        <f t="shared" si="9"/>
        <v>0.285714285714286</v>
      </c>
    </row>
    <row r="83" spans="1:11">
      <c r="A83" s="68" t="s">
        <v>136</v>
      </c>
      <c r="B83" s="69">
        <v>7</v>
      </c>
      <c r="C83" s="69">
        <v>2</v>
      </c>
      <c r="D83" s="69">
        <v>3.1</v>
      </c>
      <c r="E83" s="69">
        <v>0</v>
      </c>
      <c r="F83" s="69">
        <v>0</v>
      </c>
      <c r="G83" s="70">
        <f t="shared" si="5"/>
        <v>1.55</v>
      </c>
      <c r="H83" s="71">
        <f t="shared" si="6"/>
        <v>0</v>
      </c>
      <c r="I83" s="71" t="e">
        <f t="shared" si="7"/>
        <v>#DIV/0!</v>
      </c>
      <c r="J83" s="70" t="e">
        <f t="shared" si="8"/>
        <v>#DIV/0!</v>
      </c>
      <c r="K83" s="71">
        <f t="shared" si="9"/>
        <v>0.285714285714286</v>
      </c>
    </row>
    <row r="84" spans="1:11">
      <c r="A84" s="68" t="s">
        <v>137</v>
      </c>
      <c r="B84" s="69">
        <v>7</v>
      </c>
      <c r="C84" s="69">
        <v>2</v>
      </c>
      <c r="D84" s="69">
        <v>3.1</v>
      </c>
      <c r="E84" s="69">
        <v>0</v>
      </c>
      <c r="F84" s="69">
        <v>0</v>
      </c>
      <c r="G84" s="70">
        <f t="shared" si="5"/>
        <v>1.55</v>
      </c>
      <c r="H84" s="71">
        <f t="shared" si="6"/>
        <v>0</v>
      </c>
      <c r="I84" s="71" t="e">
        <f t="shared" si="7"/>
        <v>#DIV/0!</v>
      </c>
      <c r="J84" s="70" t="e">
        <f t="shared" si="8"/>
        <v>#DIV/0!</v>
      </c>
      <c r="K84" s="71">
        <f t="shared" si="9"/>
        <v>0.285714285714286</v>
      </c>
    </row>
    <row r="85" spans="1:11">
      <c r="A85" s="68" t="s">
        <v>138</v>
      </c>
      <c r="B85" s="69">
        <v>7</v>
      </c>
      <c r="C85" s="69">
        <v>2</v>
      </c>
      <c r="D85" s="69">
        <v>3.1</v>
      </c>
      <c r="E85" s="69">
        <v>0</v>
      </c>
      <c r="F85" s="69">
        <v>0</v>
      </c>
      <c r="G85" s="70">
        <f t="shared" si="5"/>
        <v>1.55</v>
      </c>
      <c r="H85" s="71">
        <f t="shared" si="6"/>
        <v>0</v>
      </c>
      <c r="I85" s="71" t="e">
        <f t="shared" si="7"/>
        <v>#DIV/0!</v>
      </c>
      <c r="J85" s="70" t="e">
        <f t="shared" si="8"/>
        <v>#DIV/0!</v>
      </c>
      <c r="K85" s="71">
        <f t="shared" si="9"/>
        <v>0.285714285714286</v>
      </c>
    </row>
    <row r="86" spans="1:11">
      <c r="A86" s="68" t="s">
        <v>139</v>
      </c>
      <c r="B86" s="69">
        <v>3</v>
      </c>
      <c r="C86" s="69">
        <v>2</v>
      </c>
      <c r="D86" s="69">
        <v>3.37</v>
      </c>
      <c r="E86" s="69">
        <v>0</v>
      </c>
      <c r="F86" s="69">
        <v>0</v>
      </c>
      <c r="G86" s="70">
        <f t="shared" si="5"/>
        <v>1.685</v>
      </c>
      <c r="H86" s="71">
        <f t="shared" si="6"/>
        <v>0</v>
      </c>
      <c r="I86" s="71" t="e">
        <f t="shared" si="7"/>
        <v>#DIV/0!</v>
      </c>
      <c r="J86" s="70" t="e">
        <f t="shared" si="8"/>
        <v>#DIV/0!</v>
      </c>
      <c r="K86" s="71">
        <f t="shared" si="9"/>
        <v>0.666666666666667</v>
      </c>
    </row>
    <row r="87" spans="1:11">
      <c r="A87" s="68" t="s">
        <v>140</v>
      </c>
      <c r="B87" s="69">
        <v>108</v>
      </c>
      <c r="C87" s="69">
        <v>2</v>
      </c>
      <c r="D87" s="69">
        <v>3.32</v>
      </c>
      <c r="E87" s="69">
        <v>0</v>
      </c>
      <c r="F87" s="69">
        <v>0</v>
      </c>
      <c r="G87" s="70">
        <f t="shared" si="5"/>
        <v>1.66</v>
      </c>
      <c r="H87" s="71">
        <f t="shared" si="6"/>
        <v>0</v>
      </c>
      <c r="I87" s="71" t="e">
        <f t="shared" si="7"/>
        <v>#DIV/0!</v>
      </c>
      <c r="J87" s="70" t="e">
        <f t="shared" si="8"/>
        <v>#DIV/0!</v>
      </c>
      <c r="K87" s="71">
        <f t="shared" si="9"/>
        <v>0.0185185185185185</v>
      </c>
    </row>
    <row r="88" spans="1:11">
      <c r="A88" s="68" t="s">
        <v>141</v>
      </c>
      <c r="B88" s="69">
        <v>28</v>
      </c>
      <c r="C88" s="69">
        <v>2</v>
      </c>
      <c r="D88" s="69">
        <v>2.18</v>
      </c>
      <c r="E88" s="69">
        <v>0</v>
      </c>
      <c r="F88" s="69">
        <v>0</v>
      </c>
      <c r="G88" s="70">
        <f t="shared" si="5"/>
        <v>1.09</v>
      </c>
      <c r="H88" s="71">
        <f t="shared" si="6"/>
        <v>0</v>
      </c>
      <c r="I88" s="71" t="e">
        <f t="shared" si="7"/>
        <v>#DIV/0!</v>
      </c>
      <c r="J88" s="70" t="e">
        <f t="shared" si="8"/>
        <v>#DIV/0!</v>
      </c>
      <c r="K88" s="71">
        <f t="shared" si="9"/>
        <v>0.0714285714285714</v>
      </c>
    </row>
    <row r="89" spans="1:11">
      <c r="A89" s="68" t="s">
        <v>142</v>
      </c>
      <c r="B89" s="69">
        <v>2</v>
      </c>
      <c r="C89" s="69">
        <v>2</v>
      </c>
      <c r="D89" s="69">
        <v>2.2</v>
      </c>
      <c r="E89" s="69">
        <v>0</v>
      </c>
      <c r="F89" s="69">
        <v>0</v>
      </c>
      <c r="G89" s="70">
        <f t="shared" si="5"/>
        <v>1.1</v>
      </c>
      <c r="H89" s="71">
        <f t="shared" si="6"/>
        <v>0</v>
      </c>
      <c r="I89" s="71" t="e">
        <f t="shared" si="7"/>
        <v>#DIV/0!</v>
      </c>
      <c r="J89" s="70" t="e">
        <f t="shared" si="8"/>
        <v>#DIV/0!</v>
      </c>
      <c r="K89" s="71">
        <f t="shared" si="9"/>
        <v>1</v>
      </c>
    </row>
    <row r="90" spans="1:11">
      <c r="A90" s="68" t="s">
        <v>143</v>
      </c>
      <c r="B90" s="69">
        <v>3</v>
      </c>
      <c r="C90" s="69">
        <v>2</v>
      </c>
      <c r="D90" s="69">
        <v>2.21</v>
      </c>
      <c r="E90" s="69">
        <v>0</v>
      </c>
      <c r="F90" s="69">
        <v>0</v>
      </c>
      <c r="G90" s="70">
        <f t="shared" si="5"/>
        <v>1.105</v>
      </c>
      <c r="H90" s="71">
        <f t="shared" si="6"/>
        <v>0</v>
      </c>
      <c r="I90" s="71" t="e">
        <f t="shared" si="7"/>
        <v>#DIV/0!</v>
      </c>
      <c r="J90" s="70" t="e">
        <f t="shared" si="8"/>
        <v>#DIV/0!</v>
      </c>
      <c r="K90" s="71">
        <f t="shared" si="9"/>
        <v>0.666666666666667</v>
      </c>
    </row>
    <row r="91" spans="1:11">
      <c r="A91" s="68" t="s">
        <v>144</v>
      </c>
      <c r="B91" s="69">
        <v>8</v>
      </c>
      <c r="C91" s="69">
        <v>2</v>
      </c>
      <c r="D91" s="69">
        <v>1.94</v>
      </c>
      <c r="E91" s="69">
        <v>0</v>
      </c>
      <c r="F91" s="69">
        <v>0</v>
      </c>
      <c r="G91" s="70">
        <f t="shared" si="5"/>
        <v>0.97</v>
      </c>
      <c r="H91" s="71">
        <f t="shared" si="6"/>
        <v>0</v>
      </c>
      <c r="I91" s="71" t="e">
        <f t="shared" si="7"/>
        <v>#DIV/0!</v>
      </c>
      <c r="J91" s="70" t="e">
        <f t="shared" si="8"/>
        <v>#DIV/0!</v>
      </c>
      <c r="K91" s="71">
        <f t="shared" si="9"/>
        <v>0.25</v>
      </c>
    </row>
    <row r="92" spans="1:11">
      <c r="A92" s="68" t="s">
        <v>145</v>
      </c>
      <c r="B92" s="69">
        <v>7</v>
      </c>
      <c r="C92" s="69">
        <v>2</v>
      </c>
      <c r="D92" s="69">
        <v>2.7</v>
      </c>
      <c r="E92" s="69">
        <v>0</v>
      </c>
      <c r="F92" s="69">
        <v>0</v>
      </c>
      <c r="G92" s="70">
        <f t="shared" si="5"/>
        <v>1.35</v>
      </c>
      <c r="H92" s="71">
        <f t="shared" si="6"/>
        <v>0</v>
      </c>
      <c r="I92" s="71" t="e">
        <f t="shared" si="7"/>
        <v>#DIV/0!</v>
      </c>
      <c r="J92" s="70" t="e">
        <f t="shared" si="8"/>
        <v>#DIV/0!</v>
      </c>
      <c r="K92" s="71">
        <f t="shared" si="9"/>
        <v>0.285714285714286</v>
      </c>
    </row>
    <row r="93" spans="1:11">
      <c r="A93" s="68" t="s">
        <v>146</v>
      </c>
      <c r="B93" s="69">
        <v>4</v>
      </c>
      <c r="C93" s="69">
        <v>2</v>
      </c>
      <c r="D93" s="69">
        <v>2.77</v>
      </c>
      <c r="E93" s="69">
        <v>0</v>
      </c>
      <c r="F93" s="69">
        <v>0</v>
      </c>
      <c r="G93" s="70">
        <f t="shared" si="5"/>
        <v>1.385</v>
      </c>
      <c r="H93" s="71">
        <f t="shared" si="6"/>
        <v>0</v>
      </c>
      <c r="I93" s="71" t="e">
        <f t="shared" si="7"/>
        <v>#DIV/0!</v>
      </c>
      <c r="J93" s="70" t="e">
        <f t="shared" si="8"/>
        <v>#DIV/0!</v>
      </c>
      <c r="K93" s="71">
        <f t="shared" si="9"/>
        <v>0.5</v>
      </c>
    </row>
    <row r="94" spans="1:11">
      <c r="A94" s="68" t="s">
        <v>147</v>
      </c>
      <c r="B94" s="69">
        <v>4</v>
      </c>
      <c r="C94" s="69">
        <v>2</v>
      </c>
      <c r="D94" s="69">
        <v>2.54</v>
      </c>
      <c r="E94" s="69">
        <v>0</v>
      </c>
      <c r="F94" s="69">
        <v>0</v>
      </c>
      <c r="G94" s="70">
        <f t="shared" si="5"/>
        <v>1.27</v>
      </c>
      <c r="H94" s="71">
        <f t="shared" si="6"/>
        <v>0</v>
      </c>
      <c r="I94" s="71" t="e">
        <f t="shared" si="7"/>
        <v>#DIV/0!</v>
      </c>
      <c r="J94" s="70" t="e">
        <f t="shared" si="8"/>
        <v>#DIV/0!</v>
      </c>
      <c r="K94" s="71">
        <f t="shared" si="9"/>
        <v>0.5</v>
      </c>
    </row>
    <row r="95" spans="1:11">
      <c r="A95" s="68" t="s">
        <v>148</v>
      </c>
      <c r="B95" s="69">
        <v>9</v>
      </c>
      <c r="C95" s="69">
        <v>2</v>
      </c>
      <c r="D95" s="69">
        <v>2.33</v>
      </c>
      <c r="E95" s="69">
        <v>0</v>
      </c>
      <c r="F95" s="69">
        <v>0</v>
      </c>
      <c r="G95" s="70">
        <f t="shared" si="5"/>
        <v>1.165</v>
      </c>
      <c r="H95" s="71">
        <f t="shared" si="6"/>
        <v>0</v>
      </c>
      <c r="I95" s="71" t="e">
        <f t="shared" si="7"/>
        <v>#DIV/0!</v>
      </c>
      <c r="J95" s="70" t="e">
        <f t="shared" si="8"/>
        <v>#DIV/0!</v>
      </c>
      <c r="K95" s="71">
        <f t="shared" si="9"/>
        <v>0.222222222222222</v>
      </c>
    </row>
    <row r="96" spans="1:11">
      <c r="A96" s="68" t="s">
        <v>149</v>
      </c>
      <c r="B96" s="69">
        <v>3</v>
      </c>
      <c r="C96" s="69">
        <v>2</v>
      </c>
      <c r="D96" s="69">
        <v>2.68</v>
      </c>
      <c r="E96" s="69">
        <v>0</v>
      </c>
      <c r="F96" s="69">
        <v>0</v>
      </c>
      <c r="G96" s="70">
        <f t="shared" si="5"/>
        <v>1.34</v>
      </c>
      <c r="H96" s="71">
        <f t="shared" si="6"/>
        <v>0</v>
      </c>
      <c r="I96" s="71" t="e">
        <f t="shared" si="7"/>
        <v>#DIV/0!</v>
      </c>
      <c r="J96" s="70" t="e">
        <f t="shared" si="8"/>
        <v>#DIV/0!</v>
      </c>
      <c r="K96" s="71">
        <f t="shared" si="9"/>
        <v>0.666666666666667</v>
      </c>
    </row>
    <row r="97" spans="1:11">
      <c r="A97" s="68" t="s">
        <v>150</v>
      </c>
      <c r="B97" s="69">
        <v>7</v>
      </c>
      <c r="C97" s="69">
        <v>2</v>
      </c>
      <c r="D97" s="69">
        <v>2.85</v>
      </c>
      <c r="E97" s="69">
        <v>46.99</v>
      </c>
      <c r="F97" s="69">
        <v>1</v>
      </c>
      <c r="G97" s="70">
        <f t="shared" si="5"/>
        <v>1.425</v>
      </c>
      <c r="H97" s="71">
        <f t="shared" si="6"/>
        <v>0.5</v>
      </c>
      <c r="I97" s="71">
        <f t="shared" si="7"/>
        <v>0.0606512023834858</v>
      </c>
      <c r="J97" s="70">
        <f t="shared" si="8"/>
        <v>2.85</v>
      </c>
      <c r="K97" s="71">
        <f t="shared" si="9"/>
        <v>0.285714285714286</v>
      </c>
    </row>
    <row r="98" spans="1:11">
      <c r="A98" s="68" t="s">
        <v>151</v>
      </c>
      <c r="B98" s="69">
        <v>7</v>
      </c>
      <c r="C98" s="69">
        <v>2</v>
      </c>
      <c r="D98" s="69">
        <v>2.21</v>
      </c>
      <c r="E98" s="69">
        <v>0</v>
      </c>
      <c r="F98" s="69">
        <v>0</v>
      </c>
      <c r="G98" s="70">
        <f t="shared" si="5"/>
        <v>1.105</v>
      </c>
      <c r="H98" s="71">
        <f t="shared" si="6"/>
        <v>0</v>
      </c>
      <c r="I98" s="71" t="e">
        <f t="shared" si="7"/>
        <v>#DIV/0!</v>
      </c>
      <c r="J98" s="70" t="e">
        <f t="shared" si="8"/>
        <v>#DIV/0!</v>
      </c>
      <c r="K98" s="71">
        <f t="shared" si="9"/>
        <v>0.285714285714286</v>
      </c>
    </row>
    <row r="99" spans="1:11">
      <c r="A99" s="68" t="s">
        <v>152</v>
      </c>
      <c r="B99" s="69">
        <v>6</v>
      </c>
      <c r="C99" s="69">
        <v>2</v>
      </c>
      <c r="D99" s="69">
        <v>2.18</v>
      </c>
      <c r="E99" s="69">
        <v>0</v>
      </c>
      <c r="F99" s="69">
        <v>0</v>
      </c>
      <c r="G99" s="70">
        <f t="shared" si="5"/>
        <v>1.09</v>
      </c>
      <c r="H99" s="71">
        <f t="shared" si="6"/>
        <v>0</v>
      </c>
      <c r="I99" s="71" t="e">
        <f t="shared" si="7"/>
        <v>#DIV/0!</v>
      </c>
      <c r="J99" s="70" t="e">
        <f t="shared" si="8"/>
        <v>#DIV/0!</v>
      </c>
      <c r="K99" s="71">
        <f t="shared" si="9"/>
        <v>0.333333333333333</v>
      </c>
    </row>
    <row r="100" spans="1:11">
      <c r="A100" s="68" t="s">
        <v>153</v>
      </c>
      <c r="B100" s="69">
        <v>6</v>
      </c>
      <c r="C100" s="69">
        <v>2</v>
      </c>
      <c r="D100" s="69">
        <v>2.18</v>
      </c>
      <c r="E100" s="69">
        <v>0</v>
      </c>
      <c r="F100" s="69">
        <v>0</v>
      </c>
      <c r="G100" s="70">
        <f t="shared" si="5"/>
        <v>1.09</v>
      </c>
      <c r="H100" s="71">
        <f t="shared" si="6"/>
        <v>0</v>
      </c>
      <c r="I100" s="71" t="e">
        <f t="shared" si="7"/>
        <v>#DIV/0!</v>
      </c>
      <c r="J100" s="70" t="e">
        <f t="shared" si="8"/>
        <v>#DIV/0!</v>
      </c>
      <c r="K100" s="71">
        <f t="shared" si="9"/>
        <v>0.333333333333333</v>
      </c>
    </row>
    <row r="101" spans="1:11">
      <c r="A101" s="68" t="s">
        <v>154</v>
      </c>
      <c r="B101" s="69">
        <v>3</v>
      </c>
      <c r="C101" s="69">
        <v>2</v>
      </c>
      <c r="D101" s="69">
        <v>3</v>
      </c>
      <c r="E101" s="69">
        <v>0</v>
      </c>
      <c r="F101" s="69">
        <v>0</v>
      </c>
      <c r="G101" s="70">
        <f t="shared" si="5"/>
        <v>1.5</v>
      </c>
      <c r="H101" s="71">
        <f t="shared" si="6"/>
        <v>0</v>
      </c>
      <c r="I101" s="71" t="e">
        <f t="shared" si="7"/>
        <v>#DIV/0!</v>
      </c>
      <c r="J101" s="70" t="e">
        <f t="shared" si="8"/>
        <v>#DIV/0!</v>
      </c>
      <c r="K101" s="71">
        <f t="shared" si="9"/>
        <v>0.666666666666667</v>
      </c>
    </row>
    <row r="102" spans="1:11">
      <c r="A102" s="68" t="s">
        <v>155</v>
      </c>
      <c r="B102" s="69">
        <v>2</v>
      </c>
      <c r="C102" s="69">
        <v>1</v>
      </c>
      <c r="D102" s="69">
        <v>0.9</v>
      </c>
      <c r="E102" s="69">
        <v>0</v>
      </c>
      <c r="F102" s="69">
        <v>0</v>
      </c>
      <c r="G102" s="70">
        <f t="shared" si="5"/>
        <v>0.9</v>
      </c>
      <c r="H102" s="71">
        <f t="shared" si="6"/>
        <v>0</v>
      </c>
      <c r="I102" s="71" t="e">
        <f t="shared" si="7"/>
        <v>#DIV/0!</v>
      </c>
      <c r="J102" s="70" t="e">
        <f t="shared" si="8"/>
        <v>#DIV/0!</v>
      </c>
      <c r="K102" s="71">
        <f t="shared" si="9"/>
        <v>0.5</v>
      </c>
    </row>
    <row r="103" spans="1:11">
      <c r="A103" s="68" t="s">
        <v>156</v>
      </c>
      <c r="B103" s="69">
        <v>6</v>
      </c>
      <c r="C103" s="69">
        <v>1</v>
      </c>
      <c r="D103" s="69">
        <v>0.9</v>
      </c>
      <c r="E103" s="69">
        <v>0</v>
      </c>
      <c r="F103" s="69">
        <v>0</v>
      </c>
      <c r="G103" s="70">
        <f t="shared" si="5"/>
        <v>0.9</v>
      </c>
      <c r="H103" s="71">
        <f t="shared" si="6"/>
        <v>0</v>
      </c>
      <c r="I103" s="71" t="e">
        <f t="shared" si="7"/>
        <v>#DIV/0!</v>
      </c>
      <c r="J103" s="70" t="e">
        <f t="shared" si="8"/>
        <v>#DIV/0!</v>
      </c>
      <c r="K103" s="71">
        <f t="shared" si="9"/>
        <v>0.166666666666667</v>
      </c>
    </row>
    <row r="104" spans="1:11">
      <c r="A104" s="68" t="s">
        <v>157</v>
      </c>
      <c r="B104" s="69">
        <v>5</v>
      </c>
      <c r="C104" s="69">
        <v>1</v>
      </c>
      <c r="D104" s="69">
        <v>0.9</v>
      </c>
      <c r="E104" s="69">
        <v>0</v>
      </c>
      <c r="F104" s="69">
        <v>0</v>
      </c>
      <c r="G104" s="70">
        <f t="shared" si="5"/>
        <v>0.9</v>
      </c>
      <c r="H104" s="71">
        <f t="shared" si="6"/>
        <v>0</v>
      </c>
      <c r="I104" s="71" t="e">
        <f t="shared" si="7"/>
        <v>#DIV/0!</v>
      </c>
      <c r="J104" s="70" t="e">
        <f t="shared" si="8"/>
        <v>#DIV/0!</v>
      </c>
      <c r="K104" s="71">
        <f t="shared" si="9"/>
        <v>0.2</v>
      </c>
    </row>
    <row r="105" spans="1:11">
      <c r="A105" s="68" t="s">
        <v>158</v>
      </c>
      <c r="B105" s="69">
        <v>3</v>
      </c>
      <c r="C105" s="69">
        <v>1</v>
      </c>
      <c r="D105" s="69">
        <v>1.25</v>
      </c>
      <c r="E105" s="69">
        <v>0</v>
      </c>
      <c r="F105" s="69">
        <v>0</v>
      </c>
      <c r="G105" s="70">
        <f t="shared" si="5"/>
        <v>1.25</v>
      </c>
      <c r="H105" s="71">
        <f t="shared" si="6"/>
        <v>0</v>
      </c>
      <c r="I105" s="71" t="e">
        <f t="shared" si="7"/>
        <v>#DIV/0!</v>
      </c>
      <c r="J105" s="70" t="e">
        <f t="shared" si="8"/>
        <v>#DIV/0!</v>
      </c>
      <c r="K105" s="71">
        <f t="shared" si="9"/>
        <v>0.333333333333333</v>
      </c>
    </row>
    <row r="106" spans="1:11">
      <c r="A106" s="68" t="s">
        <v>159</v>
      </c>
      <c r="B106" s="69">
        <v>1</v>
      </c>
      <c r="C106" s="69">
        <v>1</v>
      </c>
      <c r="D106" s="69">
        <v>1.32</v>
      </c>
      <c r="E106" s="69">
        <v>0</v>
      </c>
      <c r="F106" s="69">
        <v>0</v>
      </c>
      <c r="G106" s="70">
        <f t="shared" si="5"/>
        <v>1.32</v>
      </c>
      <c r="H106" s="71">
        <f t="shared" si="6"/>
        <v>0</v>
      </c>
      <c r="I106" s="71" t="e">
        <f t="shared" si="7"/>
        <v>#DIV/0!</v>
      </c>
      <c r="J106" s="70" t="e">
        <f t="shared" si="8"/>
        <v>#DIV/0!</v>
      </c>
      <c r="K106" s="71">
        <f t="shared" si="9"/>
        <v>1</v>
      </c>
    </row>
    <row r="107" spans="1:11">
      <c r="A107" s="68" t="s">
        <v>160</v>
      </c>
      <c r="B107" s="69">
        <v>1</v>
      </c>
      <c r="C107" s="69">
        <v>1</v>
      </c>
      <c r="D107" s="69">
        <v>1.32</v>
      </c>
      <c r="E107" s="69">
        <v>0</v>
      </c>
      <c r="F107" s="69">
        <v>0</v>
      </c>
      <c r="G107" s="70">
        <f t="shared" si="5"/>
        <v>1.32</v>
      </c>
      <c r="H107" s="71">
        <f t="shared" si="6"/>
        <v>0</v>
      </c>
      <c r="I107" s="71" t="e">
        <f t="shared" si="7"/>
        <v>#DIV/0!</v>
      </c>
      <c r="J107" s="70" t="e">
        <f t="shared" si="8"/>
        <v>#DIV/0!</v>
      </c>
      <c r="K107" s="71">
        <f t="shared" si="9"/>
        <v>1</v>
      </c>
    </row>
    <row r="108" spans="1:11">
      <c r="A108" s="68" t="s">
        <v>161</v>
      </c>
      <c r="B108" s="69">
        <v>1</v>
      </c>
      <c r="C108" s="69">
        <v>1</v>
      </c>
      <c r="D108" s="69">
        <v>0.95</v>
      </c>
      <c r="E108" s="69">
        <v>0</v>
      </c>
      <c r="F108" s="69">
        <v>0</v>
      </c>
      <c r="G108" s="70">
        <f t="shared" si="5"/>
        <v>0.95</v>
      </c>
      <c r="H108" s="71">
        <f t="shared" si="6"/>
        <v>0</v>
      </c>
      <c r="I108" s="71" t="e">
        <f t="shared" si="7"/>
        <v>#DIV/0!</v>
      </c>
      <c r="J108" s="70" t="e">
        <f t="shared" si="8"/>
        <v>#DIV/0!</v>
      </c>
      <c r="K108" s="71">
        <f t="shared" si="9"/>
        <v>1</v>
      </c>
    </row>
    <row r="109" spans="1:11">
      <c r="A109" s="68" t="s">
        <v>162</v>
      </c>
      <c r="B109" s="69">
        <v>1</v>
      </c>
      <c r="C109" s="69">
        <v>1</v>
      </c>
      <c r="D109" s="69">
        <v>1.55</v>
      </c>
      <c r="E109" s="69">
        <v>46.99</v>
      </c>
      <c r="F109" s="69">
        <v>1</v>
      </c>
      <c r="G109" s="70">
        <f t="shared" si="5"/>
        <v>1.55</v>
      </c>
      <c r="H109" s="71">
        <f t="shared" si="6"/>
        <v>1</v>
      </c>
      <c r="I109" s="71">
        <f t="shared" si="7"/>
        <v>0.032985741647159</v>
      </c>
      <c r="J109" s="70">
        <f t="shared" si="8"/>
        <v>1.55</v>
      </c>
      <c r="K109" s="71">
        <f t="shared" si="9"/>
        <v>1</v>
      </c>
    </row>
    <row r="110" spans="1:11">
      <c r="A110" s="68" t="s">
        <v>163</v>
      </c>
      <c r="B110" s="69">
        <v>2</v>
      </c>
      <c r="C110" s="69">
        <v>1</v>
      </c>
      <c r="D110" s="69">
        <v>1.8</v>
      </c>
      <c r="E110" s="69">
        <v>46.99</v>
      </c>
      <c r="F110" s="69">
        <v>1</v>
      </c>
      <c r="G110" s="70">
        <f t="shared" si="5"/>
        <v>1.8</v>
      </c>
      <c r="H110" s="71">
        <f t="shared" si="6"/>
        <v>1</v>
      </c>
      <c r="I110" s="71">
        <f t="shared" si="7"/>
        <v>0.0383060225579911</v>
      </c>
      <c r="J110" s="70">
        <f t="shared" si="8"/>
        <v>1.8</v>
      </c>
      <c r="K110" s="71">
        <f t="shared" si="9"/>
        <v>0.5</v>
      </c>
    </row>
    <row r="111" spans="1:11">
      <c r="A111" s="68" t="s">
        <v>164</v>
      </c>
      <c r="B111" s="69">
        <v>1</v>
      </c>
      <c r="C111" s="69">
        <v>1</v>
      </c>
      <c r="D111" s="69">
        <v>1.8</v>
      </c>
      <c r="E111" s="69">
        <v>0</v>
      </c>
      <c r="F111" s="69">
        <v>0</v>
      </c>
      <c r="G111" s="70">
        <f t="shared" si="5"/>
        <v>1.8</v>
      </c>
      <c r="H111" s="71">
        <f t="shared" si="6"/>
        <v>0</v>
      </c>
      <c r="I111" s="71" t="e">
        <f t="shared" si="7"/>
        <v>#DIV/0!</v>
      </c>
      <c r="J111" s="70" t="e">
        <f t="shared" si="8"/>
        <v>#DIV/0!</v>
      </c>
      <c r="K111" s="71">
        <f t="shared" si="9"/>
        <v>1</v>
      </c>
    </row>
    <row r="112" spans="1:11">
      <c r="A112" s="68" t="s">
        <v>165</v>
      </c>
      <c r="B112" s="69">
        <v>3</v>
      </c>
      <c r="C112" s="69">
        <v>1</v>
      </c>
      <c r="D112" s="69">
        <v>1.8</v>
      </c>
      <c r="E112" s="69">
        <v>0</v>
      </c>
      <c r="F112" s="69">
        <v>0</v>
      </c>
      <c r="G112" s="70">
        <f t="shared" si="5"/>
        <v>1.8</v>
      </c>
      <c r="H112" s="71">
        <f t="shared" si="6"/>
        <v>0</v>
      </c>
      <c r="I112" s="71" t="e">
        <f t="shared" si="7"/>
        <v>#DIV/0!</v>
      </c>
      <c r="J112" s="70" t="e">
        <f t="shared" si="8"/>
        <v>#DIV/0!</v>
      </c>
      <c r="K112" s="71">
        <f t="shared" si="9"/>
        <v>0.333333333333333</v>
      </c>
    </row>
    <row r="113" spans="1:11">
      <c r="A113" s="68" t="s">
        <v>166</v>
      </c>
      <c r="B113" s="69">
        <v>3</v>
      </c>
      <c r="C113" s="69">
        <v>1</v>
      </c>
      <c r="D113" s="69">
        <v>1.53</v>
      </c>
      <c r="E113" s="69">
        <v>0</v>
      </c>
      <c r="F113" s="69">
        <v>0</v>
      </c>
      <c r="G113" s="70">
        <f t="shared" si="5"/>
        <v>1.53</v>
      </c>
      <c r="H113" s="71">
        <f t="shared" si="6"/>
        <v>0</v>
      </c>
      <c r="I113" s="71" t="e">
        <f t="shared" si="7"/>
        <v>#DIV/0!</v>
      </c>
      <c r="J113" s="70" t="e">
        <f t="shared" si="8"/>
        <v>#DIV/0!</v>
      </c>
      <c r="K113" s="71">
        <f t="shared" si="9"/>
        <v>0.333333333333333</v>
      </c>
    </row>
    <row r="114" spans="1:11">
      <c r="A114" s="68" t="s">
        <v>167</v>
      </c>
      <c r="B114" s="69">
        <v>3</v>
      </c>
      <c r="C114" s="69">
        <v>1</v>
      </c>
      <c r="D114" s="69">
        <v>1.53</v>
      </c>
      <c r="E114" s="69">
        <v>0</v>
      </c>
      <c r="F114" s="69">
        <v>0</v>
      </c>
      <c r="G114" s="70">
        <f t="shared" si="5"/>
        <v>1.53</v>
      </c>
      <c r="H114" s="71">
        <f t="shared" si="6"/>
        <v>0</v>
      </c>
      <c r="I114" s="71" t="e">
        <f t="shared" si="7"/>
        <v>#DIV/0!</v>
      </c>
      <c r="J114" s="70" t="e">
        <f t="shared" si="8"/>
        <v>#DIV/0!</v>
      </c>
      <c r="K114" s="71">
        <f t="shared" si="9"/>
        <v>0.333333333333333</v>
      </c>
    </row>
    <row r="115" spans="1:11">
      <c r="A115" s="68" t="s">
        <v>168</v>
      </c>
      <c r="B115" s="69">
        <v>4</v>
      </c>
      <c r="C115" s="69">
        <v>1</v>
      </c>
      <c r="D115" s="69">
        <v>1.01</v>
      </c>
      <c r="E115" s="69">
        <v>0</v>
      </c>
      <c r="F115" s="69">
        <v>0</v>
      </c>
      <c r="G115" s="70">
        <f t="shared" si="5"/>
        <v>1.01</v>
      </c>
      <c r="H115" s="71">
        <f t="shared" si="6"/>
        <v>0</v>
      </c>
      <c r="I115" s="71" t="e">
        <f t="shared" si="7"/>
        <v>#DIV/0!</v>
      </c>
      <c r="J115" s="70" t="e">
        <f t="shared" si="8"/>
        <v>#DIV/0!</v>
      </c>
      <c r="K115" s="71">
        <f t="shared" si="9"/>
        <v>0.25</v>
      </c>
    </row>
    <row r="116" spans="1:11">
      <c r="A116" s="68" t="s">
        <v>169</v>
      </c>
      <c r="B116" s="69">
        <v>1</v>
      </c>
      <c r="C116" s="69">
        <v>1</v>
      </c>
      <c r="D116" s="69">
        <v>1.7</v>
      </c>
      <c r="E116" s="69">
        <v>39.94</v>
      </c>
      <c r="F116" s="69">
        <v>1</v>
      </c>
      <c r="G116" s="70">
        <f t="shared" si="5"/>
        <v>1.7</v>
      </c>
      <c r="H116" s="71">
        <f t="shared" si="6"/>
        <v>1</v>
      </c>
      <c r="I116" s="71">
        <f t="shared" si="7"/>
        <v>0.042563845768653</v>
      </c>
      <c r="J116" s="70">
        <f t="shared" si="8"/>
        <v>1.7</v>
      </c>
      <c r="K116" s="71">
        <f t="shared" si="9"/>
        <v>1</v>
      </c>
    </row>
    <row r="117" spans="1:11">
      <c r="A117" s="68" t="s">
        <v>170</v>
      </c>
      <c r="B117" s="69">
        <v>1</v>
      </c>
      <c r="C117" s="69">
        <v>1</v>
      </c>
      <c r="D117" s="69">
        <v>1.7</v>
      </c>
      <c r="E117" s="69">
        <v>39.94</v>
      </c>
      <c r="F117" s="69">
        <v>1</v>
      </c>
      <c r="G117" s="70">
        <f t="shared" si="5"/>
        <v>1.7</v>
      </c>
      <c r="H117" s="71">
        <f t="shared" si="6"/>
        <v>1</v>
      </c>
      <c r="I117" s="71">
        <f t="shared" si="7"/>
        <v>0.042563845768653</v>
      </c>
      <c r="J117" s="70">
        <f t="shared" si="8"/>
        <v>1.7</v>
      </c>
      <c r="K117" s="71">
        <f t="shared" si="9"/>
        <v>1</v>
      </c>
    </row>
    <row r="118" spans="1:11">
      <c r="A118" s="68" t="s">
        <v>171</v>
      </c>
      <c r="B118" s="69">
        <v>10</v>
      </c>
      <c r="C118" s="69">
        <v>1</v>
      </c>
      <c r="D118" s="69">
        <v>1.7</v>
      </c>
      <c r="E118" s="69">
        <v>0</v>
      </c>
      <c r="F118" s="69">
        <v>0</v>
      </c>
      <c r="G118" s="70">
        <f t="shared" si="5"/>
        <v>1.7</v>
      </c>
      <c r="H118" s="71">
        <f t="shared" si="6"/>
        <v>0</v>
      </c>
      <c r="I118" s="71" t="e">
        <f t="shared" si="7"/>
        <v>#DIV/0!</v>
      </c>
      <c r="J118" s="70" t="e">
        <f t="shared" si="8"/>
        <v>#DIV/0!</v>
      </c>
      <c r="K118" s="71">
        <f t="shared" si="9"/>
        <v>0.1</v>
      </c>
    </row>
    <row r="119" spans="1:11">
      <c r="A119" s="68" t="s">
        <v>172</v>
      </c>
      <c r="B119" s="69">
        <v>10</v>
      </c>
      <c r="C119" s="69">
        <v>1</v>
      </c>
      <c r="D119" s="69">
        <v>1.7</v>
      </c>
      <c r="E119" s="69">
        <v>0</v>
      </c>
      <c r="F119" s="69">
        <v>0</v>
      </c>
      <c r="G119" s="70">
        <f t="shared" si="5"/>
        <v>1.7</v>
      </c>
      <c r="H119" s="71">
        <f t="shared" si="6"/>
        <v>0</v>
      </c>
      <c r="I119" s="71" t="e">
        <f t="shared" si="7"/>
        <v>#DIV/0!</v>
      </c>
      <c r="J119" s="70" t="e">
        <f t="shared" si="8"/>
        <v>#DIV/0!</v>
      </c>
      <c r="K119" s="71">
        <f t="shared" si="9"/>
        <v>0.1</v>
      </c>
    </row>
    <row r="120" spans="1:11">
      <c r="A120" s="68" t="s">
        <v>173</v>
      </c>
      <c r="B120" s="69">
        <v>2</v>
      </c>
      <c r="C120" s="69">
        <v>1</v>
      </c>
      <c r="D120" s="69">
        <v>1.08</v>
      </c>
      <c r="E120" s="69">
        <v>0</v>
      </c>
      <c r="F120" s="69">
        <v>0</v>
      </c>
      <c r="G120" s="70">
        <f t="shared" si="5"/>
        <v>1.08</v>
      </c>
      <c r="H120" s="71">
        <f t="shared" si="6"/>
        <v>0</v>
      </c>
      <c r="I120" s="71" t="e">
        <f t="shared" si="7"/>
        <v>#DIV/0!</v>
      </c>
      <c r="J120" s="70" t="e">
        <f t="shared" si="8"/>
        <v>#DIV/0!</v>
      </c>
      <c r="K120" s="71">
        <f t="shared" si="9"/>
        <v>0.5</v>
      </c>
    </row>
    <row r="121" spans="1:11">
      <c r="A121" s="68" t="s">
        <v>174</v>
      </c>
      <c r="B121" s="69">
        <v>13</v>
      </c>
      <c r="C121" s="69">
        <v>1</v>
      </c>
      <c r="D121" s="69">
        <v>1.7</v>
      </c>
      <c r="E121" s="69">
        <v>0</v>
      </c>
      <c r="F121" s="69">
        <v>0</v>
      </c>
      <c r="G121" s="70">
        <f t="shared" si="5"/>
        <v>1.7</v>
      </c>
      <c r="H121" s="71">
        <f t="shared" si="6"/>
        <v>0</v>
      </c>
      <c r="I121" s="71" t="e">
        <f t="shared" si="7"/>
        <v>#DIV/0!</v>
      </c>
      <c r="J121" s="70" t="e">
        <f t="shared" si="8"/>
        <v>#DIV/0!</v>
      </c>
      <c r="K121" s="71">
        <f t="shared" si="9"/>
        <v>0.0769230769230769</v>
      </c>
    </row>
    <row r="122" spans="1:11">
      <c r="A122" s="68" t="s">
        <v>175</v>
      </c>
      <c r="B122" s="69">
        <v>7</v>
      </c>
      <c r="C122" s="69">
        <v>1</v>
      </c>
      <c r="D122" s="69">
        <v>0.83</v>
      </c>
      <c r="E122" s="69">
        <v>0</v>
      </c>
      <c r="F122" s="69">
        <v>0</v>
      </c>
      <c r="G122" s="70">
        <f t="shared" si="5"/>
        <v>0.83</v>
      </c>
      <c r="H122" s="71">
        <f t="shared" si="6"/>
        <v>0</v>
      </c>
      <c r="I122" s="71" t="e">
        <f t="shared" si="7"/>
        <v>#DIV/0!</v>
      </c>
      <c r="J122" s="70" t="e">
        <f t="shared" si="8"/>
        <v>#DIV/0!</v>
      </c>
      <c r="K122" s="71">
        <f t="shared" si="9"/>
        <v>0.142857142857143</v>
      </c>
    </row>
    <row r="123" spans="1:11">
      <c r="A123" s="68" t="s">
        <v>176</v>
      </c>
      <c r="B123" s="69">
        <v>7</v>
      </c>
      <c r="C123" s="69">
        <v>1</v>
      </c>
      <c r="D123" s="69">
        <v>0.83</v>
      </c>
      <c r="E123" s="69">
        <v>0</v>
      </c>
      <c r="F123" s="69">
        <v>0</v>
      </c>
      <c r="G123" s="70">
        <f t="shared" si="5"/>
        <v>0.83</v>
      </c>
      <c r="H123" s="71">
        <f t="shared" si="6"/>
        <v>0</v>
      </c>
      <c r="I123" s="71" t="e">
        <f t="shared" si="7"/>
        <v>#DIV/0!</v>
      </c>
      <c r="J123" s="70" t="e">
        <f t="shared" si="8"/>
        <v>#DIV/0!</v>
      </c>
      <c r="K123" s="71">
        <f t="shared" si="9"/>
        <v>0.142857142857143</v>
      </c>
    </row>
    <row r="124" spans="1:11">
      <c r="A124" s="68" t="s">
        <v>177</v>
      </c>
      <c r="B124" s="69">
        <v>7</v>
      </c>
      <c r="C124" s="69">
        <v>1</v>
      </c>
      <c r="D124" s="69">
        <v>0.83</v>
      </c>
      <c r="E124" s="69">
        <v>0</v>
      </c>
      <c r="F124" s="69">
        <v>0</v>
      </c>
      <c r="G124" s="70">
        <f t="shared" si="5"/>
        <v>0.83</v>
      </c>
      <c r="H124" s="71">
        <f t="shared" si="6"/>
        <v>0</v>
      </c>
      <c r="I124" s="71" t="e">
        <f t="shared" si="7"/>
        <v>#DIV/0!</v>
      </c>
      <c r="J124" s="70" t="e">
        <f t="shared" si="8"/>
        <v>#DIV/0!</v>
      </c>
      <c r="K124" s="71">
        <f t="shared" si="9"/>
        <v>0.142857142857143</v>
      </c>
    </row>
    <row r="125" spans="1:11">
      <c r="A125" s="68" t="s">
        <v>178</v>
      </c>
      <c r="B125" s="69">
        <v>4</v>
      </c>
      <c r="C125" s="69">
        <v>1</v>
      </c>
      <c r="D125" s="69">
        <v>1.5</v>
      </c>
      <c r="E125" s="69">
        <v>0</v>
      </c>
      <c r="F125" s="69">
        <v>0</v>
      </c>
      <c r="G125" s="70">
        <f t="shared" si="5"/>
        <v>1.5</v>
      </c>
      <c r="H125" s="71">
        <f t="shared" si="6"/>
        <v>0</v>
      </c>
      <c r="I125" s="71" t="e">
        <f t="shared" si="7"/>
        <v>#DIV/0!</v>
      </c>
      <c r="J125" s="70" t="e">
        <f t="shared" si="8"/>
        <v>#DIV/0!</v>
      </c>
      <c r="K125" s="71">
        <f t="shared" si="9"/>
        <v>0.25</v>
      </c>
    </row>
    <row r="126" spans="1:11">
      <c r="A126" s="68" t="s">
        <v>179</v>
      </c>
      <c r="B126" s="69">
        <v>4</v>
      </c>
      <c r="C126" s="69">
        <v>1</v>
      </c>
      <c r="D126" s="69">
        <v>1.5</v>
      </c>
      <c r="E126" s="69">
        <v>0</v>
      </c>
      <c r="F126" s="69">
        <v>0</v>
      </c>
      <c r="G126" s="70">
        <f t="shared" si="5"/>
        <v>1.5</v>
      </c>
      <c r="H126" s="71">
        <f t="shared" si="6"/>
        <v>0</v>
      </c>
      <c r="I126" s="71" t="e">
        <f t="shared" si="7"/>
        <v>#DIV/0!</v>
      </c>
      <c r="J126" s="70" t="e">
        <f t="shared" si="8"/>
        <v>#DIV/0!</v>
      </c>
      <c r="K126" s="71">
        <f t="shared" si="9"/>
        <v>0.25</v>
      </c>
    </row>
    <row r="127" spans="1:11">
      <c r="A127" s="68" t="s">
        <v>180</v>
      </c>
      <c r="B127" s="69">
        <v>1</v>
      </c>
      <c r="C127" s="69">
        <v>1</v>
      </c>
      <c r="D127" s="69">
        <v>1.5</v>
      </c>
      <c r="E127" s="69">
        <v>0</v>
      </c>
      <c r="F127" s="69">
        <v>0</v>
      </c>
      <c r="G127" s="70">
        <f t="shared" si="5"/>
        <v>1.5</v>
      </c>
      <c r="H127" s="71">
        <f t="shared" si="6"/>
        <v>0</v>
      </c>
      <c r="I127" s="71" t="e">
        <f t="shared" si="7"/>
        <v>#DIV/0!</v>
      </c>
      <c r="J127" s="70" t="e">
        <f t="shared" si="8"/>
        <v>#DIV/0!</v>
      </c>
      <c r="K127" s="71">
        <f t="shared" si="9"/>
        <v>1</v>
      </c>
    </row>
    <row r="128" spans="1:11">
      <c r="A128" s="68" t="s">
        <v>181</v>
      </c>
      <c r="B128" s="69">
        <v>3</v>
      </c>
      <c r="C128" s="69">
        <v>1</v>
      </c>
      <c r="D128" s="69">
        <v>1.11</v>
      </c>
      <c r="E128" s="69">
        <v>0</v>
      </c>
      <c r="F128" s="69">
        <v>0</v>
      </c>
      <c r="G128" s="70">
        <f t="shared" si="5"/>
        <v>1.11</v>
      </c>
      <c r="H128" s="71">
        <f t="shared" si="6"/>
        <v>0</v>
      </c>
      <c r="I128" s="71" t="e">
        <f t="shared" si="7"/>
        <v>#DIV/0!</v>
      </c>
      <c r="J128" s="70" t="e">
        <f t="shared" si="8"/>
        <v>#DIV/0!</v>
      </c>
      <c r="K128" s="71">
        <f t="shared" si="9"/>
        <v>0.333333333333333</v>
      </c>
    </row>
    <row r="129" spans="1:11">
      <c r="A129" s="68" t="s">
        <v>182</v>
      </c>
      <c r="B129" s="69">
        <v>79</v>
      </c>
      <c r="C129" s="69">
        <v>1</v>
      </c>
      <c r="D129" s="69">
        <v>1.29</v>
      </c>
      <c r="E129" s="69">
        <v>0</v>
      </c>
      <c r="F129" s="69">
        <v>0</v>
      </c>
      <c r="G129" s="70">
        <f t="shared" si="5"/>
        <v>1.29</v>
      </c>
      <c r="H129" s="71">
        <f t="shared" si="6"/>
        <v>0</v>
      </c>
      <c r="I129" s="71" t="e">
        <f t="shared" si="7"/>
        <v>#DIV/0!</v>
      </c>
      <c r="J129" s="70" t="e">
        <f t="shared" si="8"/>
        <v>#DIV/0!</v>
      </c>
      <c r="K129" s="71">
        <f t="shared" si="9"/>
        <v>0.0126582278481013</v>
      </c>
    </row>
    <row r="130" spans="1:11">
      <c r="A130" s="68" t="s">
        <v>183</v>
      </c>
      <c r="B130" s="69">
        <v>6</v>
      </c>
      <c r="C130" s="69">
        <v>1</v>
      </c>
      <c r="D130" s="69">
        <v>1.53</v>
      </c>
      <c r="E130" s="69">
        <v>0</v>
      </c>
      <c r="F130" s="69">
        <v>0</v>
      </c>
      <c r="G130" s="70">
        <f t="shared" ref="G130:G193" si="10">D130/C130</f>
        <v>1.53</v>
      </c>
      <c r="H130" s="71">
        <f t="shared" ref="H130:H193" si="11">F130/C130</f>
        <v>0</v>
      </c>
      <c r="I130" s="71" t="e">
        <f t="shared" ref="I130:I193" si="12">D130/E130</f>
        <v>#DIV/0!</v>
      </c>
      <c r="J130" s="70" t="e">
        <f t="shared" ref="J130:J193" si="13">D130/F130</f>
        <v>#DIV/0!</v>
      </c>
      <c r="K130" s="71">
        <f t="shared" ref="K130:K193" si="14">C130/B130</f>
        <v>0.166666666666667</v>
      </c>
    </row>
    <row r="131" spans="1:11">
      <c r="A131" s="68" t="s">
        <v>184</v>
      </c>
      <c r="B131" s="69">
        <v>23</v>
      </c>
      <c r="C131" s="69">
        <v>1</v>
      </c>
      <c r="D131" s="69">
        <v>1.68</v>
      </c>
      <c r="E131" s="69">
        <v>0</v>
      </c>
      <c r="F131" s="69">
        <v>0</v>
      </c>
      <c r="G131" s="70">
        <f t="shared" si="10"/>
        <v>1.68</v>
      </c>
      <c r="H131" s="71">
        <f t="shared" si="11"/>
        <v>0</v>
      </c>
      <c r="I131" s="71" t="e">
        <f t="shared" si="12"/>
        <v>#DIV/0!</v>
      </c>
      <c r="J131" s="70" t="e">
        <f t="shared" si="13"/>
        <v>#DIV/0!</v>
      </c>
      <c r="K131" s="71">
        <f t="shared" si="14"/>
        <v>0.0434782608695652</v>
      </c>
    </row>
    <row r="132" spans="1:11">
      <c r="A132" s="68" t="s">
        <v>185</v>
      </c>
      <c r="B132" s="69">
        <v>1</v>
      </c>
      <c r="C132" s="69">
        <v>1</v>
      </c>
      <c r="D132" s="69">
        <v>1.4</v>
      </c>
      <c r="E132" s="69">
        <v>0</v>
      </c>
      <c r="F132" s="69">
        <v>0</v>
      </c>
      <c r="G132" s="70">
        <f t="shared" si="10"/>
        <v>1.4</v>
      </c>
      <c r="H132" s="71">
        <f t="shared" si="11"/>
        <v>0</v>
      </c>
      <c r="I132" s="71" t="e">
        <f t="shared" si="12"/>
        <v>#DIV/0!</v>
      </c>
      <c r="J132" s="70" t="e">
        <f t="shared" si="13"/>
        <v>#DIV/0!</v>
      </c>
      <c r="K132" s="71">
        <f t="shared" si="14"/>
        <v>1</v>
      </c>
    </row>
    <row r="133" spans="1:11">
      <c r="A133" s="68" t="s">
        <v>186</v>
      </c>
      <c r="B133" s="69">
        <v>1</v>
      </c>
      <c r="C133" s="69">
        <v>1</v>
      </c>
      <c r="D133" s="69">
        <v>1.4</v>
      </c>
      <c r="E133" s="69">
        <v>0</v>
      </c>
      <c r="F133" s="69">
        <v>0</v>
      </c>
      <c r="G133" s="70">
        <f t="shared" si="10"/>
        <v>1.4</v>
      </c>
      <c r="H133" s="71">
        <f t="shared" si="11"/>
        <v>0</v>
      </c>
      <c r="I133" s="71" t="e">
        <f t="shared" si="12"/>
        <v>#DIV/0!</v>
      </c>
      <c r="J133" s="70" t="e">
        <f t="shared" si="13"/>
        <v>#DIV/0!</v>
      </c>
      <c r="K133" s="71">
        <f t="shared" si="14"/>
        <v>1</v>
      </c>
    </row>
    <row r="134" spans="1:11">
      <c r="A134" s="68" t="s">
        <v>187</v>
      </c>
      <c r="B134" s="69">
        <v>6</v>
      </c>
      <c r="C134" s="69">
        <v>1</v>
      </c>
      <c r="D134" s="69">
        <v>0.87</v>
      </c>
      <c r="E134" s="69">
        <v>0</v>
      </c>
      <c r="F134" s="69">
        <v>0</v>
      </c>
      <c r="G134" s="70">
        <f t="shared" si="10"/>
        <v>0.87</v>
      </c>
      <c r="H134" s="71">
        <f t="shared" si="11"/>
        <v>0</v>
      </c>
      <c r="I134" s="71" t="e">
        <f t="shared" si="12"/>
        <v>#DIV/0!</v>
      </c>
      <c r="J134" s="70" t="e">
        <f t="shared" si="13"/>
        <v>#DIV/0!</v>
      </c>
      <c r="K134" s="71">
        <f t="shared" si="14"/>
        <v>0.166666666666667</v>
      </c>
    </row>
    <row r="135" spans="1:11">
      <c r="A135" s="68" t="s">
        <v>188</v>
      </c>
      <c r="B135" s="69">
        <v>10</v>
      </c>
      <c r="C135" s="69">
        <v>1</v>
      </c>
      <c r="D135" s="69">
        <v>1.45</v>
      </c>
      <c r="E135" s="69">
        <v>0</v>
      </c>
      <c r="F135" s="69">
        <v>0</v>
      </c>
      <c r="G135" s="70">
        <f t="shared" si="10"/>
        <v>1.45</v>
      </c>
      <c r="H135" s="71">
        <f t="shared" si="11"/>
        <v>0</v>
      </c>
      <c r="I135" s="71" t="e">
        <f t="shared" si="12"/>
        <v>#DIV/0!</v>
      </c>
      <c r="J135" s="70" t="e">
        <f t="shared" si="13"/>
        <v>#DIV/0!</v>
      </c>
      <c r="K135" s="71">
        <f t="shared" si="14"/>
        <v>0.1</v>
      </c>
    </row>
    <row r="136" spans="1:11">
      <c r="A136" s="68" t="s">
        <v>189</v>
      </c>
      <c r="B136" s="69">
        <v>10</v>
      </c>
      <c r="C136" s="69">
        <v>1</v>
      </c>
      <c r="D136" s="69">
        <v>1.45</v>
      </c>
      <c r="E136" s="69">
        <v>0</v>
      </c>
      <c r="F136" s="69">
        <v>0</v>
      </c>
      <c r="G136" s="70">
        <f t="shared" si="10"/>
        <v>1.45</v>
      </c>
      <c r="H136" s="71">
        <f t="shared" si="11"/>
        <v>0</v>
      </c>
      <c r="I136" s="71" t="e">
        <f t="shared" si="12"/>
        <v>#DIV/0!</v>
      </c>
      <c r="J136" s="70" t="e">
        <f t="shared" si="13"/>
        <v>#DIV/0!</v>
      </c>
      <c r="K136" s="71">
        <f t="shared" si="14"/>
        <v>0.1</v>
      </c>
    </row>
    <row r="137" spans="1:11">
      <c r="A137" s="68" t="s">
        <v>190</v>
      </c>
      <c r="B137" s="69">
        <v>3</v>
      </c>
      <c r="C137" s="69">
        <v>1</v>
      </c>
      <c r="D137" s="69">
        <v>1.45</v>
      </c>
      <c r="E137" s="69">
        <v>0</v>
      </c>
      <c r="F137" s="69">
        <v>0</v>
      </c>
      <c r="G137" s="70">
        <f t="shared" si="10"/>
        <v>1.45</v>
      </c>
      <c r="H137" s="71">
        <f t="shared" si="11"/>
        <v>0</v>
      </c>
      <c r="I137" s="71" t="e">
        <f t="shared" si="12"/>
        <v>#DIV/0!</v>
      </c>
      <c r="J137" s="70" t="e">
        <f t="shared" si="13"/>
        <v>#DIV/0!</v>
      </c>
      <c r="K137" s="71">
        <f t="shared" si="14"/>
        <v>0.333333333333333</v>
      </c>
    </row>
    <row r="138" spans="1:11">
      <c r="A138" s="68" t="s">
        <v>191</v>
      </c>
      <c r="B138" s="69">
        <v>1</v>
      </c>
      <c r="C138" s="69">
        <v>1</v>
      </c>
      <c r="D138" s="69">
        <v>0.71</v>
      </c>
      <c r="E138" s="69">
        <v>0</v>
      </c>
      <c r="F138" s="69">
        <v>0</v>
      </c>
      <c r="G138" s="70">
        <f t="shared" si="10"/>
        <v>0.71</v>
      </c>
      <c r="H138" s="71">
        <f t="shared" si="11"/>
        <v>0</v>
      </c>
      <c r="I138" s="71" t="e">
        <f t="shared" si="12"/>
        <v>#DIV/0!</v>
      </c>
      <c r="J138" s="70" t="e">
        <f t="shared" si="13"/>
        <v>#DIV/0!</v>
      </c>
      <c r="K138" s="71">
        <f t="shared" si="14"/>
        <v>1</v>
      </c>
    </row>
    <row r="139" spans="1:11">
      <c r="A139" s="68" t="s">
        <v>192</v>
      </c>
      <c r="B139" s="69">
        <v>3</v>
      </c>
      <c r="C139" s="69">
        <v>1</v>
      </c>
      <c r="D139" s="69">
        <v>1.45</v>
      </c>
      <c r="E139" s="69">
        <v>0</v>
      </c>
      <c r="F139" s="69">
        <v>0</v>
      </c>
      <c r="G139" s="70">
        <f t="shared" si="10"/>
        <v>1.45</v>
      </c>
      <c r="H139" s="71">
        <f t="shared" si="11"/>
        <v>0</v>
      </c>
      <c r="I139" s="71" t="e">
        <f t="shared" si="12"/>
        <v>#DIV/0!</v>
      </c>
      <c r="J139" s="70" t="e">
        <f t="shared" si="13"/>
        <v>#DIV/0!</v>
      </c>
      <c r="K139" s="71">
        <f t="shared" si="14"/>
        <v>0.333333333333333</v>
      </c>
    </row>
    <row r="140" spans="1:11">
      <c r="A140" s="68" t="s">
        <v>193</v>
      </c>
      <c r="B140" s="69">
        <v>6</v>
      </c>
      <c r="C140" s="69">
        <v>1</v>
      </c>
      <c r="D140" s="69">
        <v>1.38</v>
      </c>
      <c r="E140" s="69">
        <v>0</v>
      </c>
      <c r="F140" s="69">
        <v>0</v>
      </c>
      <c r="G140" s="70">
        <f t="shared" si="10"/>
        <v>1.38</v>
      </c>
      <c r="H140" s="71">
        <f t="shared" si="11"/>
        <v>0</v>
      </c>
      <c r="I140" s="71" t="e">
        <f t="shared" si="12"/>
        <v>#DIV/0!</v>
      </c>
      <c r="J140" s="70" t="e">
        <f t="shared" si="13"/>
        <v>#DIV/0!</v>
      </c>
      <c r="K140" s="71">
        <f t="shared" si="14"/>
        <v>0.166666666666667</v>
      </c>
    </row>
    <row r="141" spans="1:11">
      <c r="A141" s="68" t="s">
        <v>194</v>
      </c>
      <c r="B141" s="69">
        <v>2</v>
      </c>
      <c r="C141" s="69">
        <v>1</v>
      </c>
      <c r="D141" s="69">
        <v>1.3</v>
      </c>
      <c r="E141" s="69">
        <v>0</v>
      </c>
      <c r="F141" s="69">
        <v>0</v>
      </c>
      <c r="G141" s="70">
        <f t="shared" si="10"/>
        <v>1.3</v>
      </c>
      <c r="H141" s="71">
        <f t="shared" si="11"/>
        <v>0</v>
      </c>
      <c r="I141" s="71" t="e">
        <f t="shared" si="12"/>
        <v>#DIV/0!</v>
      </c>
      <c r="J141" s="70" t="e">
        <f t="shared" si="13"/>
        <v>#DIV/0!</v>
      </c>
      <c r="K141" s="71">
        <f t="shared" si="14"/>
        <v>0.5</v>
      </c>
    </row>
    <row r="142" spans="1:11">
      <c r="A142" s="68" t="s">
        <v>195</v>
      </c>
      <c r="B142" s="69">
        <v>17</v>
      </c>
      <c r="C142" s="69">
        <v>1</v>
      </c>
      <c r="D142" s="69">
        <v>1.27</v>
      </c>
      <c r="E142" s="69">
        <v>0</v>
      </c>
      <c r="F142" s="69">
        <v>0</v>
      </c>
      <c r="G142" s="70">
        <f t="shared" si="10"/>
        <v>1.27</v>
      </c>
      <c r="H142" s="71">
        <f t="shared" si="11"/>
        <v>0</v>
      </c>
      <c r="I142" s="71" t="e">
        <f t="shared" si="12"/>
        <v>#DIV/0!</v>
      </c>
      <c r="J142" s="70" t="e">
        <f t="shared" si="13"/>
        <v>#DIV/0!</v>
      </c>
      <c r="K142" s="71">
        <f t="shared" si="14"/>
        <v>0.0588235294117647</v>
      </c>
    </row>
    <row r="143" spans="1:11">
      <c r="A143" s="68" t="s">
        <v>196</v>
      </c>
      <c r="B143" s="69">
        <v>41</v>
      </c>
      <c r="C143" s="69">
        <v>1</v>
      </c>
      <c r="D143" s="69">
        <v>1.7</v>
      </c>
      <c r="E143" s="69">
        <v>0</v>
      </c>
      <c r="F143" s="69">
        <v>0</v>
      </c>
      <c r="G143" s="70">
        <f t="shared" si="10"/>
        <v>1.7</v>
      </c>
      <c r="H143" s="71">
        <f t="shared" si="11"/>
        <v>0</v>
      </c>
      <c r="I143" s="71" t="e">
        <f t="shared" si="12"/>
        <v>#DIV/0!</v>
      </c>
      <c r="J143" s="70" t="e">
        <f t="shared" si="13"/>
        <v>#DIV/0!</v>
      </c>
      <c r="K143" s="71">
        <f t="shared" si="14"/>
        <v>0.024390243902439</v>
      </c>
    </row>
    <row r="144" spans="1:11">
      <c r="A144" s="68" t="s">
        <v>197</v>
      </c>
      <c r="B144" s="69">
        <v>41</v>
      </c>
      <c r="C144" s="69">
        <v>1</v>
      </c>
      <c r="D144" s="69">
        <v>1.7</v>
      </c>
      <c r="E144" s="69">
        <v>0</v>
      </c>
      <c r="F144" s="69">
        <v>0</v>
      </c>
      <c r="G144" s="70">
        <f t="shared" si="10"/>
        <v>1.7</v>
      </c>
      <c r="H144" s="71">
        <f t="shared" si="11"/>
        <v>0</v>
      </c>
      <c r="I144" s="71" t="e">
        <f t="shared" si="12"/>
        <v>#DIV/0!</v>
      </c>
      <c r="J144" s="70" t="e">
        <f t="shared" si="13"/>
        <v>#DIV/0!</v>
      </c>
      <c r="K144" s="71">
        <f t="shared" si="14"/>
        <v>0.024390243902439</v>
      </c>
    </row>
    <row r="145" spans="1:11">
      <c r="A145" s="68" t="s">
        <v>198</v>
      </c>
      <c r="B145" s="69">
        <v>41</v>
      </c>
      <c r="C145" s="69">
        <v>1</v>
      </c>
      <c r="D145" s="69">
        <v>1.7</v>
      </c>
      <c r="E145" s="69">
        <v>0</v>
      </c>
      <c r="F145" s="69">
        <v>0</v>
      </c>
      <c r="G145" s="70">
        <f t="shared" si="10"/>
        <v>1.7</v>
      </c>
      <c r="H145" s="71">
        <f t="shared" si="11"/>
        <v>0</v>
      </c>
      <c r="I145" s="71" t="e">
        <f t="shared" si="12"/>
        <v>#DIV/0!</v>
      </c>
      <c r="J145" s="70" t="e">
        <f t="shared" si="13"/>
        <v>#DIV/0!</v>
      </c>
      <c r="K145" s="71">
        <f t="shared" si="14"/>
        <v>0.024390243902439</v>
      </c>
    </row>
    <row r="146" spans="1:11">
      <c r="A146" s="68" t="s">
        <v>199</v>
      </c>
      <c r="B146" s="69">
        <v>41</v>
      </c>
      <c r="C146" s="69">
        <v>1</v>
      </c>
      <c r="D146" s="69">
        <v>1.7</v>
      </c>
      <c r="E146" s="69">
        <v>0</v>
      </c>
      <c r="F146" s="69">
        <v>0</v>
      </c>
      <c r="G146" s="70">
        <f t="shared" si="10"/>
        <v>1.7</v>
      </c>
      <c r="H146" s="71">
        <f t="shared" si="11"/>
        <v>0</v>
      </c>
      <c r="I146" s="71" t="e">
        <f t="shared" si="12"/>
        <v>#DIV/0!</v>
      </c>
      <c r="J146" s="70" t="e">
        <f t="shared" si="13"/>
        <v>#DIV/0!</v>
      </c>
      <c r="K146" s="71">
        <f t="shared" si="14"/>
        <v>0.024390243902439</v>
      </c>
    </row>
    <row r="147" spans="1:11">
      <c r="A147" s="68" t="s">
        <v>200</v>
      </c>
      <c r="B147" s="69">
        <v>1</v>
      </c>
      <c r="C147" s="69">
        <v>1</v>
      </c>
      <c r="D147" s="69">
        <v>1.08</v>
      </c>
      <c r="E147" s="69">
        <v>0</v>
      </c>
      <c r="F147" s="69">
        <v>0</v>
      </c>
      <c r="G147" s="70">
        <f t="shared" si="10"/>
        <v>1.08</v>
      </c>
      <c r="H147" s="71">
        <f t="shared" si="11"/>
        <v>0</v>
      </c>
      <c r="I147" s="71" t="e">
        <f t="shared" si="12"/>
        <v>#DIV/0!</v>
      </c>
      <c r="J147" s="70" t="e">
        <f t="shared" si="13"/>
        <v>#DIV/0!</v>
      </c>
      <c r="K147" s="71">
        <f t="shared" si="14"/>
        <v>1</v>
      </c>
    </row>
    <row r="148" spans="1:11">
      <c r="A148" s="68" t="s">
        <v>201</v>
      </c>
      <c r="B148" s="69">
        <v>37</v>
      </c>
      <c r="C148" s="69">
        <v>1</v>
      </c>
      <c r="D148" s="69">
        <v>1.29</v>
      </c>
      <c r="E148" s="69">
        <v>0</v>
      </c>
      <c r="F148" s="69">
        <v>0</v>
      </c>
      <c r="G148" s="70">
        <f t="shared" si="10"/>
        <v>1.29</v>
      </c>
      <c r="H148" s="71">
        <f t="shared" si="11"/>
        <v>0</v>
      </c>
      <c r="I148" s="71" t="e">
        <f t="shared" si="12"/>
        <v>#DIV/0!</v>
      </c>
      <c r="J148" s="70" t="e">
        <f t="shared" si="13"/>
        <v>#DIV/0!</v>
      </c>
      <c r="K148" s="71">
        <f t="shared" si="14"/>
        <v>0.027027027027027</v>
      </c>
    </row>
    <row r="149" spans="1:11">
      <c r="A149" s="68" t="s">
        <v>202</v>
      </c>
      <c r="B149" s="69">
        <v>5</v>
      </c>
      <c r="C149" s="69">
        <v>1</v>
      </c>
      <c r="D149" s="69">
        <v>1.46</v>
      </c>
      <c r="E149" s="69">
        <v>0</v>
      </c>
      <c r="F149" s="69">
        <v>0</v>
      </c>
      <c r="G149" s="70">
        <f t="shared" si="10"/>
        <v>1.46</v>
      </c>
      <c r="H149" s="71">
        <f t="shared" si="11"/>
        <v>0</v>
      </c>
      <c r="I149" s="71" t="e">
        <f t="shared" si="12"/>
        <v>#DIV/0!</v>
      </c>
      <c r="J149" s="70" t="e">
        <f t="shared" si="13"/>
        <v>#DIV/0!</v>
      </c>
      <c r="K149" s="71">
        <f t="shared" si="14"/>
        <v>0.2</v>
      </c>
    </row>
    <row r="150" spans="1:11">
      <c r="A150" s="68" t="s">
        <v>203</v>
      </c>
      <c r="B150" s="69">
        <v>4</v>
      </c>
      <c r="C150" s="69">
        <v>1</v>
      </c>
      <c r="D150" s="69">
        <v>1.6</v>
      </c>
      <c r="E150" s="69">
        <v>0</v>
      </c>
      <c r="F150" s="69">
        <v>0</v>
      </c>
      <c r="G150" s="70">
        <f t="shared" si="10"/>
        <v>1.6</v>
      </c>
      <c r="H150" s="71">
        <f t="shared" si="11"/>
        <v>0</v>
      </c>
      <c r="I150" s="71" t="e">
        <f t="shared" si="12"/>
        <v>#DIV/0!</v>
      </c>
      <c r="J150" s="70" t="e">
        <f t="shared" si="13"/>
        <v>#DIV/0!</v>
      </c>
      <c r="K150" s="71">
        <f t="shared" si="14"/>
        <v>0.25</v>
      </c>
    </row>
    <row r="151" spans="1:11">
      <c r="A151" s="68" t="s">
        <v>204</v>
      </c>
      <c r="B151" s="69">
        <v>4</v>
      </c>
      <c r="C151" s="69">
        <v>1</v>
      </c>
      <c r="D151" s="69">
        <v>1.6</v>
      </c>
      <c r="E151" s="69">
        <v>0</v>
      </c>
      <c r="F151" s="69">
        <v>0</v>
      </c>
      <c r="G151" s="70">
        <f t="shared" si="10"/>
        <v>1.6</v>
      </c>
      <c r="H151" s="71">
        <f t="shared" si="11"/>
        <v>0</v>
      </c>
      <c r="I151" s="71" t="e">
        <f t="shared" si="12"/>
        <v>#DIV/0!</v>
      </c>
      <c r="J151" s="70" t="e">
        <f t="shared" si="13"/>
        <v>#DIV/0!</v>
      </c>
      <c r="K151" s="71">
        <f t="shared" si="14"/>
        <v>0.25</v>
      </c>
    </row>
    <row r="152" spans="1:11">
      <c r="A152" s="68" t="s">
        <v>205</v>
      </c>
      <c r="B152" s="69">
        <v>2</v>
      </c>
      <c r="C152" s="69">
        <v>1</v>
      </c>
      <c r="D152" s="69">
        <v>1.02</v>
      </c>
      <c r="E152" s="69">
        <v>0</v>
      </c>
      <c r="F152" s="69">
        <v>0</v>
      </c>
      <c r="G152" s="70">
        <f t="shared" si="10"/>
        <v>1.02</v>
      </c>
      <c r="H152" s="71">
        <f t="shared" si="11"/>
        <v>0</v>
      </c>
      <c r="I152" s="71" t="e">
        <f t="shared" si="12"/>
        <v>#DIV/0!</v>
      </c>
      <c r="J152" s="70" t="e">
        <f t="shared" si="13"/>
        <v>#DIV/0!</v>
      </c>
      <c r="K152" s="71">
        <f t="shared" si="14"/>
        <v>0.5</v>
      </c>
    </row>
    <row r="153" spans="1:11">
      <c r="A153" s="68" t="s">
        <v>206</v>
      </c>
      <c r="B153" s="69">
        <v>3</v>
      </c>
      <c r="C153" s="69">
        <v>1</v>
      </c>
      <c r="D153" s="69">
        <v>1.6</v>
      </c>
      <c r="E153" s="69">
        <v>0</v>
      </c>
      <c r="F153" s="69">
        <v>0</v>
      </c>
      <c r="G153" s="70">
        <f t="shared" si="10"/>
        <v>1.6</v>
      </c>
      <c r="H153" s="71">
        <f t="shared" si="11"/>
        <v>0</v>
      </c>
      <c r="I153" s="71" t="e">
        <f t="shared" si="12"/>
        <v>#DIV/0!</v>
      </c>
      <c r="J153" s="70" t="e">
        <f t="shared" si="13"/>
        <v>#DIV/0!</v>
      </c>
      <c r="K153" s="71">
        <f t="shared" si="14"/>
        <v>0.333333333333333</v>
      </c>
    </row>
    <row r="154" spans="1:11">
      <c r="A154" s="68" t="s">
        <v>207</v>
      </c>
      <c r="B154" s="69">
        <v>4</v>
      </c>
      <c r="C154" s="69">
        <v>1</v>
      </c>
      <c r="D154" s="69">
        <v>0.87</v>
      </c>
      <c r="E154" s="69">
        <v>0</v>
      </c>
      <c r="F154" s="69">
        <v>0</v>
      </c>
      <c r="G154" s="70">
        <f t="shared" si="10"/>
        <v>0.87</v>
      </c>
      <c r="H154" s="71">
        <f t="shared" si="11"/>
        <v>0</v>
      </c>
      <c r="I154" s="71" t="e">
        <f t="shared" si="12"/>
        <v>#DIV/0!</v>
      </c>
      <c r="J154" s="70" t="e">
        <f t="shared" si="13"/>
        <v>#DIV/0!</v>
      </c>
      <c r="K154" s="71">
        <f t="shared" si="14"/>
        <v>0.25</v>
      </c>
    </row>
    <row r="155" spans="1:11">
      <c r="A155" s="68" t="s">
        <v>208</v>
      </c>
      <c r="B155" s="69">
        <v>1</v>
      </c>
      <c r="C155" s="69">
        <v>1</v>
      </c>
      <c r="D155" s="69">
        <v>1.7</v>
      </c>
      <c r="E155" s="69">
        <v>0</v>
      </c>
      <c r="F155" s="69">
        <v>0</v>
      </c>
      <c r="G155" s="70">
        <f t="shared" si="10"/>
        <v>1.7</v>
      </c>
      <c r="H155" s="71">
        <f t="shared" si="11"/>
        <v>0</v>
      </c>
      <c r="I155" s="71" t="e">
        <f t="shared" si="12"/>
        <v>#DIV/0!</v>
      </c>
      <c r="J155" s="70" t="e">
        <f t="shared" si="13"/>
        <v>#DIV/0!</v>
      </c>
      <c r="K155" s="71">
        <f t="shared" si="14"/>
        <v>1</v>
      </c>
    </row>
    <row r="156" spans="1:11">
      <c r="A156" s="68" t="s">
        <v>209</v>
      </c>
      <c r="B156" s="69">
        <v>2</v>
      </c>
      <c r="C156" s="69">
        <v>1</v>
      </c>
      <c r="D156" s="69">
        <v>0.39</v>
      </c>
      <c r="E156" s="69">
        <v>0</v>
      </c>
      <c r="F156" s="69">
        <v>0</v>
      </c>
      <c r="G156" s="70">
        <f t="shared" si="10"/>
        <v>0.39</v>
      </c>
      <c r="H156" s="71">
        <f t="shared" si="11"/>
        <v>0</v>
      </c>
      <c r="I156" s="71" t="e">
        <f t="shared" si="12"/>
        <v>#DIV/0!</v>
      </c>
      <c r="J156" s="70" t="e">
        <f t="shared" si="13"/>
        <v>#DIV/0!</v>
      </c>
      <c r="K156" s="71">
        <f t="shared" si="14"/>
        <v>0.5</v>
      </c>
    </row>
    <row r="157" spans="1:11">
      <c r="A157" s="68" t="s">
        <v>210</v>
      </c>
      <c r="B157" s="69">
        <v>1</v>
      </c>
      <c r="C157" s="69">
        <v>1</v>
      </c>
      <c r="D157" s="69">
        <v>1.11</v>
      </c>
      <c r="E157" s="69">
        <v>0</v>
      </c>
      <c r="F157" s="69">
        <v>0</v>
      </c>
      <c r="G157" s="70">
        <f t="shared" si="10"/>
        <v>1.11</v>
      </c>
      <c r="H157" s="71">
        <f t="shared" si="11"/>
        <v>0</v>
      </c>
      <c r="I157" s="71" t="e">
        <f t="shared" si="12"/>
        <v>#DIV/0!</v>
      </c>
      <c r="J157" s="70" t="e">
        <f t="shared" si="13"/>
        <v>#DIV/0!</v>
      </c>
      <c r="K157" s="71">
        <f t="shared" si="14"/>
        <v>1</v>
      </c>
    </row>
    <row r="158" spans="1:11">
      <c r="A158" s="68" t="s">
        <v>211</v>
      </c>
      <c r="B158" s="69">
        <v>4</v>
      </c>
      <c r="C158" s="69">
        <v>1</v>
      </c>
      <c r="D158" s="69">
        <v>1.63</v>
      </c>
      <c r="E158" s="69">
        <v>0</v>
      </c>
      <c r="F158" s="69">
        <v>0</v>
      </c>
      <c r="G158" s="70">
        <f t="shared" si="10"/>
        <v>1.63</v>
      </c>
      <c r="H158" s="71">
        <f t="shared" si="11"/>
        <v>0</v>
      </c>
      <c r="I158" s="71" t="e">
        <f t="shared" si="12"/>
        <v>#DIV/0!</v>
      </c>
      <c r="J158" s="70" t="e">
        <f t="shared" si="13"/>
        <v>#DIV/0!</v>
      </c>
      <c r="K158" s="71">
        <f t="shared" si="14"/>
        <v>0.25</v>
      </c>
    </row>
    <row r="159" spans="1:11">
      <c r="A159" s="68" t="s">
        <v>212</v>
      </c>
      <c r="B159" s="69">
        <v>1</v>
      </c>
      <c r="C159" s="69">
        <v>1</v>
      </c>
      <c r="D159" s="69">
        <v>1.7</v>
      </c>
      <c r="E159" s="69">
        <v>0</v>
      </c>
      <c r="F159" s="69">
        <v>0</v>
      </c>
      <c r="G159" s="70">
        <f t="shared" si="10"/>
        <v>1.7</v>
      </c>
      <c r="H159" s="71">
        <f t="shared" si="11"/>
        <v>0</v>
      </c>
      <c r="I159" s="71" t="e">
        <f t="shared" si="12"/>
        <v>#DIV/0!</v>
      </c>
      <c r="J159" s="70" t="e">
        <f t="shared" si="13"/>
        <v>#DIV/0!</v>
      </c>
      <c r="K159" s="71">
        <f t="shared" si="14"/>
        <v>1</v>
      </c>
    </row>
    <row r="160" spans="1:11">
      <c r="A160" s="68" t="s">
        <v>213</v>
      </c>
      <c r="B160" s="69">
        <v>2</v>
      </c>
      <c r="C160" s="69">
        <v>1</v>
      </c>
      <c r="D160" s="69">
        <v>1.5</v>
      </c>
      <c r="E160" s="69">
        <v>0</v>
      </c>
      <c r="F160" s="69">
        <v>0</v>
      </c>
      <c r="G160" s="70">
        <f t="shared" si="10"/>
        <v>1.5</v>
      </c>
      <c r="H160" s="71">
        <f t="shared" si="11"/>
        <v>0</v>
      </c>
      <c r="I160" s="71" t="e">
        <f t="shared" si="12"/>
        <v>#DIV/0!</v>
      </c>
      <c r="J160" s="70" t="e">
        <f t="shared" si="13"/>
        <v>#DIV/0!</v>
      </c>
      <c r="K160" s="71">
        <f t="shared" si="14"/>
        <v>0.5</v>
      </c>
    </row>
    <row r="161" spans="1:11">
      <c r="A161" s="68" t="s">
        <v>214</v>
      </c>
      <c r="B161" s="69">
        <v>2</v>
      </c>
      <c r="C161" s="69">
        <v>1</v>
      </c>
      <c r="D161" s="69">
        <v>1.5</v>
      </c>
      <c r="E161" s="69">
        <v>0</v>
      </c>
      <c r="F161" s="69">
        <v>0</v>
      </c>
      <c r="G161" s="70">
        <f t="shared" si="10"/>
        <v>1.5</v>
      </c>
      <c r="H161" s="71">
        <f t="shared" si="11"/>
        <v>0</v>
      </c>
      <c r="I161" s="71" t="e">
        <f t="shared" si="12"/>
        <v>#DIV/0!</v>
      </c>
      <c r="J161" s="70" t="e">
        <f t="shared" si="13"/>
        <v>#DIV/0!</v>
      </c>
      <c r="K161" s="71">
        <f t="shared" si="14"/>
        <v>0.5</v>
      </c>
    </row>
    <row r="162" spans="1:11">
      <c r="A162" s="68" t="s">
        <v>215</v>
      </c>
      <c r="B162" s="69">
        <v>1</v>
      </c>
      <c r="C162" s="69">
        <v>1</v>
      </c>
      <c r="D162" s="69">
        <v>1.74</v>
      </c>
      <c r="E162" s="69">
        <v>0</v>
      </c>
      <c r="F162" s="69">
        <v>0</v>
      </c>
      <c r="G162" s="70">
        <f t="shared" si="10"/>
        <v>1.74</v>
      </c>
      <c r="H162" s="71">
        <f t="shared" si="11"/>
        <v>0</v>
      </c>
      <c r="I162" s="71" t="e">
        <f t="shared" si="12"/>
        <v>#DIV/0!</v>
      </c>
      <c r="J162" s="70" t="e">
        <f t="shared" si="13"/>
        <v>#DIV/0!</v>
      </c>
      <c r="K162" s="71">
        <f t="shared" si="14"/>
        <v>1</v>
      </c>
    </row>
    <row r="163" spans="1:11">
      <c r="A163" s="68" t="s">
        <v>216</v>
      </c>
      <c r="B163" s="69">
        <v>19</v>
      </c>
      <c r="C163" s="69">
        <v>1</v>
      </c>
      <c r="D163" s="69">
        <v>1.1</v>
      </c>
      <c r="E163" s="69">
        <v>0</v>
      </c>
      <c r="F163" s="69">
        <v>0</v>
      </c>
      <c r="G163" s="70">
        <f t="shared" si="10"/>
        <v>1.1</v>
      </c>
      <c r="H163" s="71">
        <f t="shared" si="11"/>
        <v>0</v>
      </c>
      <c r="I163" s="71" t="e">
        <f t="shared" si="12"/>
        <v>#DIV/0!</v>
      </c>
      <c r="J163" s="70" t="e">
        <f t="shared" si="13"/>
        <v>#DIV/0!</v>
      </c>
      <c r="K163" s="71">
        <f t="shared" si="14"/>
        <v>0.0526315789473684</v>
      </c>
    </row>
    <row r="164" spans="1:11">
      <c r="A164" s="68" t="s">
        <v>217</v>
      </c>
      <c r="B164" s="69">
        <v>1</v>
      </c>
      <c r="C164" s="69">
        <v>1</v>
      </c>
      <c r="D164" s="69">
        <v>1.5</v>
      </c>
      <c r="E164" s="69">
        <v>0</v>
      </c>
      <c r="F164" s="69">
        <v>0</v>
      </c>
      <c r="G164" s="70">
        <f t="shared" si="10"/>
        <v>1.5</v>
      </c>
      <c r="H164" s="71">
        <f t="shared" si="11"/>
        <v>0</v>
      </c>
      <c r="I164" s="71" t="e">
        <f t="shared" si="12"/>
        <v>#DIV/0!</v>
      </c>
      <c r="J164" s="70" t="e">
        <f t="shared" si="13"/>
        <v>#DIV/0!</v>
      </c>
      <c r="K164" s="71">
        <f t="shared" si="14"/>
        <v>1</v>
      </c>
    </row>
    <row r="165" spans="1:11">
      <c r="A165" s="68" t="s">
        <v>218</v>
      </c>
      <c r="B165" s="69">
        <v>7</v>
      </c>
      <c r="C165" s="69">
        <v>1</v>
      </c>
      <c r="D165" s="69">
        <v>1.27</v>
      </c>
      <c r="E165" s="69">
        <v>0</v>
      </c>
      <c r="F165" s="69">
        <v>0</v>
      </c>
      <c r="G165" s="70">
        <f t="shared" si="10"/>
        <v>1.27</v>
      </c>
      <c r="H165" s="71">
        <f t="shared" si="11"/>
        <v>0</v>
      </c>
      <c r="I165" s="71" t="e">
        <f t="shared" si="12"/>
        <v>#DIV/0!</v>
      </c>
      <c r="J165" s="70" t="e">
        <f t="shared" si="13"/>
        <v>#DIV/0!</v>
      </c>
      <c r="K165" s="71">
        <f t="shared" si="14"/>
        <v>0.142857142857143</v>
      </c>
    </row>
    <row r="166" spans="1:11">
      <c r="A166" s="68" t="s">
        <v>219</v>
      </c>
      <c r="B166" s="69">
        <v>7</v>
      </c>
      <c r="C166" s="69">
        <v>1</v>
      </c>
      <c r="D166" s="69">
        <v>1.27</v>
      </c>
      <c r="E166" s="69">
        <v>0</v>
      </c>
      <c r="F166" s="69">
        <v>0</v>
      </c>
      <c r="G166" s="70">
        <f t="shared" si="10"/>
        <v>1.27</v>
      </c>
      <c r="H166" s="71">
        <f t="shared" si="11"/>
        <v>0</v>
      </c>
      <c r="I166" s="71" t="e">
        <f t="shared" si="12"/>
        <v>#DIV/0!</v>
      </c>
      <c r="J166" s="70" t="e">
        <f t="shared" si="13"/>
        <v>#DIV/0!</v>
      </c>
      <c r="K166" s="71">
        <f t="shared" si="14"/>
        <v>0.142857142857143</v>
      </c>
    </row>
    <row r="167" spans="1:11">
      <c r="A167" s="68" t="s">
        <v>220</v>
      </c>
      <c r="B167" s="69">
        <v>1</v>
      </c>
      <c r="C167" s="69">
        <v>1</v>
      </c>
      <c r="D167" s="69">
        <v>1.6</v>
      </c>
      <c r="E167" s="69">
        <v>0</v>
      </c>
      <c r="F167" s="69">
        <v>0</v>
      </c>
      <c r="G167" s="70">
        <f t="shared" si="10"/>
        <v>1.6</v>
      </c>
      <c r="H167" s="71">
        <f t="shared" si="11"/>
        <v>0</v>
      </c>
      <c r="I167" s="71" t="e">
        <f t="shared" si="12"/>
        <v>#DIV/0!</v>
      </c>
      <c r="J167" s="70" t="e">
        <f t="shared" si="13"/>
        <v>#DIV/0!</v>
      </c>
      <c r="K167" s="71">
        <f t="shared" si="14"/>
        <v>1</v>
      </c>
    </row>
    <row r="168" spans="1:11">
      <c r="A168" s="68" t="s">
        <v>221</v>
      </c>
      <c r="B168" s="69">
        <v>6</v>
      </c>
      <c r="C168" s="69">
        <v>1</v>
      </c>
      <c r="D168" s="69">
        <v>1.43</v>
      </c>
      <c r="E168" s="69">
        <v>0</v>
      </c>
      <c r="F168" s="69">
        <v>0</v>
      </c>
      <c r="G168" s="70">
        <f t="shared" si="10"/>
        <v>1.43</v>
      </c>
      <c r="H168" s="71">
        <f t="shared" si="11"/>
        <v>0</v>
      </c>
      <c r="I168" s="71" t="e">
        <f t="shared" si="12"/>
        <v>#DIV/0!</v>
      </c>
      <c r="J168" s="70" t="e">
        <f t="shared" si="13"/>
        <v>#DIV/0!</v>
      </c>
      <c r="K168" s="71">
        <f t="shared" si="14"/>
        <v>0.166666666666667</v>
      </c>
    </row>
    <row r="169" spans="1:11">
      <c r="A169" s="68" t="s">
        <v>222</v>
      </c>
      <c r="B169" s="69">
        <v>5</v>
      </c>
      <c r="C169" s="69">
        <v>1</v>
      </c>
      <c r="D169" s="69">
        <v>1.75</v>
      </c>
      <c r="E169" s="69">
        <v>0</v>
      </c>
      <c r="F169" s="69">
        <v>0</v>
      </c>
      <c r="G169" s="70">
        <f t="shared" si="10"/>
        <v>1.75</v>
      </c>
      <c r="H169" s="71">
        <f t="shared" si="11"/>
        <v>0</v>
      </c>
      <c r="I169" s="71" t="e">
        <f t="shared" si="12"/>
        <v>#DIV/0!</v>
      </c>
      <c r="J169" s="70" t="e">
        <f t="shared" si="13"/>
        <v>#DIV/0!</v>
      </c>
      <c r="K169" s="71">
        <f t="shared" si="14"/>
        <v>0.2</v>
      </c>
    </row>
    <row r="170" spans="1:11">
      <c r="A170" s="68" t="s">
        <v>223</v>
      </c>
      <c r="B170" s="69">
        <v>3</v>
      </c>
      <c r="C170" s="69">
        <v>1</v>
      </c>
      <c r="D170" s="69">
        <v>1.6</v>
      </c>
      <c r="E170" s="69">
        <v>46.99</v>
      </c>
      <c r="F170" s="69">
        <v>1</v>
      </c>
      <c r="G170" s="70">
        <f t="shared" si="10"/>
        <v>1.6</v>
      </c>
      <c r="H170" s="71">
        <f t="shared" si="11"/>
        <v>1</v>
      </c>
      <c r="I170" s="71">
        <f t="shared" si="12"/>
        <v>0.0340497978293254</v>
      </c>
      <c r="J170" s="70">
        <f t="shared" si="13"/>
        <v>1.6</v>
      </c>
      <c r="K170" s="71">
        <f t="shared" si="14"/>
        <v>0.333333333333333</v>
      </c>
    </row>
    <row r="171" spans="1:11">
      <c r="A171" s="68" t="s">
        <v>224</v>
      </c>
      <c r="B171" s="69">
        <v>2</v>
      </c>
      <c r="C171" s="69">
        <v>1</v>
      </c>
      <c r="D171" s="69">
        <v>1.5</v>
      </c>
      <c r="E171" s="69">
        <v>0</v>
      </c>
      <c r="F171" s="69">
        <v>0</v>
      </c>
      <c r="G171" s="70">
        <f t="shared" si="10"/>
        <v>1.5</v>
      </c>
      <c r="H171" s="71">
        <f t="shared" si="11"/>
        <v>0</v>
      </c>
      <c r="I171" s="71" t="e">
        <f t="shared" si="12"/>
        <v>#DIV/0!</v>
      </c>
      <c r="J171" s="70" t="e">
        <f t="shared" si="13"/>
        <v>#DIV/0!</v>
      </c>
      <c r="K171" s="71">
        <f t="shared" si="14"/>
        <v>0.5</v>
      </c>
    </row>
    <row r="172" spans="1:11">
      <c r="A172" s="68" t="s">
        <v>225</v>
      </c>
      <c r="B172" s="69">
        <v>3</v>
      </c>
      <c r="C172" s="69">
        <v>1</v>
      </c>
      <c r="D172" s="69">
        <v>1.1</v>
      </c>
      <c r="E172" s="69">
        <v>0</v>
      </c>
      <c r="F172" s="69">
        <v>0</v>
      </c>
      <c r="G172" s="70">
        <f t="shared" si="10"/>
        <v>1.1</v>
      </c>
      <c r="H172" s="71">
        <f t="shared" si="11"/>
        <v>0</v>
      </c>
      <c r="I172" s="71" t="e">
        <f t="shared" si="12"/>
        <v>#DIV/0!</v>
      </c>
      <c r="J172" s="70" t="e">
        <f t="shared" si="13"/>
        <v>#DIV/0!</v>
      </c>
      <c r="K172" s="71">
        <f t="shared" si="14"/>
        <v>0.333333333333333</v>
      </c>
    </row>
    <row r="173" spans="1:11">
      <c r="A173" s="68" t="s">
        <v>226</v>
      </c>
      <c r="B173" s="69">
        <v>3</v>
      </c>
      <c r="C173" s="69">
        <v>1</v>
      </c>
      <c r="D173" s="69">
        <v>1.5</v>
      </c>
      <c r="E173" s="69">
        <v>0</v>
      </c>
      <c r="F173" s="69">
        <v>0</v>
      </c>
      <c r="G173" s="70">
        <f t="shared" si="10"/>
        <v>1.5</v>
      </c>
      <c r="H173" s="71">
        <f t="shared" si="11"/>
        <v>0</v>
      </c>
      <c r="I173" s="71" t="e">
        <f t="shared" si="12"/>
        <v>#DIV/0!</v>
      </c>
      <c r="J173" s="70" t="e">
        <f t="shared" si="13"/>
        <v>#DIV/0!</v>
      </c>
      <c r="K173" s="71">
        <f t="shared" si="14"/>
        <v>0.333333333333333</v>
      </c>
    </row>
    <row r="174" spans="1:11">
      <c r="A174" s="68" t="s">
        <v>227</v>
      </c>
      <c r="B174" s="69">
        <v>3</v>
      </c>
      <c r="C174" s="69">
        <v>1</v>
      </c>
      <c r="D174" s="69">
        <v>1.5</v>
      </c>
      <c r="E174" s="69">
        <v>0</v>
      </c>
      <c r="F174" s="69">
        <v>0</v>
      </c>
      <c r="G174" s="70">
        <f t="shared" si="10"/>
        <v>1.5</v>
      </c>
      <c r="H174" s="71">
        <f t="shared" si="11"/>
        <v>0</v>
      </c>
      <c r="I174" s="71" t="e">
        <f t="shared" si="12"/>
        <v>#DIV/0!</v>
      </c>
      <c r="J174" s="70" t="e">
        <f t="shared" si="13"/>
        <v>#DIV/0!</v>
      </c>
      <c r="K174" s="71">
        <f t="shared" si="14"/>
        <v>0.333333333333333</v>
      </c>
    </row>
    <row r="175" spans="1:11">
      <c r="A175" s="68" t="s">
        <v>228</v>
      </c>
      <c r="B175" s="69">
        <v>3</v>
      </c>
      <c r="C175" s="69">
        <v>1</v>
      </c>
      <c r="D175" s="69">
        <v>1.5</v>
      </c>
      <c r="E175" s="69">
        <v>0</v>
      </c>
      <c r="F175" s="69">
        <v>0</v>
      </c>
      <c r="G175" s="70">
        <f t="shared" si="10"/>
        <v>1.5</v>
      </c>
      <c r="H175" s="71">
        <f t="shared" si="11"/>
        <v>0</v>
      </c>
      <c r="I175" s="71" t="e">
        <f t="shared" si="12"/>
        <v>#DIV/0!</v>
      </c>
      <c r="J175" s="70" t="e">
        <f t="shared" si="13"/>
        <v>#DIV/0!</v>
      </c>
      <c r="K175" s="71">
        <f t="shared" si="14"/>
        <v>0.333333333333333</v>
      </c>
    </row>
    <row r="176" spans="1:11">
      <c r="A176" s="68" t="s">
        <v>229</v>
      </c>
      <c r="B176" s="69">
        <v>3</v>
      </c>
      <c r="C176" s="69">
        <v>1</v>
      </c>
      <c r="D176" s="69">
        <v>1.25</v>
      </c>
      <c r="E176" s="69">
        <v>0</v>
      </c>
      <c r="F176" s="69">
        <v>0</v>
      </c>
      <c r="G176" s="70">
        <f t="shared" si="10"/>
        <v>1.25</v>
      </c>
      <c r="H176" s="71">
        <f t="shared" si="11"/>
        <v>0</v>
      </c>
      <c r="I176" s="71" t="e">
        <f t="shared" si="12"/>
        <v>#DIV/0!</v>
      </c>
      <c r="J176" s="70" t="e">
        <f t="shared" si="13"/>
        <v>#DIV/0!</v>
      </c>
      <c r="K176" s="71">
        <f t="shared" si="14"/>
        <v>0.333333333333333</v>
      </c>
    </row>
    <row r="177" spans="1:11">
      <c r="A177" s="68" t="s">
        <v>230</v>
      </c>
      <c r="B177" s="69">
        <v>1</v>
      </c>
      <c r="C177" s="69">
        <v>1</v>
      </c>
      <c r="D177" s="69">
        <v>1.5</v>
      </c>
      <c r="E177" s="69">
        <v>0</v>
      </c>
      <c r="F177" s="69">
        <v>0</v>
      </c>
      <c r="G177" s="70">
        <f t="shared" si="10"/>
        <v>1.5</v>
      </c>
      <c r="H177" s="71">
        <f t="shared" si="11"/>
        <v>0</v>
      </c>
      <c r="I177" s="71" t="e">
        <f t="shared" si="12"/>
        <v>#DIV/0!</v>
      </c>
      <c r="J177" s="70" t="e">
        <f t="shared" si="13"/>
        <v>#DIV/0!</v>
      </c>
      <c r="K177" s="71">
        <f t="shared" si="14"/>
        <v>1</v>
      </c>
    </row>
    <row r="178" spans="1:11">
      <c r="A178" s="68" t="s">
        <v>231</v>
      </c>
      <c r="B178" s="69">
        <v>1</v>
      </c>
      <c r="C178" s="69">
        <v>1</v>
      </c>
      <c r="D178" s="69">
        <v>1.5</v>
      </c>
      <c r="E178" s="69">
        <v>0</v>
      </c>
      <c r="F178" s="69">
        <v>0</v>
      </c>
      <c r="G178" s="70">
        <f t="shared" si="10"/>
        <v>1.5</v>
      </c>
      <c r="H178" s="71">
        <f t="shared" si="11"/>
        <v>0</v>
      </c>
      <c r="I178" s="71" t="e">
        <f t="shared" si="12"/>
        <v>#DIV/0!</v>
      </c>
      <c r="J178" s="70" t="e">
        <f t="shared" si="13"/>
        <v>#DIV/0!</v>
      </c>
      <c r="K178" s="71">
        <f t="shared" si="14"/>
        <v>1</v>
      </c>
    </row>
    <row r="179" spans="1:11">
      <c r="A179" s="68" t="s">
        <v>232</v>
      </c>
      <c r="B179" s="69">
        <v>1</v>
      </c>
      <c r="C179" s="69">
        <v>1</v>
      </c>
      <c r="D179" s="69">
        <v>1.5</v>
      </c>
      <c r="E179" s="69">
        <v>0</v>
      </c>
      <c r="F179" s="69">
        <v>0</v>
      </c>
      <c r="G179" s="70">
        <f t="shared" si="10"/>
        <v>1.5</v>
      </c>
      <c r="H179" s="71">
        <f t="shared" si="11"/>
        <v>0</v>
      </c>
      <c r="I179" s="71" t="e">
        <f t="shared" si="12"/>
        <v>#DIV/0!</v>
      </c>
      <c r="J179" s="70" t="e">
        <f t="shared" si="13"/>
        <v>#DIV/0!</v>
      </c>
      <c r="K179" s="71">
        <f t="shared" si="14"/>
        <v>1</v>
      </c>
    </row>
    <row r="180" spans="1:11">
      <c r="A180" s="68" t="s">
        <v>233</v>
      </c>
      <c r="B180" s="69">
        <v>1</v>
      </c>
      <c r="C180" s="69">
        <v>1</v>
      </c>
      <c r="D180" s="69">
        <v>1.35</v>
      </c>
      <c r="E180" s="69">
        <v>0</v>
      </c>
      <c r="F180" s="69">
        <v>0</v>
      </c>
      <c r="G180" s="70">
        <f t="shared" si="10"/>
        <v>1.35</v>
      </c>
      <c r="H180" s="71">
        <f t="shared" si="11"/>
        <v>0</v>
      </c>
      <c r="I180" s="71" t="e">
        <f t="shared" si="12"/>
        <v>#DIV/0!</v>
      </c>
      <c r="J180" s="70" t="e">
        <f t="shared" si="13"/>
        <v>#DIV/0!</v>
      </c>
      <c r="K180" s="71">
        <f t="shared" si="14"/>
        <v>1</v>
      </c>
    </row>
    <row r="181" spans="1:11">
      <c r="A181" s="68" t="s">
        <v>234</v>
      </c>
      <c r="B181" s="69">
        <v>1</v>
      </c>
      <c r="C181" s="69">
        <v>1</v>
      </c>
      <c r="D181" s="69">
        <v>1.75</v>
      </c>
      <c r="E181" s="69">
        <v>0</v>
      </c>
      <c r="F181" s="69">
        <v>0</v>
      </c>
      <c r="G181" s="70">
        <f t="shared" si="10"/>
        <v>1.75</v>
      </c>
      <c r="H181" s="71">
        <f t="shared" si="11"/>
        <v>0</v>
      </c>
      <c r="I181" s="71" t="e">
        <f t="shared" si="12"/>
        <v>#DIV/0!</v>
      </c>
      <c r="J181" s="70" t="e">
        <f t="shared" si="13"/>
        <v>#DIV/0!</v>
      </c>
      <c r="K181" s="71">
        <f t="shared" si="14"/>
        <v>1</v>
      </c>
    </row>
    <row r="182" spans="1:11">
      <c r="A182" s="68" t="s">
        <v>235</v>
      </c>
      <c r="B182" s="69">
        <v>1</v>
      </c>
      <c r="C182" s="69">
        <v>1</v>
      </c>
      <c r="D182" s="69">
        <v>1.75</v>
      </c>
      <c r="E182" s="69">
        <v>0</v>
      </c>
      <c r="F182" s="69">
        <v>0</v>
      </c>
      <c r="G182" s="70">
        <f t="shared" si="10"/>
        <v>1.75</v>
      </c>
      <c r="H182" s="71">
        <f t="shared" si="11"/>
        <v>0</v>
      </c>
      <c r="I182" s="71" t="e">
        <f t="shared" si="12"/>
        <v>#DIV/0!</v>
      </c>
      <c r="J182" s="70" t="e">
        <f t="shared" si="13"/>
        <v>#DIV/0!</v>
      </c>
      <c r="K182" s="71">
        <f t="shared" si="14"/>
        <v>1</v>
      </c>
    </row>
    <row r="183" spans="1:11">
      <c r="A183" s="68" t="s">
        <v>236</v>
      </c>
      <c r="B183" s="69">
        <v>15</v>
      </c>
      <c r="C183" s="69">
        <v>1</v>
      </c>
      <c r="D183" s="69">
        <v>1.43</v>
      </c>
      <c r="E183" s="69">
        <v>0</v>
      </c>
      <c r="F183" s="69">
        <v>0</v>
      </c>
      <c r="G183" s="70">
        <f t="shared" si="10"/>
        <v>1.43</v>
      </c>
      <c r="H183" s="71">
        <f t="shared" si="11"/>
        <v>0</v>
      </c>
      <c r="I183" s="71" t="e">
        <f t="shared" si="12"/>
        <v>#DIV/0!</v>
      </c>
      <c r="J183" s="70" t="e">
        <f t="shared" si="13"/>
        <v>#DIV/0!</v>
      </c>
      <c r="K183" s="71">
        <f t="shared" si="14"/>
        <v>0.0666666666666667</v>
      </c>
    </row>
    <row r="184" spans="1:11">
      <c r="A184" s="68" t="s">
        <v>237</v>
      </c>
      <c r="B184" s="69">
        <v>15</v>
      </c>
      <c r="C184" s="69">
        <v>1</v>
      </c>
      <c r="D184" s="69">
        <v>1.43</v>
      </c>
      <c r="E184" s="69">
        <v>0</v>
      </c>
      <c r="F184" s="69">
        <v>0</v>
      </c>
      <c r="G184" s="70">
        <f t="shared" si="10"/>
        <v>1.43</v>
      </c>
      <c r="H184" s="71">
        <f t="shared" si="11"/>
        <v>0</v>
      </c>
      <c r="I184" s="71" t="e">
        <f t="shared" si="12"/>
        <v>#DIV/0!</v>
      </c>
      <c r="J184" s="70" t="e">
        <f t="shared" si="13"/>
        <v>#DIV/0!</v>
      </c>
      <c r="K184" s="71">
        <f t="shared" si="14"/>
        <v>0.0666666666666667</v>
      </c>
    </row>
    <row r="185" spans="1:11">
      <c r="A185" s="68" t="s">
        <v>238</v>
      </c>
      <c r="B185" s="69">
        <v>1</v>
      </c>
      <c r="C185" s="69">
        <v>1</v>
      </c>
      <c r="D185" s="69">
        <v>1.5</v>
      </c>
      <c r="E185" s="69">
        <v>46.99</v>
      </c>
      <c r="F185" s="69">
        <v>1</v>
      </c>
      <c r="G185" s="70">
        <f t="shared" si="10"/>
        <v>1.5</v>
      </c>
      <c r="H185" s="71">
        <f t="shared" si="11"/>
        <v>1</v>
      </c>
      <c r="I185" s="71">
        <f t="shared" si="12"/>
        <v>0.0319216854649925</v>
      </c>
      <c r="J185" s="70">
        <f t="shared" si="13"/>
        <v>1.5</v>
      </c>
      <c r="K185" s="71">
        <f t="shared" si="14"/>
        <v>1</v>
      </c>
    </row>
    <row r="186" spans="1:11">
      <c r="A186" s="68" t="s">
        <v>239</v>
      </c>
      <c r="B186" s="69">
        <v>1</v>
      </c>
      <c r="C186" s="69">
        <v>1</v>
      </c>
      <c r="D186" s="69">
        <v>1.5</v>
      </c>
      <c r="E186" s="69">
        <v>46.99</v>
      </c>
      <c r="F186" s="69">
        <v>1</v>
      </c>
      <c r="G186" s="70">
        <f t="shared" si="10"/>
        <v>1.5</v>
      </c>
      <c r="H186" s="71">
        <f t="shared" si="11"/>
        <v>1</v>
      </c>
      <c r="I186" s="71">
        <f t="shared" si="12"/>
        <v>0.0319216854649925</v>
      </c>
      <c r="J186" s="70">
        <f t="shared" si="13"/>
        <v>1.5</v>
      </c>
      <c r="K186" s="71">
        <f t="shared" si="14"/>
        <v>1</v>
      </c>
    </row>
    <row r="187" spans="1:11">
      <c r="A187" s="68" t="s">
        <v>240</v>
      </c>
      <c r="B187" s="69">
        <v>2</v>
      </c>
      <c r="C187" s="69">
        <v>1</v>
      </c>
      <c r="D187" s="69">
        <v>1.33</v>
      </c>
      <c r="E187" s="69">
        <v>46.99</v>
      </c>
      <c r="F187" s="69">
        <v>1</v>
      </c>
      <c r="G187" s="70">
        <f t="shared" si="10"/>
        <v>1.33</v>
      </c>
      <c r="H187" s="71">
        <f t="shared" si="11"/>
        <v>1</v>
      </c>
      <c r="I187" s="71">
        <f t="shared" si="12"/>
        <v>0.0283038944456267</v>
      </c>
      <c r="J187" s="70">
        <f t="shared" si="13"/>
        <v>1.33</v>
      </c>
      <c r="K187" s="71">
        <f t="shared" si="14"/>
        <v>0.5</v>
      </c>
    </row>
    <row r="188" spans="1:11">
      <c r="A188" s="68" t="s">
        <v>241</v>
      </c>
      <c r="B188" s="69">
        <v>2</v>
      </c>
      <c r="C188" s="69">
        <v>1</v>
      </c>
      <c r="D188" s="69">
        <v>1.33</v>
      </c>
      <c r="E188" s="69">
        <v>46.99</v>
      </c>
      <c r="F188" s="69">
        <v>1</v>
      </c>
      <c r="G188" s="70">
        <f t="shared" si="10"/>
        <v>1.33</v>
      </c>
      <c r="H188" s="71">
        <f t="shared" si="11"/>
        <v>1</v>
      </c>
      <c r="I188" s="71">
        <f t="shared" si="12"/>
        <v>0.0283038944456267</v>
      </c>
      <c r="J188" s="70">
        <f t="shared" si="13"/>
        <v>1.33</v>
      </c>
      <c r="K188" s="71">
        <f t="shared" si="14"/>
        <v>0.5</v>
      </c>
    </row>
    <row r="189" spans="1:11">
      <c r="A189" s="68" t="s">
        <v>242</v>
      </c>
      <c r="B189" s="69">
        <v>1</v>
      </c>
      <c r="C189" s="69">
        <v>1</v>
      </c>
      <c r="D189" s="69">
        <v>1.03</v>
      </c>
      <c r="E189" s="69">
        <v>0</v>
      </c>
      <c r="F189" s="69">
        <v>0</v>
      </c>
      <c r="G189" s="70">
        <f t="shared" si="10"/>
        <v>1.03</v>
      </c>
      <c r="H189" s="71">
        <f t="shared" si="11"/>
        <v>0</v>
      </c>
      <c r="I189" s="71" t="e">
        <f t="shared" si="12"/>
        <v>#DIV/0!</v>
      </c>
      <c r="J189" s="70" t="e">
        <f t="shared" si="13"/>
        <v>#DIV/0!</v>
      </c>
      <c r="K189" s="71">
        <f t="shared" si="14"/>
        <v>1</v>
      </c>
    </row>
    <row r="190" spans="1:11">
      <c r="A190" s="68" t="s">
        <v>243</v>
      </c>
      <c r="B190" s="69">
        <v>1</v>
      </c>
      <c r="C190" s="69">
        <v>1</v>
      </c>
      <c r="D190" s="69">
        <v>1.03</v>
      </c>
      <c r="E190" s="69">
        <v>0</v>
      </c>
      <c r="F190" s="69">
        <v>0</v>
      </c>
      <c r="G190" s="70">
        <f t="shared" si="10"/>
        <v>1.03</v>
      </c>
      <c r="H190" s="71">
        <f t="shared" si="11"/>
        <v>0</v>
      </c>
      <c r="I190" s="71" t="e">
        <f t="shared" si="12"/>
        <v>#DIV/0!</v>
      </c>
      <c r="J190" s="70" t="e">
        <f t="shared" si="13"/>
        <v>#DIV/0!</v>
      </c>
      <c r="K190" s="71">
        <f t="shared" si="14"/>
        <v>1</v>
      </c>
    </row>
    <row r="191" spans="1:11">
      <c r="A191" s="68" t="s">
        <v>244</v>
      </c>
      <c r="B191" s="69">
        <v>1</v>
      </c>
      <c r="C191" s="69">
        <v>1</v>
      </c>
      <c r="D191" s="69">
        <v>1.03</v>
      </c>
      <c r="E191" s="69">
        <v>0</v>
      </c>
      <c r="F191" s="69">
        <v>0</v>
      </c>
      <c r="G191" s="70">
        <f t="shared" si="10"/>
        <v>1.03</v>
      </c>
      <c r="H191" s="71">
        <f t="shared" si="11"/>
        <v>0</v>
      </c>
      <c r="I191" s="71" t="e">
        <f t="shared" si="12"/>
        <v>#DIV/0!</v>
      </c>
      <c r="J191" s="70" t="e">
        <f t="shared" si="13"/>
        <v>#DIV/0!</v>
      </c>
      <c r="K191" s="71">
        <f t="shared" si="14"/>
        <v>1</v>
      </c>
    </row>
    <row r="192" spans="1:11">
      <c r="A192" s="68" t="s">
        <v>245</v>
      </c>
      <c r="B192" s="69">
        <v>1</v>
      </c>
      <c r="C192" s="69">
        <v>1</v>
      </c>
      <c r="D192" s="69">
        <v>1.03</v>
      </c>
      <c r="E192" s="69">
        <v>0</v>
      </c>
      <c r="F192" s="69">
        <v>0</v>
      </c>
      <c r="G192" s="70">
        <f t="shared" si="10"/>
        <v>1.03</v>
      </c>
      <c r="H192" s="71">
        <f t="shared" si="11"/>
        <v>0</v>
      </c>
      <c r="I192" s="71" t="e">
        <f t="shared" si="12"/>
        <v>#DIV/0!</v>
      </c>
      <c r="J192" s="70" t="e">
        <f t="shared" si="13"/>
        <v>#DIV/0!</v>
      </c>
      <c r="K192" s="71">
        <f t="shared" si="14"/>
        <v>1</v>
      </c>
    </row>
    <row r="193" spans="1:11">
      <c r="A193" s="68" t="s">
        <v>246</v>
      </c>
      <c r="B193" s="69">
        <v>1</v>
      </c>
      <c r="C193" s="69">
        <v>1</v>
      </c>
      <c r="D193" s="69">
        <v>1.03</v>
      </c>
      <c r="E193" s="69">
        <v>0</v>
      </c>
      <c r="F193" s="69">
        <v>0</v>
      </c>
      <c r="G193" s="70">
        <f t="shared" si="10"/>
        <v>1.03</v>
      </c>
      <c r="H193" s="71">
        <f t="shared" si="11"/>
        <v>0</v>
      </c>
      <c r="I193" s="71" t="e">
        <f t="shared" si="12"/>
        <v>#DIV/0!</v>
      </c>
      <c r="J193" s="70" t="e">
        <f t="shared" si="13"/>
        <v>#DIV/0!</v>
      </c>
      <c r="K193" s="71">
        <f t="shared" si="14"/>
        <v>1</v>
      </c>
    </row>
    <row r="194" spans="1:11">
      <c r="A194" s="68" t="s">
        <v>247</v>
      </c>
      <c r="B194" s="69">
        <v>1</v>
      </c>
      <c r="C194" s="69">
        <v>1</v>
      </c>
      <c r="D194" s="69">
        <v>1.03</v>
      </c>
      <c r="E194" s="69">
        <v>0</v>
      </c>
      <c r="F194" s="69">
        <v>0</v>
      </c>
      <c r="G194" s="70">
        <f t="shared" ref="G194:G201" si="15">D194/C194</f>
        <v>1.03</v>
      </c>
      <c r="H194" s="71">
        <f t="shared" ref="H194:H201" si="16">F194/C194</f>
        <v>0</v>
      </c>
      <c r="I194" s="71" t="e">
        <f t="shared" ref="I194:I201" si="17">D194/E194</f>
        <v>#DIV/0!</v>
      </c>
      <c r="J194" s="70" t="e">
        <f t="shared" ref="J194:J201" si="18">D194/F194</f>
        <v>#DIV/0!</v>
      </c>
      <c r="K194" s="71">
        <f t="shared" ref="K194:K201" si="19">C194/B194</f>
        <v>1</v>
      </c>
    </row>
    <row r="195" spans="1:11">
      <c r="A195" s="68" t="s">
        <v>248</v>
      </c>
      <c r="B195" s="69">
        <v>1</v>
      </c>
      <c r="C195" s="69">
        <v>1</v>
      </c>
      <c r="D195" s="69">
        <v>1.03</v>
      </c>
      <c r="E195" s="69">
        <v>0</v>
      </c>
      <c r="F195" s="69">
        <v>0</v>
      </c>
      <c r="G195" s="70">
        <f t="shared" si="15"/>
        <v>1.03</v>
      </c>
      <c r="H195" s="71">
        <f t="shared" si="16"/>
        <v>0</v>
      </c>
      <c r="I195" s="71" t="e">
        <f t="shared" si="17"/>
        <v>#DIV/0!</v>
      </c>
      <c r="J195" s="70" t="e">
        <f t="shared" si="18"/>
        <v>#DIV/0!</v>
      </c>
      <c r="K195" s="71">
        <f t="shared" si="19"/>
        <v>1</v>
      </c>
    </row>
    <row r="196" spans="1:11">
      <c r="A196" s="68" t="s">
        <v>249</v>
      </c>
      <c r="B196" s="69">
        <v>2</v>
      </c>
      <c r="C196" s="69">
        <v>1</v>
      </c>
      <c r="D196" s="69">
        <v>0.75</v>
      </c>
      <c r="E196" s="69">
        <v>0</v>
      </c>
      <c r="F196" s="69">
        <v>0</v>
      </c>
      <c r="G196" s="70">
        <f t="shared" si="15"/>
        <v>0.75</v>
      </c>
      <c r="H196" s="71">
        <f t="shared" si="16"/>
        <v>0</v>
      </c>
      <c r="I196" s="71" t="e">
        <f t="shared" si="17"/>
        <v>#DIV/0!</v>
      </c>
      <c r="J196" s="70" t="e">
        <f t="shared" si="18"/>
        <v>#DIV/0!</v>
      </c>
      <c r="K196" s="71">
        <f t="shared" si="19"/>
        <v>0.5</v>
      </c>
    </row>
    <row r="197" spans="1:11">
      <c r="A197" s="68" t="s">
        <v>250</v>
      </c>
      <c r="B197" s="69">
        <v>2</v>
      </c>
      <c r="C197" s="69">
        <v>1</v>
      </c>
      <c r="D197" s="69">
        <v>0.75</v>
      </c>
      <c r="E197" s="69">
        <v>0</v>
      </c>
      <c r="F197" s="69">
        <v>0</v>
      </c>
      <c r="G197" s="70">
        <f t="shared" si="15"/>
        <v>0.75</v>
      </c>
      <c r="H197" s="71">
        <f t="shared" si="16"/>
        <v>0</v>
      </c>
      <c r="I197" s="71" t="e">
        <f t="shared" si="17"/>
        <v>#DIV/0!</v>
      </c>
      <c r="J197" s="70" t="e">
        <f t="shared" si="18"/>
        <v>#DIV/0!</v>
      </c>
      <c r="K197" s="71">
        <f t="shared" si="19"/>
        <v>0.5</v>
      </c>
    </row>
    <row r="198" spans="1:11">
      <c r="A198" s="68" t="s">
        <v>251</v>
      </c>
      <c r="B198" s="69">
        <v>2</v>
      </c>
      <c r="C198" s="69">
        <v>1</v>
      </c>
      <c r="D198" s="69">
        <v>0.75</v>
      </c>
      <c r="E198" s="69">
        <v>0</v>
      </c>
      <c r="F198" s="69">
        <v>0</v>
      </c>
      <c r="G198" s="70">
        <f t="shared" si="15"/>
        <v>0.75</v>
      </c>
      <c r="H198" s="71">
        <f t="shared" si="16"/>
        <v>0</v>
      </c>
      <c r="I198" s="71" t="e">
        <f t="shared" si="17"/>
        <v>#DIV/0!</v>
      </c>
      <c r="J198" s="70" t="e">
        <f t="shared" si="18"/>
        <v>#DIV/0!</v>
      </c>
      <c r="K198" s="71">
        <f t="shared" si="19"/>
        <v>0.5</v>
      </c>
    </row>
    <row r="199" spans="1:11">
      <c r="A199" s="68" t="s">
        <v>252</v>
      </c>
      <c r="B199" s="69">
        <v>2</v>
      </c>
      <c r="C199" s="69">
        <v>1</v>
      </c>
      <c r="D199" s="69">
        <v>0.75</v>
      </c>
      <c r="E199" s="69">
        <v>0</v>
      </c>
      <c r="F199" s="69">
        <v>0</v>
      </c>
      <c r="G199" s="70">
        <f t="shared" si="15"/>
        <v>0.75</v>
      </c>
      <c r="H199" s="71">
        <f t="shared" si="16"/>
        <v>0</v>
      </c>
      <c r="I199" s="71" t="e">
        <f t="shared" si="17"/>
        <v>#DIV/0!</v>
      </c>
      <c r="J199" s="70" t="e">
        <f t="shared" si="18"/>
        <v>#DIV/0!</v>
      </c>
      <c r="K199" s="71">
        <f t="shared" si="19"/>
        <v>0.5</v>
      </c>
    </row>
    <row r="200" spans="1:11">
      <c r="A200" s="68" t="s">
        <v>253</v>
      </c>
      <c r="B200" s="69">
        <v>2</v>
      </c>
      <c r="C200" s="69">
        <v>1</v>
      </c>
      <c r="D200" s="69">
        <v>0.75</v>
      </c>
      <c r="E200" s="69">
        <v>0</v>
      </c>
      <c r="F200" s="69">
        <v>0</v>
      </c>
      <c r="G200" s="70">
        <f t="shared" si="15"/>
        <v>0.75</v>
      </c>
      <c r="H200" s="71">
        <f t="shared" si="16"/>
        <v>0</v>
      </c>
      <c r="I200" s="71" t="e">
        <f t="shared" si="17"/>
        <v>#DIV/0!</v>
      </c>
      <c r="J200" s="70" t="e">
        <f t="shared" si="18"/>
        <v>#DIV/0!</v>
      </c>
      <c r="K200" s="71">
        <f t="shared" si="19"/>
        <v>0.5</v>
      </c>
    </row>
    <row r="201" spans="1:11">
      <c r="A201" s="68" t="s">
        <v>254</v>
      </c>
      <c r="B201" s="69">
        <v>2</v>
      </c>
      <c r="C201" s="69">
        <v>1</v>
      </c>
      <c r="D201" s="69">
        <v>0.75</v>
      </c>
      <c r="E201" s="69">
        <v>0</v>
      </c>
      <c r="F201" s="69">
        <v>0</v>
      </c>
      <c r="G201" s="70">
        <f t="shared" si="15"/>
        <v>0.75</v>
      </c>
      <c r="H201" s="71">
        <f t="shared" si="16"/>
        <v>0</v>
      </c>
      <c r="I201" s="71" t="e">
        <f t="shared" si="17"/>
        <v>#DIV/0!</v>
      </c>
      <c r="J201" s="70" t="e">
        <f t="shared" si="18"/>
        <v>#DIV/0!</v>
      </c>
      <c r="K201" s="71">
        <f t="shared" si="19"/>
        <v>0.5</v>
      </c>
    </row>
  </sheetData>
  <conditionalFormatting sqref="H1">
    <cfRule type="cellIs" dxfId="0" priority="3" operator="lessThan">
      <formula>0.076</formula>
    </cfRule>
  </conditionalFormatting>
  <conditionalFormatting sqref="I1">
    <cfRule type="cellIs" dxfId="0" priority="5" operator="lessThan">
      <formula>0.06</formula>
    </cfRule>
    <cfRule type="cellIs" dxfId="0" priority="2" operator="greaterThan">
      <formula>0.35</formula>
    </cfRule>
  </conditionalFormatting>
  <conditionalFormatting sqref="K1">
    <cfRule type="cellIs" dxfId="0" priority="4" operator="greaterThan">
      <formula>18</formula>
    </cfRule>
  </conditionalFormatting>
  <conditionalFormatting sqref="H$1:H$1048576">
    <cfRule type="cellIs" dxfId="0" priority="1" operator="lessThan">
      <formula>0.06</formula>
    </cfRule>
  </conditionalFormatting>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N26"/>
  <sheetViews>
    <sheetView workbookViewId="0">
      <selection activeCell="A1" sqref="A1"/>
    </sheetView>
  </sheetViews>
  <sheetFormatPr defaultColWidth="9" defaultRowHeight="14"/>
  <cols>
    <col min="2" max="2" width="32.6363636363636" customWidth="1"/>
    <col min="10" max="11" width="9.18181818181818"/>
    <col min="13" max="13" width="12.8181818181818"/>
  </cols>
  <sheetData>
    <row r="1" spans="4:4">
      <c r="D1" t="s">
        <v>255</v>
      </c>
    </row>
    <row r="2" spans="2:7">
      <c r="B2" t="s">
        <v>256</v>
      </c>
      <c r="C2" s="40" t="s">
        <v>257</v>
      </c>
      <c r="D2" s="41" t="s">
        <v>258</v>
      </c>
      <c r="E2" s="41" t="s">
        <v>259</v>
      </c>
      <c r="F2" s="40" t="s">
        <v>260</v>
      </c>
      <c r="G2" s="41" t="s">
        <v>261</v>
      </c>
    </row>
    <row r="3" spans="2:7">
      <c r="B3" t="s">
        <v>262</v>
      </c>
      <c r="C3" s="42">
        <v>1.33407780979827</v>
      </c>
      <c r="D3" s="43">
        <v>0.0763688760806916</v>
      </c>
      <c r="E3" s="43">
        <v>0.377530188279174</v>
      </c>
      <c r="F3" s="42">
        <v>17.4688679245283</v>
      </c>
      <c r="G3" s="43">
        <v>0.010248181218559</v>
      </c>
    </row>
    <row r="5" s="39" customFormat="1" spans="1:2">
      <c r="A5" s="39" t="s">
        <v>263</v>
      </c>
      <c r="B5" s="44" t="s">
        <v>264</v>
      </c>
    </row>
    <row r="6" spans="2:2">
      <c r="B6" t="s">
        <v>265</v>
      </c>
    </row>
    <row r="7" ht="56" spans="2:12">
      <c r="B7" s="45" t="s">
        <v>45</v>
      </c>
      <c r="C7" s="45" t="s">
        <v>266</v>
      </c>
      <c r="D7" s="45" t="s">
        <v>267</v>
      </c>
      <c r="E7" s="45" t="s">
        <v>268</v>
      </c>
      <c r="F7" s="45" t="s">
        <v>269</v>
      </c>
      <c r="G7" s="45" t="s">
        <v>270</v>
      </c>
      <c r="H7" s="40" t="s">
        <v>257</v>
      </c>
      <c r="I7" s="41" t="s">
        <v>258</v>
      </c>
      <c r="J7" s="41" t="s">
        <v>259</v>
      </c>
      <c r="K7" s="40" t="s">
        <v>271</v>
      </c>
      <c r="L7" s="41" t="s">
        <v>261</v>
      </c>
    </row>
    <row r="8" spans="2:12">
      <c r="B8" s="46" t="s">
        <v>272</v>
      </c>
      <c r="C8" s="47">
        <v>3225</v>
      </c>
      <c r="D8" s="47">
        <v>61</v>
      </c>
      <c r="E8" s="47">
        <v>71.36</v>
      </c>
      <c r="F8" s="47">
        <v>46.99</v>
      </c>
      <c r="G8" s="47">
        <v>1</v>
      </c>
      <c r="H8" s="48">
        <v>1.16983606557377</v>
      </c>
      <c r="I8" s="60">
        <v>0.0163934426229508</v>
      </c>
      <c r="J8" s="60">
        <v>1.51862098318791</v>
      </c>
      <c r="K8" s="48">
        <v>71.36</v>
      </c>
      <c r="L8" s="60">
        <v>0.0189147286821705</v>
      </c>
    </row>
    <row r="9" spans="2:12">
      <c r="B9" s="46" t="s">
        <v>273</v>
      </c>
      <c r="C9" s="47">
        <v>1314</v>
      </c>
      <c r="D9" s="47">
        <v>29</v>
      </c>
      <c r="E9" s="47">
        <v>34.58</v>
      </c>
      <c r="F9" s="47">
        <v>46.99</v>
      </c>
      <c r="G9" s="47">
        <v>1</v>
      </c>
      <c r="H9" s="48">
        <v>1.19241379310345</v>
      </c>
      <c r="I9" s="60">
        <v>0.0344827586206897</v>
      </c>
      <c r="J9" s="60">
        <v>0.735901255586295</v>
      </c>
      <c r="K9" s="48">
        <v>34.58</v>
      </c>
      <c r="L9" s="60">
        <v>0.0220700152207002</v>
      </c>
    </row>
    <row r="10" spans="2:12">
      <c r="B10" s="46" t="s">
        <v>274</v>
      </c>
      <c r="C10" s="47">
        <v>593</v>
      </c>
      <c r="D10" s="47">
        <v>19</v>
      </c>
      <c r="E10" s="47">
        <v>23.05</v>
      </c>
      <c r="F10" s="47">
        <v>0</v>
      </c>
      <c r="G10" s="47">
        <v>0</v>
      </c>
      <c r="H10" s="48">
        <v>1.21315789473684</v>
      </c>
      <c r="I10" s="60">
        <v>0</v>
      </c>
      <c r="J10" s="60" t="e">
        <v>#DIV/0!</v>
      </c>
      <c r="K10" s="48" t="e">
        <v>#DIV/0!</v>
      </c>
      <c r="L10" s="60">
        <v>0.0320404721753794</v>
      </c>
    </row>
    <row r="13" s="39" customFormat="1" spans="1:2">
      <c r="A13" s="39" t="s">
        <v>275</v>
      </c>
      <c r="B13" s="39" t="s">
        <v>276</v>
      </c>
    </row>
    <row r="14" ht="56" spans="2:13">
      <c r="B14" s="45" t="s">
        <v>45</v>
      </c>
      <c r="C14" s="45" t="s">
        <v>266</v>
      </c>
      <c r="D14" s="45" t="s">
        <v>267</v>
      </c>
      <c r="E14" s="45" t="s">
        <v>268</v>
      </c>
      <c r="F14" s="45" t="s">
        <v>269</v>
      </c>
      <c r="G14" s="45" t="s">
        <v>270</v>
      </c>
      <c r="H14" s="40" t="s">
        <v>257</v>
      </c>
      <c r="I14" s="41" t="s">
        <v>258</v>
      </c>
      <c r="J14" s="41" t="s">
        <v>259</v>
      </c>
      <c r="K14" s="40" t="s">
        <v>271</v>
      </c>
      <c r="L14" s="41" t="s">
        <v>261</v>
      </c>
      <c r="M14" s="61" t="s">
        <v>277</v>
      </c>
    </row>
    <row r="15" spans="2:13">
      <c r="B15" s="49" t="s">
        <v>278</v>
      </c>
      <c r="C15" s="50">
        <v>6897</v>
      </c>
      <c r="D15" s="50">
        <v>56</v>
      </c>
      <c r="E15" s="50">
        <v>66.45</v>
      </c>
      <c r="F15" s="50">
        <v>140.97</v>
      </c>
      <c r="G15" s="50">
        <v>3</v>
      </c>
      <c r="H15" s="51">
        <v>1.18660714285714</v>
      </c>
      <c r="I15" s="62">
        <v>0.0535714285714286</v>
      </c>
      <c r="J15" s="62">
        <v>0.471376888699723</v>
      </c>
      <c r="K15" s="51">
        <v>22.15</v>
      </c>
      <c r="L15" s="62">
        <v>0.00811947223430477</v>
      </c>
      <c r="M15" s="63">
        <f t="shared" ref="M15:M19" si="0">SUM(G15:G16)/SUM(D15:D16)</f>
        <v>0.0666666666666667</v>
      </c>
    </row>
    <row r="16" spans="2:13">
      <c r="B16" s="49" t="s">
        <v>279</v>
      </c>
      <c r="C16" s="50">
        <v>5206</v>
      </c>
      <c r="D16" s="50">
        <v>49</v>
      </c>
      <c r="E16" s="50">
        <v>57.65</v>
      </c>
      <c r="F16" s="50">
        <v>187.96</v>
      </c>
      <c r="G16" s="50">
        <v>4</v>
      </c>
      <c r="H16" s="51">
        <v>1.1765306122449</v>
      </c>
      <c r="I16" s="62">
        <v>0.0816326530612245</v>
      </c>
      <c r="J16" s="62">
        <v>0.30671419450947</v>
      </c>
      <c r="K16" s="51">
        <v>14.4125</v>
      </c>
      <c r="L16" s="62">
        <v>0.00941221667306954</v>
      </c>
      <c r="M16" s="63"/>
    </row>
    <row r="17" spans="2:13">
      <c r="B17" s="52" t="s">
        <v>280</v>
      </c>
      <c r="C17" s="53">
        <v>15585</v>
      </c>
      <c r="D17" s="53">
        <v>227</v>
      </c>
      <c r="E17" s="53">
        <v>242.09</v>
      </c>
      <c r="F17" s="53">
        <v>838.77</v>
      </c>
      <c r="G17" s="53">
        <v>18</v>
      </c>
      <c r="H17" s="54">
        <v>1.06647577092511</v>
      </c>
      <c r="I17" s="64">
        <v>0.079295154185022</v>
      </c>
      <c r="J17" s="64">
        <v>0.288625010431942</v>
      </c>
      <c r="K17" s="54">
        <v>13.4494444444444</v>
      </c>
      <c r="L17" s="64">
        <v>0.0145652871350658</v>
      </c>
      <c r="M17" s="63">
        <f t="shared" si="0"/>
        <v>0.0746887966804979</v>
      </c>
    </row>
    <row r="18" spans="2:13">
      <c r="B18" s="52" t="s">
        <v>281</v>
      </c>
      <c r="C18" s="53">
        <v>928</v>
      </c>
      <c r="D18" s="53">
        <v>14</v>
      </c>
      <c r="E18" s="53">
        <v>15.52</v>
      </c>
      <c r="F18" s="53">
        <v>0</v>
      </c>
      <c r="G18" s="53">
        <v>0</v>
      </c>
      <c r="H18" s="54">
        <v>1.10857142857143</v>
      </c>
      <c r="I18" s="64">
        <v>0</v>
      </c>
      <c r="J18" s="64" t="e">
        <v>#DIV/0!</v>
      </c>
      <c r="K18" s="54" t="e">
        <v>#DIV/0!</v>
      </c>
      <c r="L18" s="64">
        <v>0.0150862068965517</v>
      </c>
      <c r="M18" s="63"/>
    </row>
    <row r="19" spans="2:13">
      <c r="B19" s="55" t="s">
        <v>282</v>
      </c>
      <c r="C19" s="56">
        <v>908</v>
      </c>
      <c r="D19" s="56">
        <v>13</v>
      </c>
      <c r="E19" s="56">
        <v>15.76</v>
      </c>
      <c r="F19" s="56">
        <v>0</v>
      </c>
      <c r="G19" s="56">
        <v>0</v>
      </c>
      <c r="H19" s="57">
        <v>1.21230769230769</v>
      </c>
      <c r="I19" s="65">
        <v>0</v>
      </c>
      <c r="J19" s="65" t="e">
        <v>#DIV/0!</v>
      </c>
      <c r="K19" s="57" t="e">
        <v>#DIV/0!</v>
      </c>
      <c r="L19" s="65">
        <v>0.0143171806167401</v>
      </c>
      <c r="M19" s="63">
        <f t="shared" si="0"/>
        <v>0.0869565217391304</v>
      </c>
    </row>
    <row r="20" spans="2:13">
      <c r="B20" s="55" t="s">
        <v>283</v>
      </c>
      <c r="C20" s="56">
        <v>598</v>
      </c>
      <c r="D20" s="56">
        <v>10</v>
      </c>
      <c r="E20" s="56">
        <v>12.31</v>
      </c>
      <c r="F20" s="56">
        <v>93.98</v>
      </c>
      <c r="G20" s="56">
        <v>2</v>
      </c>
      <c r="H20" s="57">
        <v>1.231</v>
      </c>
      <c r="I20" s="65">
        <v>0.2</v>
      </c>
      <c r="J20" s="65">
        <v>0.130985316024686</v>
      </c>
      <c r="K20" s="57">
        <v>6.155</v>
      </c>
      <c r="L20" s="65">
        <v>0.0167224080267559</v>
      </c>
      <c r="M20" s="63"/>
    </row>
    <row r="23" spans="1:14">
      <c r="A23" s="39" t="s">
        <v>284</v>
      </c>
      <c r="B23" s="39" t="s">
        <v>285</v>
      </c>
      <c r="M23" t="s">
        <v>286</v>
      </c>
      <c r="N23">
        <f>0.8*1.7%</f>
        <v>0.0136</v>
      </c>
    </row>
    <row r="24" ht="56" spans="2:13">
      <c r="B24" s="45" t="s">
        <v>45</v>
      </c>
      <c r="C24" s="45" t="s">
        <v>266</v>
      </c>
      <c r="D24" s="45" t="s">
        <v>267</v>
      </c>
      <c r="E24" s="45" t="s">
        <v>268</v>
      </c>
      <c r="F24" s="45" t="s">
        <v>269</v>
      </c>
      <c r="G24" s="45" t="s">
        <v>270</v>
      </c>
      <c r="H24" s="40" t="s">
        <v>257</v>
      </c>
      <c r="I24" s="41" t="s">
        <v>258</v>
      </c>
      <c r="J24" s="41" t="s">
        <v>259</v>
      </c>
      <c r="K24" s="40" t="s">
        <v>261</v>
      </c>
      <c r="L24" s="41" t="s">
        <v>260</v>
      </c>
      <c r="M24" s="61" t="s">
        <v>277</v>
      </c>
    </row>
    <row r="25" spans="2:13">
      <c r="B25" t="s">
        <v>287</v>
      </c>
      <c r="C25" s="58">
        <v>76549</v>
      </c>
      <c r="D25">
        <v>297</v>
      </c>
      <c r="E25">
        <v>237.16</v>
      </c>
      <c r="F25">
        <v>598</v>
      </c>
      <c r="G25">
        <v>2</v>
      </c>
      <c r="H25" s="59">
        <v>0.798518518518519</v>
      </c>
      <c r="I25" s="66">
        <v>0.00673400673400673</v>
      </c>
      <c r="J25" s="66">
        <v>0.396588628762542</v>
      </c>
      <c r="K25" s="66">
        <v>0.00387986779709728</v>
      </c>
      <c r="L25" s="59">
        <v>118.58</v>
      </c>
      <c r="M25" s="63">
        <f>SUM(G25:G26)/SUM(D25:D26)</f>
        <v>0.00573065902578797</v>
      </c>
    </row>
    <row r="26" spans="2:13">
      <c r="B26" t="s">
        <v>288</v>
      </c>
      <c r="C26" s="58">
        <v>6417</v>
      </c>
      <c r="D26">
        <v>52</v>
      </c>
      <c r="E26">
        <v>35.24</v>
      </c>
      <c r="F26">
        <v>0</v>
      </c>
      <c r="G26">
        <v>0</v>
      </c>
      <c r="H26" s="59">
        <v>0.677692307692308</v>
      </c>
      <c r="I26" s="66">
        <v>0</v>
      </c>
      <c r="J26" s="66" t="e">
        <v>#DIV/0!</v>
      </c>
      <c r="K26" s="66">
        <v>0.00810347514414836</v>
      </c>
      <c r="L26" s="59" t="e">
        <v>#DIV/0!</v>
      </c>
      <c r="M26" s="63"/>
    </row>
  </sheetData>
  <mergeCells count="4">
    <mergeCell ref="M15:M16"/>
    <mergeCell ref="M17:M18"/>
    <mergeCell ref="M19:M20"/>
    <mergeCell ref="M25:M26"/>
  </mergeCells>
  <conditionalFormatting sqref="D2">
    <cfRule type="cellIs" dxfId="0" priority="14" operator="lessThan">
      <formula>0.07</formula>
    </cfRule>
  </conditionalFormatting>
  <conditionalFormatting sqref="E2">
    <cfRule type="cellIs" dxfId="0" priority="16" operator="lessThan">
      <formula>0.06</formula>
    </cfRule>
  </conditionalFormatting>
  <conditionalFormatting sqref="G2">
    <cfRule type="cellIs" dxfId="0" priority="15" operator="greaterThan">
      <formula>18</formula>
    </cfRule>
  </conditionalFormatting>
  <conditionalFormatting sqref="D3">
    <cfRule type="cellIs" dxfId="0" priority="11" operator="lessThan">
      <formula>0.076</formula>
    </cfRule>
  </conditionalFormatting>
  <conditionalFormatting sqref="E3">
    <cfRule type="cellIs" dxfId="0" priority="10" operator="greaterThan">
      <formula>0.35</formula>
    </cfRule>
    <cfRule type="cellIs" dxfId="0" priority="13" operator="lessThan">
      <formula>0.06</formula>
    </cfRule>
  </conditionalFormatting>
  <conditionalFormatting sqref="G3">
    <cfRule type="cellIs" dxfId="0" priority="12" operator="greaterThan">
      <formula>18</formula>
    </cfRule>
  </conditionalFormatting>
  <conditionalFormatting sqref="I24">
    <cfRule type="cellIs" dxfId="0" priority="1" operator="lessThan">
      <formula>0.07</formula>
    </cfRule>
  </conditionalFormatting>
  <conditionalFormatting sqref="J24">
    <cfRule type="cellIs" dxfId="0" priority="3" operator="lessThan">
      <formula>0.06</formula>
    </cfRule>
  </conditionalFormatting>
  <conditionalFormatting sqref="L24">
    <cfRule type="cellIs" dxfId="0" priority="2" operator="greaterThan">
      <formula>18</formula>
    </cfRule>
  </conditionalFormatting>
  <conditionalFormatting sqref="I7:I10 I18:I20 I15:I16">
    <cfRule type="cellIs" dxfId="0" priority="7" operator="lessThan">
      <formula>0.07</formula>
    </cfRule>
  </conditionalFormatting>
  <conditionalFormatting sqref="J7:J10 J18:J20 J15:J16">
    <cfRule type="cellIs" dxfId="0" priority="9" operator="lessThan">
      <formula>0.06</formula>
    </cfRule>
  </conditionalFormatting>
  <conditionalFormatting sqref="L7:L10 L18:L20 L15:L16">
    <cfRule type="cellIs" dxfId="0" priority="8" operator="greaterThan">
      <formula>18</formula>
    </cfRule>
  </conditionalFormatting>
  <conditionalFormatting sqref="I14 I17">
    <cfRule type="cellIs" dxfId="0" priority="4" operator="lessThan">
      <formula>0.07</formula>
    </cfRule>
  </conditionalFormatting>
  <conditionalFormatting sqref="J14 J17">
    <cfRule type="cellIs" dxfId="0" priority="6" operator="lessThan">
      <formula>0.06</formula>
    </cfRule>
  </conditionalFormatting>
  <conditionalFormatting sqref="L14 L17">
    <cfRule type="cellIs" dxfId="0" priority="5" operator="greaterThan">
      <formula>18</formula>
    </cfRule>
  </conditionalFormatting>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2:E71"/>
  <sheetViews>
    <sheetView topLeftCell="A16" workbookViewId="0">
      <selection activeCell="B2" sqref="B2"/>
    </sheetView>
  </sheetViews>
  <sheetFormatPr defaultColWidth="8.72727272727273" defaultRowHeight="16.5" outlineLevelCol="4"/>
  <cols>
    <col min="1" max="1" width="8.72727272727273" style="3"/>
    <col min="2" max="2" width="18.1818181818182" style="3" customWidth="1"/>
    <col min="3" max="3" width="12.2727272727273" style="3" customWidth="1"/>
    <col min="4" max="4" width="8.72727272727273" style="3"/>
    <col min="5" max="5" width="50.0909090909091" style="3" customWidth="1"/>
    <col min="6" max="16384" width="8.72727272727273" style="3"/>
  </cols>
  <sheetData>
    <row r="2" s="2" customFormat="1" spans="1:2">
      <c r="A2" s="2" t="s">
        <v>263</v>
      </c>
      <c r="B2" s="2" t="s">
        <v>289</v>
      </c>
    </row>
    <row r="3" spans="2:2">
      <c r="B3" s="3" t="s">
        <v>290</v>
      </c>
    </row>
    <row r="4" spans="2:2">
      <c r="B4" s="3" t="s">
        <v>17</v>
      </c>
    </row>
    <row r="19" spans="2:5">
      <c r="B19" s="35" t="s">
        <v>291</v>
      </c>
      <c r="C19" s="35" t="s">
        <v>292</v>
      </c>
      <c r="D19" s="35" t="s">
        <v>260</v>
      </c>
      <c r="E19" s="35" t="s">
        <v>293</v>
      </c>
    </row>
    <row r="20" spans="2:5">
      <c r="B20" s="7" t="s">
        <v>294</v>
      </c>
      <c r="C20" s="7" t="s">
        <v>295</v>
      </c>
      <c r="D20" s="7" t="s">
        <v>296</v>
      </c>
      <c r="E20" s="7" t="s">
        <v>297</v>
      </c>
    </row>
    <row r="21" spans="2:5">
      <c r="B21" s="7"/>
      <c r="C21" s="7" t="s">
        <v>295</v>
      </c>
      <c r="D21" s="7" t="s">
        <v>298</v>
      </c>
      <c r="E21" s="8" t="s">
        <v>299</v>
      </c>
    </row>
    <row r="22" spans="2:5">
      <c r="B22" s="7"/>
      <c r="C22" s="7" t="s">
        <v>300</v>
      </c>
      <c r="D22" s="7" t="s">
        <v>296</v>
      </c>
      <c r="E22" s="7" t="s">
        <v>301</v>
      </c>
    </row>
    <row r="23" spans="2:5">
      <c r="B23" s="7"/>
      <c r="C23" s="7" t="s">
        <v>300</v>
      </c>
      <c r="D23" s="7" t="s">
        <v>298</v>
      </c>
      <c r="E23" s="7" t="s">
        <v>302</v>
      </c>
    </row>
    <row r="26" s="2" customFormat="1" spans="1:2">
      <c r="A26" s="2" t="s">
        <v>275</v>
      </c>
      <c r="B26" s="2" t="s">
        <v>20</v>
      </c>
    </row>
    <row r="47" s="2" customFormat="1" spans="1:2">
      <c r="A47" s="2" t="s">
        <v>284</v>
      </c>
      <c r="B47" s="2" t="s">
        <v>303</v>
      </c>
    </row>
    <row r="71" s="2" customFormat="1" spans="1:2">
      <c r="A71" s="2" t="s">
        <v>304</v>
      </c>
      <c r="B71" s="2" t="s">
        <v>305</v>
      </c>
    </row>
  </sheetData>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2:D29"/>
  <sheetViews>
    <sheetView workbookViewId="0">
      <selection activeCell="B2" sqref="B2"/>
    </sheetView>
  </sheetViews>
  <sheetFormatPr defaultColWidth="9" defaultRowHeight="16.5" outlineLevelCol="3"/>
  <cols>
    <col min="1" max="1" width="9" style="3"/>
    <col min="2" max="2" width="15.5454545454545" style="3" customWidth="1"/>
    <col min="3" max="3" width="15.8181818181818" style="3" customWidth="1"/>
    <col min="4" max="4" width="48.6363636363636" style="3" customWidth="1"/>
    <col min="5" max="16384" width="9" style="3"/>
  </cols>
  <sheetData>
    <row r="2" spans="1:2">
      <c r="A2" s="2" t="s">
        <v>263</v>
      </c>
      <c r="B2" s="2" t="s">
        <v>306</v>
      </c>
    </row>
    <row r="3" spans="2:4">
      <c r="B3" s="35" t="s">
        <v>307</v>
      </c>
      <c r="C3" s="35" t="s">
        <v>308</v>
      </c>
      <c r="D3" s="35" t="s">
        <v>293</v>
      </c>
    </row>
    <row r="4" spans="2:4">
      <c r="B4" s="36" t="s">
        <v>309</v>
      </c>
      <c r="C4" s="19" t="s">
        <v>310</v>
      </c>
      <c r="D4" s="19" t="s">
        <v>311</v>
      </c>
    </row>
    <row r="5" spans="2:4">
      <c r="B5" s="37"/>
      <c r="C5" s="19" t="s">
        <v>312</v>
      </c>
      <c r="D5" s="19" t="s">
        <v>313</v>
      </c>
    </row>
    <row r="6" ht="33" spans="2:4">
      <c r="B6" s="19" t="s">
        <v>314</v>
      </c>
      <c r="C6" s="19" t="s">
        <v>315</v>
      </c>
      <c r="D6" s="38" t="s">
        <v>316</v>
      </c>
    </row>
    <row r="9" hidden="1"/>
    <row r="10" hidden="1"/>
    <row r="11" hidden="1"/>
    <row r="12" hidden="1"/>
    <row r="13" hidden="1"/>
    <row r="14" hidden="1"/>
    <row r="15" hidden="1"/>
    <row r="16" hidden="1"/>
    <row r="17" hidden="1"/>
    <row r="18" hidden="1"/>
    <row r="19" hidden="1"/>
    <row r="20" hidden="1"/>
    <row r="25" spans="1:2">
      <c r="A25" s="2" t="s">
        <v>275</v>
      </c>
      <c r="B25" s="2" t="s">
        <v>317</v>
      </c>
    </row>
    <row r="26" spans="2:4">
      <c r="B26" s="35" t="s">
        <v>307</v>
      </c>
      <c r="C26" s="35" t="s">
        <v>308</v>
      </c>
      <c r="D26" s="35" t="s">
        <v>293</v>
      </c>
    </row>
    <row r="27" spans="2:4">
      <c r="B27" s="36" t="s">
        <v>309</v>
      </c>
      <c r="C27" s="19" t="s">
        <v>310</v>
      </c>
      <c r="D27" s="19" t="s">
        <v>318</v>
      </c>
    </row>
    <row r="28" spans="2:4">
      <c r="B28" s="37"/>
      <c r="C28" s="19" t="s">
        <v>312</v>
      </c>
      <c r="D28" s="19" t="s">
        <v>319</v>
      </c>
    </row>
    <row r="29" spans="2:4">
      <c r="B29" s="19" t="s">
        <v>314</v>
      </c>
      <c r="C29" s="19" t="s">
        <v>315</v>
      </c>
      <c r="D29" s="38" t="s">
        <v>319</v>
      </c>
    </row>
  </sheetData>
  <mergeCells count="2">
    <mergeCell ref="B4:B5"/>
    <mergeCell ref="B27:B28"/>
  </mergeCells>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B2:F22"/>
  <sheetViews>
    <sheetView workbookViewId="0">
      <selection activeCell="C11" sqref="C11:C14"/>
    </sheetView>
  </sheetViews>
  <sheetFormatPr defaultColWidth="8.72727272727273" defaultRowHeight="16.5" outlineLevelCol="5"/>
  <cols>
    <col min="1" max="3" width="8.72727272727273" style="3"/>
    <col min="4" max="4" width="12" style="3" customWidth="1"/>
    <col min="5" max="5" width="20.0909090909091" style="3" customWidth="1"/>
    <col min="6" max="6" width="68.4545454545455" style="3" customWidth="1"/>
    <col min="7" max="10" width="8.72727272727273" style="3"/>
    <col min="11" max="11" width="43" style="3" customWidth="1"/>
    <col min="12" max="16384" width="8.72727272727273" style="3"/>
  </cols>
  <sheetData>
    <row r="2" spans="2:2">
      <c r="B2" s="3" t="s">
        <v>320</v>
      </c>
    </row>
    <row r="3" spans="2:2">
      <c r="B3" s="3" t="s">
        <v>321</v>
      </c>
    </row>
    <row r="4" spans="2:2">
      <c r="B4" s="3" t="s">
        <v>322</v>
      </c>
    </row>
    <row r="5" spans="2:2">
      <c r="B5" s="3" t="s">
        <v>323</v>
      </c>
    </row>
    <row r="6" spans="2:6">
      <c r="B6" s="6" t="s">
        <v>324</v>
      </c>
      <c r="C6" s="6" t="s">
        <v>325</v>
      </c>
      <c r="D6" s="6" t="s">
        <v>326</v>
      </c>
      <c r="E6" s="6" t="s">
        <v>308</v>
      </c>
      <c r="F6" s="6" t="s">
        <v>293</v>
      </c>
    </row>
    <row r="7" spans="2:6">
      <c r="B7" s="19" t="s">
        <v>296</v>
      </c>
      <c r="C7" s="19" t="s">
        <v>296</v>
      </c>
      <c r="D7" s="19" t="s">
        <v>296</v>
      </c>
      <c r="E7" s="7" t="s">
        <v>310</v>
      </c>
      <c r="F7" s="7" t="s">
        <v>327</v>
      </c>
    </row>
    <row r="8" spans="2:6">
      <c r="B8" s="19"/>
      <c r="C8" s="19"/>
      <c r="D8" s="19"/>
      <c r="E8" s="7" t="s">
        <v>312</v>
      </c>
      <c r="F8" s="7" t="s">
        <v>328</v>
      </c>
    </row>
    <row r="9" spans="2:6">
      <c r="B9" s="19"/>
      <c r="C9" s="19"/>
      <c r="D9" s="19" t="s">
        <v>298</v>
      </c>
      <c r="E9" s="7" t="s">
        <v>310</v>
      </c>
      <c r="F9" s="7" t="s">
        <v>329</v>
      </c>
    </row>
    <row r="10" spans="2:6">
      <c r="B10" s="19"/>
      <c r="C10" s="19"/>
      <c r="D10" s="19"/>
      <c r="E10" s="7" t="s">
        <v>312</v>
      </c>
      <c r="F10" s="7" t="s">
        <v>330</v>
      </c>
    </row>
    <row r="11" spans="2:6">
      <c r="B11" s="19"/>
      <c r="C11" s="19" t="s">
        <v>298</v>
      </c>
      <c r="D11" s="19" t="s">
        <v>296</v>
      </c>
      <c r="E11" s="7" t="s">
        <v>310</v>
      </c>
      <c r="F11" s="7" t="s">
        <v>331</v>
      </c>
    </row>
    <row r="12" spans="2:6">
      <c r="B12" s="19"/>
      <c r="C12" s="19"/>
      <c r="D12" s="19"/>
      <c r="E12" s="7" t="s">
        <v>312</v>
      </c>
      <c r="F12" s="7" t="s">
        <v>332</v>
      </c>
    </row>
    <row r="13" spans="2:6">
      <c r="B13" s="19"/>
      <c r="C13" s="19"/>
      <c r="D13" s="19" t="s">
        <v>298</v>
      </c>
      <c r="E13" s="7" t="s">
        <v>310</v>
      </c>
      <c r="F13" s="7" t="s">
        <v>333</v>
      </c>
    </row>
    <row r="14" spans="2:6">
      <c r="B14" s="19"/>
      <c r="C14" s="19"/>
      <c r="D14" s="19"/>
      <c r="E14" s="7" t="s">
        <v>312</v>
      </c>
      <c r="F14" s="7" t="s">
        <v>334</v>
      </c>
    </row>
    <row r="15" spans="2:6">
      <c r="B15" s="19" t="s">
        <v>298</v>
      </c>
      <c r="C15" s="19" t="s">
        <v>296</v>
      </c>
      <c r="D15" s="19" t="s">
        <v>296</v>
      </c>
      <c r="E15" s="7" t="s">
        <v>310</v>
      </c>
      <c r="F15" s="7" t="s">
        <v>335</v>
      </c>
    </row>
    <row r="16" spans="2:6">
      <c r="B16" s="19"/>
      <c r="C16" s="19"/>
      <c r="D16" s="19"/>
      <c r="E16" s="7" t="s">
        <v>312</v>
      </c>
      <c r="F16" s="7" t="s">
        <v>328</v>
      </c>
    </row>
    <row r="17" spans="2:6">
      <c r="B17" s="19"/>
      <c r="C17" s="19"/>
      <c r="D17" s="19" t="s">
        <v>298</v>
      </c>
      <c r="E17" s="7" t="s">
        <v>310</v>
      </c>
      <c r="F17" s="7" t="s">
        <v>329</v>
      </c>
    </row>
    <row r="18" spans="2:6">
      <c r="B18" s="19"/>
      <c r="C18" s="19"/>
      <c r="D18" s="19"/>
      <c r="E18" s="7" t="s">
        <v>312</v>
      </c>
      <c r="F18" s="7" t="s">
        <v>336</v>
      </c>
    </row>
    <row r="19" spans="2:6">
      <c r="B19" s="19"/>
      <c r="C19" s="19" t="s">
        <v>298</v>
      </c>
      <c r="D19" s="19" t="s">
        <v>296</v>
      </c>
      <c r="E19" s="7" t="s">
        <v>310</v>
      </c>
      <c r="F19" s="7" t="s">
        <v>337</v>
      </c>
    </row>
    <row r="20" spans="2:6">
      <c r="B20" s="19"/>
      <c r="C20" s="19"/>
      <c r="D20" s="19"/>
      <c r="E20" s="7" t="s">
        <v>312</v>
      </c>
      <c r="F20" s="7" t="s">
        <v>332</v>
      </c>
    </row>
    <row r="21" spans="2:6">
      <c r="B21" s="19"/>
      <c r="C21" s="19"/>
      <c r="D21" s="19" t="s">
        <v>298</v>
      </c>
      <c r="E21" s="7" t="s">
        <v>310</v>
      </c>
      <c r="F21" s="7" t="s">
        <v>329</v>
      </c>
    </row>
    <row r="22" spans="2:6">
      <c r="B22" s="19"/>
      <c r="C22" s="19"/>
      <c r="D22" s="19"/>
      <c r="E22" s="7" t="s">
        <v>312</v>
      </c>
      <c r="F22" s="7" t="s">
        <v>338</v>
      </c>
    </row>
  </sheetData>
  <mergeCells count="14">
    <mergeCell ref="B7:B14"/>
    <mergeCell ref="B15:B22"/>
    <mergeCell ref="C7:C10"/>
    <mergeCell ref="C11:C14"/>
    <mergeCell ref="C15:C18"/>
    <mergeCell ref="C19:C22"/>
    <mergeCell ref="D7:D8"/>
    <mergeCell ref="D9:D10"/>
    <mergeCell ref="D11:D12"/>
    <mergeCell ref="D13:D14"/>
    <mergeCell ref="D15:D16"/>
    <mergeCell ref="D17:D18"/>
    <mergeCell ref="D19:D20"/>
    <mergeCell ref="D21:D22"/>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B3:E14"/>
  <sheetViews>
    <sheetView workbookViewId="0">
      <selection activeCell="C12" sqref="C12"/>
    </sheetView>
  </sheetViews>
  <sheetFormatPr defaultColWidth="8.72727272727273" defaultRowHeight="14" outlineLevelCol="4"/>
  <cols>
    <col min="4" max="4" width="12.2727272727273" customWidth="1"/>
    <col min="5" max="5" width="38.3636363636364" customWidth="1"/>
  </cols>
  <sheetData>
    <row r="3" ht="16.5" spans="2:5">
      <c r="B3" s="33" t="s">
        <v>324</v>
      </c>
      <c r="C3" s="33" t="s">
        <v>325</v>
      </c>
      <c r="D3" s="33" t="s">
        <v>326</v>
      </c>
      <c r="E3" s="33" t="s">
        <v>293</v>
      </c>
    </row>
    <row r="4" spans="2:5">
      <c r="B4" s="34" t="s">
        <v>295</v>
      </c>
      <c r="C4" s="34" t="s">
        <v>300</v>
      </c>
      <c r="D4" s="34" t="s">
        <v>315</v>
      </c>
      <c r="E4" s="34" t="s">
        <v>339</v>
      </c>
    </row>
    <row r="5" spans="2:5">
      <c r="B5" s="34" t="s">
        <v>295</v>
      </c>
      <c r="C5" s="34" t="s">
        <v>295</v>
      </c>
      <c r="D5" s="34" t="s">
        <v>296</v>
      </c>
      <c r="E5" s="34" t="s">
        <v>340</v>
      </c>
    </row>
    <row r="6" spans="2:5">
      <c r="B6" s="34" t="s">
        <v>295</v>
      </c>
      <c r="C6" s="34" t="s">
        <v>295</v>
      </c>
      <c r="D6" s="34" t="s">
        <v>298</v>
      </c>
      <c r="E6" s="34" t="s">
        <v>341</v>
      </c>
    </row>
    <row r="7" spans="2:5">
      <c r="B7" s="34" t="s">
        <v>300</v>
      </c>
      <c r="C7" s="34" t="s">
        <v>295</v>
      </c>
      <c r="D7" s="34" t="s">
        <v>296</v>
      </c>
      <c r="E7" s="34" t="s">
        <v>342</v>
      </c>
    </row>
    <row r="8" spans="2:5">
      <c r="B8" s="34" t="s">
        <v>300</v>
      </c>
      <c r="C8" s="34" t="s">
        <v>295</v>
      </c>
      <c r="D8" s="34" t="s">
        <v>298</v>
      </c>
      <c r="E8" s="34" t="s">
        <v>343</v>
      </c>
    </row>
    <row r="9" spans="2:5">
      <c r="B9" s="34" t="s">
        <v>300</v>
      </c>
      <c r="C9" s="34" t="s">
        <v>300</v>
      </c>
      <c r="D9" s="34" t="s">
        <v>315</v>
      </c>
      <c r="E9" s="34" t="s">
        <v>339</v>
      </c>
    </row>
    <row r="14" spans="2:2">
      <c r="B14" t="s">
        <v>344</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P41"/>
  <sheetViews>
    <sheetView workbookViewId="0">
      <selection activeCell="A1" sqref="$A1:$XFD1"/>
    </sheetView>
  </sheetViews>
  <sheetFormatPr defaultColWidth="9" defaultRowHeight="16.5"/>
  <cols>
    <col min="1" max="1" width="16.3636363636364" style="3" customWidth="1"/>
    <col min="2" max="2" width="13.6363636363636" style="3" customWidth="1"/>
    <col min="3" max="3" width="15.1818181818182" style="3" customWidth="1"/>
    <col min="4" max="4" width="14.4545454545455" style="3" customWidth="1"/>
    <col min="5" max="5" width="70.3636363636364" style="3" customWidth="1"/>
    <col min="6" max="6" width="18" style="3" customWidth="1"/>
    <col min="7" max="7" width="16.4545454545455" style="3" customWidth="1"/>
    <col min="8" max="9" width="9" style="3"/>
    <col min="10" max="10" width="19" style="3" customWidth="1"/>
    <col min="11" max="11" width="9" style="3"/>
    <col min="12" max="12" width="24.7272727272727" style="3" customWidth="1"/>
    <col min="13" max="13" width="17.1818181818182" style="3" customWidth="1"/>
    <col min="14" max="15" width="11.5454545454545" style="3" customWidth="1"/>
    <col min="16" max="16384" width="9" style="3"/>
  </cols>
  <sheetData>
    <row r="1" s="1" customFormat="1" ht="25" spans="1:1">
      <c r="A1" s="1" t="s">
        <v>345</v>
      </c>
    </row>
    <row r="2" spans="1:5">
      <c r="A2" s="13" t="s">
        <v>346</v>
      </c>
      <c r="B2" s="14"/>
      <c r="C2" s="14"/>
      <c r="D2" s="14"/>
      <c r="E2" s="14"/>
    </row>
    <row r="3" spans="1:1">
      <c r="A3" s="15" t="s">
        <v>347</v>
      </c>
    </row>
    <row r="4" spans="1:1">
      <c r="A4" s="15" t="s">
        <v>348</v>
      </c>
    </row>
    <row r="6" spans="1:11">
      <c r="A6" s="16" t="s">
        <v>349</v>
      </c>
      <c r="J6" s="16" t="s">
        <v>350</v>
      </c>
      <c r="K6" s="3" t="s">
        <v>351</v>
      </c>
    </row>
    <row r="7" ht="22.5" spans="1:5">
      <c r="A7" s="17" t="s">
        <v>352</v>
      </c>
      <c r="B7" s="17"/>
      <c r="C7" s="17"/>
      <c r="D7" s="17"/>
      <c r="E7" s="17"/>
    </row>
    <row r="8" spans="1:16">
      <c r="A8" s="18" t="s">
        <v>307</v>
      </c>
      <c r="B8" s="18" t="s">
        <v>353</v>
      </c>
      <c r="C8" s="18" t="s">
        <v>354</v>
      </c>
      <c r="D8" s="18" t="s">
        <v>326</v>
      </c>
      <c r="E8" s="18" t="s">
        <v>293</v>
      </c>
      <c r="J8" s="23" t="s">
        <v>355</v>
      </c>
      <c r="K8" s="24"/>
      <c r="L8" s="24"/>
      <c r="M8" s="24"/>
      <c r="N8" s="24"/>
      <c r="O8" s="24"/>
      <c r="P8" s="25"/>
    </row>
    <row r="9" spans="1:16">
      <c r="A9" s="19" t="s">
        <v>309</v>
      </c>
      <c r="B9" s="7" t="s">
        <v>296</v>
      </c>
      <c r="C9" s="7" t="s">
        <v>296</v>
      </c>
      <c r="D9" s="7" t="s">
        <v>296</v>
      </c>
      <c r="E9" s="7" t="s">
        <v>356</v>
      </c>
      <c r="J9" s="26" t="s">
        <v>357</v>
      </c>
      <c r="K9" s="27"/>
      <c r="L9" s="27"/>
      <c r="M9" s="28"/>
      <c r="N9" s="28"/>
      <c r="O9" s="28"/>
      <c r="P9" s="29"/>
    </row>
    <row r="10" spans="1:16">
      <c r="A10" s="19"/>
      <c r="B10" s="7" t="s">
        <v>296</v>
      </c>
      <c r="C10" s="7" t="s">
        <v>296</v>
      </c>
      <c r="D10" s="7" t="s">
        <v>298</v>
      </c>
      <c r="E10" s="7" t="s">
        <v>358</v>
      </c>
      <c r="J10" s="30"/>
      <c r="K10" s="28"/>
      <c r="L10" s="28"/>
      <c r="M10" s="28"/>
      <c r="N10" s="28"/>
      <c r="O10" s="28"/>
      <c r="P10" s="29"/>
    </row>
    <row r="11" spans="1:16">
      <c r="A11" s="19"/>
      <c r="B11" s="7" t="s">
        <v>359</v>
      </c>
      <c r="C11" s="7" t="s">
        <v>296</v>
      </c>
      <c r="D11" s="7" t="s">
        <v>296</v>
      </c>
      <c r="E11" s="7" t="s">
        <v>356</v>
      </c>
      <c r="J11" s="31" t="s">
        <v>360</v>
      </c>
      <c r="K11" s="32"/>
      <c r="L11" s="32"/>
      <c r="M11" s="32"/>
      <c r="N11" s="32"/>
      <c r="O11" s="28"/>
      <c r="P11" s="29"/>
    </row>
    <row r="12" spans="1:16">
      <c r="A12" s="19"/>
      <c r="B12" s="7" t="s">
        <v>359</v>
      </c>
      <c r="C12" s="7" t="s">
        <v>296</v>
      </c>
      <c r="D12" s="7" t="s">
        <v>298</v>
      </c>
      <c r="E12" s="7" t="s">
        <v>358</v>
      </c>
      <c r="J12" s="30" t="s">
        <v>361</v>
      </c>
      <c r="K12" s="28"/>
      <c r="L12" s="28"/>
      <c r="M12" s="28"/>
      <c r="N12" s="28"/>
      <c r="O12" s="28"/>
      <c r="P12" s="29"/>
    </row>
    <row r="13" ht="33" spans="1:16">
      <c r="A13" s="19"/>
      <c r="B13" s="7" t="s">
        <v>298</v>
      </c>
      <c r="C13" s="7" t="s">
        <v>296</v>
      </c>
      <c r="D13" s="7" t="s">
        <v>296</v>
      </c>
      <c r="E13" s="12" t="s">
        <v>362</v>
      </c>
      <c r="J13" s="30"/>
      <c r="K13" s="28"/>
      <c r="L13" s="28"/>
      <c r="M13" s="28"/>
      <c r="N13" s="28"/>
      <c r="O13" s="28"/>
      <c r="P13" s="29"/>
    </row>
    <row r="14" spans="1:16">
      <c r="A14" s="19"/>
      <c r="B14" s="7" t="s">
        <v>298</v>
      </c>
      <c r="C14" s="7" t="s">
        <v>296</v>
      </c>
      <c r="D14" s="7" t="s">
        <v>298</v>
      </c>
      <c r="E14" s="7" t="s">
        <v>336</v>
      </c>
      <c r="J14" s="30"/>
      <c r="K14" s="28"/>
      <c r="L14" s="28"/>
      <c r="M14" s="28"/>
      <c r="N14" s="28"/>
      <c r="O14" s="28"/>
      <c r="P14" s="29"/>
    </row>
    <row r="15" spans="1:16">
      <c r="A15" s="19" t="s">
        <v>314</v>
      </c>
      <c r="B15" s="7" t="s">
        <v>296</v>
      </c>
      <c r="C15" s="7" t="s">
        <v>296</v>
      </c>
      <c r="D15" s="20" t="s">
        <v>296</v>
      </c>
      <c r="E15" s="7" t="s">
        <v>363</v>
      </c>
      <c r="J15" s="30"/>
      <c r="K15" s="28"/>
      <c r="L15" s="28"/>
      <c r="M15" s="28"/>
      <c r="N15" s="28"/>
      <c r="O15" s="28"/>
      <c r="P15" s="29"/>
    </row>
    <row r="16" ht="33" spans="1:16">
      <c r="A16" s="19"/>
      <c r="B16" s="7" t="s">
        <v>296</v>
      </c>
      <c r="C16" s="7" t="s">
        <v>296</v>
      </c>
      <c r="D16" s="21" t="s">
        <v>298</v>
      </c>
      <c r="E16" s="12" t="s">
        <v>364</v>
      </c>
      <c r="J16" s="30" t="s">
        <v>365</v>
      </c>
      <c r="K16" s="28"/>
      <c r="L16" s="28"/>
      <c r="M16" s="28"/>
      <c r="N16" s="28"/>
      <c r="O16" s="28"/>
      <c r="P16" s="29"/>
    </row>
    <row r="17" spans="1:16">
      <c r="A17" s="19"/>
      <c r="B17" s="7" t="s">
        <v>359</v>
      </c>
      <c r="C17" s="7" t="s">
        <v>296</v>
      </c>
      <c r="D17" s="20" t="s">
        <v>296</v>
      </c>
      <c r="E17" s="7" t="s">
        <v>363</v>
      </c>
      <c r="J17" s="28"/>
      <c r="K17" s="28"/>
      <c r="L17" s="28"/>
      <c r="M17" s="28"/>
      <c r="N17" s="28"/>
      <c r="O17" s="28"/>
      <c r="P17" s="29"/>
    </row>
    <row r="18" spans="1:16">
      <c r="A18" s="19"/>
      <c r="B18" s="7" t="s">
        <v>359</v>
      </c>
      <c r="C18" s="7" t="s">
        <v>296</v>
      </c>
      <c r="D18" s="21" t="s">
        <v>298</v>
      </c>
      <c r="E18" s="7" t="s">
        <v>336</v>
      </c>
      <c r="J18" s="28"/>
      <c r="K18" s="28"/>
      <c r="L18" s="28"/>
      <c r="M18" s="28"/>
      <c r="N18" s="28"/>
      <c r="O18" s="28"/>
      <c r="P18" s="29"/>
    </row>
    <row r="19" spans="1:16">
      <c r="A19" s="19"/>
      <c r="B19" s="7" t="s">
        <v>298</v>
      </c>
      <c r="C19" s="7" t="s">
        <v>296</v>
      </c>
      <c r="D19" s="20" t="s">
        <v>296</v>
      </c>
      <c r="E19" s="7" t="s">
        <v>363</v>
      </c>
      <c r="J19" s="30" t="s">
        <v>366</v>
      </c>
      <c r="K19" s="28"/>
      <c r="L19" s="28"/>
      <c r="M19" s="28"/>
      <c r="N19" s="28"/>
      <c r="O19" s="28"/>
      <c r="P19" s="29"/>
    </row>
    <row r="20" spans="1:16">
      <c r="A20" s="19"/>
      <c r="B20" s="7" t="s">
        <v>298</v>
      </c>
      <c r="C20" s="7" t="s">
        <v>296</v>
      </c>
      <c r="D20" s="7" t="s">
        <v>298</v>
      </c>
      <c r="E20" s="7" t="s">
        <v>336</v>
      </c>
      <c r="J20" s="29"/>
      <c r="K20" s="29"/>
      <c r="L20" s="29"/>
      <c r="M20" s="29"/>
      <c r="N20" s="29"/>
      <c r="O20" s="29"/>
      <c r="P20" s="29"/>
    </row>
    <row r="21" spans="10:16">
      <c r="J21" s="29"/>
      <c r="K21" s="29"/>
      <c r="L21" s="29"/>
      <c r="M21" s="29"/>
      <c r="N21" s="29"/>
      <c r="O21" s="29"/>
      <c r="P21" s="29"/>
    </row>
    <row r="22" spans="10:16">
      <c r="J22" s="29"/>
      <c r="K22" s="29"/>
      <c r="L22" s="29"/>
      <c r="M22" s="29"/>
      <c r="N22" s="29"/>
      <c r="O22" s="29"/>
      <c r="P22" s="29"/>
    </row>
    <row r="23" ht="22.5" spans="1:16">
      <c r="A23" s="17" t="s">
        <v>367</v>
      </c>
      <c r="B23" s="17"/>
      <c r="C23" s="17"/>
      <c r="D23" s="17"/>
      <c r="E23" s="17"/>
      <c r="J23" s="29"/>
      <c r="K23" s="29"/>
      <c r="L23" s="29"/>
      <c r="M23" s="29"/>
      <c r="N23" s="29"/>
      <c r="O23" s="29"/>
      <c r="P23" s="29"/>
    </row>
    <row r="24" spans="1:16">
      <c r="A24" s="18" t="s">
        <v>307</v>
      </c>
      <c r="B24" s="18" t="s">
        <v>353</v>
      </c>
      <c r="C24" s="18" t="s">
        <v>354</v>
      </c>
      <c r="D24" s="18" t="s">
        <v>326</v>
      </c>
      <c r="E24" s="18" t="s">
        <v>293</v>
      </c>
      <c r="J24" s="29"/>
      <c r="K24" s="29"/>
      <c r="L24" s="29"/>
      <c r="M24" s="29"/>
      <c r="N24" s="29"/>
      <c r="O24" s="29"/>
      <c r="P24" s="29"/>
    </row>
    <row r="25" ht="33" spans="1:16">
      <c r="A25" s="19" t="s">
        <v>309</v>
      </c>
      <c r="B25" s="7" t="s">
        <v>296</v>
      </c>
      <c r="C25" s="7" t="s">
        <v>298</v>
      </c>
      <c r="D25" s="7" t="s">
        <v>296</v>
      </c>
      <c r="E25" s="12" t="s">
        <v>368</v>
      </c>
      <c r="J25" s="29"/>
      <c r="K25" s="29"/>
      <c r="L25" s="29"/>
      <c r="M25" s="29"/>
      <c r="N25" s="29"/>
      <c r="O25" s="29"/>
      <c r="P25" s="29"/>
    </row>
    <row r="26" spans="1:16">
      <c r="A26" s="19"/>
      <c r="B26" s="7" t="s">
        <v>296</v>
      </c>
      <c r="C26" s="7" t="s">
        <v>298</v>
      </c>
      <c r="D26" s="7" t="s">
        <v>298</v>
      </c>
      <c r="E26" s="7" t="s">
        <v>369</v>
      </c>
      <c r="J26" s="29"/>
      <c r="K26" s="29"/>
      <c r="L26" s="29"/>
      <c r="M26" s="29"/>
      <c r="N26" s="29"/>
      <c r="O26" s="29"/>
      <c r="P26" s="29"/>
    </row>
    <row r="27" spans="1:16">
      <c r="A27" s="19"/>
      <c r="B27" s="7" t="s">
        <v>370</v>
      </c>
      <c r="C27" s="7" t="s">
        <v>298</v>
      </c>
      <c r="D27" s="7" t="s">
        <v>296</v>
      </c>
      <c r="E27" s="7" t="s">
        <v>371</v>
      </c>
      <c r="J27" s="29"/>
      <c r="K27" s="29"/>
      <c r="L27" s="29"/>
      <c r="M27" s="29"/>
      <c r="N27" s="29"/>
      <c r="O27" s="29"/>
      <c r="P27" s="29"/>
    </row>
    <row r="28" spans="1:16">
      <c r="A28" s="19"/>
      <c r="B28" s="7" t="s">
        <v>370</v>
      </c>
      <c r="C28" s="7" t="s">
        <v>298</v>
      </c>
      <c r="D28" s="7" t="s">
        <v>298</v>
      </c>
      <c r="E28" s="7" t="s">
        <v>371</v>
      </c>
      <c r="J28" s="29"/>
      <c r="K28" s="29"/>
      <c r="L28" s="29"/>
      <c r="M28" s="29"/>
      <c r="N28" s="29"/>
      <c r="O28" s="29"/>
      <c r="P28" s="29"/>
    </row>
    <row r="29" spans="1:5">
      <c r="A29" s="19" t="s">
        <v>314</v>
      </c>
      <c r="B29" s="7" t="s">
        <v>315</v>
      </c>
      <c r="C29" s="7" t="s">
        <v>298</v>
      </c>
      <c r="D29" s="7" t="s">
        <v>296</v>
      </c>
      <c r="E29" s="7" t="s">
        <v>372</v>
      </c>
    </row>
    <row r="30" spans="1:5">
      <c r="A30" s="19"/>
      <c r="B30" s="7" t="s">
        <v>315</v>
      </c>
      <c r="C30" s="7" t="s">
        <v>298</v>
      </c>
      <c r="D30" s="7" t="s">
        <v>298</v>
      </c>
      <c r="E30" s="7" t="s">
        <v>373</v>
      </c>
    </row>
    <row r="41" spans="2:10">
      <c r="B41" s="22"/>
      <c r="C41" s="22"/>
      <c r="D41" s="22"/>
      <c r="E41" s="22"/>
      <c r="F41" s="22"/>
      <c r="G41" s="22"/>
      <c r="H41" s="22"/>
      <c r="I41" s="22"/>
      <c r="J41" s="22"/>
    </row>
  </sheetData>
  <mergeCells count="8">
    <mergeCell ref="A2:E2"/>
    <mergeCell ref="A7:E7"/>
    <mergeCell ref="J9:L9"/>
    <mergeCell ref="A23:E23"/>
    <mergeCell ref="A9:A14"/>
    <mergeCell ref="A15:A20"/>
    <mergeCell ref="A25:A28"/>
    <mergeCell ref="A29:A30"/>
  </mergeCells>
  <pageMargins left="0.7" right="0.7" top="0.75" bottom="0.75" header="0.3" footer="0.3"/>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D50"/>
  <sheetViews>
    <sheetView workbookViewId="0">
      <selection activeCell="A1" sqref="A1"/>
    </sheetView>
  </sheetViews>
  <sheetFormatPr defaultColWidth="8.72727272727273" defaultRowHeight="16.5" outlineLevelCol="3"/>
  <cols>
    <col min="1" max="1" width="8.72727272727273" style="3"/>
    <col min="2" max="2" width="30.5454545454545" style="3" customWidth="1"/>
    <col min="3" max="3" width="29.2727272727273" style="3" customWidth="1"/>
    <col min="4" max="4" width="65" style="3" customWidth="1"/>
    <col min="5" max="5" width="8.72727272727273" style="3"/>
    <col min="6" max="6" width="14.7272727272727" style="3" customWidth="1"/>
    <col min="7" max="16384" width="8.72727272727273" style="3"/>
  </cols>
  <sheetData>
    <row r="1" s="1" customFormat="1" ht="25" spans="2:2">
      <c r="B1" s="1" t="s">
        <v>374</v>
      </c>
    </row>
    <row r="3" s="2" customFormat="1" spans="1:2">
      <c r="A3" s="2" t="s">
        <v>263</v>
      </c>
      <c r="B3" s="2" t="s">
        <v>375</v>
      </c>
    </row>
    <row r="5" spans="2:4">
      <c r="B5" s="4" t="s">
        <v>376</v>
      </c>
      <c r="C5" s="5" t="s">
        <v>377</v>
      </c>
      <c r="D5" s="5"/>
    </row>
    <row r="6" spans="2:4">
      <c r="B6" s="6" t="s">
        <v>378</v>
      </c>
      <c r="C6" s="6" t="s">
        <v>260</v>
      </c>
      <c r="D6" s="6" t="s">
        <v>293</v>
      </c>
    </row>
    <row r="7" spans="2:4">
      <c r="B7" s="7" t="s">
        <v>379</v>
      </c>
      <c r="C7" s="7" t="s">
        <v>296</v>
      </c>
      <c r="D7" s="7" t="s">
        <v>380</v>
      </c>
    </row>
    <row r="8" spans="2:4">
      <c r="B8" s="7" t="s">
        <v>379</v>
      </c>
      <c r="C8" s="7" t="s">
        <v>298</v>
      </c>
      <c r="D8" s="7" t="s">
        <v>381</v>
      </c>
    </row>
    <row r="9" spans="2:4">
      <c r="B9" s="8" t="s">
        <v>382</v>
      </c>
      <c r="C9" s="8" t="s">
        <v>296</v>
      </c>
      <c r="D9" s="8" t="s">
        <v>383</v>
      </c>
    </row>
    <row r="10" spans="2:4">
      <c r="B10" s="7" t="s">
        <v>382</v>
      </c>
      <c r="C10" s="7" t="s">
        <v>298</v>
      </c>
      <c r="D10" s="7" t="s">
        <v>384</v>
      </c>
    </row>
    <row r="12" spans="2:2">
      <c r="B12" s="3" t="s">
        <v>385</v>
      </c>
    </row>
    <row r="14" spans="2:2">
      <c r="B14" s="9" t="s">
        <v>386</v>
      </c>
    </row>
    <row r="15" spans="2:3">
      <c r="B15" s="6" t="s">
        <v>387</v>
      </c>
      <c r="C15" s="6" t="s">
        <v>293</v>
      </c>
    </row>
    <row r="16" spans="2:3">
      <c r="B16" s="7" t="s">
        <v>300</v>
      </c>
      <c r="C16" s="7" t="s">
        <v>388</v>
      </c>
    </row>
    <row r="17" spans="2:3">
      <c r="B17" s="7" t="s">
        <v>295</v>
      </c>
      <c r="C17" s="7" t="s">
        <v>389</v>
      </c>
    </row>
    <row r="25" s="2" customFormat="1" spans="1:2">
      <c r="A25" s="2" t="s">
        <v>275</v>
      </c>
      <c r="B25" s="2" t="s">
        <v>390</v>
      </c>
    </row>
    <row r="26" spans="2:4">
      <c r="B26" s="10" t="s">
        <v>376</v>
      </c>
      <c r="C26" s="11" t="s">
        <v>391</v>
      </c>
      <c r="D26" s="11"/>
    </row>
    <row r="27" spans="2:4">
      <c r="B27" s="6" t="s">
        <v>261</v>
      </c>
      <c r="C27" s="6" t="s">
        <v>392</v>
      </c>
      <c r="D27" s="6" t="s">
        <v>293</v>
      </c>
    </row>
    <row r="28" spans="2:4">
      <c r="B28" s="7" t="s">
        <v>296</v>
      </c>
      <c r="C28" s="7" t="s">
        <v>296</v>
      </c>
      <c r="D28" s="7" t="s">
        <v>393</v>
      </c>
    </row>
    <row r="29" spans="2:4">
      <c r="B29" s="7" t="s">
        <v>296</v>
      </c>
      <c r="C29" s="7" t="s">
        <v>298</v>
      </c>
      <c r="D29" s="7" t="s">
        <v>394</v>
      </c>
    </row>
    <row r="30" ht="33" spans="2:4">
      <c r="B30" s="7" t="s">
        <v>298</v>
      </c>
      <c r="C30" s="7" t="s">
        <v>296</v>
      </c>
      <c r="D30" s="12" t="s">
        <v>395</v>
      </c>
    </row>
    <row r="31" spans="2:4">
      <c r="B31" s="7" t="s">
        <v>298</v>
      </c>
      <c r="C31" s="7" t="s">
        <v>298</v>
      </c>
      <c r="D31" s="7" t="s">
        <v>396</v>
      </c>
    </row>
    <row r="36" s="2" customFormat="1" spans="1:2">
      <c r="A36" s="2" t="s">
        <v>284</v>
      </c>
      <c r="B36" s="2" t="s">
        <v>397</v>
      </c>
    </row>
    <row r="37" spans="2:3">
      <c r="B37" s="11" t="s">
        <v>376</v>
      </c>
      <c r="C37" s="11" t="s">
        <v>398</v>
      </c>
    </row>
    <row r="38" spans="2:3">
      <c r="B38" s="6" t="s">
        <v>260</v>
      </c>
      <c r="C38" s="6" t="s">
        <v>293</v>
      </c>
    </row>
    <row r="39" spans="2:3">
      <c r="B39" s="7" t="s">
        <v>296</v>
      </c>
      <c r="C39" s="7" t="s">
        <v>399</v>
      </c>
    </row>
    <row r="40" spans="2:3">
      <c r="B40" s="7" t="s">
        <v>298</v>
      </c>
      <c r="C40" s="7" t="s">
        <v>394</v>
      </c>
    </row>
    <row r="42" spans="2:2">
      <c r="B42" s="3" t="s">
        <v>400</v>
      </c>
    </row>
    <row r="45" s="2" customFormat="1" spans="1:2">
      <c r="A45" s="2" t="s">
        <v>304</v>
      </c>
      <c r="B45" s="2" t="s">
        <v>401</v>
      </c>
    </row>
    <row r="46" spans="2:4">
      <c r="B46" s="6" t="s">
        <v>260</v>
      </c>
      <c r="C46" s="6" t="s">
        <v>261</v>
      </c>
      <c r="D46" s="6" t="s">
        <v>293</v>
      </c>
    </row>
    <row r="47" spans="2:4">
      <c r="B47" s="7" t="s">
        <v>296</v>
      </c>
      <c r="C47" s="7" t="s">
        <v>296</v>
      </c>
      <c r="D47" s="7" t="s">
        <v>402</v>
      </c>
    </row>
    <row r="48" ht="33" spans="2:4">
      <c r="B48" s="7" t="s">
        <v>296</v>
      </c>
      <c r="C48" s="7" t="s">
        <v>298</v>
      </c>
      <c r="D48" s="12" t="s">
        <v>403</v>
      </c>
    </row>
    <row r="49" spans="2:4">
      <c r="B49" s="7" t="s">
        <v>298</v>
      </c>
      <c r="C49" s="7" t="s">
        <v>296</v>
      </c>
      <c r="D49" s="7" t="s">
        <v>404</v>
      </c>
    </row>
    <row r="50" spans="2:4">
      <c r="B50" s="7" t="s">
        <v>298</v>
      </c>
      <c r="C50" s="7" t="s">
        <v>298</v>
      </c>
      <c r="D50" s="7" t="s">
        <v>405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10</vt:i4>
      </vt:variant>
    </vt:vector>
  </HeadingPairs>
  <TitlesOfParts>
    <vt:vector size="10" baseType="lpstr">
      <vt:lpstr>广告优化树状图</vt:lpstr>
      <vt:lpstr>索引目录</vt:lpstr>
      <vt:lpstr>词根分析</vt:lpstr>
      <vt:lpstr>自动广告-关键词</vt:lpstr>
      <vt:lpstr>自动广告-后台优化思路</vt:lpstr>
      <vt:lpstr>自动广告-ASIN</vt:lpstr>
      <vt:lpstr>商品投放-PT-类目</vt:lpstr>
      <vt:lpstr>商品投放-PT-AISN</vt:lpstr>
      <vt:lpstr>手动广泛&amp;词组</vt:lpstr>
      <vt:lpstr>手动精准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X1 Carbon 2018</dc:creator>
  <cp:lastModifiedBy>George</cp:lastModifiedBy>
  <dcterms:created xsi:type="dcterms:W3CDTF">2023-05-12T11:15:00Z</dcterms:created>
  <dcterms:modified xsi:type="dcterms:W3CDTF">2024-04-23T01:18:33Z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0C99C685C78C4CA794F20D2B3FB97A45_12</vt:lpwstr>
  </property>
  <property fmtid="{D5CDD505-2E9C-101B-9397-08002B2CF9AE}" pid="3" name="KSOProductBuildVer">
    <vt:lpwstr>2052-12.1.0.16729</vt:lpwstr>
  </property>
</Properties>
</file>