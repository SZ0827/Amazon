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3348C6880FF48C2B9606A780B8E4DE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84700" y="177800"/>
          <a:ext cx="11207750" cy="3359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9157A13955074F20B6F89FA2CC8820B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84700" y="537210"/>
          <a:ext cx="7588250" cy="299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ACCDC98D8E6B41E0A43ACB79545D81E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54550" y="1068705"/>
          <a:ext cx="5029200" cy="2349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1AA576BE44534C3A926CD6AD45190FF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584700" y="1732915"/>
          <a:ext cx="5924550" cy="2647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8D41173E84C42A5A5834D5D28824A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584700" y="2259965"/>
          <a:ext cx="6400800" cy="3124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D90B97D18FCD436D8F790552D830E4BB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584700" y="1555115"/>
          <a:ext cx="11982450" cy="46926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<sst xmlns="http://schemas.openxmlformats.org/spreadsheetml/2006/main" count="26" uniqueCount="18">
  <si>
    <t>所有报告均是后台英文状态下载；统计时间一致（剔除最近两天的30天数据，eg:10.20-11.19）</t>
  </si>
  <si>
    <t>序号</t>
  </si>
  <si>
    <t>报告名称</t>
  </si>
  <si>
    <t>时间维度</t>
  </si>
  <si>
    <t>汇总形式</t>
  </si>
  <si>
    <t>报告来源</t>
  </si>
  <si>
    <t>备注</t>
  </si>
  <si>
    <t>campaign 报告</t>
  </si>
  <si>
    <t>最近30天</t>
  </si>
  <si>
    <t>/</t>
  </si>
  <si>
    <t>搜索词报告</t>
  </si>
  <si>
    <t>daily 按日汇总</t>
  </si>
  <si>
    <t>建议剔除最近两天的数据</t>
  </si>
  <si>
    <t>广告位置报告</t>
  </si>
  <si>
    <t>summary  按汇总形式</t>
  </si>
  <si>
    <t>广告SKU报告</t>
  </si>
  <si>
    <t>广告购买报告</t>
  </si>
  <si>
    <t>业务报告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</si>
</sst>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B3" sqref="B3"/>
    </sheetView>
  </sheetViews>
  <sheetFormatPr defaultColWidth="9" defaultRowHeight="16.5" outlineLevelRow="7" outlineLevelCol="5"/>
  <cols>
    <col min="1" max="1" width="9" style="1"/>
    <col min="2" max="2" width="23.5454545454545" style="1" customWidth="1"/>
    <col min="3" max="5" width="16.5454545454545" style="1" customWidth="1"/>
    <col min="6" max="6" width="23.6363636363636" style="1" customWidth="1"/>
    <col min="7" max="16384" width="9" style="1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8.3" spans="1:5">
      <c r="A3" s="1">
        <v>1</v>
      </c>
      <c r="B3" s="1" t="s">
        <v>7</v>
      </c>
      <c r="C3" s="1" t="s">
        <v>8</v>
      </c>
      <c r="D3" s="1" t="s">
        <v>9</v>
      </c>
      <c r="E3" s="1" t="str">
        <f>_xlfn.DISPIMG("ID_A3348C6880FF48C2B9606A780B8E4DE7",1)</f>
        <v>=DISPIMG("ID_A3348C6880FF48C2B9606A780B8E4DE7",1)</v>
      </c>
    </row>
    <row r="4" ht="36.85" spans="1:6">
      <c r="A4" s="1">
        <v>2</v>
      </c>
      <c r="B4" s="1" t="s">
        <v>10</v>
      </c>
      <c r="C4" s="1" t="s">
        <v>8</v>
      </c>
      <c r="D4" s="1" t="s">
        <v>11</v>
      </c>
      <c r="E4" s="1" t="str">
        <f>_xlfn.DISPIMG("ID_9157A13955074F20B6F89FA2CC8820B8",1)</f>
        <v>=DISPIMG("ID_9157A13955074F20B6F89FA2CC8820B8",1)</v>
      </c>
      <c r="F4" s="1" t="s">
        <v>12</v>
      </c>
    </row>
    <row r="5" ht="43.3" spans="1:5">
      <c r="A5" s="1">
        <v>3</v>
      </c>
      <c r="B5" s="1" t="s">
        <v>13</v>
      </c>
      <c r="C5" s="1" t="s">
        <v>8</v>
      </c>
      <c r="D5" s="1" t="s">
        <v>14</v>
      </c>
      <c r="E5" s="1" t="str">
        <f>_xlfn.DISPIMG("ID_ACCDC98D8E6B41E0A43ACB79545D81E8",1)</f>
        <v>=DISPIMG("ID_ACCDC98D8E6B41E0A43ACB79545D81E8",1)</v>
      </c>
    </row>
    <row r="6" ht="41.5" spans="1:5">
      <c r="A6" s="1">
        <v>4</v>
      </c>
      <c r="B6" s="1" t="s">
        <v>15</v>
      </c>
      <c r="C6" s="1" t="s">
        <v>8</v>
      </c>
      <c r="D6" s="1" t="s">
        <v>14</v>
      </c>
      <c r="E6" s="1" t="str">
        <f>_xlfn.DISPIMG("ID_1AA576BE44534C3A926CD6AD45190FFC",1)</f>
        <v>=DISPIMG("ID_1AA576BE44534C3A926CD6AD45190FFC",1)</v>
      </c>
    </row>
    <row r="7" ht="45.15" spans="1:5">
      <c r="A7" s="1">
        <v>5</v>
      </c>
      <c r="B7" s="1" t="s">
        <v>16</v>
      </c>
      <c r="C7" s="1" t="s">
        <v>8</v>
      </c>
      <c r="D7" s="1" t="s">
        <v>14</v>
      </c>
      <c r="E7" s="1" t="str">
        <f>_xlfn.DISPIMG("ID_98D41173E84C42A5A5834D5D28824A28",1)</f>
        <v>=DISPIMG("ID_98D41173E84C42A5A5834D5D28824A28",1)</v>
      </c>
    </row>
    <row r="8" ht="36.55" spans="1:5">
      <c r="A8" s="1">
        <v>6</v>
      </c>
      <c r="B8" s="1" t="s">
        <v>17</v>
      </c>
      <c r="C8" s="1" t="s">
        <v>8</v>
      </c>
      <c r="D8" s="1" t="s">
        <v>9</v>
      </c>
      <c r="E8" s="1" t="str">
        <f>_xlfn.DISPIMG("ID_D90B97D18FCD436D8F790552D830E4BB",1)</f>
        <v>=DISPIMG("ID_D90B97D18FCD436D8F790552D830E4BB",1)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 Carbon 2018</dc:creator>
  <cp:lastModifiedBy>George</cp:lastModifiedBy>
  <dcterms:created xsi:type="dcterms:W3CDTF">2023-05-12T11:15:00Z</dcterms:created>
  <dcterms:modified xsi:type="dcterms:W3CDTF">2024-04-22T09:54:19Z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2052-12.1.0.16729</vt:lpwstr>
  </property>
</Properties>
</file>