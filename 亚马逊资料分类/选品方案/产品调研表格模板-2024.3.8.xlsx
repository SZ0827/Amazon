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3"/>
  </bookViews>
  <sheets>
    <sheet name="1-产品资料" sheetId="1" r:id="rId1"/>
    <sheet name="2-竞品调研" sheetId="2" r:id="rId2"/>
    <sheet name="3-市场分析" sheetId="3" r:id="rId3"/>
    <sheet name="4-利润核算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卖别人没的，差异化</t>
        </r>
      </text>
    </comment>
    <comment ref="G1" authorId="0">
      <text>
        <r>
          <rPr>
            <sz val="9"/>
            <rFont val="宋体"/>
            <charset val="134"/>
          </rPr>
          <t>别人有，我们要做得比别人好的，</t>
        </r>
      </text>
    </comment>
  </commentList>
</comments>
</file>

<file path=xl/sharedStrings.xml><?xml version="1.0" encoding="utf-8"?>
<sst xmlns="http://schemas.openxmlformats.org/spreadsheetml/2006/main" count="239" uniqueCount="115">
  <si>
    <t>产品图片</t>
  </si>
  <si>
    <t>SKU</t>
  </si>
  <si>
    <t>ASIN</t>
  </si>
  <si>
    <t>产品名称
-中文</t>
  </si>
  <si>
    <t>产品名称
-英文</t>
  </si>
  <si>
    <t>核心卖点</t>
  </si>
  <si>
    <t>主要卖点</t>
  </si>
  <si>
    <t>辅助卖点</t>
  </si>
  <si>
    <t>优点</t>
  </si>
  <si>
    <t>缺点</t>
  </si>
  <si>
    <t>产品规格参数</t>
  </si>
  <si>
    <t>产品体积</t>
  </si>
  <si>
    <t>产品重量</t>
  </si>
  <si>
    <t>生产周期</t>
  </si>
  <si>
    <t>调研日期：</t>
  </si>
  <si>
    <t>关键词：</t>
  </si>
  <si>
    <t>品牌</t>
  </si>
  <si>
    <t>图片</t>
  </si>
  <si>
    <t>重量</t>
  </si>
  <si>
    <t>尺寸</t>
  </si>
  <si>
    <t>评分</t>
  </si>
  <si>
    <t>评论量</t>
  </si>
  <si>
    <t>价格</t>
  </si>
  <si>
    <t>定价策略</t>
  </si>
  <si>
    <t>排名</t>
  </si>
  <si>
    <t>发布日期</t>
  </si>
  <si>
    <t>月数</t>
  </si>
  <si>
    <t>近月销量</t>
  </si>
  <si>
    <t>近年销量</t>
  </si>
  <si>
    <t>产品卖点</t>
  </si>
  <si>
    <t>产品好评</t>
  </si>
  <si>
    <t>产品差评</t>
  </si>
  <si>
    <t>推广手法</t>
  </si>
  <si>
    <t>流量来源</t>
  </si>
  <si>
    <t>产品总结</t>
  </si>
  <si>
    <t>产品优点</t>
  </si>
  <si>
    <t>产品缺点</t>
  </si>
  <si>
    <t>市场空间估算部分</t>
  </si>
  <si>
    <t>结论部分</t>
  </si>
  <si>
    <t>成本分析（备注：均以美元结算）</t>
  </si>
  <si>
    <t>亚马逊价格($)</t>
  </si>
  <si>
    <t>亚马逊佣金（$)
15%</t>
  </si>
  <si>
    <t>FBA配送费（$)</t>
  </si>
  <si>
    <t>亚马逊费用合计（$)</t>
  </si>
  <si>
    <r>
      <rPr>
        <b/>
        <sz val="8"/>
        <color theme="1"/>
        <rFont val="微软雅黑"/>
        <charset val="134"/>
      </rPr>
      <t>采购成本（</t>
    </r>
    <r>
      <rPr>
        <b/>
        <sz val="8"/>
        <color theme="1"/>
        <rFont val="SimSun"/>
        <charset val="134"/>
      </rPr>
      <t>￥</t>
    </r>
    <r>
      <rPr>
        <b/>
        <sz val="8"/>
        <color theme="1"/>
        <rFont val="微软雅黑"/>
        <charset val="134"/>
      </rPr>
      <t>)</t>
    </r>
  </si>
  <si>
    <t>采购成本（$)</t>
  </si>
  <si>
    <t>头程
（￥)</t>
  </si>
  <si>
    <t>头程
（$)</t>
  </si>
  <si>
    <t>毛利润
（$)</t>
  </si>
  <si>
    <t>毛利润率</t>
  </si>
  <si>
    <t>广告成本
10%</t>
  </si>
  <si>
    <t>促销
10%-30%</t>
  </si>
  <si>
    <t>退货
5%</t>
  </si>
  <si>
    <r>
      <rPr>
        <b/>
        <sz val="8"/>
        <color theme="1"/>
        <rFont val="微软雅黑"/>
        <charset val="134"/>
      </rPr>
      <t>仓储费
5</t>
    </r>
    <r>
      <rPr>
        <b/>
        <sz val="8"/>
        <color theme="1"/>
        <rFont val="Arial"/>
        <charset val="134"/>
      </rPr>
      <t>‰</t>
    </r>
  </si>
  <si>
    <t>移除费用
3‰</t>
  </si>
  <si>
    <t>净利润
（￥)</t>
  </si>
  <si>
    <t>净利润
（$)</t>
  </si>
  <si>
    <t>净利润率</t>
  </si>
  <si>
    <t>汇率</t>
  </si>
  <si>
    <t>回款</t>
  </si>
  <si>
    <t>ROI</t>
  </si>
  <si>
    <t>产品1</t>
  </si>
  <si>
    <t>产品2</t>
  </si>
  <si>
    <t>产品3</t>
  </si>
  <si>
    <t>产品4</t>
  </si>
  <si>
    <t>产品5</t>
  </si>
  <si>
    <t>产品6</t>
  </si>
  <si>
    <t>预估销量/销售额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</si>
  <si>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</si>
  <si>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</si>
  <si>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</si>
  <si>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</si>
  <si>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</si>
  <si>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</si>
  <si>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</si>
  <si>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</si>
  <si>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</si>
  <si>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</si>
  <si>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</si>
  <si>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</si>
  <si>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月销量</t>
  </si>
  <si>
    <t>月销售额</t>
  </si>
  <si>
    <t>月客单价</t>
  </si>
  <si>
    <t>竞品主推关键词1</t>
  </si>
  <si>
    <t>ABA排名</t>
  </si>
  <si>
    <t>月搜索量</t>
  </si>
  <si>
    <t>搜索趋势</t>
  </si>
  <si>
    <t>点击集中度</t>
  </si>
  <si>
    <t>谷歌趋势</t>
  </si>
  <si>
    <t>CPC</t>
  </si>
  <si>
    <t>竞品主推关键词2</t>
  </si>
  <si>
    <t>竞品主推关键词3</t>
  </si>
  <si>
    <t>1:市场
分析</t>
  </si>
  <si>
    <t>2:容量
分析</t>
  </si>
  <si>
    <t>3：关键词分析</t>
  </si>
  <si>
    <t>4:卖家集中度</t>
  </si>
  <si>
    <t>5：价格分析</t>
  </si>
  <si>
    <t>6：产品优劣势分析</t>
  </si>
  <si>
    <t>优势</t>
  </si>
  <si>
    <t>劣势</t>
  </si>
  <si>
    <t>7：总结-产品的切入点（性价比/颜色/性能参数/宗教信仰/产品附加值/品牌忠诚度）</t>
  </si>
  <si>
    <t>1：</t>
  </si>
  <si>
    <t>2：</t>
  </si>
  <si>
    <t>3：</t>
  </si>
  <si>
    <t>4：</t>
  </si>
  <si>
    <t>5：</t>
  </si>
  <si>
    <t>6：</t>
  </si>
  <si>
    <t>产品名称</t>
  </si>
  <si>
    <t>入库配置费
（$)</t>
  </si>
  <si>
    <t>海运单价</t>
  </si>
  <si>
    <t>毛重</t>
  </si>
  <si>
    <t>体积重/6000</t>
  </si>
  <si>
    <t>长</t>
  </si>
  <si>
    <t>宽</t>
  </si>
  <si>
    <t>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</si>
</sst>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_ "/>
  </numFmts>
  <fonts count="45">
    <font>
      <sz val="11"/>
      <color theme="1"/>
      <name val="宋体"/>
      <charset val="134"/>
      <scheme val="minor"/>
    </font>
    <font>
      <b/>
      <sz val="8"/>
      <color theme="1"/>
      <name val="微软雅黑"/>
      <charset val="134"/>
    </font>
    <font>
      <b/>
      <sz val="8"/>
      <name val="微软雅黑"/>
      <charset val="134"/>
    </font>
    <font>
      <sz val="9"/>
      <name val="微软雅黑"/>
      <charset val="134"/>
    </font>
    <font>
      <b/>
      <sz val="9"/>
      <color rgb="FFFF0000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6"/>
      <color theme="1"/>
      <name val="微软雅黑"/>
      <charset val="134"/>
    </font>
    <font>
      <sz val="8"/>
      <color theme="1"/>
      <name val="微软雅黑"/>
      <charset val="134"/>
    </font>
    <font>
      <sz val="6"/>
      <name val="微软雅黑"/>
      <charset val="134"/>
    </font>
    <font>
      <sz val="10"/>
      <name val="微软雅黑"/>
      <charset val="134"/>
    </font>
    <font>
      <sz val="8"/>
      <name val="微软雅黑"/>
      <charset val="134"/>
    </font>
    <font>
      <sz val="11"/>
      <name val="宋体"/>
      <charset val="134"/>
      <scheme val="minor"/>
    </font>
    <font>
      <u/>
      <sz val="8"/>
      <name val="微软雅黑"/>
      <charset val="134"/>
    </font>
    <font>
      <u/>
      <sz val="8"/>
      <color rgb="FF0000FF"/>
      <name val="微软雅黑"/>
      <charset val="134"/>
    </font>
    <font>
      <u/>
      <sz val="8"/>
      <color rgb="FF800080"/>
      <name val="微软雅黑"/>
      <charset val="134"/>
    </font>
    <font>
      <sz val="8"/>
      <color rgb="FF111111"/>
      <name val="微软雅黑"/>
      <charset val="134"/>
    </font>
    <font>
      <b/>
      <sz val="10"/>
      <color theme="1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b/>
      <sz val="8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color theme="1"/>
      <name val="SimSun"/>
      <charset val="134"/>
    </font>
    <font>
      <b/>
      <sz val="8"/>
      <color theme="1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thick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hair">
        <color rgb="FF7030A0"/>
      </top>
      <bottom style="hair">
        <color rgb="FF7030A0"/>
      </bottom>
      <diagonal/>
    </border>
    <border>
      <left style="thick">
        <color rgb="FF7030A0"/>
      </left>
      <right/>
      <top style="hair">
        <color rgb="FF7030A0"/>
      </top>
      <bottom style="hair">
        <color rgb="FF7030A0"/>
      </bottom>
      <diagonal/>
    </border>
    <border>
      <left/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thick">
        <color rgb="FF7030A0"/>
      </left>
      <right/>
      <top style="hair">
        <color rgb="FF7030A0"/>
      </top>
      <bottom/>
      <diagonal/>
    </border>
    <border>
      <left/>
      <right style="hair">
        <color rgb="FF7030A0"/>
      </right>
      <top style="hair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hair">
        <color rgb="FF7030A0"/>
      </right>
      <top/>
      <bottom/>
      <diagonal/>
    </border>
    <border>
      <left style="thick">
        <color rgb="FF7030A0"/>
      </left>
      <right/>
      <top/>
      <bottom style="hair">
        <color rgb="FF7030A0"/>
      </bottom>
      <diagonal/>
    </border>
    <border>
      <left/>
      <right style="hair">
        <color rgb="FF7030A0"/>
      </right>
      <top/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/>
      <diagonal/>
    </border>
    <border>
      <left style="hair">
        <color rgb="FF7030A0"/>
      </left>
      <right style="thick">
        <color rgb="FF7030A0"/>
      </right>
      <top style="hair">
        <color rgb="FF7030A0"/>
      </top>
      <bottom/>
      <diagonal/>
    </border>
    <border>
      <left style="thick">
        <color rgb="FF7030A0"/>
      </left>
      <right style="hair">
        <color rgb="FF7030A0"/>
      </right>
      <top style="hair">
        <color rgb="FF7030A0"/>
      </top>
      <bottom/>
      <diagonal/>
    </border>
    <border>
      <left style="hair">
        <color rgb="FF7030A0"/>
      </left>
      <right/>
      <top style="thick">
        <color rgb="FF7030A0"/>
      </top>
      <bottom style="hair">
        <color rgb="FF7030A0"/>
      </bottom>
      <diagonal/>
    </border>
    <border>
      <left style="thick">
        <color rgb="FFFF0000"/>
      </left>
      <right style="hair">
        <color rgb="FFFF0000"/>
      </right>
      <top style="thick">
        <color rgb="FFFF0000"/>
      </top>
      <bottom style="hair">
        <color rgb="FFFF0000"/>
      </bottom>
      <diagonal/>
    </border>
    <border>
      <left style="hair">
        <color rgb="FF7030A0"/>
      </left>
      <right/>
      <top style="hair">
        <color rgb="FF7030A0"/>
      </top>
      <bottom style="hair">
        <color rgb="FF7030A0"/>
      </bottom>
      <diagonal/>
    </border>
    <border>
      <left style="thick">
        <color rgb="FFFF0000"/>
      </left>
      <right style="hair">
        <color rgb="FFFF0000"/>
      </right>
      <top style="hair">
        <color rgb="FFFF0000"/>
      </top>
      <bottom style="thick">
        <color rgb="FFFF0000"/>
      </bottom>
      <diagonal/>
    </border>
    <border>
      <left style="hair">
        <color rgb="FF7030A0"/>
      </left>
      <right style="hair">
        <color rgb="FF7030A0"/>
      </right>
      <top/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/>
      <right/>
      <top style="hair">
        <color rgb="FF7030A0"/>
      </top>
      <bottom style="hair">
        <color rgb="FF7030A0"/>
      </bottom>
      <diagonal/>
    </border>
    <border>
      <left/>
      <right/>
      <top style="hair">
        <color rgb="FF7030A0"/>
      </top>
      <bottom/>
      <diagonal/>
    </border>
    <border>
      <left style="thin">
        <color rgb="FF7030A0"/>
      </left>
      <right/>
      <top/>
      <bottom/>
      <diagonal/>
    </border>
    <border>
      <left style="hair">
        <color rgb="FFFF0000"/>
      </left>
      <right style="hair">
        <color rgb="FFFF0000"/>
      </right>
      <top style="thick">
        <color rgb="FFFF0000"/>
      </top>
      <bottom style="hair">
        <color rgb="FFFF0000"/>
      </bottom>
      <diagonal/>
    </border>
    <border>
      <left style="hair">
        <color rgb="FFFF0000"/>
      </left>
      <right style="thick">
        <color rgb="FFFF0000"/>
      </right>
      <top style="thick">
        <color rgb="FFFF0000"/>
      </top>
      <bottom style="hair">
        <color rgb="FFFF0000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thick">
        <color rgb="FFFF0000"/>
      </bottom>
      <diagonal/>
    </border>
    <border>
      <left style="hair">
        <color rgb="FFFF0000"/>
      </left>
      <right style="thick">
        <color rgb="FFFF0000"/>
      </right>
      <top style="hair">
        <color rgb="FFFF0000"/>
      </top>
      <bottom style="thick">
        <color rgb="FFFF0000"/>
      </bottom>
      <diagonal/>
    </border>
    <border>
      <left style="hair">
        <color rgb="FF7030A0"/>
      </left>
      <right style="thick">
        <color rgb="FF7030A0"/>
      </right>
      <top/>
      <bottom style="hair">
        <color rgb="FF7030A0"/>
      </bottom>
      <diagonal/>
    </border>
    <border>
      <left/>
      <right style="hair">
        <color rgb="FF7030A0"/>
      </right>
      <top style="thin">
        <color rgb="FF7030A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8" borderId="3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9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9" borderId="41" applyNumberFormat="0" applyAlignment="0" applyProtection="0">
      <alignment vertical="center"/>
    </xf>
    <xf numFmtId="0" fontId="31" fillId="20" borderId="42" applyNumberFormat="0" applyAlignment="0" applyProtection="0">
      <alignment vertical="center"/>
    </xf>
    <xf numFmtId="0" fontId="32" fillId="20" borderId="41" applyNumberFormat="0" applyAlignment="0" applyProtection="0">
      <alignment vertical="center"/>
    </xf>
    <xf numFmtId="0" fontId="33" fillId="21" borderId="43" applyNumberFormat="0" applyAlignment="0" applyProtection="0">
      <alignment vertical="center"/>
    </xf>
    <xf numFmtId="0" fontId="34" fillId="0" borderId="44" applyNumberFormat="0" applyFill="0" applyAlignment="0" applyProtection="0">
      <alignment vertical="center"/>
    </xf>
    <xf numFmtId="0" fontId="35" fillId="0" borderId="45" applyNumberFormat="0" applyFill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</cellStyleXfs>
  <cellXfs count="187">
    <xf numFmtId="0" fontId="0" fillId="0" borderId="0" xfId="0">
      <alignment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 wrapText="1"/>
    </xf>
    <xf numFmtId="10" fontId="1" fillId="6" borderId="1" xfId="0" applyNumberFormat="1" applyFont="1" applyFill="1" applyBorder="1" applyAlignment="1">
      <alignment horizontal="center" vertical="center" wrapText="1"/>
    </xf>
    <xf numFmtId="176" fontId="1" fillId="7" borderId="1" xfId="0" applyNumberFormat="1" applyFont="1" applyFill="1" applyBorder="1" applyAlignment="1">
      <alignment horizontal="center" vertical="center" wrapText="1"/>
    </xf>
    <xf numFmtId="176" fontId="6" fillId="0" borderId="1" xfId="3" applyNumberFormat="1" applyFont="1" applyFill="1" applyBorder="1" applyAlignment="1" applyProtection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 wrapText="1"/>
    </xf>
    <xf numFmtId="176" fontId="6" fillId="0" borderId="1" xfId="3" applyNumberFormat="1" applyFont="1" applyBorder="1" applyAlignment="1">
      <alignment horizontal="center" vertical="center"/>
    </xf>
    <xf numFmtId="10" fontId="6" fillId="0" borderId="1" xfId="3" applyNumberFormat="1" applyFont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11" borderId="5" xfId="0" applyFont="1" applyFill="1" applyBorder="1" applyAlignment="1">
      <alignment horizontal="center" vertical="center" wrapText="1"/>
    </xf>
    <xf numFmtId="14" fontId="3" fillId="11" borderId="6" xfId="0" applyNumberFormat="1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0" borderId="9" xfId="6" applyFont="1" applyBorder="1" applyAlignment="1">
      <alignment horizontal="center" vertical="center" wrapText="1"/>
    </xf>
    <xf numFmtId="0" fontId="13" fillId="0" borderId="9" xfId="6" applyFont="1" applyFill="1" applyBorder="1" applyAlignment="1">
      <alignment horizontal="center" vertical="center" wrapText="1"/>
    </xf>
    <xf numFmtId="0" fontId="13" fillId="0" borderId="10" xfId="6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9" xfId="0" applyNumberFormat="1" applyFont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17" fontId="12" fillId="0" borderId="9" xfId="0" applyNumberFormat="1" applyFont="1" applyBorder="1" applyAlignment="1">
      <alignment horizontal="center" vertical="center"/>
    </xf>
    <xf numFmtId="14" fontId="12" fillId="0" borderId="9" xfId="0" applyNumberFormat="1" applyFont="1" applyBorder="1" applyAlignment="1">
      <alignment horizontal="center" vertical="center"/>
    </xf>
    <xf numFmtId="14" fontId="12" fillId="0" borderId="10" xfId="0" applyNumberFormat="1" applyFont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177" fontId="12" fillId="0" borderId="10" xfId="0" applyNumberFormat="1" applyFont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9" fontId="12" fillId="0" borderId="9" xfId="3" applyFont="1" applyBorder="1" applyAlignment="1">
      <alignment horizontal="center" vertical="center"/>
    </xf>
    <xf numFmtId="9" fontId="12" fillId="0" borderId="10" xfId="3" applyFont="1" applyBorder="1" applyAlignment="1">
      <alignment horizontal="center" vertical="center"/>
    </xf>
    <xf numFmtId="1" fontId="12" fillId="0" borderId="9" xfId="3" applyNumberFormat="1" applyFont="1" applyBorder="1" applyAlignment="1">
      <alignment horizontal="center" vertical="center"/>
    </xf>
    <xf numFmtId="1" fontId="12" fillId="0" borderId="10" xfId="3" applyNumberFormat="1" applyFont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14" fillId="0" borderId="9" xfId="6" applyNumberFormat="1" applyFont="1" applyFill="1" applyBorder="1" applyAlignment="1">
      <alignment horizontal="center" vertical="center" wrapText="1"/>
    </xf>
    <xf numFmtId="0" fontId="15" fillId="0" borderId="10" xfId="6" applyNumberFormat="1" applyFont="1" applyBorder="1" applyAlignment="1">
      <alignment horizontal="center" vertical="center" wrapText="1"/>
    </xf>
    <xf numFmtId="0" fontId="12" fillId="0" borderId="9" xfId="6" applyNumberFormat="1" applyFont="1" applyFill="1" applyBorder="1" applyAlignment="1">
      <alignment horizontal="center" vertical="center" wrapText="1"/>
    </xf>
    <xf numFmtId="0" fontId="16" fillId="0" borderId="9" xfId="6" applyNumberFormat="1" applyFont="1" applyBorder="1" applyAlignment="1">
      <alignment horizontal="center" vertical="center" wrapText="1"/>
    </xf>
    <xf numFmtId="177" fontId="9" fillId="0" borderId="10" xfId="0" applyNumberFormat="1" applyFont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2" borderId="22" xfId="0" applyFont="1" applyFill="1" applyBorder="1" applyAlignment="1">
      <alignment horizontal="center" vertical="center" wrapText="1"/>
    </xf>
    <xf numFmtId="0" fontId="1" fillId="12" borderId="2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 wrapText="1"/>
    </xf>
    <xf numFmtId="0" fontId="9" fillId="13" borderId="26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13" borderId="19" xfId="0" applyFont="1" applyFill="1" applyBorder="1" applyAlignment="1">
      <alignment horizontal="left" vertical="center" wrapText="1"/>
    </xf>
    <xf numFmtId="0" fontId="18" fillId="13" borderId="5" xfId="0" applyFont="1" applyFill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8" fillId="13" borderId="8" xfId="0" applyFont="1" applyFill="1" applyBorder="1" applyAlignment="1">
      <alignment horizontal="center" vertical="center" wrapText="1"/>
    </xf>
    <xf numFmtId="0" fontId="6" fillId="13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176" fontId="5" fillId="0" borderId="9" xfId="0" applyNumberFormat="1" applyFont="1" applyBorder="1" applyAlignment="1">
      <alignment horizontal="center" vertical="center" wrapText="1"/>
    </xf>
    <xf numFmtId="176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8" fillId="13" borderId="27" xfId="0" applyFont="1" applyFill="1" applyBorder="1" applyAlignment="1">
      <alignment horizontal="center" vertical="center" wrapText="1"/>
    </xf>
    <xf numFmtId="0" fontId="6" fillId="13" borderId="2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176" fontId="6" fillId="0" borderId="28" xfId="0" applyNumberFormat="1" applyFont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6" fillId="14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2" fillId="0" borderId="0" xfId="0" applyFont="1">
      <alignment vertical="center"/>
    </xf>
    <xf numFmtId="0" fontId="9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0" fontId="20" fillId="0" borderId="0" xfId="6" applyFont="1" applyAlignment="1">
      <alignment horizontal="left" vertical="center"/>
    </xf>
    <xf numFmtId="0" fontId="15" fillId="0" borderId="0" xfId="6" applyNumberFormat="1" applyFont="1" applyAlignment="1">
      <alignment vertical="center" wrapText="1"/>
    </xf>
    <xf numFmtId="0" fontId="15" fillId="0" borderId="29" xfId="6" applyNumberFormat="1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15" fillId="0" borderId="30" xfId="6" applyNumberFormat="1" applyFont="1" applyBorder="1" applyAlignment="1">
      <alignment vertical="center" wrapText="1"/>
    </xf>
    <xf numFmtId="177" fontId="9" fillId="0" borderId="0" xfId="0" applyNumberFormat="1" applyFont="1" applyAlignment="1">
      <alignment horizontal="center" vertical="center"/>
    </xf>
    <xf numFmtId="0" fontId="15" fillId="0" borderId="0" xfId="6" applyNumberFormat="1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1" fillId="12" borderId="32" xfId="0" applyFont="1" applyFill="1" applyBorder="1" applyAlignment="1">
      <alignment horizontal="center" vertical="center" wrapText="1"/>
    </xf>
    <xf numFmtId="0" fontId="1" fillId="12" borderId="33" xfId="0" applyFont="1" applyFill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13" borderId="36" xfId="0" applyFont="1" applyFill="1" applyBorder="1" applyAlignment="1">
      <alignment horizontal="left" vertical="center" wrapText="1"/>
    </xf>
    <xf numFmtId="0" fontId="1" fillId="13" borderId="2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1" fillId="0" borderId="37" xfId="0" applyFont="1" applyBorder="1" applyAlignment="1">
      <alignment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178" fontId="6" fillId="0" borderId="9" xfId="0" applyNumberFormat="1" applyFont="1" applyBorder="1" applyAlignment="1">
      <alignment horizontal="center" vertical="center"/>
    </xf>
    <xf numFmtId="0" fontId="6" fillId="0" borderId="9" xfId="3" applyNumberFormat="1" applyFont="1" applyFill="1" applyBorder="1" applyAlignment="1" applyProtection="1">
      <alignment horizontal="center" vertical="center"/>
    </xf>
    <xf numFmtId="10" fontId="6" fillId="0" borderId="9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176" fontId="6" fillId="0" borderId="9" xfId="3" applyNumberFormat="1" applyFont="1" applyBorder="1" applyAlignment="1">
      <alignment horizontal="center" vertical="center"/>
    </xf>
    <xf numFmtId="10" fontId="6" fillId="0" borderId="9" xfId="3" applyNumberFormat="1" applyFont="1" applyBorder="1" applyAlignment="1">
      <alignment horizontal="center" vertical="center"/>
    </xf>
    <xf numFmtId="178" fontId="6" fillId="0" borderId="9" xfId="3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14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7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C10" sqref="C10"/>
    </sheetView>
  </sheetViews>
  <sheetFormatPr defaultColWidth="9" defaultRowHeight="13.5" outlineLevelRow="1"/>
  <cols>
    <col min="1" max="5" width="10.625" customWidth="1"/>
    <col min="6" max="6" width="25.5" customWidth="1"/>
    <col min="7" max="8" width="15.625" customWidth="1"/>
    <col min="9" max="10" width="10.625" customWidth="1"/>
    <col min="11" max="11" width="22.875" customWidth="1"/>
    <col min="12" max="12" width="10.625" customWidth="1"/>
    <col min="13" max="13" width="18.25" customWidth="1"/>
    <col min="14" max="14" width="10.625" customWidth="1"/>
  </cols>
  <sheetData>
    <row r="1" s="177" customFormat="1" ht="60" customHeight="1" spans="1:14">
      <c r="A1" s="178" t="s">
        <v>0</v>
      </c>
      <c r="B1" s="178" t="s">
        <v>1</v>
      </c>
      <c r="C1" s="179" t="s">
        <v>2</v>
      </c>
      <c r="D1" s="180" t="s">
        <v>3</v>
      </c>
      <c r="E1" s="180" t="s">
        <v>4</v>
      </c>
      <c r="F1" s="181" t="s">
        <v>5</v>
      </c>
      <c r="G1" s="181" t="s">
        <v>6</v>
      </c>
      <c r="H1" s="181" t="s">
        <v>7</v>
      </c>
      <c r="I1" s="184" t="s">
        <v>8</v>
      </c>
      <c r="J1" s="184" t="s">
        <v>9</v>
      </c>
      <c r="K1" s="185" t="s">
        <v>10</v>
      </c>
      <c r="L1" s="186" t="s">
        <v>11</v>
      </c>
      <c r="M1" s="186" t="s">
        <v>12</v>
      </c>
      <c r="N1" s="185" t="s">
        <v>13</v>
      </c>
    </row>
    <row r="2" s="177" customFormat="1" ht="60" customHeight="1" spans="1:14">
      <c r="A2" s="8"/>
      <c r="B2" s="8"/>
      <c r="C2" s="8"/>
      <c r="D2" s="182"/>
      <c r="E2" s="182"/>
      <c r="F2" s="182"/>
      <c r="G2" s="183"/>
      <c r="H2" s="182"/>
      <c r="I2" s="182"/>
      <c r="J2" s="182"/>
      <c r="K2" s="182"/>
      <c r="L2" s="182"/>
      <c r="M2" s="8"/>
      <c r="N2" s="8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2"/>
  <sheetViews>
    <sheetView topLeftCell="A124" workbookViewId="0">
      <selection activeCell="B78" sqref="B78"/>
    </sheetView>
  </sheetViews>
  <sheetFormatPr defaultColWidth="8.83333333333333" defaultRowHeight="13.5"/>
  <cols>
    <col min="1" max="1" width="8.85833333333333" customWidth="1"/>
    <col min="2" max="2" width="11.15" customWidth="1"/>
    <col min="3" max="8" width="11.8333333333333" customWidth="1"/>
    <col min="9" max="9" width="5.5" customWidth="1"/>
    <col min="10" max="10" width="5.83333333333333" customWidth="1"/>
    <col min="11" max="12" width="4.33333333333333" customWidth="1"/>
    <col min="13" max="19" width="6.625" customWidth="1"/>
    <col min="20" max="21" width="8.625" customWidth="1"/>
    <col min="22" max="23" width="5.625" customWidth="1"/>
    <col min="24" max="24" width="6.625" customWidth="1"/>
  </cols>
  <sheetData>
    <row r="1" s="33" customFormat="1" customHeight="1" spans="1:8">
      <c r="A1" s="37" t="s">
        <v>14</v>
      </c>
      <c r="B1" s="38">
        <v>45358</v>
      </c>
      <c r="C1" s="39">
        <v>1</v>
      </c>
      <c r="D1" s="39">
        <v>2</v>
      </c>
      <c r="E1" s="39">
        <v>3</v>
      </c>
      <c r="F1" s="39">
        <v>4</v>
      </c>
      <c r="G1" s="39">
        <v>5</v>
      </c>
      <c r="H1" s="40">
        <v>6</v>
      </c>
    </row>
    <row r="2" s="34" customFormat="1" ht="13" customHeight="1" spans="1:24">
      <c r="A2" s="41" t="s">
        <v>15</v>
      </c>
      <c r="B2" s="42"/>
      <c r="C2" s="43"/>
      <c r="D2" s="44"/>
      <c r="E2" s="43"/>
      <c r="F2" s="44"/>
      <c r="G2" s="44"/>
      <c r="H2" s="45"/>
      <c r="I2" s="135"/>
      <c r="J2" s="135"/>
      <c r="K2" s="135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</row>
    <row r="3" spans="1:24">
      <c r="A3" s="46" t="s">
        <v>16</v>
      </c>
      <c r="B3" s="47"/>
      <c r="C3" s="48"/>
      <c r="D3" s="48"/>
      <c r="E3" s="48"/>
      <c r="F3" s="48"/>
      <c r="G3" s="48"/>
      <c r="H3" s="49"/>
      <c r="I3" s="137"/>
      <c r="J3" s="137"/>
      <c r="K3" s="137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</row>
    <row r="4" ht="55" customHeight="1" spans="1:24">
      <c r="A4" s="46" t="s">
        <v>17</v>
      </c>
      <c r="B4" s="47"/>
      <c r="C4" s="48"/>
      <c r="D4" s="48"/>
      <c r="E4" s="48"/>
      <c r="F4" s="48"/>
      <c r="G4" s="48"/>
      <c r="H4" s="49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</row>
    <row r="5" s="34" customFormat="1" customHeight="1" spans="1:24">
      <c r="A5" s="50" t="s">
        <v>18</v>
      </c>
      <c r="B5" s="51"/>
      <c r="C5" s="52"/>
      <c r="D5" s="52"/>
      <c r="E5" s="52"/>
      <c r="F5" s="52"/>
      <c r="G5" s="52"/>
      <c r="H5" s="53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</row>
    <row r="6" s="34" customFormat="1" customHeight="1" spans="1:24">
      <c r="A6" s="50" t="s">
        <v>19</v>
      </c>
      <c r="B6" s="51"/>
      <c r="C6" s="54"/>
      <c r="D6" s="54"/>
      <c r="E6" s="54"/>
      <c r="F6" s="54"/>
      <c r="G6" s="54"/>
      <c r="H6" s="53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</row>
    <row r="7" spans="1:24">
      <c r="A7" s="46" t="s">
        <v>20</v>
      </c>
      <c r="B7" s="47"/>
      <c r="C7" s="48"/>
      <c r="D7" s="48"/>
      <c r="E7" s="48"/>
      <c r="F7" s="48"/>
      <c r="G7" s="48"/>
      <c r="H7" s="49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</row>
    <row r="8" spans="1:24">
      <c r="A8" s="46" t="s">
        <v>21</v>
      </c>
      <c r="B8" s="47"/>
      <c r="C8" s="48"/>
      <c r="D8" s="48"/>
      <c r="E8" s="48"/>
      <c r="F8" s="48"/>
      <c r="G8" s="48"/>
      <c r="H8" s="49"/>
      <c r="I8" s="138"/>
      <c r="J8" s="138"/>
      <c r="K8" s="138"/>
      <c r="L8" s="138"/>
      <c r="M8" s="139"/>
      <c r="N8" s="139"/>
      <c r="O8" s="139"/>
      <c r="P8" s="138"/>
      <c r="Q8" s="138"/>
      <c r="R8" s="138"/>
      <c r="S8" s="138"/>
      <c r="T8" s="138"/>
      <c r="U8" s="138"/>
      <c r="V8" s="138"/>
      <c r="W8" s="138"/>
      <c r="X8" s="138"/>
    </row>
    <row r="9" spans="1:24">
      <c r="A9" s="46" t="s">
        <v>22</v>
      </c>
      <c r="B9" s="47"/>
      <c r="C9" s="48"/>
      <c r="D9" s="48"/>
      <c r="E9" s="48"/>
      <c r="F9" s="48"/>
      <c r="G9" s="48"/>
      <c r="H9" s="49"/>
      <c r="I9" s="138"/>
      <c r="J9" s="138"/>
      <c r="K9" s="138"/>
      <c r="L9" s="138"/>
      <c r="M9" s="140"/>
      <c r="N9" s="140"/>
      <c r="O9" s="140"/>
      <c r="P9" s="138"/>
      <c r="Q9" s="138"/>
      <c r="R9" s="138"/>
      <c r="S9" s="138"/>
      <c r="T9" s="138"/>
      <c r="U9" s="138"/>
      <c r="V9" s="138"/>
      <c r="W9" s="138"/>
      <c r="X9" s="138"/>
    </row>
    <row r="10" spans="1:24">
      <c r="A10" s="55" t="s">
        <v>23</v>
      </c>
      <c r="B10" s="56"/>
      <c r="C10" s="48"/>
      <c r="D10" s="48"/>
      <c r="E10" s="48"/>
      <c r="F10" s="48"/>
      <c r="G10" s="48"/>
      <c r="H10" s="49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</row>
    <row r="11" spans="1:24">
      <c r="A11" s="46" t="s">
        <v>24</v>
      </c>
      <c r="B11" s="47"/>
      <c r="C11" s="48"/>
      <c r="D11" s="48"/>
      <c r="E11" s="48"/>
      <c r="F11" s="48"/>
      <c r="G11" s="48"/>
      <c r="H11" s="49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</row>
    <row r="12" spans="1:24">
      <c r="A12" s="46" t="s">
        <v>25</v>
      </c>
      <c r="B12" s="47"/>
      <c r="C12" s="57"/>
      <c r="D12" s="57"/>
      <c r="E12" s="57"/>
      <c r="F12" s="57"/>
      <c r="G12" s="58"/>
      <c r="H12" s="59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</row>
    <row r="13" spans="1:24">
      <c r="A13" s="60" t="s">
        <v>26</v>
      </c>
      <c r="B13" s="61"/>
      <c r="C13" s="62"/>
      <c r="D13" s="62"/>
      <c r="E13" s="62"/>
      <c r="F13" s="62"/>
      <c r="G13" s="62"/>
      <c r="H13" s="63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</row>
    <row r="14" spans="1:24">
      <c r="A14" s="46" t="s">
        <v>27</v>
      </c>
      <c r="B14" s="47"/>
      <c r="C14" s="48"/>
      <c r="D14" s="48"/>
      <c r="E14" s="48"/>
      <c r="F14" s="48"/>
      <c r="G14" s="48"/>
      <c r="H14" s="49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</row>
    <row r="15" spans="1:24">
      <c r="A15" s="64" t="s">
        <v>28</v>
      </c>
      <c r="B15" s="65"/>
      <c r="C15" s="48"/>
      <c r="D15" s="48"/>
      <c r="E15" s="48"/>
      <c r="F15" s="48"/>
      <c r="G15" s="48"/>
      <c r="H15" s="4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</row>
    <row r="16" spans="1:24">
      <c r="A16" s="66" t="s">
        <v>29</v>
      </c>
      <c r="B16" s="67"/>
      <c r="C16" s="48"/>
      <c r="D16" s="48"/>
      <c r="E16" s="48"/>
      <c r="F16" s="48"/>
      <c r="G16" s="48"/>
      <c r="H16" s="49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</row>
    <row r="17" spans="1:24">
      <c r="A17" s="68"/>
      <c r="B17" s="69"/>
      <c r="C17" s="48"/>
      <c r="D17" s="48"/>
      <c r="E17" s="48"/>
      <c r="F17" s="48"/>
      <c r="G17" s="48"/>
      <c r="H17" s="49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</row>
    <row r="18" ht="12" customHeight="1" spans="1:24">
      <c r="A18" s="68"/>
      <c r="B18" s="69"/>
      <c r="C18" s="48"/>
      <c r="D18" s="48"/>
      <c r="E18" s="48"/>
      <c r="F18" s="48"/>
      <c r="G18" s="48"/>
      <c r="H18" s="49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</row>
    <row r="19" ht="10" customHeight="1" spans="1:24">
      <c r="A19" s="68"/>
      <c r="B19" s="69"/>
      <c r="C19" s="70"/>
      <c r="D19" s="70"/>
      <c r="E19" s="70"/>
      <c r="F19" s="70"/>
      <c r="G19" s="70"/>
      <c r="H19" s="71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</row>
    <row r="20" spans="1:24">
      <c r="A20" s="68"/>
      <c r="B20" s="69"/>
      <c r="C20" s="72"/>
      <c r="D20" s="72"/>
      <c r="E20" s="72"/>
      <c r="F20" s="72"/>
      <c r="G20" s="72"/>
      <c r="H20" s="73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</row>
    <row r="21" spans="1:24">
      <c r="A21" s="68"/>
      <c r="B21" s="69"/>
      <c r="C21" s="72"/>
      <c r="D21" s="72"/>
      <c r="E21" s="72"/>
      <c r="F21" s="72"/>
      <c r="G21" s="72"/>
      <c r="H21" s="73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</row>
    <row r="22" spans="1:24">
      <c r="A22" s="74"/>
      <c r="B22" s="75"/>
      <c r="C22" s="72"/>
      <c r="D22" s="72"/>
      <c r="E22" s="72"/>
      <c r="F22" s="72"/>
      <c r="G22" s="72"/>
      <c r="H22" s="73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</row>
    <row r="23" spans="1:24">
      <c r="A23" s="76" t="s">
        <v>30</v>
      </c>
      <c r="B23" s="77"/>
      <c r="C23" s="72"/>
      <c r="D23" s="72"/>
      <c r="E23" s="72"/>
      <c r="F23" s="72"/>
      <c r="G23" s="72"/>
      <c r="H23" s="73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</row>
    <row r="24" ht="14" customHeight="1" spans="1:24">
      <c r="A24" s="78"/>
      <c r="B24" s="79"/>
      <c r="C24" s="48"/>
      <c r="D24" s="48"/>
      <c r="E24" s="48"/>
      <c r="F24" s="48"/>
      <c r="G24" s="48"/>
      <c r="H24" s="49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</row>
    <row r="25" ht="14" customHeight="1" spans="1:24">
      <c r="A25" s="78"/>
      <c r="B25" s="79"/>
      <c r="C25" s="48"/>
      <c r="D25" s="48"/>
      <c r="E25" s="48"/>
      <c r="F25" s="48"/>
      <c r="G25" s="48"/>
      <c r="H25" s="49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</row>
    <row r="26" spans="1:24">
      <c r="A26" s="78"/>
      <c r="B26" s="79"/>
      <c r="C26" s="80"/>
      <c r="D26" s="81"/>
      <c r="E26" s="81"/>
      <c r="F26" s="81"/>
      <c r="G26" s="82"/>
      <c r="H26" s="83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</row>
    <row r="27" spans="1:24">
      <c r="A27" s="78"/>
      <c r="B27" s="79"/>
      <c r="C27" s="80"/>
      <c r="D27" s="81"/>
      <c r="E27" s="81"/>
      <c r="F27" s="81"/>
      <c r="G27" s="82"/>
      <c r="H27" s="83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</row>
    <row r="28" spans="1:24">
      <c r="A28" s="76" t="s">
        <v>31</v>
      </c>
      <c r="B28" s="77"/>
      <c r="C28" s="80"/>
      <c r="D28" s="81"/>
      <c r="E28" s="81"/>
      <c r="F28" s="81"/>
      <c r="G28" s="82"/>
      <c r="H28" s="83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</row>
    <row r="29" spans="1:24">
      <c r="A29" s="78"/>
      <c r="B29" s="79"/>
      <c r="C29" s="80"/>
      <c r="D29" s="81"/>
      <c r="E29" s="81"/>
      <c r="F29" s="81"/>
      <c r="G29" s="82"/>
      <c r="H29" s="83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</row>
    <row r="30" spans="1:24">
      <c r="A30" s="78"/>
      <c r="B30" s="79"/>
      <c r="C30" s="80"/>
      <c r="D30" s="80"/>
      <c r="E30" s="80"/>
      <c r="F30" s="84"/>
      <c r="G30" s="85"/>
      <c r="H30" s="83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</row>
    <row r="31" spans="1:24">
      <c r="A31" s="78"/>
      <c r="B31" s="79"/>
      <c r="C31" s="80"/>
      <c r="D31" s="80"/>
      <c r="E31" s="80"/>
      <c r="F31" s="48"/>
      <c r="G31" s="48"/>
      <c r="H31" s="49"/>
      <c r="I31" s="143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</row>
    <row r="32" spans="1:24">
      <c r="A32" s="78"/>
      <c r="B32" s="79"/>
      <c r="C32" s="80"/>
      <c r="D32" s="80"/>
      <c r="E32" s="80"/>
      <c r="F32" s="80"/>
      <c r="G32" s="80"/>
      <c r="H32" s="86"/>
      <c r="I32" s="144"/>
      <c r="J32" s="145"/>
      <c r="K32" s="145"/>
      <c r="L32" s="145"/>
      <c r="M32" s="145"/>
      <c r="N32" s="145"/>
      <c r="O32" s="145"/>
      <c r="P32" s="142"/>
      <c r="Q32" s="142"/>
      <c r="R32" s="142"/>
      <c r="S32" s="142"/>
      <c r="T32" s="142"/>
      <c r="U32" s="142"/>
      <c r="V32" s="142"/>
      <c r="W32" s="142"/>
      <c r="X32" s="142"/>
    </row>
    <row r="33" customFormat="1" ht="20" customHeight="1" spans="1:24">
      <c r="A33" s="87" t="s">
        <v>32</v>
      </c>
      <c r="B33" s="88"/>
      <c r="C33" s="89"/>
      <c r="D33" s="89"/>
      <c r="E33" s="89"/>
      <c r="F33" s="89"/>
      <c r="G33" s="89"/>
      <c r="H33" s="90"/>
      <c r="I33" s="146"/>
      <c r="J33" s="147"/>
      <c r="K33" s="147"/>
      <c r="L33" s="147"/>
      <c r="M33" s="147"/>
      <c r="N33" s="147"/>
      <c r="O33" s="147"/>
      <c r="P33" s="141"/>
      <c r="Q33" s="141"/>
      <c r="R33" s="141"/>
      <c r="S33" s="141"/>
      <c r="T33" s="141"/>
      <c r="U33" s="141"/>
      <c r="V33" s="141"/>
      <c r="W33" s="141"/>
      <c r="X33" s="141"/>
    </row>
    <row r="34" s="34" customFormat="1" ht="24" customHeight="1" spans="1:24">
      <c r="A34" s="91" t="s">
        <v>33</v>
      </c>
      <c r="B34" s="92"/>
      <c r="C34" s="93"/>
      <c r="D34" s="93"/>
      <c r="E34" s="93"/>
      <c r="F34" s="93"/>
      <c r="G34" s="93"/>
      <c r="H34" s="94"/>
      <c r="I34" s="148"/>
      <c r="J34" s="149"/>
      <c r="K34" s="147"/>
      <c r="L34" s="147"/>
      <c r="M34" s="147"/>
      <c r="N34" s="147"/>
      <c r="O34" s="147"/>
      <c r="P34" s="141"/>
      <c r="Q34" s="141"/>
      <c r="R34" s="141"/>
      <c r="S34" s="141"/>
      <c r="T34" s="141"/>
      <c r="U34" s="141"/>
      <c r="V34" s="141"/>
      <c r="W34" s="141"/>
      <c r="X34" s="141"/>
    </row>
    <row r="35" ht="14.25" spans="1:24">
      <c r="A35" s="95" t="s">
        <v>34</v>
      </c>
      <c r="B35" s="96"/>
      <c r="C35" s="97" t="s">
        <v>35</v>
      </c>
      <c r="D35" s="97"/>
      <c r="E35" s="97"/>
      <c r="F35" s="97"/>
      <c r="G35" s="98"/>
      <c r="H35" s="99" t="s">
        <v>36</v>
      </c>
      <c r="I35" s="150"/>
      <c r="J35" s="150"/>
      <c r="K35" s="150"/>
      <c r="L35" s="151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</row>
    <row r="36" s="34" customFormat="1" ht="65" customHeight="1" spans="1:24">
      <c r="A36" s="100"/>
      <c r="B36" s="101"/>
      <c r="C36" s="102"/>
      <c r="D36" s="81"/>
      <c r="E36" s="102"/>
      <c r="F36" s="81"/>
      <c r="G36" s="103"/>
      <c r="H36" s="104"/>
      <c r="I36" s="152"/>
      <c r="J36" s="152"/>
      <c r="K36" s="152"/>
      <c r="L36" s="153"/>
      <c r="M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</row>
    <row r="37" ht="66" customHeight="1" spans="1:24">
      <c r="A37" s="100" t="s">
        <v>37</v>
      </c>
      <c r="B37" s="101"/>
      <c r="C37" s="105"/>
      <c r="D37" s="105"/>
      <c r="E37" s="105"/>
      <c r="F37" s="105"/>
      <c r="G37" s="105"/>
      <c r="H37" s="106"/>
      <c r="I37" s="106"/>
      <c r="J37" s="106"/>
      <c r="K37" s="106"/>
      <c r="L37" s="154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</row>
    <row r="38" customFormat="1" ht="87" customHeight="1" spans="1:15">
      <c r="A38" s="107" t="s">
        <v>38</v>
      </c>
      <c r="B38" s="108"/>
      <c r="C38" s="109"/>
      <c r="D38" s="109"/>
      <c r="E38" s="109"/>
      <c r="F38" s="109"/>
      <c r="G38" s="109"/>
      <c r="H38" s="109"/>
      <c r="I38" s="109"/>
      <c r="J38" s="109"/>
      <c r="K38" s="109"/>
      <c r="L38" s="155"/>
      <c r="M38" s="156"/>
      <c r="N38" s="156"/>
      <c r="O38" s="157"/>
    </row>
    <row r="39" s="35" customFormat="1" ht="87" customHeight="1" spans="1:24">
      <c r="A39" s="110" t="s">
        <v>39</v>
      </c>
      <c r="B39" s="111" t="s">
        <v>16</v>
      </c>
      <c r="C39" s="96" t="s">
        <v>17</v>
      </c>
      <c r="D39" s="112" t="s">
        <v>40</v>
      </c>
      <c r="E39" s="96" t="s">
        <v>41</v>
      </c>
      <c r="F39" s="113" t="s">
        <v>42</v>
      </c>
      <c r="G39" s="96" t="s">
        <v>43</v>
      </c>
      <c r="H39" s="114" t="s">
        <v>44</v>
      </c>
      <c r="I39" s="114" t="s">
        <v>45</v>
      </c>
      <c r="J39" s="114" t="s">
        <v>46</v>
      </c>
      <c r="K39" s="114" t="s">
        <v>47</v>
      </c>
      <c r="L39" s="158" t="s">
        <v>48</v>
      </c>
      <c r="M39" s="158" t="s">
        <v>49</v>
      </c>
      <c r="N39" s="159" t="s">
        <v>50</v>
      </c>
      <c r="O39" s="159" t="s">
        <v>51</v>
      </c>
      <c r="P39" s="159" t="s">
        <v>52</v>
      </c>
      <c r="Q39" s="159" t="s">
        <v>53</v>
      </c>
      <c r="R39" s="159" t="s">
        <v>54</v>
      </c>
      <c r="S39" s="158" t="s">
        <v>55</v>
      </c>
      <c r="T39" s="158" t="s">
        <v>56</v>
      </c>
      <c r="U39" s="158" t="s">
        <v>57</v>
      </c>
      <c r="V39" s="168" t="s">
        <v>58</v>
      </c>
      <c r="W39" s="168" t="s">
        <v>59</v>
      </c>
      <c r="X39" s="168" t="s">
        <v>60</v>
      </c>
    </row>
    <row r="40" s="36" customFormat="1" ht="34" customHeight="1" spans="1:24">
      <c r="A40" s="115"/>
      <c r="B40" s="116" t="s">
        <v>61</v>
      </c>
      <c r="C40" s="117"/>
      <c r="D40" s="118">
        <v>59.99</v>
      </c>
      <c r="E40" s="119">
        <f>D40*0.15</f>
        <v>8.9985</v>
      </c>
      <c r="F40" s="120">
        <v>6.56</v>
      </c>
      <c r="G40" s="120">
        <f>E40+F40</f>
        <v>15.5585</v>
      </c>
      <c r="H40" s="120">
        <v>140</v>
      </c>
      <c r="I40" s="120">
        <f>H40/V40</f>
        <v>19.7183098591549</v>
      </c>
      <c r="J40" s="160">
        <v>10</v>
      </c>
      <c r="K40" s="120">
        <f>J40/V40</f>
        <v>1.40845070422535</v>
      </c>
      <c r="L40" s="161">
        <f>D40-G40-I40-K40</f>
        <v>23.3047394366197</v>
      </c>
      <c r="M40" s="162">
        <f>L40/D40</f>
        <v>0.388477070122016</v>
      </c>
      <c r="N40" s="120">
        <f>D40*0.1</f>
        <v>5.999</v>
      </c>
      <c r="O40" s="160">
        <f>D40*0.1</f>
        <v>5.999</v>
      </c>
      <c r="P40" s="160">
        <f>D40*0.05</f>
        <v>2.9995</v>
      </c>
      <c r="Q40" s="160">
        <f>D40*0.005</f>
        <v>0.29995</v>
      </c>
      <c r="R40" s="160">
        <f>D40*0.003</f>
        <v>0.17997</v>
      </c>
      <c r="S40" s="120">
        <f>T40*V40</f>
        <v>55.573968</v>
      </c>
      <c r="T40" s="169">
        <f>L40-N40-O40-P40-Q40-R40</f>
        <v>7.82731943661972</v>
      </c>
      <c r="U40" s="170">
        <f>T40/D40</f>
        <v>0.130477070122016</v>
      </c>
      <c r="V40" s="171">
        <v>7.1</v>
      </c>
      <c r="W40" s="171">
        <f>D40-G40</f>
        <v>44.4315</v>
      </c>
      <c r="X40" s="170">
        <f>W40/(I40+K40)</f>
        <v>2.103091</v>
      </c>
    </row>
    <row r="41" s="36" customFormat="1" ht="34" customHeight="1" spans="1:24">
      <c r="A41" s="115"/>
      <c r="B41" s="116" t="s">
        <v>62</v>
      </c>
      <c r="C41" s="117"/>
      <c r="D41" s="118"/>
      <c r="E41" s="119"/>
      <c r="F41" s="120"/>
      <c r="G41" s="120"/>
      <c r="H41" s="120"/>
      <c r="I41" s="120"/>
      <c r="J41" s="160"/>
      <c r="K41" s="120"/>
      <c r="L41" s="161"/>
      <c r="M41" s="162"/>
      <c r="N41" s="120"/>
      <c r="O41" s="160"/>
      <c r="P41" s="160"/>
      <c r="Q41" s="160"/>
      <c r="R41" s="160"/>
      <c r="S41" s="120"/>
      <c r="T41" s="169"/>
      <c r="U41" s="170"/>
      <c r="V41" s="171"/>
      <c r="W41" s="171"/>
      <c r="X41" s="170"/>
    </row>
    <row r="42" s="36" customFormat="1" ht="34" customHeight="1" spans="1:24">
      <c r="A42" s="115"/>
      <c r="B42" s="116" t="s">
        <v>63</v>
      </c>
      <c r="C42" s="117"/>
      <c r="D42" s="118"/>
      <c r="E42" s="119"/>
      <c r="F42" s="121"/>
      <c r="G42" s="120"/>
      <c r="H42" s="120"/>
      <c r="I42" s="120"/>
      <c r="J42" s="160"/>
      <c r="K42" s="120"/>
      <c r="L42" s="161"/>
      <c r="M42" s="162"/>
      <c r="N42" s="120"/>
      <c r="O42" s="160"/>
      <c r="P42" s="160"/>
      <c r="Q42" s="160"/>
      <c r="R42" s="160"/>
      <c r="S42" s="120"/>
      <c r="T42" s="169"/>
      <c r="U42" s="170"/>
      <c r="V42" s="171"/>
      <c r="W42" s="171"/>
      <c r="X42" s="170"/>
    </row>
    <row r="43" s="36" customFormat="1" ht="34" customHeight="1" spans="1:24">
      <c r="A43" s="115"/>
      <c r="B43" s="116" t="s">
        <v>64</v>
      </c>
      <c r="C43" s="117"/>
      <c r="D43" s="118"/>
      <c r="E43" s="119"/>
      <c r="F43" s="121"/>
      <c r="G43" s="120"/>
      <c r="H43" s="120"/>
      <c r="I43" s="120"/>
      <c r="J43" s="160"/>
      <c r="K43" s="120"/>
      <c r="L43" s="161"/>
      <c r="M43" s="162"/>
      <c r="N43" s="120"/>
      <c r="O43" s="160"/>
      <c r="P43" s="160"/>
      <c r="Q43" s="160"/>
      <c r="R43" s="160"/>
      <c r="S43" s="120"/>
      <c r="T43" s="169"/>
      <c r="U43" s="170"/>
      <c r="V43" s="171"/>
      <c r="W43" s="171"/>
      <c r="X43" s="170"/>
    </row>
    <row r="44" s="36" customFormat="1" ht="34" customHeight="1" spans="1:24">
      <c r="A44" s="115"/>
      <c r="B44" s="116" t="s">
        <v>65</v>
      </c>
      <c r="C44" s="117"/>
      <c r="D44" s="118"/>
      <c r="E44" s="119"/>
      <c r="F44" s="120"/>
      <c r="G44" s="120"/>
      <c r="H44" s="120"/>
      <c r="I44" s="120"/>
      <c r="J44" s="160"/>
      <c r="K44" s="120"/>
      <c r="L44" s="161"/>
      <c r="M44" s="162"/>
      <c r="N44" s="120"/>
      <c r="O44" s="160"/>
      <c r="P44" s="160"/>
      <c r="Q44" s="160"/>
      <c r="R44" s="160"/>
      <c r="S44" s="120"/>
      <c r="T44" s="169"/>
      <c r="U44" s="170"/>
      <c r="V44" s="171"/>
      <c r="W44" s="171"/>
      <c r="X44" s="170"/>
    </row>
    <row r="45" s="36" customFormat="1" ht="34" customHeight="1" spans="1:24">
      <c r="A45" s="122"/>
      <c r="B45" s="123" t="s">
        <v>66</v>
      </c>
      <c r="C45" s="124"/>
      <c r="D45" s="118"/>
      <c r="E45" s="119"/>
      <c r="F45" s="125"/>
      <c r="G45" s="120"/>
      <c r="H45" s="126"/>
      <c r="I45" s="120"/>
      <c r="J45" s="160"/>
      <c r="K45" s="120"/>
      <c r="L45" s="161"/>
      <c r="M45" s="162"/>
      <c r="N45" s="120"/>
      <c r="O45" s="160"/>
      <c r="P45" s="160"/>
      <c r="Q45" s="160"/>
      <c r="R45" s="160"/>
      <c r="S45" s="120"/>
      <c r="T45" s="169"/>
      <c r="U45" s="170"/>
      <c r="V45" s="171"/>
      <c r="W45" s="171"/>
      <c r="X45" s="170"/>
    </row>
    <row r="46" ht="14.25"/>
    <row r="47" customFormat="1" ht="14.25" spans="1:20">
      <c r="A47" s="127" t="s">
        <v>67</v>
      </c>
      <c r="B47" s="127"/>
      <c r="C47" s="128"/>
      <c r="D47" s="128"/>
      <c r="E47" s="128"/>
      <c r="F47" s="128"/>
      <c r="G47" s="128"/>
      <c r="H47" s="128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</row>
    <row r="48" customFormat="1" ht="14.25" spans="1:20">
      <c r="A48" s="129" t="s">
        <v>2</v>
      </c>
      <c r="B48" s="129"/>
      <c r="C48" s="130" t="s">
        <v>68</v>
      </c>
      <c r="D48" s="130" t="s">
        <v>69</v>
      </c>
      <c r="E48" s="130" t="s">
        <v>70</v>
      </c>
      <c r="F48" s="130" t="s">
        <v>71</v>
      </c>
      <c r="G48" s="130" t="s">
        <v>72</v>
      </c>
      <c r="H48" s="130" t="s">
        <v>73</v>
      </c>
      <c r="I48" s="164" t="s">
        <v>74</v>
      </c>
      <c r="J48" s="164"/>
      <c r="K48" s="164" t="s">
        <v>75</v>
      </c>
      <c r="L48" s="164"/>
      <c r="M48" s="164" t="s">
        <v>76</v>
      </c>
      <c r="N48" s="164"/>
      <c r="O48" s="164" t="s">
        <v>77</v>
      </c>
      <c r="P48" s="164"/>
      <c r="Q48" s="164" t="s">
        <v>78</v>
      </c>
      <c r="R48" s="164"/>
      <c r="S48" s="164" t="s">
        <v>79</v>
      </c>
      <c r="T48" s="164"/>
    </row>
    <row r="49" customFormat="1" ht="14.25" spans="1:20">
      <c r="A49" s="129" t="s">
        <v>17</v>
      </c>
      <c r="B49" s="129" t="s">
        <v>80</v>
      </c>
      <c r="C49" s="131"/>
      <c r="D49" s="131"/>
      <c r="E49" s="131"/>
      <c r="F49" s="131"/>
      <c r="G49" s="131"/>
      <c r="H49" s="131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</row>
    <row r="50" customFormat="1" ht="14.25" spans="1:20">
      <c r="A50" s="129"/>
      <c r="B50" s="129" t="s">
        <v>81</v>
      </c>
      <c r="C50" s="131"/>
      <c r="D50" s="131"/>
      <c r="E50" s="131"/>
      <c r="F50" s="131"/>
      <c r="G50" s="131"/>
      <c r="H50" s="131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</row>
    <row r="51" customFormat="1" ht="14.25" spans="1:20">
      <c r="A51" s="129"/>
      <c r="B51" s="129" t="s">
        <v>82</v>
      </c>
      <c r="C51" s="132" t="e">
        <f t="shared" ref="C51:I51" si="0">C50/C49</f>
        <v>#DIV/0!</v>
      </c>
      <c r="D51" s="132" t="e">
        <f t="shared" si="0"/>
        <v>#DIV/0!</v>
      </c>
      <c r="E51" s="132" t="e">
        <f t="shared" si="0"/>
        <v>#DIV/0!</v>
      </c>
      <c r="F51" s="132" t="e">
        <f t="shared" si="0"/>
        <v>#DIV/0!</v>
      </c>
      <c r="G51" s="132" t="e">
        <f t="shared" si="0"/>
        <v>#DIV/0!</v>
      </c>
      <c r="H51" s="132" t="e">
        <f t="shared" si="0"/>
        <v>#DIV/0!</v>
      </c>
      <c r="I51" s="166" t="e">
        <f t="shared" si="0"/>
        <v>#DIV/0!</v>
      </c>
      <c r="J51" s="167"/>
      <c r="K51" s="166" t="e">
        <f t="shared" ref="K51:O51" si="1">K50/K49</f>
        <v>#DIV/0!</v>
      </c>
      <c r="L51" s="167"/>
      <c r="M51" s="166" t="e">
        <f t="shared" si="1"/>
        <v>#DIV/0!</v>
      </c>
      <c r="N51" s="167"/>
      <c r="O51" s="166" t="e">
        <f t="shared" si="1"/>
        <v>#DIV/0!</v>
      </c>
      <c r="P51" s="167"/>
      <c r="Q51" s="166" t="e">
        <f>Q50/Q49</f>
        <v>#DIV/0!</v>
      </c>
      <c r="R51" s="167"/>
      <c r="S51" s="166" t="e">
        <f>S50/S49</f>
        <v>#DIV/0!</v>
      </c>
      <c r="T51" s="167"/>
    </row>
    <row r="52" customFormat="1" ht="14.25" spans="1:20">
      <c r="A52" s="129"/>
      <c r="B52" s="133"/>
      <c r="C52" s="131"/>
      <c r="D52" s="131"/>
      <c r="E52" s="131"/>
      <c r="F52" s="131"/>
      <c r="G52" s="131"/>
      <c r="H52" s="131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</row>
    <row r="53" customFormat="1" ht="14.25" spans="1:20">
      <c r="A53" s="134"/>
      <c r="B53" s="134"/>
      <c r="C53" s="131"/>
      <c r="D53" s="131"/>
      <c r="E53" s="131"/>
      <c r="F53" s="131"/>
      <c r="G53" s="131"/>
      <c r="H53" s="131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</row>
    <row r="54" customFormat="1" ht="14.25" spans="1:20">
      <c r="A54" s="129" t="s">
        <v>2</v>
      </c>
      <c r="B54" s="129"/>
      <c r="C54" s="130" t="s">
        <v>68</v>
      </c>
      <c r="D54" s="130" t="s">
        <v>69</v>
      </c>
      <c r="E54" s="130" t="s">
        <v>70</v>
      </c>
      <c r="F54" s="130" t="s">
        <v>71</v>
      </c>
      <c r="G54" s="130" t="s">
        <v>72</v>
      </c>
      <c r="H54" s="130" t="s">
        <v>73</v>
      </c>
      <c r="I54" s="164" t="s">
        <v>74</v>
      </c>
      <c r="J54" s="164"/>
      <c r="K54" s="164" t="s">
        <v>75</v>
      </c>
      <c r="L54" s="164"/>
      <c r="M54" s="164" t="s">
        <v>76</v>
      </c>
      <c r="N54" s="164"/>
      <c r="O54" s="164" t="s">
        <v>77</v>
      </c>
      <c r="P54" s="164"/>
      <c r="Q54" s="164" t="s">
        <v>78</v>
      </c>
      <c r="R54" s="164"/>
      <c r="S54" s="164" t="s">
        <v>79</v>
      </c>
      <c r="T54" s="164"/>
    </row>
    <row r="55" customFormat="1" ht="14.25" spans="1:20">
      <c r="A55" s="129" t="s">
        <v>17</v>
      </c>
      <c r="B55" s="129" t="s">
        <v>80</v>
      </c>
      <c r="C55" s="131"/>
      <c r="D55" s="131"/>
      <c r="E55" s="131"/>
      <c r="F55" s="131"/>
      <c r="G55" s="131"/>
      <c r="H55" s="131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</row>
    <row r="56" customFormat="1" ht="14.25" spans="1:20">
      <c r="A56" s="129"/>
      <c r="B56" s="129" t="s">
        <v>81</v>
      </c>
      <c r="C56" s="131"/>
      <c r="D56" s="131"/>
      <c r="E56" s="131"/>
      <c r="F56" s="131"/>
      <c r="G56" s="131"/>
      <c r="H56" s="131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</row>
    <row r="57" customFormat="1" ht="14.25" spans="1:20">
      <c r="A57" s="129"/>
      <c r="B57" s="129" t="s">
        <v>82</v>
      </c>
      <c r="C57" s="132" t="e">
        <f t="shared" ref="C57:I57" si="2">C56/C55</f>
        <v>#DIV/0!</v>
      </c>
      <c r="D57" s="132" t="e">
        <f t="shared" si="2"/>
        <v>#DIV/0!</v>
      </c>
      <c r="E57" s="132" t="e">
        <f t="shared" si="2"/>
        <v>#DIV/0!</v>
      </c>
      <c r="F57" s="132" t="e">
        <f t="shared" si="2"/>
        <v>#DIV/0!</v>
      </c>
      <c r="G57" s="132" t="e">
        <f t="shared" si="2"/>
        <v>#DIV/0!</v>
      </c>
      <c r="H57" s="132" t="e">
        <f t="shared" si="2"/>
        <v>#DIV/0!</v>
      </c>
      <c r="I57" s="166" t="e">
        <f t="shared" si="2"/>
        <v>#DIV/0!</v>
      </c>
      <c r="J57" s="167"/>
      <c r="K57" s="166" t="e">
        <f t="shared" ref="K57:O57" si="3">K56/K55</f>
        <v>#DIV/0!</v>
      </c>
      <c r="L57" s="167"/>
      <c r="M57" s="166" t="e">
        <f t="shared" si="3"/>
        <v>#DIV/0!</v>
      </c>
      <c r="N57" s="167"/>
      <c r="O57" s="166" t="e">
        <f t="shared" si="3"/>
        <v>#DIV/0!</v>
      </c>
      <c r="P57" s="167"/>
      <c r="Q57" s="166" t="e">
        <f>Q56/Q55</f>
        <v>#DIV/0!</v>
      </c>
      <c r="R57" s="167"/>
      <c r="S57" s="166" t="e">
        <f>S56/S55</f>
        <v>#DIV/0!</v>
      </c>
      <c r="T57" s="167"/>
    </row>
    <row r="58" customFormat="1" ht="14.25" spans="1:20">
      <c r="A58" s="129"/>
      <c r="B58" s="133"/>
      <c r="C58" s="131"/>
      <c r="D58" s="131"/>
      <c r="E58" s="131"/>
      <c r="F58" s="131"/>
      <c r="G58" s="131"/>
      <c r="H58" s="131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</row>
    <row r="59" customFormat="1" ht="14.25" spans="1:20">
      <c r="A59" s="134"/>
      <c r="B59" s="134"/>
      <c r="C59" s="131"/>
      <c r="D59" s="131"/>
      <c r="E59" s="131"/>
      <c r="F59" s="131"/>
      <c r="G59" s="131"/>
      <c r="H59" s="131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</row>
    <row r="60" customFormat="1" ht="14.25" spans="1:20">
      <c r="A60" s="129" t="s">
        <v>2</v>
      </c>
      <c r="B60" s="129"/>
      <c r="C60" s="130" t="s">
        <v>68</v>
      </c>
      <c r="D60" s="130" t="s">
        <v>69</v>
      </c>
      <c r="E60" s="130" t="s">
        <v>70</v>
      </c>
      <c r="F60" s="130" t="s">
        <v>71</v>
      </c>
      <c r="G60" s="130" t="s">
        <v>72</v>
      </c>
      <c r="H60" s="130" t="s">
        <v>73</v>
      </c>
      <c r="I60" s="164" t="s">
        <v>74</v>
      </c>
      <c r="J60" s="164"/>
      <c r="K60" s="164" t="s">
        <v>75</v>
      </c>
      <c r="L60" s="164"/>
      <c r="M60" s="164" t="s">
        <v>76</v>
      </c>
      <c r="N60" s="164"/>
      <c r="O60" s="164" t="s">
        <v>77</v>
      </c>
      <c r="P60" s="164"/>
      <c r="Q60" s="164" t="s">
        <v>78</v>
      </c>
      <c r="R60" s="164"/>
      <c r="S60" s="164" t="s">
        <v>79</v>
      </c>
      <c r="T60" s="164"/>
    </row>
    <row r="61" customFormat="1" ht="14.25" spans="1:20">
      <c r="A61" s="129" t="s">
        <v>17</v>
      </c>
      <c r="B61" s="129" t="s">
        <v>80</v>
      </c>
      <c r="C61" s="131"/>
      <c r="D61" s="131"/>
      <c r="E61" s="131"/>
      <c r="F61" s="131"/>
      <c r="G61" s="131"/>
      <c r="H61" s="131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</row>
    <row r="62" customFormat="1" ht="14.25" spans="1:20">
      <c r="A62" s="129"/>
      <c r="B62" s="129" t="s">
        <v>81</v>
      </c>
      <c r="C62" s="131"/>
      <c r="D62" s="131"/>
      <c r="E62" s="131"/>
      <c r="F62" s="131"/>
      <c r="G62" s="131"/>
      <c r="H62" s="131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</row>
    <row r="63" customFormat="1" ht="14.25" spans="1:20">
      <c r="A63" s="129"/>
      <c r="B63" s="129" t="s">
        <v>82</v>
      </c>
      <c r="C63" s="132" t="e">
        <f t="shared" ref="C63:I63" si="4">C62/C61</f>
        <v>#DIV/0!</v>
      </c>
      <c r="D63" s="132" t="e">
        <f t="shared" si="4"/>
        <v>#DIV/0!</v>
      </c>
      <c r="E63" s="132" t="e">
        <f t="shared" si="4"/>
        <v>#DIV/0!</v>
      </c>
      <c r="F63" s="132" t="e">
        <f t="shared" si="4"/>
        <v>#DIV/0!</v>
      </c>
      <c r="G63" s="132" t="e">
        <f t="shared" si="4"/>
        <v>#DIV/0!</v>
      </c>
      <c r="H63" s="132" t="e">
        <f t="shared" si="4"/>
        <v>#DIV/0!</v>
      </c>
      <c r="I63" s="166" t="e">
        <f t="shared" si="4"/>
        <v>#DIV/0!</v>
      </c>
      <c r="J63" s="167"/>
      <c r="K63" s="166" t="e">
        <f t="shared" ref="K63:O63" si="5">K62/K61</f>
        <v>#DIV/0!</v>
      </c>
      <c r="L63" s="167"/>
      <c r="M63" s="166" t="e">
        <f t="shared" si="5"/>
        <v>#DIV/0!</v>
      </c>
      <c r="N63" s="167"/>
      <c r="O63" s="166" t="e">
        <f t="shared" si="5"/>
        <v>#DIV/0!</v>
      </c>
      <c r="P63" s="167"/>
      <c r="Q63" s="166" t="e">
        <f>Q62/Q61</f>
        <v>#DIV/0!</v>
      </c>
      <c r="R63" s="167"/>
      <c r="S63" s="166" t="e">
        <f>S62/S61</f>
        <v>#DIV/0!</v>
      </c>
      <c r="T63" s="167"/>
    </row>
    <row r="64" customFormat="1" ht="14.25" spans="1:20">
      <c r="A64" s="129"/>
      <c r="B64" s="133"/>
      <c r="C64" s="131"/>
      <c r="D64" s="131"/>
      <c r="E64" s="131"/>
      <c r="F64" s="131"/>
      <c r="G64" s="131"/>
      <c r="H64" s="131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</row>
    <row r="65" customFormat="1" ht="14.25" spans="1:20">
      <c r="A65" s="134"/>
      <c r="B65" s="134"/>
      <c r="C65" s="131"/>
      <c r="D65" s="131"/>
      <c r="E65" s="131"/>
      <c r="F65" s="131"/>
      <c r="G65" s="131"/>
      <c r="H65" s="131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</row>
    <row r="66" customFormat="1" ht="14.25" spans="1:20">
      <c r="A66" s="129" t="s">
        <v>2</v>
      </c>
      <c r="B66" s="129"/>
      <c r="C66" s="130" t="s">
        <v>68</v>
      </c>
      <c r="D66" s="130" t="s">
        <v>69</v>
      </c>
      <c r="E66" s="130" t="s">
        <v>70</v>
      </c>
      <c r="F66" s="130" t="s">
        <v>71</v>
      </c>
      <c r="G66" s="130" t="s">
        <v>72</v>
      </c>
      <c r="H66" s="130" t="s">
        <v>73</v>
      </c>
      <c r="I66" s="164" t="s">
        <v>74</v>
      </c>
      <c r="J66" s="164"/>
      <c r="K66" s="164" t="s">
        <v>75</v>
      </c>
      <c r="L66" s="164"/>
      <c r="M66" s="164" t="s">
        <v>76</v>
      </c>
      <c r="N66" s="164"/>
      <c r="O66" s="164" t="s">
        <v>77</v>
      </c>
      <c r="P66" s="164"/>
      <c r="Q66" s="164" t="s">
        <v>78</v>
      </c>
      <c r="R66" s="164"/>
      <c r="S66" s="164" t="s">
        <v>79</v>
      </c>
      <c r="T66" s="164"/>
    </row>
    <row r="67" customFormat="1" ht="14.25" spans="1:20">
      <c r="A67" s="129" t="s">
        <v>17</v>
      </c>
      <c r="B67" s="129" t="s">
        <v>80</v>
      </c>
      <c r="C67" s="131"/>
      <c r="D67" s="131"/>
      <c r="E67" s="131"/>
      <c r="F67" s="131"/>
      <c r="G67" s="131"/>
      <c r="H67" s="131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</row>
    <row r="68" customFormat="1" ht="14.25" spans="1:20">
      <c r="A68" s="129"/>
      <c r="B68" s="129" t="s">
        <v>81</v>
      </c>
      <c r="C68" s="131"/>
      <c r="D68" s="131"/>
      <c r="E68" s="131"/>
      <c r="F68" s="131"/>
      <c r="G68" s="131"/>
      <c r="H68" s="131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</row>
    <row r="69" customFormat="1" ht="14.25" spans="1:20">
      <c r="A69" s="129"/>
      <c r="B69" s="129" t="s">
        <v>82</v>
      </c>
      <c r="C69" s="132" t="e">
        <f t="shared" ref="C69:I69" si="6">C68/C67</f>
        <v>#DIV/0!</v>
      </c>
      <c r="D69" s="132" t="e">
        <f t="shared" si="6"/>
        <v>#DIV/0!</v>
      </c>
      <c r="E69" s="132" t="e">
        <f t="shared" si="6"/>
        <v>#DIV/0!</v>
      </c>
      <c r="F69" s="132" t="e">
        <f t="shared" si="6"/>
        <v>#DIV/0!</v>
      </c>
      <c r="G69" s="132" t="e">
        <f t="shared" si="6"/>
        <v>#DIV/0!</v>
      </c>
      <c r="H69" s="132" t="e">
        <f t="shared" si="6"/>
        <v>#DIV/0!</v>
      </c>
      <c r="I69" s="166" t="e">
        <f t="shared" si="6"/>
        <v>#DIV/0!</v>
      </c>
      <c r="J69" s="167"/>
      <c r="K69" s="166" t="e">
        <f t="shared" ref="K69:O69" si="7">K68/K67</f>
        <v>#DIV/0!</v>
      </c>
      <c r="L69" s="167"/>
      <c r="M69" s="166" t="e">
        <f t="shared" si="7"/>
        <v>#DIV/0!</v>
      </c>
      <c r="N69" s="167"/>
      <c r="O69" s="166" t="e">
        <f t="shared" si="7"/>
        <v>#DIV/0!</v>
      </c>
      <c r="P69" s="167"/>
      <c r="Q69" s="166" t="e">
        <f>Q68/Q67</f>
        <v>#DIV/0!</v>
      </c>
      <c r="R69" s="167"/>
      <c r="S69" s="166" t="e">
        <f>S68/S67</f>
        <v>#DIV/0!</v>
      </c>
      <c r="T69" s="167"/>
    </row>
    <row r="70" customFormat="1" ht="14.25" spans="1:20">
      <c r="A70" s="129"/>
      <c r="B70" s="133"/>
      <c r="C70" s="131"/>
      <c r="D70" s="131"/>
      <c r="E70" s="131"/>
      <c r="F70" s="131"/>
      <c r="G70" s="131"/>
      <c r="H70" s="131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</row>
    <row r="71" customFormat="1" ht="14.25" spans="1:20">
      <c r="A71" s="134"/>
      <c r="B71" s="134"/>
      <c r="C71" s="131"/>
      <c r="D71" s="131"/>
      <c r="E71" s="131"/>
      <c r="F71" s="131"/>
      <c r="G71" s="131"/>
      <c r="H71" s="131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</row>
    <row r="72" customFormat="1" ht="14.25" spans="1:20">
      <c r="A72" s="129" t="s">
        <v>2</v>
      </c>
      <c r="B72" s="129"/>
      <c r="C72" s="130" t="s">
        <v>68</v>
      </c>
      <c r="D72" s="130" t="s">
        <v>69</v>
      </c>
      <c r="E72" s="130" t="s">
        <v>70</v>
      </c>
      <c r="F72" s="130" t="s">
        <v>71</v>
      </c>
      <c r="G72" s="130" t="s">
        <v>72</v>
      </c>
      <c r="H72" s="130" t="s">
        <v>73</v>
      </c>
      <c r="I72" s="164" t="s">
        <v>74</v>
      </c>
      <c r="J72" s="164"/>
      <c r="K72" s="164" t="s">
        <v>75</v>
      </c>
      <c r="L72" s="164"/>
      <c r="M72" s="164" t="s">
        <v>76</v>
      </c>
      <c r="N72" s="164"/>
      <c r="O72" s="164" t="s">
        <v>77</v>
      </c>
      <c r="P72" s="164"/>
      <c r="Q72" s="164" t="s">
        <v>78</v>
      </c>
      <c r="R72" s="164"/>
      <c r="S72" s="164" t="s">
        <v>79</v>
      </c>
      <c r="T72" s="164"/>
    </row>
    <row r="73" customFormat="1" ht="14.25" spans="1:20">
      <c r="A73" s="129" t="s">
        <v>17</v>
      </c>
      <c r="B73" s="129" t="s">
        <v>80</v>
      </c>
      <c r="C73" s="131"/>
      <c r="D73" s="131"/>
      <c r="E73" s="131"/>
      <c r="F73" s="131"/>
      <c r="G73" s="131"/>
      <c r="H73" s="131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</row>
    <row r="74" customFormat="1" ht="14.25" spans="1:20">
      <c r="A74" s="129"/>
      <c r="B74" s="129" t="s">
        <v>81</v>
      </c>
      <c r="C74" s="131"/>
      <c r="D74" s="131"/>
      <c r="E74" s="131"/>
      <c r="F74" s="131"/>
      <c r="G74" s="131"/>
      <c r="H74" s="131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</row>
    <row r="75" customFormat="1" ht="14.25" spans="1:20">
      <c r="A75" s="129"/>
      <c r="B75" s="129" t="s">
        <v>82</v>
      </c>
      <c r="C75" s="132" t="e">
        <f t="shared" ref="C75:I75" si="8">C74/C73</f>
        <v>#DIV/0!</v>
      </c>
      <c r="D75" s="132" t="e">
        <f t="shared" si="8"/>
        <v>#DIV/0!</v>
      </c>
      <c r="E75" s="132" t="e">
        <f t="shared" si="8"/>
        <v>#DIV/0!</v>
      </c>
      <c r="F75" s="132" t="e">
        <f t="shared" si="8"/>
        <v>#DIV/0!</v>
      </c>
      <c r="G75" s="132" t="e">
        <f t="shared" si="8"/>
        <v>#DIV/0!</v>
      </c>
      <c r="H75" s="132" t="e">
        <f t="shared" si="8"/>
        <v>#DIV/0!</v>
      </c>
      <c r="I75" s="166" t="e">
        <f t="shared" si="8"/>
        <v>#DIV/0!</v>
      </c>
      <c r="J75" s="167"/>
      <c r="K75" s="166" t="e">
        <f t="shared" ref="K75:O75" si="9">K74/K73</f>
        <v>#DIV/0!</v>
      </c>
      <c r="L75" s="167"/>
      <c r="M75" s="166" t="e">
        <f t="shared" si="9"/>
        <v>#DIV/0!</v>
      </c>
      <c r="N75" s="167"/>
      <c r="O75" s="166" t="e">
        <f t="shared" si="9"/>
        <v>#DIV/0!</v>
      </c>
      <c r="P75" s="167"/>
      <c r="Q75" s="166" t="e">
        <f>Q74/Q73</f>
        <v>#DIV/0!</v>
      </c>
      <c r="R75" s="167"/>
      <c r="S75" s="166" t="e">
        <f>S74/S73</f>
        <v>#DIV/0!</v>
      </c>
      <c r="T75" s="167"/>
    </row>
    <row r="76" customFormat="1" ht="14.25" spans="1:20">
      <c r="A76" s="129"/>
      <c r="B76" s="133"/>
      <c r="C76" s="131"/>
      <c r="D76" s="131"/>
      <c r="E76" s="131"/>
      <c r="F76" s="131"/>
      <c r="G76" s="131"/>
      <c r="H76" s="131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</row>
    <row r="77" customFormat="1" ht="14.25" spans="1:20">
      <c r="A77" s="134"/>
      <c r="B77" s="134"/>
      <c r="C77" s="131"/>
      <c r="D77" s="131"/>
      <c r="E77" s="131"/>
      <c r="F77" s="131"/>
      <c r="G77" s="131"/>
      <c r="H77" s="131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</row>
    <row r="78" customFormat="1" ht="14.25" spans="1:20">
      <c r="A78" s="129" t="s">
        <v>2</v>
      </c>
      <c r="B78" s="129"/>
      <c r="C78" s="130" t="s">
        <v>68</v>
      </c>
      <c r="D78" s="130" t="s">
        <v>69</v>
      </c>
      <c r="E78" s="130" t="s">
        <v>70</v>
      </c>
      <c r="F78" s="130" t="s">
        <v>71</v>
      </c>
      <c r="G78" s="130" t="s">
        <v>72</v>
      </c>
      <c r="H78" s="130" t="s">
        <v>73</v>
      </c>
      <c r="I78" s="164" t="s">
        <v>74</v>
      </c>
      <c r="J78" s="164"/>
      <c r="K78" s="164" t="s">
        <v>75</v>
      </c>
      <c r="L78" s="164"/>
      <c r="M78" s="164" t="s">
        <v>76</v>
      </c>
      <c r="N78" s="164"/>
      <c r="O78" s="164" t="s">
        <v>77</v>
      </c>
      <c r="P78" s="164"/>
      <c r="Q78" s="164" t="s">
        <v>78</v>
      </c>
      <c r="R78" s="164"/>
      <c r="S78" s="164" t="s">
        <v>79</v>
      </c>
      <c r="T78" s="164"/>
    </row>
    <row r="79" customFormat="1" ht="14.25" spans="1:20">
      <c r="A79" s="129" t="s">
        <v>17</v>
      </c>
      <c r="B79" s="129" t="s">
        <v>80</v>
      </c>
      <c r="C79" s="131"/>
      <c r="D79" s="131"/>
      <c r="E79" s="131"/>
      <c r="F79" s="131"/>
      <c r="G79" s="131"/>
      <c r="H79" s="131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</row>
    <row r="80" customFormat="1" ht="14.25" spans="1:20">
      <c r="A80" s="129"/>
      <c r="B80" s="129" t="s">
        <v>81</v>
      </c>
      <c r="C80" s="131"/>
      <c r="D80" s="131"/>
      <c r="E80" s="131"/>
      <c r="F80" s="131"/>
      <c r="G80" s="131"/>
      <c r="H80" s="131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</row>
    <row r="81" customFormat="1" ht="14.25" spans="1:20">
      <c r="A81" s="129"/>
      <c r="B81" s="129" t="s">
        <v>82</v>
      </c>
      <c r="C81" s="132" t="e">
        <f t="shared" ref="C81:I81" si="10">C80/C79</f>
        <v>#DIV/0!</v>
      </c>
      <c r="D81" s="132" t="e">
        <f t="shared" si="10"/>
        <v>#DIV/0!</v>
      </c>
      <c r="E81" s="132" t="e">
        <f t="shared" si="10"/>
        <v>#DIV/0!</v>
      </c>
      <c r="F81" s="132" t="e">
        <f t="shared" si="10"/>
        <v>#DIV/0!</v>
      </c>
      <c r="G81" s="132" t="e">
        <f t="shared" si="10"/>
        <v>#DIV/0!</v>
      </c>
      <c r="H81" s="132" t="e">
        <f t="shared" si="10"/>
        <v>#DIV/0!</v>
      </c>
      <c r="I81" s="166" t="e">
        <f t="shared" si="10"/>
        <v>#DIV/0!</v>
      </c>
      <c r="J81" s="167"/>
      <c r="K81" s="166" t="e">
        <f t="shared" ref="K81:O81" si="11">K80/K79</f>
        <v>#DIV/0!</v>
      </c>
      <c r="L81" s="167"/>
      <c r="M81" s="166" t="e">
        <f t="shared" si="11"/>
        <v>#DIV/0!</v>
      </c>
      <c r="N81" s="167"/>
      <c r="O81" s="166" t="e">
        <f t="shared" si="11"/>
        <v>#DIV/0!</v>
      </c>
      <c r="P81" s="167"/>
      <c r="Q81" s="166" t="e">
        <f>Q80/Q79</f>
        <v>#DIV/0!</v>
      </c>
      <c r="R81" s="167"/>
      <c r="S81" s="166" t="e">
        <f>S80/S79</f>
        <v>#DIV/0!</v>
      </c>
      <c r="T81" s="167"/>
    </row>
    <row r="82" customFormat="1" ht="14.25" spans="1:20">
      <c r="A82" s="129"/>
      <c r="B82" s="133"/>
      <c r="C82" s="132"/>
      <c r="D82" s="132"/>
      <c r="E82" s="132"/>
      <c r="F82" s="132"/>
      <c r="G82" s="132"/>
      <c r="H82" s="132"/>
      <c r="I82" s="166"/>
      <c r="J82" s="167"/>
      <c r="K82" s="166"/>
      <c r="L82" s="167"/>
      <c r="M82" s="166"/>
      <c r="N82" s="167"/>
      <c r="O82" s="166"/>
      <c r="P82" s="167"/>
      <c r="Q82" s="166"/>
      <c r="R82" s="167"/>
      <c r="S82" s="166"/>
      <c r="T82" s="167"/>
    </row>
    <row r="83" customFormat="1" spans="3:20">
      <c r="C83" s="172"/>
      <c r="D83" s="172"/>
      <c r="E83" s="172"/>
      <c r="F83" s="172"/>
      <c r="G83" s="172"/>
      <c r="H83" s="172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</row>
    <row r="84" customFormat="1" spans="1:22">
      <c r="A84" s="173" t="s">
        <v>83</v>
      </c>
      <c r="B84" s="173"/>
      <c r="C84" s="174"/>
      <c r="D84" s="174"/>
      <c r="E84" s="174"/>
      <c r="F84" s="174"/>
      <c r="G84" s="174"/>
      <c r="H84" s="174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8"/>
      <c r="V84" s="8"/>
    </row>
    <row r="85" customFormat="1" spans="1:22">
      <c r="A85" s="175" t="s">
        <v>84</v>
      </c>
      <c r="B85" s="25"/>
      <c r="C85" s="25"/>
      <c r="D85" s="174"/>
      <c r="E85" s="174"/>
      <c r="F85" s="174"/>
      <c r="G85" s="174"/>
      <c r="H85" s="174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8"/>
      <c r="V85" s="8"/>
    </row>
    <row r="86" customFormat="1" spans="1:22">
      <c r="A86" s="175"/>
      <c r="B86" s="25"/>
      <c r="C86" s="25"/>
      <c r="D86" s="174"/>
      <c r="E86" s="174"/>
      <c r="F86" s="174"/>
      <c r="G86" s="174"/>
      <c r="H86" s="174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8"/>
      <c r="V86" s="8"/>
    </row>
    <row r="87" customFormat="1" spans="1:22">
      <c r="A87" s="175" t="s">
        <v>85</v>
      </c>
      <c r="B87" s="25"/>
      <c r="C87" s="25"/>
      <c r="D87" s="174"/>
      <c r="E87" s="174"/>
      <c r="F87" s="174"/>
      <c r="G87" s="174"/>
      <c r="H87" s="174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8"/>
      <c r="V87" s="8"/>
    </row>
    <row r="88" customFormat="1" spans="1:22">
      <c r="A88" s="175"/>
      <c r="B88" s="25"/>
      <c r="C88" s="25"/>
      <c r="D88" s="174"/>
      <c r="E88" s="174"/>
      <c r="F88" s="174"/>
      <c r="G88" s="174"/>
      <c r="H88" s="174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8"/>
      <c r="V88" s="8"/>
    </row>
    <row r="89" customFormat="1" spans="1:22">
      <c r="A89" s="175" t="s">
        <v>86</v>
      </c>
      <c r="B89" s="25"/>
      <c r="C89" s="25"/>
      <c r="D89" s="25"/>
      <c r="E89" s="25"/>
      <c r="F89" s="25"/>
      <c r="G89" s="25"/>
      <c r="H89" s="25"/>
      <c r="I89" s="175" t="s">
        <v>87</v>
      </c>
      <c r="J89" s="17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</row>
    <row r="90" customFormat="1" spans="1:22">
      <c r="A90" s="175"/>
      <c r="B90" s="25"/>
      <c r="C90" s="25"/>
      <c r="D90" s="25"/>
      <c r="E90" s="25"/>
      <c r="F90" s="25"/>
      <c r="G90" s="25"/>
      <c r="H90" s="25"/>
      <c r="I90" s="175"/>
      <c r="J90" s="17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</row>
    <row r="91" customFormat="1" spans="1:22">
      <c r="A91" s="175"/>
      <c r="B91" s="25"/>
      <c r="C91" s="25"/>
      <c r="D91" s="25"/>
      <c r="E91" s="25"/>
      <c r="F91" s="25"/>
      <c r="G91" s="25"/>
      <c r="H91" s="25"/>
      <c r="I91" s="175"/>
      <c r="J91" s="17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</row>
    <row r="92" customFormat="1" spans="1:22">
      <c r="A92" s="175"/>
      <c r="B92" s="25"/>
      <c r="C92" s="25"/>
      <c r="D92" s="25"/>
      <c r="E92" s="25"/>
      <c r="F92" s="25"/>
      <c r="G92" s="25"/>
      <c r="H92" s="25"/>
      <c r="I92" s="175"/>
      <c r="J92" s="17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</row>
    <row r="93" customFormat="1" spans="1:22">
      <c r="A93" s="175"/>
      <c r="B93" s="25"/>
      <c r="C93" s="25"/>
      <c r="D93" s="25"/>
      <c r="E93" s="25"/>
      <c r="F93" s="25"/>
      <c r="G93" s="25"/>
      <c r="H93" s="25"/>
      <c r="I93" s="175"/>
      <c r="J93" s="17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</row>
    <row r="94" customFormat="1" spans="1:22">
      <c r="A94" s="175"/>
      <c r="B94" s="25"/>
      <c r="C94" s="25"/>
      <c r="D94" s="25"/>
      <c r="E94" s="25"/>
      <c r="F94" s="25"/>
      <c r="G94" s="25"/>
      <c r="H94" s="25"/>
      <c r="I94" s="175"/>
      <c r="J94" s="17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</row>
    <row r="95" customFormat="1" spans="1:22">
      <c r="A95" s="175"/>
      <c r="B95" s="25"/>
      <c r="C95" s="25"/>
      <c r="D95" s="25"/>
      <c r="E95" s="25"/>
      <c r="F95" s="25"/>
      <c r="G95" s="25"/>
      <c r="H95" s="25"/>
      <c r="I95" s="175"/>
      <c r="J95" s="17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</row>
    <row r="96" customFormat="1" spans="1:22">
      <c r="A96" s="175" t="s">
        <v>88</v>
      </c>
      <c r="B96" s="25"/>
      <c r="C96" s="25"/>
      <c r="D96" s="25"/>
      <c r="E96" s="25"/>
      <c r="F96" s="25"/>
      <c r="G96" s="25"/>
      <c r="H96" s="25"/>
      <c r="I96" s="175" t="s">
        <v>89</v>
      </c>
      <c r="J96" s="17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</row>
    <row r="97" customFormat="1" spans="1:22">
      <c r="A97" s="175"/>
      <c r="B97" s="25"/>
      <c r="C97" s="25"/>
      <c r="D97" s="25"/>
      <c r="E97" s="25"/>
      <c r="F97" s="25"/>
      <c r="G97" s="25"/>
      <c r="H97" s="25"/>
      <c r="I97" s="175"/>
      <c r="J97" s="17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</row>
    <row r="98" customFormat="1" spans="1:22">
      <c r="A98" s="175"/>
      <c r="B98" s="25"/>
      <c r="C98" s="25"/>
      <c r="D98" s="25"/>
      <c r="E98" s="25"/>
      <c r="F98" s="25"/>
      <c r="G98" s="25"/>
      <c r="H98" s="25"/>
      <c r="I98" s="175"/>
      <c r="J98" s="17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</row>
    <row r="99" customFormat="1" spans="1:22">
      <c r="A99" s="175"/>
      <c r="B99" s="25"/>
      <c r="C99" s="25"/>
      <c r="D99" s="25"/>
      <c r="E99" s="25"/>
      <c r="F99" s="25"/>
      <c r="G99" s="25"/>
      <c r="H99" s="25"/>
      <c r="I99" s="175"/>
      <c r="J99" s="17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</row>
    <row r="100" customFormat="1" spans="1:22">
      <c r="A100" s="175"/>
      <c r="B100" s="25"/>
      <c r="C100" s="25"/>
      <c r="D100" s="25"/>
      <c r="E100" s="25"/>
      <c r="F100" s="25"/>
      <c r="G100" s="25"/>
      <c r="H100" s="25"/>
      <c r="I100" s="175"/>
      <c r="J100" s="17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</row>
    <row r="101" customFormat="1" spans="1:22">
      <c r="A101" s="175"/>
      <c r="B101" s="25"/>
      <c r="C101" s="25"/>
      <c r="D101" s="25"/>
      <c r="E101" s="25"/>
      <c r="F101" s="25"/>
      <c r="G101" s="25"/>
      <c r="H101" s="25"/>
      <c r="I101" s="175"/>
      <c r="J101" s="17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</row>
    <row r="102" customFormat="1" spans="1:22">
      <c r="A102" s="175"/>
      <c r="B102" s="25"/>
      <c r="C102" s="25"/>
      <c r="D102" s="25"/>
      <c r="E102" s="25"/>
      <c r="F102" s="25"/>
      <c r="G102" s="25"/>
      <c r="H102" s="25"/>
      <c r="I102" s="175"/>
      <c r="J102" s="17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</row>
    <row r="103" customFormat="1" spans="1:22">
      <c r="A103" s="29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2"/>
    </row>
    <row r="104" customFormat="1" spans="1:22">
      <c r="A104" s="173" t="s">
        <v>90</v>
      </c>
      <c r="B104" s="173"/>
      <c r="C104" s="174"/>
      <c r="D104" s="174"/>
      <c r="E104" s="174"/>
      <c r="F104" s="174"/>
      <c r="G104" s="174"/>
      <c r="H104" s="174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8"/>
      <c r="V104" s="8"/>
    </row>
    <row r="105" customFormat="1" spans="1:22">
      <c r="A105" s="175" t="s">
        <v>84</v>
      </c>
      <c r="B105" s="25"/>
      <c r="C105" s="25"/>
      <c r="D105" s="174"/>
      <c r="E105" s="174"/>
      <c r="F105" s="174"/>
      <c r="G105" s="174"/>
      <c r="H105" s="174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8"/>
      <c r="V105" s="8"/>
    </row>
    <row r="106" customFormat="1" spans="1:22">
      <c r="A106" s="175"/>
      <c r="B106" s="25"/>
      <c r="C106" s="25"/>
      <c r="D106" s="174"/>
      <c r="E106" s="174"/>
      <c r="F106" s="174"/>
      <c r="G106" s="174"/>
      <c r="H106" s="174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8"/>
      <c r="V106" s="8"/>
    </row>
    <row r="107" customFormat="1" spans="1:22">
      <c r="A107" s="175" t="s">
        <v>85</v>
      </c>
      <c r="B107" s="25"/>
      <c r="C107" s="25"/>
      <c r="D107" s="174"/>
      <c r="E107" s="174"/>
      <c r="F107" s="174"/>
      <c r="G107" s="174"/>
      <c r="H107" s="174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8"/>
      <c r="V107" s="8"/>
    </row>
    <row r="108" customFormat="1" spans="1:22">
      <c r="A108" s="175"/>
      <c r="B108" s="25"/>
      <c r="C108" s="25"/>
      <c r="D108" s="174"/>
      <c r="E108" s="174"/>
      <c r="F108" s="174"/>
      <c r="G108" s="174"/>
      <c r="H108" s="174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8"/>
      <c r="V108" s="8"/>
    </row>
    <row r="109" customFormat="1" spans="1:22">
      <c r="A109" s="175" t="s">
        <v>86</v>
      </c>
      <c r="B109" s="25"/>
      <c r="C109" s="25"/>
      <c r="D109" s="25"/>
      <c r="E109" s="25"/>
      <c r="F109" s="25"/>
      <c r="G109" s="25"/>
      <c r="H109" s="25"/>
      <c r="I109" s="175" t="s">
        <v>87</v>
      </c>
      <c r="J109" s="17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</row>
    <row r="110" customFormat="1" spans="1:22">
      <c r="A110" s="175"/>
      <c r="B110" s="25"/>
      <c r="C110" s="25"/>
      <c r="D110" s="25"/>
      <c r="E110" s="25"/>
      <c r="F110" s="25"/>
      <c r="G110" s="25"/>
      <c r="H110" s="25"/>
      <c r="I110" s="175"/>
      <c r="J110" s="17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</row>
    <row r="111" customFormat="1" spans="1:22">
      <c r="A111" s="175"/>
      <c r="B111" s="25"/>
      <c r="C111" s="25"/>
      <c r="D111" s="25"/>
      <c r="E111" s="25"/>
      <c r="F111" s="25"/>
      <c r="G111" s="25"/>
      <c r="H111" s="25"/>
      <c r="I111" s="175"/>
      <c r="J111" s="17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</row>
    <row r="112" customFormat="1" spans="1:22">
      <c r="A112" s="175"/>
      <c r="B112" s="25"/>
      <c r="C112" s="25"/>
      <c r="D112" s="25"/>
      <c r="E112" s="25"/>
      <c r="F112" s="25"/>
      <c r="G112" s="25"/>
      <c r="H112" s="25"/>
      <c r="I112" s="175"/>
      <c r="J112" s="17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</row>
    <row r="113" customFormat="1" spans="1:22">
      <c r="A113" s="175"/>
      <c r="B113" s="25"/>
      <c r="C113" s="25"/>
      <c r="D113" s="25"/>
      <c r="E113" s="25"/>
      <c r="F113" s="25"/>
      <c r="G113" s="25"/>
      <c r="H113" s="25"/>
      <c r="I113" s="175"/>
      <c r="J113" s="17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</row>
    <row r="114" customFormat="1" spans="1:22">
      <c r="A114" s="175"/>
      <c r="B114" s="25"/>
      <c r="C114" s="25"/>
      <c r="D114" s="25"/>
      <c r="E114" s="25"/>
      <c r="F114" s="25"/>
      <c r="G114" s="25"/>
      <c r="H114" s="25"/>
      <c r="I114" s="175"/>
      <c r="J114" s="17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</row>
    <row r="115" customFormat="1" spans="1:22">
      <c r="A115" s="175"/>
      <c r="B115" s="25"/>
      <c r="C115" s="25"/>
      <c r="D115" s="25"/>
      <c r="E115" s="25"/>
      <c r="F115" s="25"/>
      <c r="G115" s="25"/>
      <c r="H115" s="25"/>
      <c r="I115" s="175"/>
      <c r="J115" s="17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</row>
    <row r="116" customFormat="1" spans="1:22">
      <c r="A116" s="175" t="s">
        <v>88</v>
      </c>
      <c r="B116" s="25"/>
      <c r="C116" s="25"/>
      <c r="D116" s="25"/>
      <c r="E116" s="25"/>
      <c r="F116" s="25"/>
      <c r="G116" s="25"/>
      <c r="H116" s="25"/>
      <c r="I116" s="175" t="s">
        <v>89</v>
      </c>
      <c r="J116" s="17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</row>
    <row r="117" customFormat="1" spans="1:22">
      <c r="A117" s="175"/>
      <c r="B117" s="25"/>
      <c r="C117" s="25"/>
      <c r="D117" s="25"/>
      <c r="E117" s="25"/>
      <c r="F117" s="25"/>
      <c r="G117" s="25"/>
      <c r="H117" s="25"/>
      <c r="I117" s="175"/>
      <c r="J117" s="17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</row>
    <row r="118" customFormat="1" spans="1:22">
      <c r="A118" s="175"/>
      <c r="B118" s="25"/>
      <c r="C118" s="25"/>
      <c r="D118" s="25"/>
      <c r="E118" s="25"/>
      <c r="F118" s="25"/>
      <c r="G118" s="25"/>
      <c r="H118" s="25"/>
      <c r="I118" s="175"/>
      <c r="J118" s="17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</row>
    <row r="119" customFormat="1" spans="1:22">
      <c r="A119" s="175"/>
      <c r="B119" s="25"/>
      <c r="C119" s="25"/>
      <c r="D119" s="25"/>
      <c r="E119" s="25"/>
      <c r="F119" s="25"/>
      <c r="G119" s="25"/>
      <c r="H119" s="25"/>
      <c r="I119" s="175"/>
      <c r="J119" s="17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</row>
    <row r="120" customFormat="1" spans="1:22">
      <c r="A120" s="175"/>
      <c r="B120" s="25"/>
      <c r="C120" s="25"/>
      <c r="D120" s="25"/>
      <c r="E120" s="25"/>
      <c r="F120" s="25"/>
      <c r="G120" s="25"/>
      <c r="H120" s="25"/>
      <c r="I120" s="175"/>
      <c r="J120" s="17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</row>
    <row r="121" customFormat="1" spans="1:22">
      <c r="A121" s="175"/>
      <c r="B121" s="25"/>
      <c r="C121" s="25"/>
      <c r="D121" s="25"/>
      <c r="E121" s="25"/>
      <c r="F121" s="25"/>
      <c r="G121" s="25"/>
      <c r="H121" s="25"/>
      <c r="I121" s="175"/>
      <c r="J121" s="17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</row>
    <row r="122" customFormat="1" spans="1:22">
      <c r="A122" s="175"/>
      <c r="B122" s="25"/>
      <c r="C122" s="25"/>
      <c r="D122" s="25"/>
      <c r="E122" s="25"/>
      <c r="F122" s="25"/>
      <c r="G122" s="25"/>
      <c r="H122" s="25"/>
      <c r="I122" s="175"/>
      <c r="J122" s="17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</row>
    <row r="123" customFormat="1" spans="1:22">
      <c r="A123" s="29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2"/>
    </row>
    <row r="124" customFormat="1" spans="1:22">
      <c r="A124" s="173" t="s">
        <v>91</v>
      </c>
      <c r="B124" s="173"/>
      <c r="C124" s="174"/>
      <c r="D124" s="174"/>
      <c r="E124" s="174"/>
      <c r="F124" s="174"/>
      <c r="G124" s="174"/>
      <c r="H124" s="174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8"/>
      <c r="V124" s="8"/>
    </row>
    <row r="125" customFormat="1" spans="1:22">
      <c r="A125" s="175" t="s">
        <v>84</v>
      </c>
      <c r="B125" s="25"/>
      <c r="C125" s="25"/>
      <c r="D125" s="174"/>
      <c r="E125" s="174"/>
      <c r="F125" s="174"/>
      <c r="G125" s="174"/>
      <c r="H125" s="174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8"/>
      <c r="V125" s="8"/>
    </row>
    <row r="126" customFormat="1" spans="1:22">
      <c r="A126" s="175"/>
      <c r="B126" s="25"/>
      <c r="C126" s="25"/>
      <c r="D126" s="174"/>
      <c r="E126" s="174"/>
      <c r="F126" s="174"/>
      <c r="G126" s="174"/>
      <c r="H126" s="174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8"/>
      <c r="V126" s="8"/>
    </row>
    <row r="127" customFormat="1" spans="1:22">
      <c r="A127" s="175" t="s">
        <v>85</v>
      </c>
      <c r="B127" s="25"/>
      <c r="C127" s="25"/>
      <c r="D127" s="174"/>
      <c r="E127" s="174"/>
      <c r="F127" s="174"/>
      <c r="G127" s="174"/>
      <c r="H127" s="174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8"/>
      <c r="V127" s="8"/>
    </row>
    <row r="128" customFormat="1" spans="1:22">
      <c r="A128" s="175"/>
      <c r="B128" s="25"/>
      <c r="C128" s="25"/>
      <c r="D128" s="174"/>
      <c r="E128" s="174"/>
      <c r="F128" s="174"/>
      <c r="G128" s="174"/>
      <c r="H128" s="174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8"/>
      <c r="V128" s="8"/>
    </row>
    <row r="129" customFormat="1" spans="1:22">
      <c r="A129" s="175" t="s">
        <v>86</v>
      </c>
      <c r="B129" s="25"/>
      <c r="C129" s="25"/>
      <c r="D129" s="25"/>
      <c r="E129" s="25"/>
      <c r="F129" s="25"/>
      <c r="G129" s="25"/>
      <c r="H129" s="25"/>
      <c r="I129" s="175" t="s">
        <v>87</v>
      </c>
      <c r="J129" s="17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</row>
    <row r="130" customFormat="1" spans="1:22">
      <c r="A130" s="175"/>
      <c r="B130" s="25"/>
      <c r="C130" s="25"/>
      <c r="D130" s="25"/>
      <c r="E130" s="25"/>
      <c r="F130" s="25"/>
      <c r="G130" s="25"/>
      <c r="H130" s="25"/>
      <c r="I130" s="175"/>
      <c r="J130" s="17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</row>
    <row r="131" customFormat="1" spans="1:22">
      <c r="A131" s="175"/>
      <c r="B131" s="25"/>
      <c r="C131" s="25"/>
      <c r="D131" s="25"/>
      <c r="E131" s="25"/>
      <c r="F131" s="25"/>
      <c r="G131" s="25"/>
      <c r="H131" s="25"/>
      <c r="I131" s="175"/>
      <c r="J131" s="17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</row>
    <row r="132" customFormat="1" spans="1:22">
      <c r="A132" s="175"/>
      <c r="B132" s="25"/>
      <c r="C132" s="25"/>
      <c r="D132" s="25"/>
      <c r="E132" s="25"/>
      <c r="F132" s="25"/>
      <c r="G132" s="25"/>
      <c r="H132" s="25"/>
      <c r="I132" s="175"/>
      <c r="J132" s="17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</row>
    <row r="133" customFormat="1" spans="1:22">
      <c r="A133" s="175"/>
      <c r="B133" s="25"/>
      <c r="C133" s="25"/>
      <c r="D133" s="25"/>
      <c r="E133" s="25"/>
      <c r="F133" s="25"/>
      <c r="G133" s="25"/>
      <c r="H133" s="25"/>
      <c r="I133" s="175"/>
      <c r="J133" s="17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</row>
    <row r="134" customFormat="1" spans="1:22">
      <c r="A134" s="175"/>
      <c r="B134" s="25"/>
      <c r="C134" s="25"/>
      <c r="D134" s="25"/>
      <c r="E134" s="25"/>
      <c r="F134" s="25"/>
      <c r="G134" s="25"/>
      <c r="H134" s="25"/>
      <c r="I134" s="175"/>
      <c r="J134" s="17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</row>
    <row r="135" customFormat="1" spans="1:22">
      <c r="A135" s="175"/>
      <c r="B135" s="25"/>
      <c r="C135" s="25"/>
      <c r="D135" s="25"/>
      <c r="E135" s="25"/>
      <c r="F135" s="25"/>
      <c r="G135" s="25"/>
      <c r="H135" s="25"/>
      <c r="I135" s="175"/>
      <c r="J135" s="17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</row>
    <row r="136" customFormat="1" spans="1:22">
      <c r="A136" s="175" t="s">
        <v>88</v>
      </c>
      <c r="B136" s="25"/>
      <c r="C136" s="25"/>
      <c r="D136" s="25"/>
      <c r="E136" s="25"/>
      <c r="F136" s="25"/>
      <c r="G136" s="25"/>
      <c r="H136" s="25"/>
      <c r="I136" s="175" t="s">
        <v>89</v>
      </c>
      <c r="J136" s="17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</row>
    <row r="137" customFormat="1" spans="1:22">
      <c r="A137" s="175"/>
      <c r="B137" s="25"/>
      <c r="C137" s="25"/>
      <c r="D137" s="25"/>
      <c r="E137" s="25"/>
      <c r="F137" s="25"/>
      <c r="G137" s="25"/>
      <c r="H137" s="25"/>
      <c r="I137" s="175"/>
      <c r="J137" s="17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</row>
    <row r="138" customFormat="1" spans="1:22">
      <c r="A138" s="175"/>
      <c r="B138" s="25"/>
      <c r="C138" s="25"/>
      <c r="D138" s="25"/>
      <c r="E138" s="25"/>
      <c r="F138" s="25"/>
      <c r="G138" s="25"/>
      <c r="H138" s="25"/>
      <c r="I138" s="175"/>
      <c r="J138" s="17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</row>
    <row r="139" customFormat="1" spans="1:22">
      <c r="A139" s="175"/>
      <c r="B139" s="25"/>
      <c r="C139" s="25"/>
      <c r="D139" s="25"/>
      <c r="E139" s="25"/>
      <c r="F139" s="25"/>
      <c r="G139" s="25"/>
      <c r="H139" s="25"/>
      <c r="I139" s="175"/>
      <c r="J139" s="17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</row>
    <row r="140" customFormat="1" spans="1:22">
      <c r="A140" s="175"/>
      <c r="B140" s="25"/>
      <c r="C140" s="25"/>
      <c r="D140" s="25"/>
      <c r="E140" s="25"/>
      <c r="F140" s="25"/>
      <c r="G140" s="25"/>
      <c r="H140" s="25"/>
      <c r="I140" s="175"/>
      <c r="J140" s="17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</row>
    <row r="141" customFormat="1" spans="1:22">
      <c r="A141" s="175"/>
      <c r="B141" s="25"/>
      <c r="C141" s="25"/>
      <c r="D141" s="25"/>
      <c r="E141" s="25"/>
      <c r="F141" s="25"/>
      <c r="G141" s="25"/>
      <c r="H141" s="25"/>
      <c r="I141" s="175"/>
      <c r="J141" s="17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</row>
    <row r="142" customFormat="1" spans="1:22">
      <c r="A142" s="175"/>
      <c r="B142" s="25"/>
      <c r="C142" s="25"/>
      <c r="D142" s="25"/>
      <c r="E142" s="25"/>
      <c r="F142" s="25"/>
      <c r="G142" s="25"/>
      <c r="H142" s="25"/>
      <c r="I142" s="175"/>
      <c r="J142" s="17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</row>
  </sheetData>
  <mergeCells count="389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33:B33"/>
    <mergeCell ref="A34:B34"/>
    <mergeCell ref="C35:G35"/>
    <mergeCell ref="H35:L35"/>
    <mergeCell ref="A37:B37"/>
    <mergeCell ref="C37:L37"/>
    <mergeCell ref="A38:B38"/>
    <mergeCell ref="C38:L38"/>
    <mergeCell ref="I47:J47"/>
    <mergeCell ref="K47:L47"/>
    <mergeCell ref="M47:N47"/>
    <mergeCell ref="O47:P47"/>
    <mergeCell ref="Q47:R47"/>
    <mergeCell ref="S47:T47"/>
    <mergeCell ref="I48:J48"/>
    <mergeCell ref="K48:L48"/>
    <mergeCell ref="M48:N48"/>
    <mergeCell ref="O48:P48"/>
    <mergeCell ref="Q48:R48"/>
    <mergeCell ref="S48:T48"/>
    <mergeCell ref="I49:J49"/>
    <mergeCell ref="K49:L49"/>
    <mergeCell ref="M49:N49"/>
    <mergeCell ref="O49:P49"/>
    <mergeCell ref="Q49:R49"/>
    <mergeCell ref="S49:T49"/>
    <mergeCell ref="I50:J50"/>
    <mergeCell ref="K50:L50"/>
    <mergeCell ref="M50:N50"/>
    <mergeCell ref="O50:P50"/>
    <mergeCell ref="Q50:R50"/>
    <mergeCell ref="S50:T50"/>
    <mergeCell ref="I51:J51"/>
    <mergeCell ref="K51:L51"/>
    <mergeCell ref="M51:N51"/>
    <mergeCell ref="O51:P51"/>
    <mergeCell ref="Q51:R51"/>
    <mergeCell ref="S51:T51"/>
    <mergeCell ref="I52:J52"/>
    <mergeCell ref="K52:L52"/>
    <mergeCell ref="M52:N52"/>
    <mergeCell ref="O52:P52"/>
    <mergeCell ref="Q52:R52"/>
    <mergeCell ref="S52:T52"/>
    <mergeCell ref="I53:J53"/>
    <mergeCell ref="K53:L53"/>
    <mergeCell ref="M53:N53"/>
    <mergeCell ref="O53:P53"/>
    <mergeCell ref="Q53:R53"/>
    <mergeCell ref="S53:T53"/>
    <mergeCell ref="I54:J54"/>
    <mergeCell ref="K54:L54"/>
    <mergeCell ref="M54:N54"/>
    <mergeCell ref="O54:P54"/>
    <mergeCell ref="Q54:R54"/>
    <mergeCell ref="S54:T54"/>
    <mergeCell ref="I55:J55"/>
    <mergeCell ref="K55:L55"/>
    <mergeCell ref="M55:N55"/>
    <mergeCell ref="O55:P55"/>
    <mergeCell ref="Q55:R55"/>
    <mergeCell ref="S55:T55"/>
    <mergeCell ref="I56:J56"/>
    <mergeCell ref="K56:L56"/>
    <mergeCell ref="M56:N56"/>
    <mergeCell ref="O56:P56"/>
    <mergeCell ref="Q56:R56"/>
    <mergeCell ref="S56:T56"/>
    <mergeCell ref="I57:J57"/>
    <mergeCell ref="K57:L57"/>
    <mergeCell ref="M57:N57"/>
    <mergeCell ref="O57:P57"/>
    <mergeCell ref="Q57:R57"/>
    <mergeCell ref="S57:T57"/>
    <mergeCell ref="I58:J58"/>
    <mergeCell ref="K58:L58"/>
    <mergeCell ref="M58:N58"/>
    <mergeCell ref="O58:P58"/>
    <mergeCell ref="Q58:R58"/>
    <mergeCell ref="S58:T58"/>
    <mergeCell ref="I59:J59"/>
    <mergeCell ref="K59:L59"/>
    <mergeCell ref="M59:N59"/>
    <mergeCell ref="O59:P59"/>
    <mergeCell ref="Q59:R59"/>
    <mergeCell ref="S59:T59"/>
    <mergeCell ref="I60:J60"/>
    <mergeCell ref="K60:L60"/>
    <mergeCell ref="M60:N60"/>
    <mergeCell ref="O60:P60"/>
    <mergeCell ref="Q60:R60"/>
    <mergeCell ref="S60:T60"/>
    <mergeCell ref="I61:J61"/>
    <mergeCell ref="K61:L61"/>
    <mergeCell ref="M61:N61"/>
    <mergeCell ref="O61:P61"/>
    <mergeCell ref="Q61:R61"/>
    <mergeCell ref="S61:T61"/>
    <mergeCell ref="I62:J62"/>
    <mergeCell ref="K62:L62"/>
    <mergeCell ref="M62:N62"/>
    <mergeCell ref="O62:P62"/>
    <mergeCell ref="Q62:R62"/>
    <mergeCell ref="S62:T62"/>
    <mergeCell ref="I63:J63"/>
    <mergeCell ref="K63:L63"/>
    <mergeCell ref="M63:N63"/>
    <mergeCell ref="O63:P63"/>
    <mergeCell ref="Q63:R63"/>
    <mergeCell ref="S63:T63"/>
    <mergeCell ref="I64:J64"/>
    <mergeCell ref="K64:L64"/>
    <mergeCell ref="M64:N64"/>
    <mergeCell ref="O64:P64"/>
    <mergeCell ref="Q64:R64"/>
    <mergeCell ref="S64:T64"/>
    <mergeCell ref="I65:J65"/>
    <mergeCell ref="K65:L65"/>
    <mergeCell ref="M65:N65"/>
    <mergeCell ref="O65:P65"/>
    <mergeCell ref="Q65:R65"/>
    <mergeCell ref="S65:T65"/>
    <mergeCell ref="I66:J66"/>
    <mergeCell ref="K66:L66"/>
    <mergeCell ref="M66:N66"/>
    <mergeCell ref="O66:P66"/>
    <mergeCell ref="Q66:R66"/>
    <mergeCell ref="S66:T66"/>
    <mergeCell ref="I67:J67"/>
    <mergeCell ref="K67:L67"/>
    <mergeCell ref="M67:N67"/>
    <mergeCell ref="O67:P67"/>
    <mergeCell ref="Q67:R67"/>
    <mergeCell ref="S67:T67"/>
    <mergeCell ref="I68:J68"/>
    <mergeCell ref="K68:L68"/>
    <mergeCell ref="M68:N68"/>
    <mergeCell ref="O68:P68"/>
    <mergeCell ref="Q68:R68"/>
    <mergeCell ref="S68:T68"/>
    <mergeCell ref="I69:J69"/>
    <mergeCell ref="K69:L69"/>
    <mergeCell ref="M69:N69"/>
    <mergeCell ref="O69:P69"/>
    <mergeCell ref="Q69:R69"/>
    <mergeCell ref="S69:T69"/>
    <mergeCell ref="I70:J70"/>
    <mergeCell ref="K70:L70"/>
    <mergeCell ref="M70:N70"/>
    <mergeCell ref="O70:P70"/>
    <mergeCell ref="Q70:R70"/>
    <mergeCell ref="S70:T70"/>
    <mergeCell ref="I71:J71"/>
    <mergeCell ref="K71:L71"/>
    <mergeCell ref="M71:N71"/>
    <mergeCell ref="O71:P71"/>
    <mergeCell ref="Q71:R71"/>
    <mergeCell ref="S71:T71"/>
    <mergeCell ref="I72:J72"/>
    <mergeCell ref="K72:L72"/>
    <mergeCell ref="M72:N72"/>
    <mergeCell ref="O72:P72"/>
    <mergeCell ref="Q72:R72"/>
    <mergeCell ref="S72:T72"/>
    <mergeCell ref="I73:J73"/>
    <mergeCell ref="K73:L73"/>
    <mergeCell ref="M73:N73"/>
    <mergeCell ref="O73:P73"/>
    <mergeCell ref="Q73:R73"/>
    <mergeCell ref="S73:T73"/>
    <mergeCell ref="I74:J74"/>
    <mergeCell ref="K74:L74"/>
    <mergeCell ref="M74:N74"/>
    <mergeCell ref="O74:P74"/>
    <mergeCell ref="Q74:R74"/>
    <mergeCell ref="S74:T74"/>
    <mergeCell ref="I75:J75"/>
    <mergeCell ref="K75:L75"/>
    <mergeCell ref="M75:N75"/>
    <mergeCell ref="O75:P75"/>
    <mergeCell ref="Q75:R75"/>
    <mergeCell ref="S75:T75"/>
    <mergeCell ref="I76:J76"/>
    <mergeCell ref="K76:L76"/>
    <mergeCell ref="M76:N76"/>
    <mergeCell ref="O76:P76"/>
    <mergeCell ref="Q76:R76"/>
    <mergeCell ref="S76:T76"/>
    <mergeCell ref="I77:J77"/>
    <mergeCell ref="K77:L77"/>
    <mergeCell ref="M77:N77"/>
    <mergeCell ref="O77:P77"/>
    <mergeCell ref="Q77:R77"/>
    <mergeCell ref="S77:T77"/>
    <mergeCell ref="I78:J78"/>
    <mergeCell ref="K78:L78"/>
    <mergeCell ref="M78:N78"/>
    <mergeCell ref="O78:P78"/>
    <mergeCell ref="Q78:R78"/>
    <mergeCell ref="S78:T78"/>
    <mergeCell ref="I79:J79"/>
    <mergeCell ref="K79:L79"/>
    <mergeCell ref="M79:N79"/>
    <mergeCell ref="O79:P79"/>
    <mergeCell ref="Q79:R79"/>
    <mergeCell ref="S79:T79"/>
    <mergeCell ref="I80:J80"/>
    <mergeCell ref="K80:L80"/>
    <mergeCell ref="M80:N80"/>
    <mergeCell ref="O80:P80"/>
    <mergeCell ref="Q80:R80"/>
    <mergeCell ref="S80:T80"/>
    <mergeCell ref="I81:J81"/>
    <mergeCell ref="K81:L81"/>
    <mergeCell ref="M81:N81"/>
    <mergeCell ref="O81:P81"/>
    <mergeCell ref="Q81:R81"/>
    <mergeCell ref="S81:T81"/>
    <mergeCell ref="I82:J82"/>
    <mergeCell ref="K82:L82"/>
    <mergeCell ref="M82:N82"/>
    <mergeCell ref="O82:P82"/>
    <mergeCell ref="Q82:R82"/>
    <mergeCell ref="S82:T82"/>
    <mergeCell ref="I83:J83"/>
    <mergeCell ref="K83:L83"/>
    <mergeCell ref="M83:N83"/>
    <mergeCell ref="O83:P83"/>
    <mergeCell ref="Q83:R83"/>
    <mergeCell ref="S83:T83"/>
    <mergeCell ref="A84:B84"/>
    <mergeCell ref="C84:E84"/>
    <mergeCell ref="I84:J84"/>
    <mergeCell ref="K84:L84"/>
    <mergeCell ref="M84:N84"/>
    <mergeCell ref="O84:P84"/>
    <mergeCell ref="Q84:R84"/>
    <mergeCell ref="S84:T84"/>
    <mergeCell ref="I85:J85"/>
    <mergeCell ref="K85:L85"/>
    <mergeCell ref="M85:N85"/>
    <mergeCell ref="O85:P85"/>
    <mergeCell ref="Q85:R85"/>
    <mergeCell ref="S85:T85"/>
    <mergeCell ref="I86:J86"/>
    <mergeCell ref="K86:L86"/>
    <mergeCell ref="M86:N86"/>
    <mergeCell ref="O86:P86"/>
    <mergeCell ref="Q86:R86"/>
    <mergeCell ref="S86:T86"/>
    <mergeCell ref="I87:J87"/>
    <mergeCell ref="K87:L87"/>
    <mergeCell ref="M87:N87"/>
    <mergeCell ref="O87:P87"/>
    <mergeCell ref="Q87:R87"/>
    <mergeCell ref="S87:T87"/>
    <mergeCell ref="I88:J88"/>
    <mergeCell ref="K88:L88"/>
    <mergeCell ref="M88:N88"/>
    <mergeCell ref="O88:P88"/>
    <mergeCell ref="Q88:R88"/>
    <mergeCell ref="S88:T88"/>
    <mergeCell ref="A103:V103"/>
    <mergeCell ref="A104:B104"/>
    <mergeCell ref="C104:E104"/>
    <mergeCell ref="I104:J104"/>
    <mergeCell ref="K104:L104"/>
    <mergeCell ref="M104:N104"/>
    <mergeCell ref="O104:P104"/>
    <mergeCell ref="Q104:R104"/>
    <mergeCell ref="S104:T104"/>
    <mergeCell ref="I105:J105"/>
    <mergeCell ref="K105:L105"/>
    <mergeCell ref="M105:N105"/>
    <mergeCell ref="O105:P105"/>
    <mergeCell ref="Q105:R105"/>
    <mergeCell ref="S105:T105"/>
    <mergeCell ref="I106:J106"/>
    <mergeCell ref="K106:L106"/>
    <mergeCell ref="M106:N106"/>
    <mergeCell ref="O106:P106"/>
    <mergeCell ref="Q106:R106"/>
    <mergeCell ref="S106:T106"/>
    <mergeCell ref="I107:J107"/>
    <mergeCell ref="K107:L107"/>
    <mergeCell ref="M107:N107"/>
    <mergeCell ref="O107:P107"/>
    <mergeCell ref="Q107:R107"/>
    <mergeCell ref="S107:T107"/>
    <mergeCell ref="I108:J108"/>
    <mergeCell ref="K108:L108"/>
    <mergeCell ref="M108:N108"/>
    <mergeCell ref="O108:P108"/>
    <mergeCell ref="Q108:R108"/>
    <mergeCell ref="S108:T108"/>
    <mergeCell ref="A123:V123"/>
    <mergeCell ref="A124:B124"/>
    <mergeCell ref="C124:E124"/>
    <mergeCell ref="I124:J124"/>
    <mergeCell ref="K124:L124"/>
    <mergeCell ref="M124:N124"/>
    <mergeCell ref="O124:P124"/>
    <mergeCell ref="Q124:R124"/>
    <mergeCell ref="S124:T124"/>
    <mergeCell ref="I125:J125"/>
    <mergeCell ref="K125:L125"/>
    <mergeCell ref="M125:N125"/>
    <mergeCell ref="O125:P125"/>
    <mergeCell ref="Q125:R125"/>
    <mergeCell ref="S125:T125"/>
    <mergeCell ref="I126:J126"/>
    <mergeCell ref="K126:L126"/>
    <mergeCell ref="M126:N126"/>
    <mergeCell ref="O126:P126"/>
    <mergeCell ref="Q126:R126"/>
    <mergeCell ref="S126:T126"/>
    <mergeCell ref="I127:J127"/>
    <mergeCell ref="K127:L127"/>
    <mergeCell ref="M127:N127"/>
    <mergeCell ref="O127:P127"/>
    <mergeCell ref="Q127:R127"/>
    <mergeCell ref="S127:T127"/>
    <mergeCell ref="I128:J128"/>
    <mergeCell ref="K128:L128"/>
    <mergeCell ref="M128:N128"/>
    <mergeCell ref="O128:P128"/>
    <mergeCell ref="Q128:R128"/>
    <mergeCell ref="S128:T128"/>
    <mergeCell ref="A39:A45"/>
    <mergeCell ref="A50:A52"/>
    <mergeCell ref="A56:A58"/>
    <mergeCell ref="A62:A64"/>
    <mergeCell ref="A68:A70"/>
    <mergeCell ref="A74:A76"/>
    <mergeCell ref="A80:A82"/>
    <mergeCell ref="A85:A86"/>
    <mergeCell ref="A87:A88"/>
    <mergeCell ref="A89:A95"/>
    <mergeCell ref="A96:A102"/>
    <mergeCell ref="A105:A106"/>
    <mergeCell ref="A107:A108"/>
    <mergeCell ref="A109:A115"/>
    <mergeCell ref="A116:A122"/>
    <mergeCell ref="A125:A126"/>
    <mergeCell ref="A127:A128"/>
    <mergeCell ref="A129:A135"/>
    <mergeCell ref="A136:A142"/>
    <mergeCell ref="A16:B22"/>
    <mergeCell ref="A23:B27"/>
    <mergeCell ref="A28:B32"/>
    <mergeCell ref="A35:B36"/>
    <mergeCell ref="B85:C86"/>
    <mergeCell ref="B87:C88"/>
    <mergeCell ref="B89:H95"/>
    <mergeCell ref="I89:J95"/>
    <mergeCell ref="K89:V95"/>
    <mergeCell ref="B96:H102"/>
    <mergeCell ref="I96:J102"/>
    <mergeCell ref="K96:V102"/>
    <mergeCell ref="B105:C106"/>
    <mergeCell ref="B107:C108"/>
    <mergeCell ref="B109:H115"/>
    <mergeCell ref="I109:J115"/>
    <mergeCell ref="K109:V115"/>
    <mergeCell ref="B116:H122"/>
    <mergeCell ref="I116:J122"/>
    <mergeCell ref="K116:V122"/>
    <mergeCell ref="B125:C126"/>
    <mergeCell ref="B127:C128"/>
    <mergeCell ref="B129:H135"/>
    <mergeCell ref="I129:J135"/>
    <mergeCell ref="K129:V135"/>
    <mergeCell ref="B136:H142"/>
    <mergeCell ref="I136:J142"/>
    <mergeCell ref="K136:V14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8"/>
  <sheetViews>
    <sheetView topLeftCell="A46" workbookViewId="0">
      <selection activeCell="O21" sqref="O21:Z40"/>
    </sheetView>
  </sheetViews>
  <sheetFormatPr defaultColWidth="9" defaultRowHeight="13.5"/>
  <sheetData>
    <row r="1" spans="1:26">
      <c r="A1" s="24" t="s">
        <v>92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4" t="s">
        <v>93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>
      <c r="A2" s="26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>
      <c r="A3" s="26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6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>
      <c r="A4" s="26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6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>
      <c r="A5" s="26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6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>
      <c r="A6" s="26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6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>
      <c r="A7" s="26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6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>
      <c r="A8" s="26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6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>
      <c r="A9" s="26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6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>
      <c r="A10" s="26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6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>
      <c r="A11" s="26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6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>
      <c r="A12" s="26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6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>
      <c r="A13" s="26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6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>
      <c r="A14" s="26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6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>
      <c r="A15" s="26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6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>
      <c r="A16" s="26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6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>
      <c r="A17" s="26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6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>
      <c r="A18" s="26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6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>
      <c r="A19" s="26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6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>
      <c r="A20" s="26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6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>
      <c r="A21" s="24" t="s">
        <v>94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 t="s">
        <v>95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>
      <c r="A22" s="26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6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>
      <c r="A23" s="26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6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>
      <c r="A24" s="26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6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>
      <c r="A25" s="26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6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>
      <c r="A26" s="26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6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>
      <c r="A27" s="26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6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>
      <c r="A28" s="26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6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>
      <c r="A29" s="26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6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>
      <c r="A30" s="26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6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>
      <c r="A31" s="26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6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>
      <c r="A32" s="26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6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>
      <c r="A33" s="26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6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>
      <c r="A34" s="26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6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>
      <c r="A35" s="26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6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>
      <c r="A36" s="26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6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>
      <c r="A37" s="26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6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>
      <c r="A38" s="26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6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>
      <c r="A39" s="26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6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>
      <c r="A40" s="26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6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>
      <c r="A41" s="24" t="s">
        <v>96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4" t="s">
        <v>97</v>
      </c>
      <c r="O41" s="31" t="s">
        <v>98</v>
      </c>
      <c r="P41" s="31"/>
      <c r="Q41" s="31"/>
      <c r="R41" s="31"/>
      <c r="S41" s="31"/>
      <c r="T41" s="31"/>
      <c r="U41" s="31" t="s">
        <v>99</v>
      </c>
      <c r="V41" s="31"/>
      <c r="W41" s="31"/>
      <c r="X41" s="31"/>
      <c r="Y41" s="31"/>
      <c r="Z41" s="31"/>
    </row>
    <row r="42" spans="1:26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6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>
      <c r="A43" s="26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6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>
      <c r="A44" s="26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6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>
      <c r="A45" s="26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6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>
      <c r="A46" s="26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6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>
      <c r="A47" s="26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6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>
      <c r="A48" s="26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6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>
      <c r="A49" s="26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6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>
      <c r="A50" s="26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6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>
      <c r="A51" s="26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6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>
      <c r="A52" s="26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6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>
      <c r="A53" s="26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6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>
      <c r="A54" s="26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6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>
      <c r="A55" s="26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6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>
      <c r="A56" s="26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6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>
      <c r="A57" s="26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6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>
      <c r="A58" s="26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6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>
      <c r="A59" s="26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6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>
      <c r="A60" s="26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6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>
      <c r="A61" s="27" t="s">
        <v>100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>
      <c r="A63" s="28" t="s">
        <v>101</v>
      </c>
      <c r="B63" s="29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2"/>
    </row>
    <row r="64" spans="1:26">
      <c r="A64" s="28" t="s">
        <v>102</v>
      </c>
      <c r="B64" s="29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2"/>
    </row>
    <row r="65" spans="1:26">
      <c r="A65" s="28" t="s">
        <v>103</v>
      </c>
      <c r="B65" s="29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2"/>
    </row>
    <row r="66" spans="1:26">
      <c r="A66" s="28" t="s">
        <v>104</v>
      </c>
      <c r="B66" s="29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2"/>
    </row>
    <row r="67" spans="1:26">
      <c r="A67" s="28" t="s">
        <v>105</v>
      </c>
      <c r="B67" s="29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2"/>
    </row>
    <row r="68" spans="1:26">
      <c r="A68" s="28" t="s">
        <v>106</v>
      </c>
      <c r="B68" s="29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2"/>
    </row>
  </sheetData>
  <mergeCells count="22">
    <mergeCell ref="B63:Z63"/>
    <mergeCell ref="B64:Z64"/>
    <mergeCell ref="B65:Z65"/>
    <mergeCell ref="B66:Z66"/>
    <mergeCell ref="B67:Z67"/>
    <mergeCell ref="B68:Z68"/>
    <mergeCell ref="A1:A20"/>
    <mergeCell ref="A21:A40"/>
    <mergeCell ref="A41:A60"/>
    <mergeCell ref="N1:N20"/>
    <mergeCell ref="N21:N40"/>
    <mergeCell ref="N41:N60"/>
    <mergeCell ref="B1:M20"/>
    <mergeCell ref="O1:Z20"/>
    <mergeCell ref="B21:M40"/>
    <mergeCell ref="O21:Z40"/>
    <mergeCell ref="B41:M60"/>
    <mergeCell ref="O41:T42"/>
    <mergeCell ref="U41:Z42"/>
    <mergeCell ref="O43:T60"/>
    <mergeCell ref="U43:Z60"/>
    <mergeCell ref="A61:Z6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"/>
  <sheetViews>
    <sheetView tabSelected="1" workbookViewId="0">
      <selection activeCell="M9" sqref="M9"/>
    </sheetView>
  </sheetViews>
  <sheetFormatPr defaultColWidth="9" defaultRowHeight="13.5"/>
  <cols>
    <col min="1" max="3" width="8.625" customWidth="1"/>
    <col min="4" max="13" width="8.625" style="1" customWidth="1"/>
    <col min="14" max="14" width="8.625" style="2" customWidth="1"/>
    <col min="15" max="21" width="8.625" style="1" customWidth="1"/>
    <col min="22" max="22" width="8.625" style="2" customWidth="1"/>
    <col min="23" max="24" width="8.625" style="1" customWidth="1"/>
    <col min="25" max="25" width="8.625" style="2" customWidth="1"/>
  </cols>
  <sheetData>
    <row r="1" ht="40.5" spans="1:31">
      <c r="A1" s="3" t="s">
        <v>107</v>
      </c>
      <c r="B1" s="3" t="s">
        <v>2</v>
      </c>
      <c r="C1" s="3" t="s">
        <v>1</v>
      </c>
      <c r="D1" s="4" t="s">
        <v>40</v>
      </c>
      <c r="E1" s="5" t="s">
        <v>41</v>
      </c>
      <c r="F1" s="6" t="s">
        <v>42</v>
      </c>
      <c r="G1" s="5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108</v>
      </c>
      <c r="M1" s="13" t="s">
        <v>48</v>
      </c>
      <c r="N1" s="14" t="s">
        <v>49</v>
      </c>
      <c r="O1" s="15" t="s">
        <v>50</v>
      </c>
      <c r="P1" s="15" t="s">
        <v>51</v>
      </c>
      <c r="Q1" s="15" t="s">
        <v>52</v>
      </c>
      <c r="R1" s="15" t="s">
        <v>53</v>
      </c>
      <c r="S1" s="15" t="s">
        <v>54</v>
      </c>
      <c r="T1" s="13" t="s">
        <v>55</v>
      </c>
      <c r="U1" s="13" t="s">
        <v>56</v>
      </c>
      <c r="V1" s="14" t="s">
        <v>57</v>
      </c>
      <c r="W1" s="18" t="s">
        <v>58</v>
      </c>
      <c r="X1" s="18" t="s">
        <v>59</v>
      </c>
      <c r="Y1" s="21" t="s">
        <v>60</v>
      </c>
      <c r="Z1" s="22" t="s">
        <v>109</v>
      </c>
      <c r="AA1" s="22" t="s">
        <v>110</v>
      </c>
      <c r="AB1" s="23" t="s">
        <v>111</v>
      </c>
      <c r="AC1" s="22" t="s">
        <v>112</v>
      </c>
      <c r="AD1" s="22" t="s">
        <v>113</v>
      </c>
      <c r="AE1" s="22" t="s">
        <v>114</v>
      </c>
    </row>
    <row r="2" ht="30" customHeight="1" spans="1:31">
      <c r="A2" s="8"/>
      <c r="B2" s="8"/>
      <c r="C2" s="9"/>
      <c r="D2" s="10">
        <v>59.99</v>
      </c>
      <c r="E2" s="11">
        <f>D2*0.15</f>
        <v>8.9985</v>
      </c>
      <c r="F2" s="12">
        <v>6.56</v>
      </c>
      <c r="G2" s="12">
        <f>E2+F2</f>
        <v>15.5585</v>
      </c>
      <c r="H2" s="12">
        <v>140</v>
      </c>
      <c r="I2" s="12">
        <f>H2/W2</f>
        <v>19.7183098591549</v>
      </c>
      <c r="J2" s="12">
        <f>(MAX(AA2:AB2)*Z2)</f>
        <v>0</v>
      </c>
      <c r="K2" s="12">
        <f>J2/W2</f>
        <v>0</v>
      </c>
      <c r="L2" s="12">
        <v>0.8</v>
      </c>
      <c r="M2" s="16">
        <f>D2-G2-I2-K2-L2</f>
        <v>23.9131901408451</v>
      </c>
      <c r="N2" s="17">
        <f>M2/D2</f>
        <v>0.398619605615021</v>
      </c>
      <c r="O2" s="12">
        <f>D2*0.1</f>
        <v>5.999</v>
      </c>
      <c r="P2" s="12">
        <f>D2*0.1</f>
        <v>5.999</v>
      </c>
      <c r="Q2" s="12">
        <f>D2*0.05</f>
        <v>2.9995</v>
      </c>
      <c r="R2" s="12">
        <f>D2*0.005</f>
        <v>0.29995</v>
      </c>
      <c r="S2" s="12">
        <f>D2*0.003</f>
        <v>0.17997</v>
      </c>
      <c r="T2" s="12">
        <f>U2*W2</f>
        <v>59.8939680000002</v>
      </c>
      <c r="U2" s="19">
        <f>M2-O2-P2-Q2-R2-S2</f>
        <v>8.4357701408451</v>
      </c>
      <c r="V2" s="20">
        <f>U2/D2</f>
        <v>0.140619605615021</v>
      </c>
      <c r="W2" s="19">
        <v>7.1</v>
      </c>
      <c r="X2" s="19">
        <f>D2-G2</f>
        <v>44.4315</v>
      </c>
      <c r="Y2" s="20">
        <f>X2/(I2+K2+L2)</f>
        <v>2.16545613673806</v>
      </c>
      <c r="Z2" s="8"/>
      <c r="AA2" s="8"/>
      <c r="AB2" s="8">
        <f>(AC2*AD2*AE2)/6000</f>
        <v>0</v>
      </c>
      <c r="AC2" s="8"/>
      <c r="AD2" s="8"/>
      <c r="AE2" s="8"/>
    </row>
    <row r="3" ht="30" customHeight="1" spans="1:31">
      <c r="A3" s="8"/>
      <c r="B3" s="8"/>
      <c r="C3" s="9"/>
      <c r="D3" s="10"/>
      <c r="E3" s="11"/>
      <c r="F3" s="12"/>
      <c r="G3" s="12"/>
      <c r="H3" s="12"/>
      <c r="I3" s="12"/>
      <c r="J3" s="12"/>
      <c r="K3" s="12"/>
      <c r="L3" s="12"/>
      <c r="M3" s="16"/>
      <c r="N3" s="17"/>
      <c r="O3" s="12"/>
      <c r="P3" s="12"/>
      <c r="Q3" s="12"/>
      <c r="R3" s="12"/>
      <c r="S3" s="12"/>
      <c r="T3" s="12"/>
      <c r="U3" s="19"/>
      <c r="V3" s="20"/>
      <c r="W3" s="19"/>
      <c r="X3" s="19"/>
      <c r="Y3" s="20"/>
      <c r="Z3" s="8"/>
      <c r="AA3" s="8"/>
      <c r="AB3" s="8"/>
      <c r="AC3" s="8"/>
      <c r="AD3" s="8"/>
      <c r="AE3" s="8"/>
    </row>
    <row r="4" ht="30" customHeight="1" spans="1:31">
      <c r="A4" s="8"/>
      <c r="B4" s="8"/>
      <c r="C4" s="9"/>
      <c r="D4" s="10"/>
      <c r="E4" s="11"/>
      <c r="F4" s="12"/>
      <c r="G4" s="12"/>
      <c r="H4" s="12"/>
      <c r="I4" s="12"/>
      <c r="J4" s="12"/>
      <c r="K4" s="12"/>
      <c r="L4" s="12"/>
      <c r="M4" s="16"/>
      <c r="N4" s="17"/>
      <c r="O4" s="12"/>
      <c r="P4" s="12"/>
      <c r="Q4" s="12"/>
      <c r="R4" s="12"/>
      <c r="S4" s="12"/>
      <c r="T4" s="12"/>
      <c r="U4" s="19"/>
      <c r="V4" s="20"/>
      <c r="W4" s="19"/>
      <c r="X4" s="19"/>
      <c r="Y4" s="20"/>
      <c r="Z4" s="8"/>
      <c r="AA4" s="8"/>
      <c r="AB4" s="8"/>
      <c r="AC4" s="8"/>
      <c r="AD4" s="8"/>
      <c r="AE4" s="8"/>
    </row>
    <row r="5" ht="30" customHeight="1"/>
    <row r="6" ht="30" customHeight="1"/>
    <row r="7" ht="30" customHeight="1"/>
    <row r="8" ht="30" customHeight="1"/>
    <row r="9" ht="30" customHeight="1"/>
    <row r="10" ht="3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1-产品资料</vt:lpstr>
      <vt:lpstr>2-竞品调研</vt:lpstr>
      <vt:lpstr>3-市场分析</vt:lpstr>
      <vt:lpstr>4-利润核算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@青青</cp:lastModifiedBy>
  <dcterms:created xsi:type="dcterms:W3CDTF">2023-05-12T11:15:00Z</dcterms:created>
  <dcterms:modified xsi:type="dcterms:W3CDTF">2024-03-29T07:54:20Z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75ACB569B732443FBF32AC20820F392C_13</vt:lpwstr>
  </property>
</Properties>
</file>