
<file path=[Content_Types].xml><?xml version="1.0" encoding="utf-8"?>
<Types xmlns="http://schemas.openxmlformats.org/package/2006/content-types">
  <Default Extension="vml" ContentType="application/vnd.openxmlformats-officedocument.vmlDrawing"/>
  <Default Extension="bmp" ContentType="image/bm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140" tabRatio="870" firstSheet="4" activeTab="4"/>
  </bookViews>
  <sheets>
    <sheet name="说明" sheetId="9" state="hidden" r:id="rId1"/>
    <sheet name="跟进备注" sheetId="12" r:id="rId2"/>
    <sheet name="7.颜色分析（排名）" sheetId="11" r:id="rId3"/>
    <sheet name="6.颜色分析" sheetId="10" state="hidden" r:id="rId4"/>
    <sheet name="5.业务报告&amp;AD报告分析" sheetId="3" r:id="rId5"/>
    <sheet name="4.BusinessReport-1201-1214" sheetId="1" r:id="rId6"/>
    <sheet name="3.SKU处理-排名" sheetId="7" r:id="rId7"/>
    <sheet name="2.SKU透视表" sheetId="6" r:id="rId8"/>
    <sheet name=" 1.Advertised report  （SKU报告）" sheetId="5" r:id="rId9"/>
  </sheets>
  <definedNames>
    <definedName name="_xlnm._FilterDatabase" localSheetId="2" hidden="1">'7.颜色分析（排名）'!$A$4:$Q$24</definedName>
    <definedName name="_xlnm._FilterDatabase" localSheetId="4" hidden="1">'5.业务报告&amp;AD报告分析'!$A$3:$AE$6</definedName>
    <definedName name="_xlnm._FilterDatabase" localSheetId="5" hidden="1">'4.BusinessReport-1201-1214'!$A$1:$R$83</definedName>
    <definedName name="_xlnm._FilterDatabase" localSheetId="6" hidden="1">'3.SKU处理-排名'!$A$4:$J$7</definedName>
    <definedName name="_xlnm._FilterDatabase" localSheetId="8" hidden="1">' 1.Advertised report  （SKU报告）'!$A$1:$W$138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吴泽杏</author>
  </authors>
  <commentList>
    <comment ref="P4" authorId="0">
      <text>
        <r>
          <rPr>
            <b/>
            <sz val="9"/>
            <rFont val="宋体"/>
            <charset val="134"/>
          </rPr>
          <t>吴泽杏:</t>
        </r>
        <r>
          <rPr>
            <sz val="9"/>
            <rFont val="宋体"/>
            <charset val="134"/>
          </rPr>
          <t xml:space="preserve">
依赖广告出单；
广告出单到其他SKU上</t>
        </r>
      </text>
    </comment>
  </commentList>
</comments>
</file>

<file path=xl/sharedStrings.xml><?xml version="1.0" encoding="utf-8"?>
<sst xmlns="http://schemas.openxmlformats.org/spreadsheetml/2006/main" count="810" uniqueCount="186">
  <si>
    <t>数据源来源及数据处理步骤</t>
  </si>
  <si>
    <r>
      <rPr>
        <b/>
        <sz val="11"/>
        <color theme="1"/>
        <rFont val="微软雅黑"/>
        <charset val="134"/>
      </rPr>
      <t>1、下载数据源（4.business report和Advertised report），</t>
    </r>
    <r>
      <rPr>
        <b/>
        <sz val="11"/>
        <color rgb="FFFF0000"/>
        <rFont val="微软雅黑"/>
        <charset val="134"/>
      </rPr>
      <t>时间选择维度需统一</t>
    </r>
  </si>
  <si>
    <t>2、处理(2.SKU透视表-右键刷新）</t>
  </si>
  <si>
    <t>3、把sku透视表筛选好的数据贴进（3.SKU处理-排名表）中，步骤如下</t>
  </si>
  <si>
    <t>步骤1:筛选SKU透视表相应的SKU-复制粘贴数值A-D列</t>
  </si>
  <si>
    <t>步骤2：把“#DIV/0!”全部替换成“0”</t>
  </si>
  <si>
    <t>步骤3：下拉E-F列公式</t>
  </si>
  <si>
    <t>4、在（4.businessReport ）表中筛选要分析的SKU数据-复制到（5.业务报告&amp;AD报告分析）表格中，操作步骤如下：</t>
  </si>
  <si>
    <t>步骤1：给business报告中的第N列（即Ordered Product Sales）排序-降序</t>
  </si>
  <si>
    <t>步骤2：从business报告中复制已经筛选的SKU数据把A-Q列直接贴进来，对应的A-Q列，R-Y列均为公式不能动</t>
  </si>
  <si>
    <t>1、</t>
  </si>
  <si>
    <t>YDF11\B全部缺货严重</t>
  </si>
  <si>
    <t>2、</t>
  </si>
  <si>
    <t>YDF2、YDF1 可以加大推广，以及其他头部转化好的SKU，已单独创建TOP系列跟进</t>
  </si>
  <si>
    <t>3、</t>
  </si>
  <si>
    <t>无SP-M-广泛广告，目前开启一个只跑头部低流量的SKU+转化好的SKU</t>
  </si>
  <si>
    <t>步骤1:复制粘贴颜色分析A-I列</t>
  </si>
  <si>
    <t>步骤3：下拉J-P列公式</t>
  </si>
  <si>
    <t>颜色</t>
  </si>
  <si>
    <t>Sessions</t>
  </si>
  <si>
    <t>Units Ordered</t>
  </si>
  <si>
    <t>转化率</t>
  </si>
  <si>
    <t>广告Impressions</t>
  </si>
  <si>
    <t>广告Clicks</t>
  </si>
  <si>
    <t>广告orders</t>
  </si>
  <si>
    <t>CTR</t>
  </si>
  <si>
    <t>CR</t>
  </si>
  <si>
    <t>总流量排名</t>
  </si>
  <si>
    <t>总销量排名</t>
  </si>
  <si>
    <t>总转化率排名</t>
  </si>
  <si>
    <t>广告点击排名</t>
  </si>
  <si>
    <t>广告转化率CTR排名</t>
  </si>
  <si>
    <t>广告转化率CR排名</t>
  </si>
  <si>
    <t>广告订单贡献占比</t>
  </si>
  <si>
    <t>备注</t>
  </si>
  <si>
    <t>在库周转天数</t>
  </si>
  <si>
    <t>AMXX0001_YDF11</t>
  </si>
  <si>
    <t>AMXX0001_B</t>
  </si>
  <si>
    <t>AMXX0001_YDF1</t>
  </si>
  <si>
    <t>AMXX0001_YDF2</t>
  </si>
  <si>
    <t>AMXX0001_MGT</t>
  </si>
  <si>
    <t>AMXX0001_YDF5</t>
  </si>
  <si>
    <t>AMXX0001_NB</t>
  </si>
  <si>
    <t>AMXX0001_WR</t>
  </si>
  <si>
    <t>AMXX0001_PEB</t>
  </si>
  <si>
    <t>AMXX0001_YDF9</t>
  </si>
  <si>
    <t>AMXX0001_YDF10</t>
  </si>
  <si>
    <t>AMXX0001_PAT9</t>
  </si>
  <si>
    <t>AMXX0001_PAT1</t>
  </si>
  <si>
    <t>AMXX0001_YDF3</t>
  </si>
  <si>
    <t>AMXX0001_LB</t>
  </si>
  <si>
    <t>AMXX0001_O</t>
  </si>
  <si>
    <t>AMXX0001_YDF4</t>
  </si>
  <si>
    <t>AMXX0001_PU</t>
  </si>
  <si>
    <t>AMXX0001_YDF12</t>
  </si>
  <si>
    <t>AMXX0001_PAT3</t>
  </si>
  <si>
    <t>行标签</t>
  </si>
  <si>
    <t>求和项:Sessions</t>
  </si>
  <si>
    <t>求和项:Units Ordered</t>
  </si>
  <si>
    <t>求和项:转化率</t>
  </si>
  <si>
    <t>求和项:广告Impressions</t>
  </si>
  <si>
    <t>求和项:广告Clicks</t>
  </si>
  <si>
    <t>求和项:广告orders</t>
  </si>
  <si>
    <t>求和项:CTR</t>
  </si>
  <si>
    <t>求和项:CR</t>
  </si>
  <si>
    <t>(空白)</t>
  </si>
  <si>
    <t>总计</t>
  </si>
  <si>
    <t>(Parent) ASIN</t>
  </si>
  <si>
    <t>(Child) ASIN</t>
  </si>
  <si>
    <t>Title</t>
  </si>
  <si>
    <t>SKU</t>
  </si>
  <si>
    <t>Session Percentage</t>
  </si>
  <si>
    <t>Page Views</t>
  </si>
  <si>
    <t>Page Views Percentage</t>
  </si>
  <si>
    <t>Buy Box Percentage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</si>
  <si>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</si>
  <si>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</si>
  <si>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</si>
  <si>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</si>
  <si>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</si>
  <si>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</si>
  <si>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</si>
  <si>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总销售额排名</t>
  </si>
  <si>
    <t>广告CTR</t>
  </si>
  <si>
    <t>广告CR</t>
  </si>
  <si>
    <t>广告ROI</t>
  </si>
  <si>
    <t>广告点击率CTR排名</t>
  </si>
  <si>
    <t>备注(调整建议及问题）</t>
  </si>
  <si>
    <t>B0CPHL55Y1</t>
  </si>
  <si>
    <t>B0CM9F3CXY</t>
  </si>
  <si>
    <t>Puzzomix 3D Wooden Puzzles Christmas Village Houses Music Box - Colorful Wood Model Building Kits for Kids Unique Gift for Kids &amp; Adults, Desk Decor for Birthday/Christmas Day</t>
  </si>
  <si>
    <t>PZM-US-YYH-V1-1</t>
  </si>
  <si>
    <t>广告点击率低，转化相对其他SKU高一些，可做广泛投放+精准投放</t>
  </si>
  <si>
    <t>B0CMJ85RH6</t>
  </si>
  <si>
    <t>Puzzomix 3D Wooden Puzzles for Kids - DIY Building Kit with LED Night Light, Unique Idea for Kids &amp; Adults Hobbies Handmade Christmas Crafts and Home Decor (Christmas Luminous Box)</t>
  </si>
  <si>
    <t>PZM-US-YGH-V1-1</t>
  </si>
  <si>
    <t>广告点击率高，但转化率差</t>
  </si>
  <si>
    <t>B0CMHNDQT8</t>
  </si>
  <si>
    <t>Puzzomix 3D Wooden Puzzles Christmas Ornament - DIY Mechanical Model Building Kit, Fun and Creative DIY 3D Puzzles for Kids, Unique for Adult Hobbies</t>
  </si>
  <si>
    <t>PZM-US-XBJ-V1-1</t>
  </si>
  <si>
    <t>做主要拓流量SKU ，区分转化差的词，其他可加大推广</t>
  </si>
  <si>
    <t>B0CMHX59TC</t>
  </si>
  <si>
    <t>Puzzomix Booknook Kit Book Nook Miniature Kit for Adults DIY Bookshelf Insert-Wood 3D Puzzle, Bookshelf Miniature Scenes - Christmas Birthday Gifts for Kids and Adults Hobbies</t>
  </si>
  <si>
    <t>PZM-US-XXSL-V1-0</t>
  </si>
  <si>
    <t>B0CMH891WR</t>
  </si>
  <si>
    <t>Puzzomix 3D Puzzles for Kids, Models for Adults to Build - Wood Model Kit, Ferris Wheel Wood Building Kits - Ideal Birthday for Puzzle Lovers and Teens</t>
  </si>
  <si>
    <t>PZM-US-MTL-V1-0</t>
  </si>
  <si>
    <t>步骤2：把“0”全部替换成“0”</t>
  </si>
  <si>
    <t>SKU-需筛选</t>
  </si>
  <si>
    <t>求和项:Impressions</t>
  </si>
  <si>
    <t>求和项:Clicks</t>
  </si>
  <si>
    <t>求和项:ROI</t>
  </si>
  <si>
    <t>求和项:7 Day Total Units</t>
  </si>
  <si>
    <t>月份</t>
  </si>
  <si>
    <t>Date</t>
  </si>
  <si>
    <t>Portfolio name</t>
  </si>
  <si>
    <t>Currency</t>
  </si>
  <si>
    <t>Campaign Name</t>
  </si>
  <si>
    <t>Ad Group Name</t>
  </si>
  <si>
    <t>Advertised SKU</t>
  </si>
  <si>
    <t>Advertised ASIN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</si>
  <si>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</si>
  <si>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</si>
  <si>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</si>
  <si>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</si>
  <si>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</si>
  <si>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</si>
  <si>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</si>
  <si>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</si>
  <si>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</si>
  <si>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</si>
  <si>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</si>
  <si>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</si>
  <si>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</si>
  <si>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</si>
  <si>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</si>
  <si>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No Portfolio</t>
  </si>
  <si>
    <t>USD</t>
  </si>
  <si>
    <t>PP6-1-WZX-YYH-V1-SP-A-12.9重启-12.12取消ROS+top10%</t>
  </si>
  <si>
    <t>YYH-V1-SP-A-12.11F</t>
  </si>
  <si>
    <t>PP6-1-WZX-YYH-V1-SP-M-B-12.11重启+词</t>
  </si>
  <si>
    <t>YYH-V1-SP-M-B-12.11f</t>
  </si>
  <si>
    <t>PP6-1-WZX-YGH-V1-SP-M-广泛</t>
  </si>
  <si>
    <t>YGH-V1-SP-B-kids+0.1+0.1</t>
  </si>
  <si>
    <t>YGH-V1-SP-B-大词 wood &amp;wooden puzzle</t>
  </si>
  <si>
    <t>PP6-1-WZX-YGH-SP-PT-CA</t>
  </si>
  <si>
    <t>SP-PT-12.6+0.1+01</t>
  </si>
  <si>
    <t>PP6-1-WZX-YGH-V1-SP-A-观ROS-0.75 PP 0.5 -12.12关闭（流量偏向Adult</t>
  </si>
  <si>
    <t>YGH-V1-SP-A</t>
  </si>
  <si>
    <t>PP6-1-WZX-XBJ-V1-SP-M-E-长尾词kid 12.11加词</t>
  </si>
  <si>
    <t>YYH-V1-12月12日启动-精推词3d puzzles for kids ages 12-14（XBJ-V1-12.8建，12.11-YGH-close）-3d puzzles for kids ages  观察出单词流量变化</t>
  </si>
  <si>
    <t>PP6-1-WZX-XBJ-V1-SP-A-12-0.03+f/12.12-保持ROS0.91</t>
  </si>
  <si>
    <t>XBJ-V1-12.12F-12.10</t>
  </si>
  <si>
    <t>YGH-V1-12.10关闭</t>
  </si>
  <si>
    <t>PP6-1-WZX-YYH-V1-SP-M-E -Christmas 相关词12.14单独音乐盒-位置加价</t>
  </si>
  <si>
    <t>Christmas相关词 -wooden christmas puzzle for adults 出单词12.13加</t>
  </si>
  <si>
    <t>PP6-1-WZX-YYH-V1-SP-M-E-music box-出单词-自然在首页观察12.14</t>
  </si>
  <si>
    <t>YYH-V1出单词wooden puzzle music box 12.15降bid首页</t>
  </si>
  <si>
    <t>PP6-1-WZX-YGH-V1-SP-M-B-12.14位置加价</t>
  </si>
  <si>
    <t>YGH-V1-SP-B</t>
  </si>
  <si>
    <t>YYH-V1-SP-M-E</t>
  </si>
  <si>
    <t>PP6-1-WZX-XBJ-V1-SP-M-B-12.14位置加价</t>
  </si>
  <si>
    <t>XBJ-V1-SP-M-B-12.12f-12.13f</t>
  </si>
  <si>
    <t>PP6-1-WZX-YYH-V1-SP-M-E</t>
  </si>
  <si>
    <t>3d puzzles for kids ages 8-10 精准词-二级词12.11J-</t>
  </si>
  <si>
    <t>YYH-V1-SP-M-E-Music 相关12.11建</t>
  </si>
  <si>
    <t>PP6-1-WZX-圣诞款-SP-A-Subtitute</t>
  </si>
  <si>
    <t>自动-关联匹配</t>
  </si>
  <si>
    <t>关键词单推组</t>
  </si>
  <si>
    <t>PP6-1-WZX-YYH-V1-SP-M-E-推词3d puzzles for kids ages 8-10-12-14</t>
  </si>
  <si>
    <t>YYH-V1--推词3d puzzles for kids ages 8-10-12-14</t>
  </si>
  <si>
    <t>PP6-1-WZX-YYH-V1-SP-M-E-推词3d puzzles for kids ages 12-14</t>
  </si>
  <si>
    <t>3d puzzles for kids ages 12-14</t>
  </si>
  <si>
    <t>PP6-1-WZX-YYH-V1-SP-M-E-推词3d wooden puzzles for adults -12.15改固定</t>
  </si>
  <si>
    <t>3d wooden puzzles for adults</t>
  </si>
  <si>
    <t>PP6-1-WZX-YYH-V1-SP-M-E-推词 3d wooden puzzles-12.15 改固定</t>
  </si>
  <si>
    <t>YYH-V1-3d wooden puzzles</t>
  </si>
  <si>
    <t>PP6-1-WZX-YGH-V1-SP-M-E-出单词</t>
  </si>
  <si>
    <t>YGH-V1出单词</t>
  </si>
  <si>
    <t>PP6-1-WZX-YGH-V1-SP-M-E-推词3d puzzles for kids</t>
  </si>
  <si>
    <t>YGH-V1-3d puzzles for kids</t>
  </si>
  <si>
    <t>PP6-1-WZX-YGH-V1-SP-A-2重开</t>
  </si>
  <si>
    <t>YGH-V1-SP-A-重开</t>
  </si>
  <si>
    <t>低价观察组</t>
  </si>
  <si>
    <t>PP6-1-WZX-YYH-V1-SP-M-E-低价组</t>
  </si>
  <si>
    <t>YYH-V1精准低价组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</si>
</sst>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mmm\ dd\,\ yyyy"/>
    <numFmt numFmtId="178" formatCode="0.0000%"/>
    <numFmt numFmtId="179" formatCode="[$$]#,##0.00;\([$$]#,##0.00\)"/>
    <numFmt numFmtId="180" formatCode="0.0%"/>
    <numFmt numFmtId="181" formatCode="0.00_);[Red]\(0.00\)"/>
    <numFmt numFmtId="182" formatCode="0_);[Red]\(0\)"/>
  </numFmts>
  <fonts count="3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theme="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2">
    <xf numFmtId="0" fontId="0" fillId="0" borderId="0" xfId="0"/>
    <xf numFmtId="0" fontId="1" fillId="0" borderId="0" xfId="5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176" fontId="1" fillId="0" borderId="0" xfId="0" applyNumberFormat="1" applyFont="1" applyFill="1" applyAlignment="1"/>
    <xf numFmtId="177" fontId="2" fillId="0" borderId="0" xfId="0" applyNumberFormat="1" applyFont="1" applyFill="1" applyAlignment="1"/>
    <xf numFmtId="0" fontId="2" fillId="0" borderId="0" xfId="0" applyFont="1" applyFill="1" applyAlignment="1"/>
    <xf numFmtId="1" fontId="2" fillId="0" borderId="0" xfId="0" applyNumberFormat="1" applyFont="1" applyFill="1" applyAlignment="1"/>
    <xf numFmtId="178" fontId="2" fillId="0" borderId="0" xfId="0" applyNumberFormat="1" applyFont="1" applyFill="1" applyAlignment="1"/>
    <xf numFmtId="179" fontId="2" fillId="0" borderId="0" xfId="0" applyNumberFormat="1" applyFont="1" applyFill="1" applyAlignment="1"/>
    <xf numFmtId="2" fontId="2" fillId="0" borderId="0" xfId="0" applyNumberFormat="1" applyFont="1" applyFill="1" applyAlignment="1"/>
    <xf numFmtId="0" fontId="1" fillId="0" borderId="0" xfId="0" applyFont="1" applyFill="1" applyAlignment="1"/>
    <xf numFmtId="1" fontId="1" fillId="0" borderId="0" xfId="0" applyNumberFormat="1" applyFont="1" applyFill="1" applyAlignment="1"/>
    <xf numFmtId="178" fontId="1" fillId="0" borderId="0" xfId="0" applyNumberFormat="1" applyFont="1" applyFill="1" applyAlignment="1"/>
    <xf numFmtId="0" fontId="1" fillId="0" borderId="0" xfId="0" applyFont="1" applyFill="1" applyAlignment="1">
      <alignment vertical="center"/>
    </xf>
    <xf numFmtId="179" fontId="1" fillId="0" borderId="0" xfId="0" applyNumberFormat="1" applyFont="1" applyFill="1" applyAlignment="1"/>
    <xf numFmtId="2" fontId="1" fillId="0" borderId="0" xfId="0" applyNumberFormat="1" applyFont="1" applyFill="1" applyAlignment="1"/>
    <xf numFmtId="0" fontId="0" fillId="0" borderId="0" xfId="0" applyAlignment="1">
      <alignment horizontal="center" vertical="center" wrapText="1"/>
    </xf>
    <xf numFmtId="180" fontId="0" fillId="0" borderId="0" xfId="3" applyNumberFormat="1" applyFont="1" applyAlignment="1"/>
    <xf numFmtId="181" fontId="0" fillId="0" borderId="0" xfId="0" applyNumberFormat="1"/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10" fontId="0" fillId="0" borderId="0" xfId="0" applyNumberFormat="1"/>
    <xf numFmtId="180" fontId="0" fillId="0" borderId="0" xfId="0" applyNumberFormat="1"/>
    <xf numFmtId="0" fontId="3" fillId="3" borderId="0" xfId="0" applyFont="1" applyFill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/>
    <xf numFmtId="10" fontId="0" fillId="0" borderId="0" xfId="0" applyNumberFormat="1" applyFont="1"/>
    <xf numFmtId="180" fontId="0" fillId="0" borderId="0" xfId="0" applyNumberFormat="1" applyFont="1"/>
    <xf numFmtId="181" fontId="0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NumberFormat="1" applyFont="1"/>
    <xf numFmtId="180" fontId="4" fillId="0" borderId="0" xfId="0" applyNumberFormat="1" applyFont="1"/>
    <xf numFmtId="181" fontId="4" fillId="0" borderId="0" xfId="0" applyNumberFormat="1" applyFont="1"/>
    <xf numFmtId="182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3" fontId="0" fillId="0" borderId="0" xfId="0" applyNumberForma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10" fontId="0" fillId="0" borderId="0" xfId="0" applyNumberFormat="1" applyFill="1" applyAlignment="1">
      <alignment vertical="center"/>
    </xf>
    <xf numFmtId="26" fontId="0" fillId="0" borderId="0" xfId="0" applyNumberFormat="1" applyFill="1" applyAlignment="1">
      <alignment vertical="center"/>
    </xf>
    <xf numFmtId="26" fontId="0" fillId="0" borderId="0" xfId="0" applyNumberFormat="1" applyFill="1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/>
    <xf numFmtId="0" fontId="6" fillId="0" borderId="0" xfId="0" applyFont="1" applyAlignment="1">
      <alignment wrapText="1"/>
    </xf>
    <xf numFmtId="0" fontId="6" fillId="3" borderId="0" xfId="0" applyFont="1" applyFill="1"/>
    <xf numFmtId="0" fontId="6" fillId="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180" fontId="7" fillId="8" borderId="1" xfId="3" applyNumberFormat="1" applyFont="1" applyFill="1" applyBorder="1" applyAlignment="1">
      <alignment horizontal="center" vertical="center" wrapText="1"/>
    </xf>
    <xf numFmtId="10" fontId="0" fillId="0" borderId="0" xfId="3" applyNumberFormat="1" applyAlignment="1"/>
    <xf numFmtId="180" fontId="0" fillId="3" borderId="0" xfId="3" applyNumberFormat="1" applyFont="1" applyFill="1" applyAlignment="1"/>
    <xf numFmtId="181" fontId="0" fillId="3" borderId="0" xfId="0" applyNumberFormat="1" applyFill="1"/>
    <xf numFmtId="181" fontId="7" fillId="8" borderId="1" xfId="0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182" fontId="0" fillId="0" borderId="0" xfId="0" applyNumberFormat="1"/>
    <xf numFmtId="0" fontId="0" fillId="0" borderId="0" xfId="0" applyAlignment="1">
      <alignment horizontal="left"/>
    </xf>
    <xf numFmtId="9" fontId="0" fillId="0" borderId="0" xfId="3" applyFont="1" applyAlignment="1"/>
    <xf numFmtId="0" fontId="0" fillId="0" borderId="0" xfId="3" applyNumberFormat="1" applyFont="1" applyAlignment="1"/>
    <xf numFmtId="0" fontId="8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0" fillId="0" borderId="0" xfId="0" applyFont="1"/>
    <xf numFmtId="10" fontId="0" fillId="7" borderId="0" xfId="0" applyNumberFormat="1" applyFont="1" applyFill="1"/>
    <xf numFmtId="10" fontId="0" fillId="0" borderId="0" xfId="0" applyNumberFormat="1" applyFont="1"/>
    <xf numFmtId="0" fontId="0" fillId="7" borderId="0" xfId="0" applyFont="1" applyFill="1"/>
    <xf numFmtId="0" fontId="0" fillId="0" borderId="2" xfId="0" applyFont="1" applyBorder="1" applyAlignment="1">
      <alignment horizontal="left"/>
    </xf>
    <xf numFmtId="0" fontId="0" fillId="0" borderId="2" xfId="0" applyFont="1" applyBorder="1"/>
    <xf numFmtId="10" fontId="0" fillId="0" borderId="2" xfId="0" applyNumberFormat="1" applyFont="1" applyBorder="1"/>
    <xf numFmtId="0" fontId="6" fillId="11" borderId="0" xfId="0" applyFont="1" applyFill="1" applyAlignment="1">
      <alignment horizontal="center" vertical="center" wrapText="1"/>
    </xf>
    <xf numFmtId="0" fontId="0" fillId="7" borderId="0" xfId="0" applyFill="1"/>
    <xf numFmtId="9" fontId="0" fillId="7" borderId="0" xfId="3" applyFill="1" applyAlignment="1"/>
    <xf numFmtId="9" fontId="0" fillId="0" borderId="0" xfId="3" applyAlignment="1"/>
    <xf numFmtId="0" fontId="0" fillId="12" borderId="0" xfId="0" applyFill="1" applyAlignment="1">
      <alignment vertical="center" wrapText="1"/>
    </xf>
    <xf numFmtId="182" fontId="0" fillId="7" borderId="0" xfId="0" applyNumberFormat="1" applyFill="1"/>
    <xf numFmtId="0" fontId="3" fillId="0" borderId="0" xfId="0" applyFont="1"/>
    <xf numFmtId="0" fontId="9" fillId="0" borderId="0" xfId="0" applyFont="1"/>
    <xf numFmtId="0" fontId="3" fillId="13" borderId="0" xfId="0" applyFont="1" applyFill="1"/>
    <xf numFmtId="0" fontId="3" fillId="0" borderId="0" xfId="0" applyFont="1" applyFill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常规 4" xfId="52"/>
  </cellStyles>
  <dxfs count="53">
    <dxf>
      <numFmt numFmtId="10" formatCode="0.00%"/>
    </dxf>
    <dxf>
      <numFmt numFmtId="10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 vertical="center" wrapText="1"/>
    </dxf>
    <dxf>
      <numFmt numFmtId="10" formatCode="0.00%"/>
    </dxf>
    <dxf>
      <alignment horizontal="center" vertical="center" wrapText="1"/>
    </dxf>
    <dxf>
      <alignment wrapText="1"/>
    </dxf>
    <dxf>
      <numFmt numFmtId="180" formatCode="0.0%"/>
    </dxf>
    <dxf>
      <numFmt numFmtId="180" formatCode="0.0%"/>
    </dxf>
    <dxf>
      <numFmt numFmtId="181" formatCode="0.00_);[Red]\(0.00\)"/>
    </dxf>
    <dxf>
      <numFmt numFmtId="180" formatCode="0.0%"/>
    </dxf>
    <dxf>
      <alignment horizontal="left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0" formatCode="0.00%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</dxf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4</xdr:row>
      <xdr:rowOff>57150</xdr:rowOff>
    </xdr:from>
    <xdr:to>
      <xdr:col>5</xdr:col>
      <xdr:colOff>361269</xdr:colOff>
      <xdr:row>18</xdr:row>
      <xdr:rowOff>47146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" y="914400"/>
          <a:ext cx="3484880" cy="29235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5" minRefreshableVersion="3" refreshedDate="45277.3121759259" refreshedBy="吴泽杏" recordCount="138">
  <cacheSource type="worksheet">
    <worksheetSource ref="A1:W1048576" sheet=" 1.Advertised report  （SKU报告）"/>
  </cacheSource>
  <cacheFields count="26">
    <cacheField name="月份" numFmtId="0">
      <sharedItems containsBlank="1" count="3">
        <s v="12月"/>
        <s v="01月"/>
        <m/>
      </sharedItems>
    </cacheField>
    <cacheField name="Date" numFmtId="0">
      <sharedItems containsString="0" containsBlank="1" containsNonDate="0" containsDate="1" minDate="2023-12-02T00:00:00" maxDate="2023-12-14T00:00:00" count="13">
        <d v="2023-12-02T00:00:00"/>
        <d v="2023-12-03T00:00:00"/>
        <d v="2023-12-04T00:00:00"/>
        <d v="2023-12-09T00:00:00"/>
        <d v="2023-12-10T00:00:00"/>
        <d v="2023-12-11T00:00:00"/>
        <d v="2023-12-12T00:00:00"/>
        <d v="2023-12-13T00:00:00"/>
        <d v="2023-12-14T00:00:00"/>
        <d v="2023-12-05T00:00:00"/>
        <d v="2023-12-06T00:00:00"/>
        <d v="2023-12-08T00:00:00"/>
        <m/>
      </sharedItems>
    </cacheField>
    <cacheField name="Portfolio name" numFmtId="0">
      <sharedItems containsBlank="1" count="4">
        <s v="No Portfolio"/>
        <s v="关键词单推组"/>
        <s v="低价观察组"/>
        <m/>
      </sharedItems>
    </cacheField>
    <cacheField name="Currency" numFmtId="0">
      <sharedItems containsBlank="1" count="2">
        <s v="USD"/>
        <m/>
      </sharedItems>
    </cacheField>
    <cacheField name="Campaign Name" numFmtId="0">
      <sharedItems containsBlank="1" count="22">
        <s v="PP6-1-WZX-YYH-V1-SP-A-12.9重启-12.12取消ROS+top10%"/>
        <s v="PP6-1-WZX-YYH-V1-SP-M-B-12.11重启+词"/>
        <s v="PP6-1-WZX-YGH-V1-SP-M-广泛"/>
        <s v="PP6-1-WZX-YGH-SP-PT-CA"/>
        <s v="PP6-1-WZX-YGH-V1-SP-A-观ROS-0.75 PP 0.5 -12.12关闭（流量偏向Adult"/>
        <s v="PP6-1-WZX-XBJ-V1-SP-M-E-长尾词kid 12.11加词"/>
        <s v="PP6-1-WZX-XBJ-V1-SP-A-12-0.03+f/12.12-保持ROS0.91"/>
        <s v="PP6-1-WZX-YYH-V1-SP-M-E -Christmas 相关词12.14单独音乐盒-位置加价"/>
        <s v="PP6-1-WZX-YYH-V1-SP-M-E-music box-出单词-自然在首页观察12.14"/>
        <s v="PP6-1-WZX-YGH-V1-SP-M-B-12.14位置加价"/>
        <s v="PP6-1-WZX-XBJ-V1-SP-M-B-12.14位置加价"/>
        <s v="PP6-1-WZX-YYH-V1-SP-M-E"/>
        <s v="PP6-1-WZX-圣诞款-SP-A-Subtitute"/>
        <s v="PP6-1-WZX-YYH-V1-SP-M-E-推词3d puzzles for kids ages 8-10-12-14"/>
        <s v="PP6-1-WZX-YYH-V1-SP-M-E-推词3d puzzles for kids ages 12-14"/>
        <s v="PP6-1-WZX-YYH-V1-SP-M-E-推词3d wooden puzzles for adults -12.15改固定"/>
        <s v="PP6-1-WZX-YYH-V1-SP-M-E-推词 3d wooden puzzles-12.15 改固定"/>
        <s v="PP6-1-WZX-YGH-V1-SP-M-E-出单词"/>
        <s v="PP6-1-WZX-YGH-V1-SP-M-E-推词3d puzzles for kids"/>
        <s v="PP6-1-WZX-YGH-V1-SP-A-2重开"/>
        <s v="PP6-1-WZX-YYH-V1-SP-M-E-低价组"/>
        <m/>
      </sharedItems>
    </cacheField>
    <cacheField name="Ad Group Name" numFmtId="0">
      <sharedItems containsBlank="1" count="26">
        <s v="YYH-V1-SP-A-12.11F"/>
        <s v="YYH-V1-SP-M-B-12.11f"/>
        <s v="YGH-V1-SP-B-kids+0.1+0.1"/>
        <s v="YGH-V1-SP-B-大词 wood &amp;wooden puzzle"/>
        <s v="SP-PT-12.6+0.1+01"/>
        <s v="YGH-V1-SP-A"/>
        <s v="YYH-V1-12月12日启动-精推词3d puzzles for kids ages 12-14（XBJ-V1-12.8建，12.11-YGH-close）-3d puzzles for kids ages  观察出单词流量变化"/>
        <s v="XBJ-V1-12.12F-12.10"/>
        <s v="YGH-V1-12.10关闭"/>
        <s v="Christmas相关词 -wooden christmas puzzle for adults 出单词12.13加"/>
        <s v="YYH-V1出单词wooden puzzle music box 12.15降bid首页"/>
        <s v="YGH-V1-SP-B"/>
        <s v="YYH-V1-SP-M-E"/>
        <s v="XBJ-V1-SP-M-B-12.12f-12.13f"/>
        <s v="3d puzzles for kids ages 8-10 精准词-二级词12.11J-"/>
        <s v="YYH-V1-SP-M-E-Music 相关12.11建"/>
        <s v="自动-关联匹配"/>
        <s v="YYH-V1--推词3d puzzles for kids ages 8-10-12-14"/>
        <s v="3d puzzles for kids ages 12-14"/>
        <s v="3d wooden puzzles for adults"/>
        <s v="YYH-V1-3d wooden puzzles"/>
        <s v="YGH-V1出单词"/>
        <s v="YGH-V1-3d puzzles for kids"/>
        <s v="YGH-V1-SP-A-重开"/>
        <s v="YYH-V1精准低价组"/>
        <m/>
      </sharedItems>
    </cacheField>
    <cacheField name="Advertised SKU" numFmtId="0">
      <sharedItems containsBlank="1" count="8000">
        <s v="PZM-US-YYH-V1-1"/>
        <s v="PZM-US-YGH-V1-1"/>
        <s v="PZM-US-XBJ-V1-1"/>
        <m/>
        <s v="AMXX0001_YDF2_S#" u="1"/>
        <s v="AMXX0001_YDF2_M#" u="1"/>
        <s v="AMXX0001_YDF2_L#" u="1"/>
        <s v="AMXX0001_YDF1_M#" u="1"/>
        <s v="AMXX0001_YDF11_S#" u="1"/>
        <s v="AMXX0001_YDF12_L#" u="1"/>
        <s v="AMXX0001_YDF5_S#" u="1"/>
        <s v="AMXX0001_NB_M" u="1"/>
        <s v="AMXX0001_NB_L" u="1"/>
        <s v="AMXX0001_B_XXL" u="1"/>
        <s v="AMXX0001_B_XL" u="1"/>
        <s v="AMXX0001_B_S" u="1"/>
        <s v="AMXX0001_PU_XL" u="1"/>
        <s v="AMXX0001_B_M" u="1"/>
        <s v="AMXX0001_B_L" u="1"/>
        <s v="AMXX0001_NB_XL" u="1"/>
        <s v="AMXX0001_NB_XXL" u="1"/>
        <s v="AMXX0001_PU_S" u="1"/>
        <s v="AMXX0001_YDF11_XL#" u="1"/>
        <s v="AMXX0001_YDF11_L#" u="1"/>
        <s v="AMXX0001_YDF9_S#" u="1"/>
        <s v="AMXX0001_YDF4_XL#" u="1"/>
        <s v="AMXX0001_YDF10_S#" u="1"/>
        <s v="AMXX0001_YDF9_XL#" u="1"/>
        <s v="AMXX0001_YDF10_XL#" u="1"/>
        <s v="AMXX0001_YDF11_XXL#" u="1"/>
        <s v="AMXX0001_YDF10_L#" u="1"/>
        <s v="AMXX0001_YDF2_XL#" u="1"/>
        <s v="AMXX0001_YDF1_S#" u="1"/>
        <s v="AMXX0001_YDF2_XXL#" u="1"/>
        <s v="AMXX0001_YDF4_M#" u="1"/>
        <s v="AMXX0001_YDF4_L#" u="1"/>
        <s v="AMXX0001_YDF4_S#" u="1"/>
        <s v="AMXX0001_YDF5_L#" u="1"/>
        <s v="AMXX0001_YDF1_XL##" u="1"/>
        <s v="AMXX0001_YDF1_L#" u="1"/>
        <s v="AMXX0001_YDF1_XXL#" u="1"/>
        <s v="AMXX0001_YDF5_XXL#" u="1"/>
        <s v="AMXX0001_PAT9_XXL" u="1"/>
        <s v="AMXX0001_PEB_XL" u="1"/>
        <s v="AMXX0001_WR_M" u="1"/>
        <s v="AMXX0001_MGT_S" u="1"/>
        <s v="AMXX0001_MGT_L" u="1"/>
        <s v="AMXX0001_WR_S" u="1"/>
        <s v="AMXX0001_MGT_M" u="1"/>
        <s v="AMXX0001_PEB_M" u="1"/>
        <s v="AMXX0001_WR_L" u="1"/>
        <s v="AMXX0001_MGT_XL" u="1"/>
        <s v="AMXX0001_PAT9_L" u="1"/>
        <s v="AMXX0001_PAT9_M" u="1"/>
        <s v="AMXX0001_PAT9_S" u="1"/>
        <s v="AMXX0001_PEB_XXL" u="1"/>
        <s v="AMXX0001_MGT_XXL" u="1"/>
        <s v="AMXX0001_WR_XL" u="1"/>
        <s v="AMXX0001_PEB_S" u="1"/>
        <s v="AMXX0001_O_S" u="1"/>
        <s v="AMXX0001_LB_M" u="1"/>
        <s v="AMXX0001_LB_L" u="1"/>
        <s v="AMXX0001_O_XXL" u="1"/>
        <s v="AMXX0001_O_XL" u="1"/>
        <s v="AMXX0001_LB_XL" u="1"/>
        <s v="AMXX0001_YDF11_M#" u="1"/>
        <s v="AMXX0001_PAT1_XL#" u="1"/>
        <s v="AMXX0001_PAT1_L#" u="1"/>
        <s v="AMXX0001_YDF3_M#" u="1"/>
        <s v="AMXX0001_YDF10_M#" u="1"/>
        <s v="AMXX0001_YDF3_S##" u="1"/>
        <s v="AMXX0001_PEB_L" u="1"/>
        <s v="AMXX0001_YDF5_M#" u="1"/>
        <s v="AMXX0001_WR_XXL" u="1"/>
        <s v="AMXX0001_NB_S" u="1"/>
        <s v="AMXX0001_YDF12_M#" u="1"/>
        <s v="AMXX0001_YDF9_L#" u="1"/>
        <s v="AMXX0001_LB_S" u="1"/>
        <s v="*ETK006639_B_L" u="1"/>
        <s v="*ETK006639_B_M" u="1"/>
        <s v="*ETK006639_B_S" u="1"/>
        <s v="*ETK006639_B_XL" u="1"/>
        <s v="*ETK006639_DBL_L" u="1"/>
        <s v="*ETK006639_DBL_M" u="1"/>
        <s v="*ETK006639_DBL_XL" u="1"/>
        <s v="*ETK006639_DBL_S" u="1"/>
        <s v="AM000517_BL_12" u="1"/>
        <s v="AM000517_BL_14" u="1"/>
        <s v="AM000517_BL_16" u="1"/>
        <s v="AM000517_BP_10" u="1"/>
        <s v="AM000517_BP_12" u="1"/>
        <s v="AM000517_BP_14" u="1"/>
        <s v="AM000517_BP_16" u="1"/>
        <s v="AM000517_BP_9" u="1"/>
        <s v="AM000517_B_10" u="1"/>
        <s v="AM000517_B_12" u="1"/>
        <s v="AM000517_B_14" u="1"/>
        <s v="AM000517_GL_14" u="1"/>
        <s v="AM000517_GL_16" u="1"/>
        <s v="AM000517_G_10" u="1"/>
        <s v="AM000517_G_12" u="1"/>
        <s v="AM000517_G_16" u="1"/>
        <s v="AM000517_NB_10" u="1"/>
        <s v="AM000517_NB_12" u="1"/>
        <s v="AM000517_NB_14" u="1"/>
        <s v="AM000517_NB_16" u="1"/>
        <s v="AM000517_O_14" u="1"/>
        <s v="AM000517_R_14" u="1"/>
        <s v="AM000517_R_16" u="1"/>
        <s v="EKK006107_BL_M" u="1"/>
        <s v="EKK006107_BL_XXL" u="1"/>
        <s v="EKK006107_B_XL" u="1"/>
        <s v="EKK006107_W_XL" u="1"/>
        <s v="EKK006107_W_XXL" u="1"/>
        <s v="EKK005446_AG_L" u="1"/>
        <s v="EKK005446_AG_M" u="1"/>
        <s v="EKK005446_AG_S" u="1"/>
        <s v="EKK005446_AG_XL" u="1"/>
        <s v="EKK005446_AG_XXL" u="1"/>
        <s v="EKK006095_BL_M" u="1"/>
        <s v="EKK006095_BL_S" u="1"/>
        <s v="EKK006095_BL_XL" u="1"/>
        <s v="EKK006095_BL_XXL" u="1"/>
        <s v="EKK006095_B_L" u="1"/>
        <s v="EKK006095_B_M" u="1"/>
        <s v="EKK006095_B_XL" u="1"/>
        <s v="EKK006095_B_XXL" u="1"/>
        <s v="EKK006095_NB_S" u="1"/>
        <s v="EKK006095_NB_XL" u="1"/>
        <s v="EKK006095_NB_XXL" u="1"/>
        <s v="EKK006095_RBL_XL" u="1"/>
        <s v="EKK006095_R_L" u="1"/>
        <s v="EKK006095_R_M" u="1"/>
        <s v="EKK006095_R_S" u="1"/>
        <s v="EKK006095_R_XXL" u="1"/>
        <s v="EKK006095_WI_M" u="1"/>
        <s v="EKK006095_WI_S" u="1"/>
        <s v="EKK006095_WI_XL" u="1"/>
        <s v="EKK006095_WI_XXL" u="1"/>
        <s v="EKK005446_P_XS" u="1"/>
        <s v="EKK005446_BL_L" u="1"/>
        <s v="EKK005446_B_S" u="1"/>
        <s v="EKK005446_BL_M" u="1"/>
        <s v="EKK005446_BF_M" u="1"/>
        <s v="EKK005446_BL_XXL" u="1"/>
        <s v="EKV006696_B_M#" u="1"/>
        <s v="EKV006696_B_S#" u="1"/>
        <s v="EKV006696_B_XL#" u="1"/>
        <s v="EKV006696_B_XXL#" u="1"/>
        <s v="EKV006696_DV_L#" u="1"/>
        <s v="EKV006696_DV_M#" u="1"/>
        <s v="EKV006696_DV_XL#" u="1"/>
        <s v="EKV006696_RR_M#" u="1"/>
        <s v="EKV006696_RR_S#" u="1"/>
        <s v="EKV006696_RR_XL#" u="1"/>
        <s v="AM000517_PUF_10" u="1"/>
        <s v="AM000517_PUF_12" u="1"/>
        <s v="AM000517_PUF_16" u="1"/>
        <s v="AM000517_PUF_9" u="1"/>
        <s v="AM000517_PF_10" u="1"/>
        <s v="AM000517_PF_9" u="1"/>
        <s v="AM000517_WB_16" u="1"/>
        <s v="AM000517_WB_9" u="1"/>
        <s v="AM000517_WR_10" u="1"/>
        <s v="AM000517_WR_12" u="1"/>
        <s v="AM000517_WR_14" u="1"/>
        <s v="AM000517_WR_16" u="1"/>
        <s v="AM000517_BC_12" u="1"/>
        <s v="AM000517_BC_16" u="1"/>
        <s v="AM000517_BL_19" u="1"/>
        <s v="AM000517_BP_19" u="1"/>
        <s v="AM000517_B_19" u="1"/>
        <s v="AM000517_GL_19" u="1"/>
        <s v="AM000517_WC_10" u="1"/>
        <s v="AM000517_WC_16" u="1"/>
        <s v="EKV006903_BL_M#" u="1"/>
        <s v="EKV006903_BL_XL#" u="1"/>
        <s v="EKV006903_BL_XXL#" u="1"/>
        <s v="EKV006903_BL_XXXL#" u="1"/>
        <s v="EKV006903_B_L#" u="1"/>
        <s v="EK000974_B_2XL" u="1"/>
        <s v="EK000974_B_4XL" u="1"/>
        <s v="EK000974_B_M" u="1"/>
        <s v="EK000974_B_S" u="1"/>
        <s v="EK000974_B_XL" u="1"/>
        <s v="EK000974_N_2XL" u="1"/>
        <s v="EK000974_N_3XL" u="1"/>
        <s v="EK000974_N_4XL" u="1"/>
        <s v="EK000974_N_L" u="1"/>
        <s v="EK000974_N_S" u="1"/>
        <s v="EK000974_N_XL" u="1"/>
        <s v="EKV006903_B_M#" u="1"/>
        <s v="EKV006903_B_XL#" u="1"/>
        <s v="EKV006903_B_XXL#" u="1"/>
        <s v="EKV006903_B_XXXL#" u="1"/>
        <s v="EKV006903_R_M#" u="1"/>
        <s v="EKV006903_R_XL#" u="1"/>
        <s v="EKV006903_R_XXL#" u="1"/>
        <s v="EKV006903_R_XXXL#" u="1"/>
        <s v="EKV006619_BL_L" u="1"/>
        <s v="EKV006619_BL_M" u="1"/>
        <s v="EKV006619_BL_S" u="1"/>
        <s v="EKV006619_BL_XXL" u="1"/>
        <s v="EKV006619_B_L" u="1"/>
        <s v="EKV006619_B_M" u="1"/>
        <s v="EKV006619_B_S" u="1"/>
        <s v="EKV006619_B_XL" u="1"/>
        <s v="EKV006619_DGR_L" u="1"/>
        <s v="EKV006619_DGR_M" u="1"/>
        <s v="EKV006619_DGR_XL" u="1"/>
        <s v="EKV006619_DGR_XXL" u="1"/>
        <s v="EKV006619_EP_L" u="1"/>
        <s v="EKV006619_EP_S" u="1"/>
        <s v="EKV006619_EP_XL" u="1"/>
        <s v="EKV006619_EP_XXL" u="1"/>
        <s v="EKV006619_GR_L" u="1"/>
        <s v="EKV006619_GR_XL" u="1"/>
        <s v="EKV006619_NB_L" u="1"/>
        <s v="EKV006619_NB_M" u="1"/>
        <s v="EKV006619_NB_S" u="1"/>
        <s v="EKV006619_NB_XL" u="1"/>
        <s v="EKV006619_NB_XXL" u="1"/>
        <s v="EKV006619_PU_L" u="1"/>
        <s v="EKV006619_PU_S" u="1"/>
        <s v="EKV006619_PU_XL" u="1"/>
        <s v="EKV006619_PU_XXL" u="1"/>
        <s v="EKV006619_R_M" u="1"/>
        <s v="EKV006619_R_XXL" u="1"/>
        <s v="EKK005499_DGR_XL" u="1"/>
        <s v="EKK005499_WR_XL" u="1"/>
        <s v="EKK005499_BLG_M" u="1"/>
        <s v="EKK005499_DBL_S#" u="1"/>
        <s v="EKK005499_GR_M" u="1"/>
        <s v="#EKK005446_P_S" u="1"/>
        <s v="EKK005446_AG_XS" u="1"/>
        <s v="EKK005446_BF_L" u="1"/>
        <s v="EKK005446_B_L" u="1"/>
        <s v="EKK005446_B_XS" u="1"/>
        <s v="EKK005446_DBL_M" u="1"/>
        <s v="EKK005446_DBL_S" u="1"/>
        <s v="EKK005446_DBL_XL" u="1"/>
        <s v="EKK005446_DBL_XS" u="1"/>
        <s v="EKK005446_PB_M" u="1"/>
        <s v="EKK005446_PB_S" u="1"/>
        <s v="EKK005446_PB_XL" u="1"/>
        <s v="EKK005446_PB_XXL" u="1"/>
        <s v="EKK005446_T_L" u="1"/>
        <s v="EKK005446_WG_S" u="1"/>
        <s v="EKK005446_WG_XXL" u="1"/>
        <s v="EKV006696_R_XXL#" u="1"/>
        <s v="EKV006696_R_M#" u="1"/>
        <s v="EKV006696_R_S#" u="1"/>
        <s v="EKV006696_R_XL#" u="1"/>
        <s v="EKV006696_DGR_XL#" u="1"/>
        <s v="EKV006696_DGR_XXL#" u="1"/>
        <s v="EKV006696_FG_L#" u="1"/>
        <s v="EKV006696_NB_XXL#" u="1"/>
        <s v="EKV006696_FG_M#" u="1"/>
        <s v="EKV006696_R_L#" u="1"/>
        <s v="EKV006696_DGR_M#" u="1"/>
        <s v="EKK006095_BUG_L" u="1"/>
        <s v="EKK006095_BUG_S" u="1"/>
        <s v="EKK006095_BUG_XXL" u="1"/>
        <s v="EKK006095_PEB_M" u="1"/>
        <s v="EKK006095_PEB_S" u="1"/>
        <s v="EKK006095_PEB_XXL" u="1"/>
        <s v="EKK006095_PU_XL" u="1"/>
        <s v="AM000517_WF_12" u="1"/>
        <s v="AM000517_GFR_14" u="1"/>
        <s v="AM000517_GFR_9" u="1"/>
        <s v="AM000517_GFR_12" u="1"/>
        <s v="AM000517_GFR_10" u="1"/>
        <s v="AM000517_GFR_19" u="1"/>
        <s v="AM000517_WF_19" u="1"/>
        <s v="AM000517_WF_10" u="1"/>
        <s v="AM000517_WF_16" u="1"/>
        <s v="AM000517_WF_14" u="1"/>
        <s v="AM000517_RF_14" u="1"/>
        <s v="AM000517_RF_9" u="1"/>
        <s v="AM000517_RF_16" u="1"/>
        <s v="AM000517_RF_19" u="1"/>
        <s v="AM000517_RF_12" u="1"/>
        <s v="EKK009707_NB_S" u="1"/>
        <s v="EKK009707_LGR_M" u="1"/>
        <s v="*ETK006639_B_XXL" u="1"/>
        <s v="*ETK006639_BB_XL" u="1"/>
        <s v="*ETK006639_BB_L" u="1"/>
        <s v="EKV007024_B_L" u="1"/>
        <s v="EKV007024_B_M" u="1"/>
        <s v="EK003735_B1_M" u="1"/>
        <s v="EKV006903_WR_M#" u="1"/>
        <s v="EKV006903_W_M#" u="1"/>
        <s v="EKV006903_WR_L#" u="1"/>
        <s v="EKV006903_W_XXL#" u="1"/>
        <s v="EKV006903_W_XXXL#" u="1"/>
        <s v="EKV006903_W_L#" u="1"/>
        <s v="EKV006903_WR_XXXL#" u="1"/>
        <s v="EKV007152_GR_S#" u="1"/>
        <s v="EKV007152_B_M#" u="1"/>
        <s v="EKV007152_GR_XXL#" u="1"/>
        <s v="EKV007152_B_S#" u="1"/>
        <s v="EKV007152_WR_L#" u="1"/>
        <s v="EKV007152_B_XL#" u="1"/>
        <s v="EKV007152_WR_M#" u="1"/>
        <s v="EKV007152_B_XXL#" u="1"/>
        <s v="EKV007152_WR_XL#" u="1"/>
        <s v="EKV007152_WR_XXL#" u="1"/>
        <s v="EKK009907_NB_M" u="1"/>
        <s v="EKK009907_R_XL" u="1"/>
        <s v="EKK009907_NB_S" u="1"/>
        <s v="EKK009907_B_XXL" u="1"/>
        <s v="EKK009907_R_M" u="1"/>
        <s v="EKK009907_B_XL" u="1"/>
        <s v="EKK009907_B_L" u="1"/>
        <s v="EKK009907_NB_XXL" u="1"/>
        <s v="EKK009907_B_M" u="1"/>
        <s v="EKK009907_NB_L" u="1"/>
        <s v="EKV007155_PT3_XXL#" u="1"/>
        <s v="EKV007155_PT2_M#" u="1"/>
        <s v="EKV007155_PT3_XL#" u="1"/>
        <s v="EKV007155_PT1_XXL#" u="1"/>
        <s v="EKV007155_PT3_M#" u="1"/>
        <s v="EKV007155_PT1_XL#" u="1"/>
        <s v="EKV007155_PT1_L#" u="1"/>
        <s v="EKV007155_PT3_S#" u="1"/>
        <s v="EKV007155_PT2_XXL#" u="1"/>
        <s v="EKV007155_PT2_XL#" u="1"/>
        <s v="EKV007155_PT1_S#" u="1"/>
        <s v="EKV007126_WR_S" u="1"/>
        <s v="EKV007126_NB_XXL" u="1"/>
        <s v="EKV007126_NB_S" u="1"/>
        <s v="AM000517_PAT2_16" u="1"/>
        <s v="AM000517_PAT1_12" u="1"/>
        <s v="AM000517_PAT2_14" u="1"/>
        <s v="AM000517_PAT1_10" u="1"/>
        <s v="AM000517_PAT2_12" u="1"/>
        <s v="AM000517_PAT2_10" u="1"/>
        <s v="AM000517_PAT2_9" u="1"/>
        <s v="EKK009972_B_XXL" u="1"/>
        <s v="EKK009972_MGT_L" u="1"/>
        <s v="EKV007155_YDF4_L#" u="1"/>
        <s v="EKV007155_YDF4_XL#" u="1"/>
        <s v="EKV007155_YDF4_S#" u="1"/>
        <s v="EKV007155_YDF4_XXL#" u="1"/>
        <s v="EKV007155_YDF4_M#" u="1"/>
        <s v="EKV007155_YDF5_M#" u="1"/>
        <s v="EKV007155_YDF5_XXL#" u="1"/>
        <s v="EKV007155_YDF5_XL#" u="1"/>
        <s v="EKK009949_LGR_XL#" u="1"/>
        <s v="EKK009997_NB_XXL" u="1"/>
        <s v="EKK009997_NB_XL" u="1"/>
        <s v="EKK009997_NB_S" u="1"/>
        <s v="EKK009997_NB_M" u="1"/>
        <s v="EKK009997_NB_L" u="1"/>
        <s v="EKK009997_B_XXL" u="1"/>
        <s v="EKK009997_B_XL" u="1"/>
        <s v="EKK009997_B_M" u="1"/>
        <s v="EKK009997_B_L" u="1"/>
        <s v="EKK009997_BL_XXL" u="1"/>
        <s v="EKK009997_BL_XL" u="1"/>
        <s v="EKK009997_BL_S" u="1"/>
        <s v="EKK009997_BL_M" u="1"/>
        <s v="EKK009997_BL_L" u="1"/>
        <s v="AMK005512_B_S" u="1"/>
        <s v="AMK005512_B01_M" u="1"/>
        <s v="AMK005512_BW_XL" u="1"/>
        <s v="AMK005512_B01_XL" u="1"/>
        <s v="AMK005512_B_XXL" u="1"/>
        <s v="AMK005996_BL_XXXL" u="1"/>
        <s v="AMK005996_YDF_M" u="1"/>
        <s v="AMK005996_YDF_S" u="1"/>
        <s v="AMK005996_YDF1_4XL" u="1"/>
        <s v="AMK005996_YDF1_XXXL" u="1"/>
        <s v="AMK005996_YDF1_XXL" u="1"/>
        <s v="AMK005996_YDF1_XL" u="1"/>
        <s v="AMK005996_YDF1_L" u="1"/>
        <s v="AMK005996_YDF1_M" u="1"/>
        <s v="AMK005996_YDF1_S" u="1"/>
        <s v="AMK005996_YDF_4XL" u="1"/>
        <s v="AMK005996_YDF_XXL" u="1"/>
        <s v="AMK005996_YDF_XL" u="1"/>
        <s v="AMK005996_PAT_XXXL" u="1"/>
        <s v="AMK005996_PAT_XXL" u="1"/>
        <s v="AMK005996_PAT_XL" u="1"/>
        <s v="AMK005996_PAT_L" u="1"/>
        <s v="AMK005996_PAT_M" u="1"/>
        <s v="AMK005996_BW_XXXXL" u="1"/>
        <s v="AMK005996_BW_XXXL" u="1"/>
        <s v="AMK005996_BW_XXL" u="1"/>
        <s v="AMK005996_BW_XL" u="1"/>
        <s v="AMK005996_BW_L" u="1"/>
        <s v="AMK005996_BW_M" u="1"/>
        <s v="AMK005996_BL_4XL" u="1"/>
        <s v="AMK005996_R_XL" u="1"/>
        <s v="AMK005996_R_L" u="1"/>
        <s v="AMK005996_BL_XXL" u="1"/>
        <s v="AMK005996_BL_M" u="1"/>
        <s v="EKK009194_WR_XXL" u="1"/>
        <s v="EKK009194_WR_XL" u="1"/>
        <s v="EKK009194_WR_S" u="1"/>
        <s v="EKK009194_WR_M" u="1"/>
        <s v="EKK009194_WR_L" u="1"/>
        <s v="EKK009194_NB_XL" u="1"/>
        <s v="EKK009194_NB_S" u="1"/>
        <s v="EKK009194_NB_M" u="1"/>
        <s v="EKK009194_NB_L" u="1"/>
        <s v="EKK009194_B_XXL" u="1"/>
        <s v="EKK009194_B_M" u="1"/>
        <s v="EKK009997_WR_XL" u="1"/>
        <s v="EKK009997_WR_M" u="1"/>
        <s v="EKK009997_WR_XXL" u="1"/>
        <s v="EKK009997_MGT_L" u="1"/>
        <s v="EKK005159_W_S" u="1"/>
        <s v="EKK005159_BL_XXL" u="1"/>
        <s v="EKK005159_BL_XL" u="1"/>
        <s v="EKK005159_BL_L" u="1"/>
        <s v="EKK005159_BL_M" u="1"/>
        <s v="EKK005159_BL_S" u="1"/>
        <s v="EKK005159_P_XL" u="1"/>
        <s v="EKK005159_W_XXL" u="1"/>
        <s v="EKK005159_W_XL" u="1"/>
        <s v="EKK005159_W_L" u="1"/>
        <s v="EKK005159_W_M" u="1"/>
        <s v="EKK010116_NA_XXL" u="1"/>
        <s v="EKK010116_NA_S" u="1"/>
        <s v="EKK010116_B_XXL" u="1"/>
        <s v="EKK010116_B_M" u="1"/>
        <s v="EKK010116_B_L" u="1"/>
        <s v="EKV006696_PR_XL#" u="1"/>
        <s v="EKV006696_PR_XXL#" u="1"/>
        <s v="EKV006696_PR_M#" u="1"/>
        <s v="EKV006696_PR_L#" u="1"/>
        <s v="EKV006696_BL_XL#" u="1"/>
        <s v="EKV006696_BL_S#" u="1"/>
        <s v="EKV006696_BL_XXL#" u="1"/>
        <s v="EKV006696_BL_M#" u="1"/>
        <s v="EKV006696_BL_L#" u="1"/>
        <s v="EKK009972_WR_XL" u="1"/>
        <s v="EKK009972_NB_M" u="1"/>
        <s v="EKK009972_WR_S" u="1"/>
        <s v="EKK009972_NB_S" u="1"/>
        <s v="EKK009972_WR_XXL" u="1"/>
        <s v="EKK009972_NB_XL" u="1"/>
        <s v="EKK009972_WR_M" u="1"/>
        <s v="EKK009904_GR_XXL" u="1"/>
        <s v="EKK009904_B_XL" u="1"/>
        <s v="EKK009904_NB_S" u="1"/>
        <s v="EKK009904_GR_L" u="1"/>
        <s v="EKK009904_GR_M" u="1"/>
        <s v="EKK009904_GR_S" u="1"/>
        <s v="EKV006903_PAT1_XL#" u="1"/>
        <s v="EKV006903_PAT1_XXL#" u="1"/>
        <s v="EKV006903_PAT2_XL#" u="1"/>
        <s v="EKV006903_PAT1_S#" u="1"/>
        <s v="EKV006903_PAT1_M#" u="1"/>
        <s v="EKV006903_PAT2_L#" u="1"/>
        <s v="EKV006903_PAT1_L#" u="1"/>
        <s v="AMK005996_PAT2_XXXL" u="1"/>
        <s v="AMK005996_PAT4_XL" u="1"/>
        <s v="AMK005996_PAT2_L" u="1"/>
        <s v="AMK005996_PAT4_M" u="1"/>
        <s v="AMK005996_PAT2_M" u="1"/>
        <s v="AMK005996_R_XXXL" u="1"/>
        <s v="AMK005996_PAT4_4XL" u="1"/>
        <s v="AMK005996_PAT4_XXXL" u="1"/>
        <s v="AMK005996_PAT2_XXL" u="1"/>
        <s v="AMK005996_PAT2_S" u="1"/>
        <s v="AMK005996_PAT4_S" u="1"/>
        <s v="EKY005361_WR_XXL" u="1"/>
        <s v="EKY005361_NB_XXL" u="1"/>
        <s v="EKY005361_WR_XL" u="1"/>
        <s v="EKY005361_WR_M" u="1"/>
        <s v="EKY005361_WR_L" u="1"/>
        <s v="EKY005361_NB_XL" u="1"/>
        <s v="EKY005361_NB_S" u="1"/>
        <s v="EKY005361_NB_M" u="1"/>
        <s v="EKY005361_NB_L" u="1"/>
        <s v="EKY005361_B_XXL" u="1"/>
        <s v="EKY005361_B_XL" u="1"/>
        <s v="EKY005361_B_S" u="1"/>
        <s v="EKY005361_B_M" u="1"/>
        <s v="EKY005361_B_L" u="1"/>
        <s v="EKY005343_NB_XXL" u="1"/>
        <s v="EKY005343_NB_XL" u="1"/>
        <s v="EKY005343_NB_L" u="1"/>
        <s v="EKY005343_MGT_XXL" u="1"/>
        <s v="EKY005343_MGT_XL" u="1"/>
        <s v="EKY005343_MGT_M" u="1"/>
        <s v="EKY005343_MGT_L" u="1"/>
        <s v="EKY005343_B_XL" u="1"/>
        <s v="EKY005343_B_S" u="1"/>
        <s v="EKK009126_NB_S" u="1"/>
        <s v="EKK009126_B_L" u="1"/>
        <s v="EKK009126_B_M" u="1"/>
        <s v="EKK009126_NB_M" u="1"/>
        <s v="EKK009126_B_S" u="1"/>
        <s v="EKK009126_B_XL" u="1"/>
        <s v="EKK009126_NB_XL" u="1"/>
        <s v="EKK009126_B_XXL" u="1"/>
        <s v="EKK009126_NB_XXL" u="1"/>
        <s v="AM000517_NA_L" u="1"/>
        <s v="AM000517_NA_M" u="1"/>
        <s v="AM000517_PAT3_XL" u="1"/>
        <s v="AM000517_PAT3_S" u="1"/>
        <s v="AM000517_NA_XL" u="1"/>
        <s v="AM000517_PAT3_XXL" u="1"/>
        <s v="AM000517_NA_XXL" u="1"/>
        <s v="AM000517_PAT3_L" u="1"/>
        <s v="EKY005343_WR_M" u="1"/>
        <s v="EKY005343_MGT1_M" u="1"/>
        <s v="EKY005343_WR_XL" u="1"/>
        <s v="EKY005343_MGT1_XXL" u="1"/>
        <s v="EKY005343_MGT1_L" u="1"/>
        <s v="EKY005343_WR_S" u="1"/>
        <s v="EKY005343_WR_L" u="1"/>
        <s v="EKY005343_MGT1_S" u="1"/>
        <s v="EKY005236_NB_M" u="1"/>
        <s v="EKY005236_B_S" u="1"/>
        <s v="EKY005236_NB_L" u="1"/>
        <s v="EKY005236_MIR_S" u="1"/>
        <s v="EKY005236_MIR_M" u="1"/>
        <s v="EKY005112_XH1_S" u="1"/>
        <s v="EKY005112_XH1_M" u="1"/>
        <s v="EKY005112_XH1_XL" u="1"/>
        <s v="EKY005112_XH1_XXL" u="1"/>
        <s v="EKY005112_LGT_S" u="1"/>
        <s v="EKY005112_LGT_L" u="1"/>
        <s v="EKY005112_LGT_XL" u="1"/>
        <s v="EKY005112_LGT_XXL" u="1"/>
        <s v="EKY005112_LIL_XXL" u="1"/>
        <s v="EKY005112_NB_S" u="1"/>
        <s v="EKY005112_NB_M" u="1"/>
        <s v="EKY005112_NB_L" u="1"/>
        <s v="EKY005112_NB_XL" u="1"/>
        <s v="EKY005112_NB_XXL" u="1"/>
        <s v="EKY005112_DGT_XL" u="1"/>
        <s v="EKY005112_DGT_S" u="1"/>
        <s v="EKY005112_B_XXL" u="1"/>
        <s v="EKY005112_B_XL" u="1"/>
        <s v="EKY005112_B_S" u="1"/>
        <s v="EKY005112_NA_XXL" u="1"/>
        <s v="EKY005112_B_M" u="1"/>
        <s v="EKY005112_NA_XL" u="1"/>
        <s v="EKY005112_NA_S" u="1"/>
        <s v="EKY005112_NA_M" u="1"/>
        <s v="EKY005112_NA_L" u="1"/>
        <s v="EKY005112_DGT_L" u="1"/>
        <s v="EKY005236_WI_L" u="1"/>
        <s v="EKY005429_W_XXL" u="1"/>
        <s v="EKY005429_W_XL" u="1"/>
        <s v="EKY005429_W_S" u="1"/>
        <s v="EKY005429_W_L" u="1"/>
        <s v="EKY005429_PP_XXL" u="1"/>
        <s v="EKY005429_PP_XL" u="1"/>
        <s v="EKY005429_PP_S" u="1"/>
        <s v="EKY005429_PP_M" u="1"/>
        <s v="EKY005429_PP_L" u="1"/>
        <s v="EKY005429_CLB_XXL" u="1"/>
        <s v="EKY005429_CLB_XL" u="1"/>
        <s v="EKY005429_CLB_S" u="1"/>
        <s v="EKY005429_CLB_L" u="1"/>
        <s v="EKV006903_PAT3_S#" u="1"/>
        <s v="EKV006903_PAT4_S#" u="1"/>
        <s v="EKV006903_PAT3_XL#" u="1"/>
        <s v="EKV006903_PAT4_M#" u="1"/>
        <s v="EKV006903_PAT3_L#" u="1"/>
        <s v="EKV006903_PAT4_L#" u="1"/>
        <s v="EKV006903_PAT3_M#" u="1"/>
        <s v="EKV006903_PAT3_XXL#" u="1"/>
        <s v="EKV006903_PAT4_XL#" u="1"/>
        <s v="AMK005996_R_XXL" u="1"/>
        <s v="AMK005996_PAT6_L" u="1"/>
        <s v="EKK009320_B_S" u="1"/>
        <s v="EKK009320_NB_M" u="1"/>
        <s v="EKK009320_NB_S" u="1"/>
        <s v="EKK009320_NB_XL" u="1"/>
        <s v="EKK009320_NB_XXL" u="1"/>
        <s v="EKK009320_FG_XL" u="1"/>
        <s v="EKK009320_B_XXL" u="1"/>
        <s v="EKK009320_FG_XXL" u="1"/>
        <s v="EKK009320_B_XL" u="1"/>
        <s v="EKK009320_NB_L" u="1"/>
        <s v="EKK009320_B_L" u="1"/>
        <s v="EKY005192_WR_XXL" u="1"/>
        <s v="EKY005192_WR_XL" u="1"/>
        <s v="EKY005192_WR_M" u="1"/>
        <s v="EKY005192_WR_L" u="1"/>
        <s v="EKY005192_NA_XXL" u="1"/>
        <s v="EKY005192_NA_XL" u="1"/>
        <s v="EKY005192_NA_M" u="1"/>
        <s v="EKY005192_NA_L" u="1"/>
        <s v="EKY005192_B_XXL" u="1"/>
        <s v="EKY005192_B_XL" u="1"/>
        <s v="EKY005192_B_M" u="1"/>
        <s v="EKY005192_B_L" u="1"/>
        <s v="EKY005122_YDF2_S" u="1"/>
        <s v="EKY005122_YDF2_M" u="1"/>
        <s v="EKY005122_YDF1_M" u="1"/>
        <s v="EKY005122_YDF2_L" u="1"/>
        <s v="EKY005122_YDF3_L" u="1"/>
        <s v="EKY005122_YDF1_XL" u="1"/>
        <s v="EKY005361_MGT_XL" u="1"/>
        <s v="EKY005361_MGT_XXL" u="1"/>
        <s v="EKY005361_MGT_S" u="1"/>
        <s v="EKY005361_MGT_M" u="1"/>
        <s v="EKY005361_MGT_L" u="1"/>
        <s v="EKY005343_B1_M" u="1"/>
        <s v="EKY005343_B1_XL" u="1"/>
        <s v="EKY005343_B1_XXL" u="1"/>
        <s v="EKY005343_B1_S" u="1"/>
        <s v="EKV007152_NA_L#" u="1"/>
        <s v="EKV007152_NA_M#" u="1"/>
        <s v="EKV007152_NA_XL#" u="1"/>
        <s v="EKV007152_NA_S#" u="1"/>
        <s v="EKV007126_LIL_L" u="1"/>
        <s v="EKV007126_B_XL" u="1"/>
        <s v="EKV007126_B_L" u="1"/>
        <s v="AM000517_WL_L" u="1"/>
        <s v="AM000517_WL_S" u="1"/>
        <s v="ETV007126_NB_M" u="1"/>
        <s v="EKK009320_WR_M" u="1"/>
        <s v="EKK009320_BUG_S" u="1"/>
        <s v="EKK009997_WR_S" u="1"/>
        <s v="EKK009997_B_S" u="1"/>
        <s v="EKY005429_LA_S" u="1"/>
        <s v="EKY005429_LA_XXL" u="1"/>
        <s v="EKY005429_LGR_M" u="1"/>
        <s v="EKY005429_LGR_L" u="1"/>
        <s v="EKY005429_LA_L" u="1"/>
        <s v="EKY005429_LA_M" u="1"/>
        <s v="EKY005429_LA_XL" u="1"/>
        <s v="EKY005429_LGR_XL" u="1"/>
        <s v="EKY005112_NB1_S" u="1"/>
        <s v="EKY005112_B2_XL" u="1"/>
        <s v="EKY005112_MGT_S" u="1"/>
        <s v="EKY005112_MGT_M" u="1"/>
        <s v="EKY005112_MGT_L" u="1"/>
        <s v="EKY005112_DGR_M" u="1"/>
        <s v="EKY005112_NB1_XXL" u="1"/>
        <s v="EKY005112_B2_XXL" u="1"/>
        <s v="EKY005112_B2_S" u="1"/>
        <s v="EKY005112_NB1_XL" u="1"/>
        <s v="EKY005112_B2_M" u="1"/>
        <s v="EKY005112_B1_M" u="1"/>
        <s v="EKY005112_B2_L" u="1"/>
        <s v="EKY005112_NB1_L" u="1"/>
        <s v="EKY005112_NB1_M" u="1"/>
        <s v="EKY005112_MGT_XL" u="1"/>
        <s v="EKK009949_LA_XXL#" u="1"/>
        <s v="EKK009949_DSB_XXL#" u="1"/>
        <s v="EKV006166_PUG_S" u="1"/>
        <s v="EKK005472_B_XL" u="1"/>
        <s v="EKK005472_PAT2_XL" u="1"/>
        <s v="EKK005472_PAT2_L" u="1"/>
        <s v="EKK005472_PAT1_XS" u="1"/>
        <s v="EKK005472_PAT1_S" u="1"/>
        <s v="EKK005472_PAT1_M" u="1"/>
        <s v="EKK005472_PAT1_L" u="1"/>
        <s v="EKK005472_B_M" u="1"/>
        <s v="EKK005472_BRG_L" u="1"/>
        <s v="EKK005472_BRG_XL" u="1"/>
        <s v="EKK005472_BRG_S" u="1"/>
        <s v="EKK006107_BL_L" u="1"/>
        <s v="EKK006107_PU_S" u="1"/>
        <s v="EKK006107_NB_S" u="1"/>
        <s v="EKK006107_NB_L" u="1"/>
        <s v="EKK006107_NB_XXL" u="1"/>
        <s v="EKK006107_W_M" u="1"/>
        <s v="EKK005094_W_S" u="1"/>
        <s v="EKK005094_W2_S" u="1"/>
        <s v="EKK005094_W2_L" u="1"/>
        <s v="EKK005094_PAP_XL" u="1"/>
        <s v="EKK005094_PAP_S" u="1"/>
        <s v="EKK005094_PAP_M" u="1"/>
        <s v="EKK005094_B_L" u="1"/>
        <s v="EKK005094_B_XXL" u="1"/>
        <s v="EKK005094_B_XL" u="1"/>
        <s v="EKK005094_W_L" u="1"/>
        <s v="EKK005094_W_XXL" u="1"/>
        <s v="EKK005094_W_XL" u="1"/>
        <s v="EKK005094_W_M" u="1"/>
        <s v="EKK006107_PU_L" u="1"/>
        <s v="EKK006107_BUG_S" u="1"/>
        <s v="EKK006107_NB_M" u="1"/>
        <s v="EKK006107_BUG_L" u="1"/>
        <s v="EKK006107_WI_XL" u="1"/>
        <s v="EKK006107_WI_XXL" u="1"/>
        <s v="EKV007025_P_L#" u="1"/>
        <s v="EKV007025_P_XXL" u="1"/>
        <s v="EKV007025_P_XL" u="1"/>
        <s v="EKV007025_P_M" u="1"/>
        <s v="EKV007025_P_S" u="1"/>
        <s v="EKV007025_B_XL" u="1"/>
        <s v="EKV007025_B_XXL" u="1"/>
        <s v="EKV007025_B_L" u="1"/>
        <s v="EKV007025_B_M" u="1"/>
        <s v="EKV007025_B_S" u="1"/>
        <s v="EKV007025_NB_XXL" u="1"/>
        <s v="EKV007025_NB_XL" u="1"/>
        <s v="EKV007025_NB_M" u="1"/>
        <s v="EKV007025_NB_S" u="1"/>
        <s v="EKV007025_DGR_XXL" u="1"/>
        <s v="EKV007025_DGR_L" u="1"/>
        <s v="EKV007025_DGR_S" u="1"/>
        <s v="EKY005343_W_XL" u="1"/>
        <s v="EKY005343_W_S" u="1"/>
        <s v="EKY005343_W_M" u="1"/>
        <s v="EKY005343_W_L" u="1"/>
        <s v="EKK009194_B1_XXL" u="1"/>
        <s v="EKK009194_LGT_XL" u="1"/>
        <s v="EKK009194_B1_M" u="1"/>
        <s v="EKK009194_B1_L" u="1"/>
        <s v="EKK009194_B1_S" u="1"/>
        <s v="EKK009194_LGT_XXL" u="1"/>
        <s v="EKK009194_B1_XL" u="1"/>
        <s v="EKK009320_DGT_M" u="1"/>
        <s v="EKK009320_DGT_L" u="1"/>
        <s v="EKK009320_DGT_XXL" u="1"/>
        <s v="EKK009320_DGT_S" u="1"/>
        <s v="EKK009194_B2_M" u="1"/>
        <s v="EKK009194_B2_XXL" u="1"/>
        <s v="EKK009194_B2_L" u="1"/>
        <s v="EKK009194_B2_XL" u="1"/>
        <s v="EKK009194_B2_S" u="1"/>
        <s v="AMK005996_PAT2_4XL" u="1"/>
        <s v="EKV006903_PAT9_L#" u="1"/>
        <s v="EKV006903_PAT9_S#" u="1"/>
        <s v="EKV006903_PAT5_L#" u="1"/>
        <s v="EKV006903_PEB_S#" u="1"/>
        <s v="EKV006903_PP_S#" u="1"/>
        <s v="EKV006903_PP_XL#" u="1"/>
        <s v="EKV006903_PP_L#" u="1"/>
        <s v="EKV006903_PAT9_M#" u="1"/>
        <s v="EKV006903_WTR_M#" u="1"/>
        <s v="EKV006903_WTR_XXL#" u="1"/>
        <s v="EKV006903_PAT7_S#" u="1"/>
        <s v="EKV006903_PEB_XL#" u="1"/>
        <s v="EKV006903_PAT5_M#" u="1"/>
        <s v="EKV006903_PAT7_XXL#" u="1"/>
        <s v="EKV006903_WTR_XL#" u="1"/>
        <s v="EKV006903_PP_M#" u="1"/>
        <s v="EKV006903_WTR_L#" u="1"/>
        <s v="EKV006903_PEB_XXL#" u="1"/>
        <s v="EKV006903_PAT9_XL#" u="1"/>
        <s v="EKV006903_PAT7_L#" u="1"/>
        <s v="EKV006903_PEB_M#" u="1"/>
        <s v="EKV006903_PAT9_XXL#" u="1"/>
        <s v="EKV006903_PAT5_XXL#" u="1"/>
        <s v="EKV006903_PAT5_S#" u="1"/>
        <s v="EKV006903_WTR_S#" u="1"/>
        <s v="EKV006903_PEB_L#" u="1"/>
        <s v="EKV006903_PP_XXL#" u="1"/>
        <s v="EKK009194_DA_S" u="1"/>
        <s v="EKK009194_PU_S" u="1"/>
        <s v="EKK009194_DA_XL" u="1"/>
        <s v="EKK009194_PU_M" u="1"/>
        <s v="EKK009194_DA_L" u="1"/>
        <s v="EKK009194_DA_XXL" u="1"/>
        <s v="EKY005272_DGT_M*#" u="1"/>
        <s v="EKY005272_LGT_L#" u="1"/>
        <s v="EKY005272_DGT_L*#" u="1"/>
        <s v="EKY005272_B_L#" u="1"/>
        <s v="EKY005272_B_XL#" u="1"/>
        <s v="EKY005272_LGT_M#" u="1"/>
        <s v="EKY005272_LGT_S#" u="1"/>
        <s v="EKY005272_LGT_XXL#" u="1"/>
        <s v="EKY005272_DGT_XL*#" u="1"/>
        <s v="EKY005272_WR_L*##" u="1"/>
        <s v="EKY005272_LGT_XL#" u="1"/>
        <s v="EKY005272_DSB_XXL#" u="1"/>
        <s v="EKY005272_DSB_XL#" u="1"/>
        <s v="EKY005272_DSB_S#" u="1"/>
        <s v="EKY005272_DSB_M#" u="1"/>
        <s v="EKY005272_PEB_XXL*#" u="1"/>
        <s v="EKY005272_PEB_S#" u="1"/>
        <s v="EKY005272_WR_XL#" u="1"/>
        <s v="EKY005272_PEB_L#" u="1"/>
        <s v="EKK009972_NA_L" u="1"/>
        <s v="EKK009972_DBG_L" u="1"/>
        <s v="EKK009972_NA_S" u="1"/>
        <s v="EKK009972_LGT_S" u="1"/>
        <s v="EKK009972_ARG_S" u="1"/>
        <s v="EKY005343_NA_S" u="1"/>
        <s v="EKY005343_NA_L" u="1"/>
        <s v="*ETK006639_DBL_XXL" u="1"/>
        <s v="EKK005996_PAT9_S" u="1"/>
        <s v="EKK005996_PAT9_L" u="1"/>
        <s v="EKK005996_PAT9_XXXL" u="1"/>
        <s v="EKK005996_PAT9_M" u="1"/>
        <s v="EKK005996_PAT9_XL" u="1"/>
        <s v="EKK009702_B_L#" u="1"/>
        <s v="EKK009702_GR_L#" u="1"/>
        <s v="EKK009702_LGR_S" u="1"/>
        <s v="EKK009702_NB_S#" u="1"/>
        <s v="EKK009702_B_M#" u="1"/>
        <s v="EKK009702_B_S#" u="1"/>
        <s v="ETK009702_LGR_M" u="1"/>
        <s v="ETK009702_NB_M#" u="1"/>
        <s v="EKK006043_B1_L" u="1"/>
        <s v="EKY006791_PAT1_XL" u="1"/>
        <s v="EKY006791_WR_XXL" u="1"/>
        <s v="EKY006791_WR_L" u="1"/>
        <s v="EKY006791_GB_XXL" u="1"/>
        <s v="EKY006791_WR_S" u="1"/>
        <s v="EKY006791_PAT1_S" u="1"/>
        <s v="EKY006791_LA_XXL" u="1"/>
        <s v="EKY006791_DA_XXL" u="1"/>
        <s v="EKY006791_PAT1_M" u="1"/>
        <s v="EKY006791_LA_L" u="1"/>
        <s v="EKY006791_DA_L" u="1"/>
        <s v="EKY006791_WR_M" u="1"/>
        <s v="EKY006791_LGR_S" u="1"/>
        <s v="EKY006791_LGR_XXL" u="1"/>
        <s v="AMK005725_WR_S" u="1"/>
        <s v="AMK005725_WR_XXL" u="1"/>
        <s v="AMK005725_WR_XS" u="1"/>
        <s v="AMK005725_WR_XL" u="1"/>
        <s v="AMK005725_WR_M" u="1"/>
        <s v="AMK005725_WR_L" u="1"/>
        <s v="EKV007024_WR_M*" u="1"/>
        <s v="EKV007024_WR_XXL" u="1"/>
        <s v="EKV007024_WR_XXXL" u="1"/>
        <s v="EKV007024_B_XXXL" u="1"/>
        <s v="EKV007024_PAT15_S" u="1"/>
        <s v="EKV007024_PAT15_M" u="1"/>
        <s v="EKV007024_PAT15_XL" u="1"/>
        <s v="EKV007024_PAT15_XXL" u="1"/>
        <s v="EKV007024_CLB_M" u="1"/>
        <s v="EKV007024_DR_S" u="1"/>
        <s v="EKV007024_DR_XL" u="1"/>
        <s v="EKV007024_DA_S" u="1"/>
        <s v="EKV007024_DA_XXL" u="1"/>
        <s v="EKV007024_NA_S" u="1"/>
        <s v="EKV007024_NA_M" u="1"/>
        <s v="EKV007024_NA_XL" u="1"/>
        <s v="EKV007024_NA_XXL" u="1"/>
        <s v="EKV007024_PEB_M" u="1"/>
        <s v="EKV007024_PEB_L" u="1"/>
        <s v="EKV007024_PEB_XL" u="1"/>
        <s v="EKV007024_PEB_XXL" u="1"/>
        <s v="EKV007024_PAT14_M" u="1"/>
        <s v="EKV007024_W_S" u="1"/>
        <s v="EKV007024_PU_M" u="1"/>
        <s v="EKV007024_PAT4_L" u="1"/>
        <s v="EKV007024_PU_S" u="1"/>
        <s v="EKV007024_PU_XXL" u="1"/>
        <s v="EKV007024_NB_S" u="1"/>
        <s v="EKV007024_NB_M" u="1"/>
        <s v="EKV007024_NB_L" u="1"/>
        <s v="EKV007024_NB_XL" u="1"/>
        <s v="EKV007024_NB_XXXL" u="1"/>
        <s v="EKV007024_WR_S" u="1"/>
        <s v="EKV007024_WR_L" u="1"/>
        <s v="EKV007024_WR_XL" u="1"/>
        <s v="EKV007024_B_XL" u="1"/>
        <s v="EKV007024_B_XXL" u="1"/>
        <s v="EKV007024_PAT1_S" u="1"/>
        <s v="EKV007024_PAT1_M" u="1"/>
        <s v="EKV007024_PAT1_L" u="1"/>
        <s v="EKV007024_PAT1_XL" u="1"/>
        <s v="EKV007024_PAT1_XXL" u="1"/>
        <s v="EKV007024_CLB_XXL" u="1"/>
        <s v="EKV007024_PAT7_XXL" u="1"/>
        <s v="AMK005725_BL_S" u="1"/>
        <s v="AMK005725_BL_XL" u="1"/>
        <s v="AMK005725_BL_XXL" u="1"/>
        <s v="AMK005725_BL_M" u="1"/>
        <s v="AMK005725_BL_XS" u="1"/>
        <s v="AMK005725_BL_L" u="1"/>
        <s v="EKY005112_ARG_M" u="1"/>
        <s v="EKY005112_DGT1_M" u="1"/>
        <s v="EKY005112_ARG_L" u="1"/>
        <s v="EKY005112_MIR_XXL" u="1"/>
        <s v="EKY005112_ARG_S" u="1"/>
        <s v="EKY005112_PU_S" u="1"/>
        <s v="EKY005112_ARG_XL" u="1"/>
        <s v="EKY005236_PON_L" u="1"/>
        <s v="EKY005236_PON_M" u="1"/>
        <s v="EKY005236_WR_L" u="1"/>
        <s v="EKY005236_PON_S" u="1"/>
        <s v="EKY005236_WR_M" u="1"/>
        <s v="EKY005236_SB_M" u="1"/>
        <s v="EKY005236_MGT_M" u="1"/>
        <s v="AMK005512_B_XL" u="1"/>
        <s v="EKK005512_PAT5_XL" u="1"/>
        <s v="AMK005512_PB_XXL" u="1"/>
        <s v="EKK005512_PAT5_M" u="1"/>
        <s v="EKK005512_PAT5_S" u="1"/>
        <s v="AMK005512_PB_S" u="1"/>
        <s v="AMK005512_B01_XXL" u="1"/>
        <s v="EKY006977_PAT1_XXL" u="1"/>
        <s v="EKY006977_PAT1_S" u="1"/>
        <s v="EKY006977_PAT5_XL" u="1"/>
        <s v="EKY006977_PAT3_XXL" u="1"/>
        <s v="EKY006977_PAT5_L" u="1"/>
        <s v="EKY006977_PAT3_L" u="1"/>
        <s v="EKY006977_PAT4_XXL" u="1"/>
        <s v="EKY006977_PAT1_L" u="1"/>
        <s v="EKY006977_PAT1_M" u="1"/>
        <s v="EKY006977_PAT4_S" u="1"/>
        <s v="EKY006977_PAT2_L" u="1"/>
        <s v="EKY006977_PAT2_M" u="1"/>
        <s v="EKY006977_PAT3_M" u="1"/>
        <s v="EKY006977_PAT4_XXXL" u="1"/>
        <s v="EKY006977_PAT3_S" u="1"/>
        <s v="EKY006977_PAT2_XXXL" u="1"/>
        <s v="EKY006977_PAT4_M" u="1"/>
        <s v="EKY006977_PAT3_XXXL" u="1"/>
        <s v="EKY006977_PAT2_S" u="1"/>
        <s v="EKY006977_PAT5_XXXL" u="1"/>
        <s v="EKY006977_PAT1_XXXL" u="1"/>
        <s v="EKY006977_PAT3_XL" u="1"/>
        <s v="EKY006977_PAT4_XL" u="1"/>
        <s v="EKK009956_ARG_XL" u="1"/>
        <s v="EKK009079_PAT1_L" u="1"/>
        <s v="EKK009079_PAT1_XL" u="1"/>
        <s v="EKK009079_PAT2_XL" u="1"/>
        <s v="EKK009079_PAT3_L" u="1"/>
        <s v="EKK009079_PAT3_S" u="1"/>
        <s v="EKK009079_PAT3_XL" u="1"/>
        <s v="EKK009079_PAT4_L" u="1"/>
        <s v="EKK009079_PAT4_XXXL" u="1"/>
        <s v="EKK009079_PAT5_M" u="1"/>
        <s v="EKK009079_PAT5_XL" u="1"/>
        <s v="AMK009079_PAT2_L" u="1"/>
        <s v="EKK009079_PAT3_M" u="1"/>
        <s v="EKK009079_PAT5_XXL" u="1"/>
        <s v="EKK009079_PAT5_XXXL" u="1"/>
        <s v="EKK006107_PU_XXL" u="1"/>
        <s v="EKY006920_B_L" u="1"/>
        <s v="EKY006920_B_M" u="1"/>
        <s v="EKY006920_B_XL" u="1"/>
        <s v="EKY006920_B_XXL" u="1"/>
        <s v="EKY006920_G_M" u="1"/>
        <s v="EKY006920_G_S" u="1"/>
        <s v="EKY006920_G_XL" u="1"/>
        <s v="EKY006920_G_XXL" u="1"/>
        <s v="EKY006920_MP_L" u="1"/>
        <s v="EKY006920_MP_M" u="1"/>
        <s v="EKY006920_MP_XXL" u="1"/>
        <s v="EKY006920_NA_L" u="1"/>
        <s v="EKY006920_NA_M" u="1"/>
        <s v="EKY006920_NA_XL" u="1"/>
        <s v="EKY006920_NA_XXL" u="1"/>
        <s v="EKY006920_NB2_M" u="1"/>
        <s v="EKY006920_NB2_S" u="1"/>
        <s v="EKY006920_NB2_XL" u="1"/>
        <s v="EKY006920_NB_L" u="1"/>
        <s v="EKY006920_NB_M" u="1"/>
        <s v="EKY006920_NB_S" u="1"/>
        <s v="EKY006920_NB_XL" u="1"/>
        <s v="EKY006920_NB_XXL" u="1"/>
        <s v="EKV006696_PP_S#" u="1"/>
        <s v="EKV006696_WR_L#" u="1"/>
        <s v="EKV006696_WR_XXL#" u="1"/>
        <s v="EKV006696_PP_XXL#" u="1"/>
        <s v="EKV006696_WR_XL#" u="1"/>
        <s v="EKV006696_PP_L#" u="1"/>
        <s v="EKV006696_PP_XL#" u="1"/>
        <s v="EKK009904_B3_L##" u="1"/>
        <s v="EKK009904_PAT2_XL" u="1"/>
        <s v="EKK009904_PAT2_L" u="1"/>
        <s v="EKK009904_PAT1_L" u="1"/>
        <s v="EKK009904_PAT1_XXL" u="1"/>
        <s v="EKY006549_LIL_L" u="1"/>
        <s v="EKY006549_B_M" u="1"/>
        <s v="EKY006549_B_XXL" u="1"/>
        <s v="EKY006549_LIL_M" u="1"/>
        <s v="EKY006549_NB_M" u="1"/>
        <s v="EKY006549_BP_XXL" u="1"/>
        <s v="EKY006549_B_XL" u="1"/>
        <s v="EKY006549_BP_S" u="1"/>
        <s v="EKY006549_B_L" u="1"/>
        <s v="EKY006549_NB_XL" u="1"/>
        <s v="EKY006549_NB_XXL" u="1"/>
        <s v="EKY006549_LIL_XXL" u="1"/>
        <s v="EKY006549_DG_L" u="1"/>
        <s v="EKY006549_BP_XL" u="1"/>
        <s v="EKY006549_LIL_XL" u="1"/>
        <s v="EKY006755_NB_XL" u="1"/>
        <s v="EKY006755_BUG_XL" u="1"/>
        <s v="EKY006755_BUG_XXL" u="1"/>
        <s v="EKY006755_BUG_L" u="1"/>
        <s v="EKY006755_NB_S" u="1"/>
        <s v="EKY006755_BUG_S" u="1"/>
        <s v="EKY005343_MIR_XXL" u="1"/>
        <s v="EKK010116_WR_L" u="1"/>
        <s v="EKK010116_WR_S" u="1"/>
        <s v="EKK010116_WR_XL" u="1"/>
        <s v="AMK005512_PB_L" u="1"/>
        <s v="AMK005512_PB_M" u="1"/>
        <s v="AMK005512_B_M" u="1"/>
        <s v="EKK005512_PAT5_L" u="1"/>
        <s v="EKK010116_DGR_XL" u="1"/>
        <s v="EKK010116_DG_M" u="1"/>
        <s v="EKK010116_SKB_S" u="1"/>
        <s v="EKK010116_DG_L" u="1"/>
        <s v="EKK010116_DG_XL" u="1"/>
        <s v="EKK010116_DGR_S" u="1"/>
        <s v="EKK010116_SKB_M" u="1"/>
        <s v="EKK010116_SKB_L" u="1"/>
        <s v="EKK010116_DG_S" u="1"/>
        <s v="EKK010116_SKB_XXL" u="1"/>
        <s v="EKK010116_DGR_M" u="1"/>
        <s v="EKK010116_DGR_XXL" u="1"/>
        <s v="EKK010116_DGR_L" u="1"/>
        <s v="EKK010116_SKB_XL" u="1"/>
        <s v="EKK010116_DG_XXL" u="1"/>
        <s v="EKV007156_DBG_S" u="1"/>
        <s v="EKV007156_DGR_M" u="1"/>
        <s v="EKV007156_DGR_XXL" u="1"/>
        <s v="EKV007156_DBG_XXL" u="1"/>
        <s v="EKV007156_DBG_XXXL" u="1"/>
        <s v="EKV007156_B_XL" u="1"/>
        <s v="EKV007156_B_M" u="1"/>
        <s v="EKV007156_B_XXXL" u="1"/>
        <s v="EKV007156_B_L" u="1"/>
        <s v="EKV007156_B_XXL" u="1"/>
        <s v="EKV007156_PAT10_XXL" u="1"/>
        <s v="EKV007156_PAT15_M" u="1"/>
        <s v="EKV007156_PAT15_XXL" u="1"/>
        <s v="EKV007156_PAT15_XL" u="1"/>
        <s v="EKV007156_PAT15_S" u="1"/>
        <s v="EKV007156_PAT15_XXXL" u="1"/>
        <s v="EKK009904_PAT1_M" u="1"/>
        <s v="EKK009904_PAT2_M" u="1"/>
        <s v="AMV007079_NB_M" u="1"/>
        <s v="AMV007079_SAP_L" u="1"/>
        <s v="AMV007079_NB_XXL" u="1"/>
        <s v="AMV007079_SAP_XXL" u="1"/>
        <s v="AMV007079_NB_S" u="1"/>
        <s v="AMV007079_RV_L" u="1"/>
        <s v="AMV007079_RV_M" u="1"/>
        <s v="AMV007079_RV_XXL" u="1"/>
        <s v="AMV007079_NB_XL" u="1"/>
        <s v="AMV007079_NB_L" u="1"/>
        <s v="AMV007079_PP_S" u="1"/>
        <s v="AMV007079_PP_XXL" u="1"/>
        <s v="AMV007079_SAP_S" u="1"/>
        <s v="EKV007156_DBG_L" u="1"/>
        <s v="EKV007156_DBG_M" u="1"/>
        <s v="EKV007156_DGR_XL" u="1"/>
        <s v="EKV007156_PAT10_L" u="1"/>
        <s v="EKV007156_PAT15_L" u="1"/>
        <s v="EKV007156_PAT9_M" u="1"/>
        <s v="ETK010116_B_XL##" u="1"/>
        <s v="ETK010116_B_S" u="1"/>
        <s v="ETK010116_WR_XXL" u="1"/>
        <s v="ETK010116_WR_M" u="1"/>
        <s v="EKV007126_ARG_S" u="1"/>
        <s v="EKV006903_R_S#" u="1"/>
        <s v="EKV006903_W_S#" u="1"/>
        <s v="EKV006903_B_S#" u="1"/>
        <s v="EKV006903_BL_L##" u="1"/>
        <s v="EKV006903_BL_S#" u="1"/>
        <s v="EKV006903_WR_S#" u="1"/>
        <s v="EKY006520_PU_L" u="1"/>
        <s v="EKY006520_P_M" u="1"/>
        <s v="EKY006520_P_L" u="1"/>
        <s v="EKY006520_P_S" u="1"/>
        <s v="EKY006520_P_XL" u="1"/>
        <s v="EKY006520_WR_L" u="1"/>
        <s v="EKY006520_P_XXL" u="1"/>
        <s v="EKY006520_WR_S" u="1"/>
        <s v="EKY006520_WR_M" u="1"/>
        <s v="EKY006520_WR_XL" u="1"/>
        <s v="EKV007155_PAT14_L" u="1"/>
        <s v="EKV007155_PAT6_M#" u="1"/>
        <s v="EKV007155_PAT7_M#" u="1"/>
        <s v="EKV007155_PAT11_M#" u="1"/>
        <s v="EKV007155_PAT14_M" u="1"/>
        <s v="EKV007155_PAT9_S#" u="1"/>
        <s v="EKV007155_PAT9_L#" u="1"/>
        <s v="EKV007155_PAT9_XL#" u="1"/>
        <s v="EKV007155_PAT13_XXXL" u="1"/>
        <s v="EKV007155_PAT7_L#" u="1"/>
        <s v="EKV007155_PAT13_M" u="1"/>
        <s v="EKV007155_PAT13_S" u="1"/>
        <s v="EKV007155_PT3_L#" u="1"/>
        <s v="EKV007155_PAT10_M#" u="1"/>
        <s v="EKV007155_PAT14_XXXL" u="1"/>
        <s v="EKV007155_PAT10_L#" u="1"/>
        <s v="EKK009607_WR_S" u="1"/>
        <s v="EKK009904_ARG_XXL" u="1"/>
        <s v="EKK009904_ARG_XL" u="1"/>
        <s v="EKK009904_PP_XL" u="1"/>
        <s v="EKK009904_ARG_M" u="1"/>
        <s v="EKK009904_ARG_L" u="1"/>
        <s v="EKY005343_DG_S" u="1"/>
        <s v="EKY005343_DG_XL" u="1"/>
        <s v="EKY005343_DG_L" u="1"/>
        <s v="EKK006107_WR_M" u="1"/>
        <s v="EKK006107_PP_XXL" u="1"/>
        <s v="EKK006107_PP_XL" u="1"/>
        <s v="EKK006107_PP_S" u="1"/>
        <s v="EKK006107_PP_M" u="1"/>
        <s v="EKK006107_PP_L" u="1"/>
        <s v="EKY005134_WR_M" u="1"/>
        <s v="EKY005134_WR_XL" u="1"/>
        <s v="EKY005134_B_XXL" u="1"/>
        <s v="EKY005134_WR_L" u="1"/>
        <s v="EKY005134_B_L" u="1"/>
        <s v="EKY005134_NB_L" u="1"/>
        <s v="EKY005134_NB_XL" u="1"/>
        <s v="EKY005134_B_XL" u="1"/>
        <s v="EKY005134_NB_XXL" u="1"/>
        <s v="EKY005134_NB_M" u="1"/>
        <s v="EKY005134_NB_S" u="1"/>
        <s v="EKV007152_B1_L#" u="1"/>
        <s v="EKV007152_NA_XXL#" u="1"/>
        <s v="EKV007152_NA1_S##" u="1"/>
        <s v="EKV007152_NA1_XXL#" u="1"/>
        <s v="EKV007152_MGT_XXXL" u="1"/>
        <s v="EKV007152_MGT_XL" u="1"/>
        <s v="EKV007152_MGT_XXL" u="1"/>
        <s v="EKV007152_MGT_L" u="1"/>
        <s v="EKV007152_MGT_4XL" u="1"/>
        <s v="EKV007152_NA1_L#" u="1"/>
        <s v="EKV007152_MGT_S" u="1"/>
        <s v="EKV007152_PU_XL" u="1"/>
        <s v="EKV007152_GR_L#" u="1"/>
        <s v="EKV007152_ARG_S" u="1"/>
        <s v="EKV007152_GR_XL#" u="1"/>
        <s v="EKV007152_PU_M" u="1"/>
        <s v="EKV007152_PU_L" u="1"/>
        <s v="EKV007152_PU_S" u="1"/>
        <s v="EKV007152_MGT_M" u="1"/>
        <s v="EKV007152_ARG_XL" u="1"/>
        <s v="EKV007152_NA_4XL" u="1"/>
        <s v="EKV007152_GR_4XL" u="1"/>
        <s v="EKY005343_LIL_M" u="1"/>
        <s v="EKY005343_LIL_L" u="1"/>
        <s v="EKY005343_LIL_XL" u="1"/>
        <s v="EKY005343_LIL_S" u="1"/>
        <s v="EKK009956_WR_M" u="1"/>
        <s v="EKK009956_DGR_XXL" u="1"/>
        <s v="EKK009956_WR_L" u="1"/>
        <s v="EKK009956_PEB_XXL" u="1"/>
        <s v="EKK009956_NB_S" u="1"/>
        <s v="EKK009956_DR_XL" u="1"/>
        <s v="EKK009956_WR_XL" u="1"/>
        <s v="EKK009956_B_XL" u="1"/>
        <s v="EKK009956_DR_XXL" u="1"/>
        <s v="EKK009956_DG_M" u="1"/>
        <s v="EKK009956_MGT_M" u="1"/>
        <s v="EKK009956_MIR_L" u="1"/>
        <s v="EKK009956_DG_S" u="1"/>
        <s v="EKK009956_DR_M" u="1"/>
        <s v="EKK009956_MGT_S" u="1"/>
        <s v="EKK009956_WI_XL" u="1"/>
        <s v="EKK009956_B_M" u="1"/>
        <s v="EKK009956_NB_XL" u="1"/>
        <s v="EKK009956_ARG_M" u="1"/>
        <s v="EKK009956_ARG_L" u="1"/>
        <s v="EKK009956_DR_S" u="1"/>
        <s v="EKK009956_LIL_S" u="1"/>
        <s v="EKK006107_PU_XL" u="1"/>
        <s v="EKK009607_WI_L" u="1"/>
        <s v="EKK009607_ARG_XXL" u="1"/>
        <s v="EKK009607_NB_XXL" u="1"/>
        <s v="EKK009607_B_L" u="1"/>
        <s v="EKK009607_NA_XXL" u="1"/>
        <s v="EKK009607_LIL_XXL" u="1"/>
        <s v="EKK009607_ARG_XL" u="1"/>
        <s v="EKK009607_B_XL" u="1"/>
        <s v="EKK009607_DGT_XXL" u="1"/>
        <s v="EKK009607_B_XXL" u="1"/>
        <s v="EKK009607_ARG_L" u="1"/>
        <s v="EKK009607_SKB_XL" u="1"/>
        <s v="EKK009607_NB_M" u="1"/>
        <s v="EKK009607_DGR_XXL" u="1"/>
        <s v="EKK009607_DGT_S" u="1"/>
        <s v="EKK009607_SKB_L" u="1"/>
        <s v="EKK009607_DGT_L" u="1"/>
        <s v="EKK009607_B_S" u="1"/>
        <s v="EKK009607_B_M" u="1"/>
        <s v="EKK009607_WI_XXL" u="1"/>
        <s v="EKK009607_NA_XL" u="1"/>
        <s v="EKK009607_WR_XL" u="1"/>
        <s v="EKK009607_DGT_XL" u="1"/>
        <s v="EKK009607_WI_M" u="1"/>
        <s v="EKK009607_NB_S" u="1"/>
        <s v="EKK009607_NA_S" u="1"/>
        <s v="EKK009607_NB_L" u="1"/>
        <s v="EKK009607_DGR_L" u="1"/>
        <s v="EKK009607_NA_M" u="1"/>
        <s v="EKK009607_ARG_S" u="1"/>
        <s v="EKK009607_MIR_XL" u="1"/>
        <s v="EKK009607_LIL_S" u="1"/>
        <s v="EKK009607_MIR_L" u="1"/>
        <s v="EKK009607_WR_M" u="1"/>
        <s v="EKK009607_MIR_M" u="1"/>
        <s v="EKK009607_MIR_XXL" u="1"/>
        <s v="EKK009607_ARG_M" u="1"/>
        <s v="EKK009607_LIL_L" u="1"/>
        <s v="EKK009607_LIL_M" u="1"/>
        <s v="EKK009607_SKB_S" u="1"/>
        <s v="EKK009607_NA_L" u="1"/>
        <s v="EKK009607_NB_XL" u="1"/>
        <s v="EKV007024_ARG_XL" u="1"/>
        <s v="EKV007024_B_S" u="1"/>
        <s v="EKY005991_WR_M" u="1"/>
        <s v="EKY005991_B_XXL" u="1"/>
        <s v="EKV007024_DR_L" u="1"/>
        <s v="EKV007024_DR_XXL" u="1"/>
        <s v="EKV007024_CLB_L" u="1"/>
        <s v="EKV007024_ARG_S" u="1"/>
        <s v="EKV007024_PP_S" u="1"/>
        <s v="EKV007024_PP_XXL" u="1"/>
        <s v="EKV007024_PP_M" u="1"/>
        <s v="EKV007024_NA_L" u="1"/>
        <s v="EKV007024_DR_M" u="1"/>
        <s v="EKV007024_ARG_M" u="1"/>
        <s v="EKV007024_PP_XL" u="1"/>
        <s v="EKV007024_ARG_XXL" u="1"/>
        <s v="EKV007024_PU_XL" u="1"/>
        <s v="EKV007024_PU_L" u="1"/>
        <s v="EKV006903_PAT10_M#" u="1"/>
        <s v="EKV006903_PAT10_S#" u="1"/>
        <s v="EK002499_B_L" u="1"/>
        <s v="EK002499_B_XS" u="1"/>
        <s v="EK002499_B_M" u="1"/>
        <s v="EK002499_P_XXL" u="1"/>
        <s v="EK002499_P_XL" u="1"/>
        <s v="EK002499_P_L" u="1"/>
        <s v="EK002499_P_S" u="1"/>
        <s v="EK002499_P_XS" u="1"/>
        <s v="EK002499_P_M" u="1"/>
        <s v="EK002499_W_XS" u="1"/>
        <s v="EK002499_W_L" u="1"/>
        <s v="EK002499_W_XL" u="1"/>
        <s v="EKY006791_LA_S" u="1"/>
        <s v="EKY005361_YDF1_M" u="1"/>
        <s v="EKY005361_YDF1_L" u="1"/>
        <s v="EKY005361_YDF1_S" u="1"/>
        <s v="EKK009194_PAT1_L" u="1"/>
        <s v="EKK009194_PAT1_XL" u="1"/>
        <s v="#EKK006095_R_XL" u="1"/>
        <s v="#EKK009320_FG_M" u="1"/>
        <s v="EKV007173_PU_M" u="1"/>
        <s v="EKV007173_PU_L" u="1"/>
        <s v="EKV007173_WI_XXXL" u="1"/>
        <s v="EKV007173_WI_L" u="1"/>
        <s v="EKV007173_PUS_XL" u="1"/>
        <s v="EKV007173_NB_XL" u="1"/>
        <s v="EKV007173_B_XXL" u="1"/>
        <s v="EKV007173_B_XL" u="1"/>
        <s v="EKV007173_PUS_S" u="1"/>
        <s v="EKV007173_B_L" u="1"/>
        <s v="EKV007173_NB_XXL" u="1"/>
        <s v="EKV007173_WI_S" u="1"/>
        <s v="EKV007173_B_M" u="1"/>
        <s v="EKV007173_WI_M" u="1"/>
        <s v="EKV007173_GR_M" u="1"/>
        <s v="EKV007173_B_XXXL" u="1"/>
        <s v="EKV007173_GR_XL" u="1"/>
        <s v="EKV007173_PU_S" u="1"/>
        <s v="EKV007173_B_S" u="1"/>
        <s v="EKV007173_NB_S" u="1"/>
        <s v="#EKV007173_PU_XL" u="1"/>
        <s v="#EKV007173_NB_M" u="1"/>
        <s v="#EKV007173_WI_XL" u="1"/>
        <s v="#EKV007173_PUS_XXXL" u="1"/>
        <s v="AMV007173_PUS_M" u="1"/>
        <s v="AMV007173_GR_S" u="1"/>
        <s v="AMV007173_NB_L" u="1"/>
        <s v="#AMV007173_PUS_L" u="1"/>
        <s v="EKY005405_B_S" u="1"/>
        <s v="EKY005405_MGT_L" u="1"/>
        <s v="EKY005405_MGT_M" u="1"/>
        <s v="EKY005405_NA_L#" u="1"/>
        <s v="EKY005405_MGT_S" u="1"/>
        <s v="EKY005405_B_M" u="1"/>
        <s v="EKY005405_B_L" u="1"/>
        <s v="EKY005405_NA_M" u="1"/>
        <s v="EKY005405_NA_S" u="1"/>
        <s v="EK000972_LBL_XL" u="1"/>
        <s v="EK000972_CR_XXL" u="1"/>
        <s v="EK000972_BUG_XL" u="1"/>
        <s v="EK000972_VA_L" u="1"/>
        <s v="EK000972_CLB_S" u="1"/>
        <s v="EK000972_LBL_XXL" u="1"/>
        <s v="EK000972_PAT3_XL" u="1"/>
        <s v="EK000972_CLB_L" u="1"/>
        <s v="EK000972_CLB_XL" u="1"/>
        <s v="EK000972_CLB_M" u="1"/>
        <s v="EK000972_LBL_M" u="1"/>
        <s v="EK000972_PUG_XL" u="1"/>
        <s v="EK000972_PUG_XXL" u="1"/>
        <s v="EK000972_PUG_S" u="1"/>
        <s v="EK000972_PUG_L" u="1"/>
        <s v="EK000972_PUG_M" u="1"/>
        <s v="EK000972_CLB_XXL" u="1"/>
        <s v="EK000972_ARG_S" u="1"/>
        <s v="EK000972_VA_M" u="1"/>
        <s v="EK000972_R_M" u="1"/>
        <s v="EK000972_WR_M" u="1"/>
        <s v="EK000972_DGT_XXL" u="1"/>
        <s v="EK000972_PAT2_XL" u="1"/>
        <s v="EK000972_DGT_M" u="1"/>
        <s v="EK000972_BUG_L" u="1"/>
        <s v="EK000972_DGT_S" u="1"/>
        <s v="EK000972_DBL_M" u="1"/>
        <s v="EK000972_R_L" u="1"/>
        <s v="EK000972_PAT2_XXL" u="1"/>
        <s v="EK000972_FG_S" u="1"/>
        <s v="EK000972_PAT3_M" u="1"/>
        <s v="EK000972_B_XL" u="1"/>
        <s v="EK000972_VA_XXL" u="1"/>
        <s v="EK000972_FG_L" u="1"/>
        <s v="EK000972_DGT_L" u="1"/>
        <s v="EK000972_SBL_S" u="1"/>
        <s v="EK000972_FG_M" u="1"/>
        <s v="EK000972_ARG_M" u="1"/>
        <s v="EK000972_LB_M" u="1"/>
        <s v="EK000972_ARG_XL" u="1"/>
        <s v="EK000972_R_XL" u="1"/>
        <s v="EK000972_DBL_XXL" u="1"/>
        <s v="EK000972_BUG_M" u="1"/>
        <s v="EK000972_FG_XXL" u="1"/>
        <s v="EK000972_DBL_XL" u="1"/>
        <s v="EK000972_FG_XL" u="1"/>
        <s v="EK000972_LB_XL" u="1"/>
        <s v="EK000972_DBL_L" u="1"/>
        <s v="EK000972_DGT_XL" u="1"/>
        <s v="EK000972_WR_XL" u="1"/>
        <s v="EK000972_LB_S" u="1"/>
        <s v="EK000972_R_S" u="1"/>
        <s v="EK000972_VA_XL" u="1"/>
        <s v="EK000972_WR_L" u="1"/>
        <s v="EK000972_BUG_XXL" u="1"/>
        <s v="EK000972_B_M" u="1"/>
        <s v="EK000972_PAT3_XXL" u="1"/>
        <s v="EK000972_GR_L" u="1"/>
        <s v="EK000972_G_M" u="1"/>
        <s v="EK000972_BUG_S" u="1"/>
        <s v="EK000972_B_S" u="1"/>
        <s v="EK000972_B_L" u="1"/>
        <s v="EK000972_G_S" u="1"/>
        <s v="EK000972_DBL_S" u="1"/>
        <s v="EK000972_WR_S" u="1"/>
        <s v="EK000972_B_XXL" u="1"/>
        <s v="EKK006095_ARG_S" u="1"/>
        <s v="EKK006095_DA_XXL" u="1"/>
        <s v="EKK006095_DA_M" u="1"/>
        <s v="EKK009904_GR_XL" u="1"/>
        <s v="EKK009904_B_S" u="1"/>
        <s v="EKK009904_B_L" u="1"/>
        <s v="EKK009904_PAT1_XL" u="1"/>
        <s v="AMV007079_RV_XL" u="1"/>
        <s v="AMV007079_PP_M" u="1"/>
        <s v="AMV007079_PP_L" u="1"/>
        <s v="AMV007079_RV_S" u="1"/>
        <s v="AMV007079_SAP_M" u="1"/>
        <s v="AMV007079_SAP_XL" u="1"/>
        <s v="AMV007079_PP_XL" u="1"/>
        <s v="AMK005725_LA_XL" u="1"/>
        <s v="AMK005725_LA_M" u="1"/>
        <s v="AMK005725_LA_L" u="1"/>
        <s v="AMK005725_GR_S" u="1"/>
        <s v="AMK005725_GR_M" u="1"/>
        <s v="AMK005725_G_XXL" u="1"/>
        <s v="AMK005725_G_XS" u="1"/>
        <s v="AMK005725_G_XL" u="1"/>
        <s v="AMK005725_G_S" u="1"/>
        <s v="AMK005725_G_M" u="1"/>
        <s v="AMK005725_G_L" u="1"/>
        <s v="AMK005725_DR_M" u="1"/>
        <s v="AMK005725_DP_M" u="1"/>
        <s v="AMK005725_CO_XXL" u="1"/>
        <s v="AMK005725_CO_XS" u="1"/>
        <s v="AMK005725_CO_XL" u="1"/>
        <s v="AMK005725_CO_S" u="1"/>
        <s v="AMK005725_CO_M" u="1"/>
        <s v="AMK005725_CO_L" u="1"/>
        <s v="AMK005725_BAB_XXL" u="1"/>
        <s v="AMK005725_BAB_M" u="1"/>
        <s v="AMK005725_B_M" u="1"/>
        <s v="AMK005725_ARG_S" u="1"/>
        <s v="AMK005725_ARG_L" u="1"/>
        <s v="AMK005725_WI_M" u="1"/>
        <s v="AMK005725_S_S" u="1"/>
        <s v="AMK005725_RBL_M" u="1"/>
        <s v="AMK005725_RBL_L" u="1"/>
        <s v="AMK005725_R_XXL" u="1"/>
        <s v="AMK005725_R_L" u="1"/>
        <s v="AMK005725_PU_XXL" u="1"/>
        <s v="AMK005725_PU_S" u="1"/>
        <s v="AMK005725_PU_L" u="1"/>
        <s v="AMK005725_PAT2_XXL" u="1"/>
        <s v="AMK005725_PAT1_XXL" u="1"/>
        <s v="AMK005725_NB_S" u="1"/>
        <s v="AMK005725_NB_M" u="1"/>
        <s v="EKY005405_MGT_XL" u="1"/>
        <s v="EKY005405_MGT_XXL" u="1"/>
        <s v="EKY005405_B_XL" u="1"/>
        <s v="EKY005405_NA_XL" u="1"/>
        <s v="EKY005405_NA_XXL" u="1"/>
        <s v="EK002499_B_XL" u="1"/>
        <s v="EK002499_W_M" u="1"/>
        <s v="EKY005192_WR1_M" u="1"/>
        <s v="EKY005192_NB_L" u="1"/>
        <s v="EKY005192_NB_M" u="1"/>
        <s v="EKX005599_PW_XXXL" u="1"/>
        <s v="EKX005599_PW_XXL" u="1"/>
        <s v="EKX005599_PW_XL" u="1"/>
        <s v="EKX005599_PW_S" u="1"/>
        <s v="EKX005599_PW_M" u="1"/>
        <s v="EKX005599_NB01_XXL" u="1"/>
        <s v="EKX005599_NB01_XL" u="1"/>
        <s v="EKX005599_NB01_S" u="1"/>
        <s v="EKX005599_NB01_M" u="1"/>
        <s v="EKX005599_NB01_L" u="1"/>
        <s v="EKX005599_DC01_XXXL" u="1"/>
        <s v="EKX005599_DC01_XXL" u="1"/>
        <s v="EKX005599_DC01_XL" u="1"/>
        <s v="EKX005599_DC01_S" u="1"/>
        <s v="EKX005599_DC01_M" u="1"/>
        <s v="EKX005599_DC01_L" u="1"/>
        <s v="EKX005599_B01_XXXL" u="1"/>
        <s v="EKX005599_B01_XXL" u="1"/>
        <s v="EKX005599_B01_XL" u="1"/>
        <s v="EKX005599_B01_S" u="1"/>
        <s v="EKX005599_B01_M" u="1"/>
        <s v="EKX005599_B01_L" u="1"/>
        <s v="EKX005599_SKB_XXL" u="1"/>
        <s v="EKX005599_SKB_S" u="1"/>
        <s v="EKX005599_SKB_M" u="1"/>
        <s v="EKX005599_SKB_L" u="1"/>
        <s v="EKX005599_SB_XXL" u="1"/>
        <s v="EKX005599_SB_S" u="1"/>
        <s v="EKX005599_R_XL" u="1"/>
        <s v="EKX005599_R_S" u="1"/>
        <s v="EKX005599_R_L" u="1"/>
        <s v="EKX005599_PP_XL##" u="1"/>
        <s v="EKX005599_PP_S" u="1"/>
        <s v="EKX005599_PP_M" u="1"/>
        <s v="EKX005599_LA_XXL" u="1"/>
        <s v="EKX005599_LA_M" u="1"/>
        <s v="EKX005599_LA_L" u="1"/>
        <s v="EKX005599_GB_S" u="1"/>
        <s v="EKX005599_GB_M" u="1"/>
        <s v="EKX005599_GB_L" u="1"/>
        <s v="EKX005599_BE_XXL" u="1"/>
        <s v="EKX005599_BE_XL" u="1"/>
        <s v="EKX005599_BE_S" u="1"/>
        <s v="EKX005599_BE_L" u="1"/>
        <s v="EKK009320_NB1_M" u="1"/>
        <s v="EKK009320_BRV_S" u="1"/>
        <s v="EKK009320_NB1_L" u="1"/>
        <s v="EKK009320_NB1_XL" u="1"/>
        <s v="EKK009320_NB1_S" u="1"/>
        <s v="EKK009320_BRV_L" u="1"/>
        <s v="EKK009320_NB1_XXL" u="1"/>
        <s v="EKK009320_BRV_M" u="1"/>
        <s v="EKK009320_BRV_XL" u="1"/>
        <s v="EKK009320_BRV_XXL" u="1"/>
        <s v="EK000972_AQG_XL" u="1"/>
        <s v="EK000972_WI_L" u="1"/>
        <s v="EK000972_SE_M" u="1"/>
        <s v="EK000972_CG_S" u="1"/>
        <s v="EK000972_CG_M" u="1"/>
        <s v="EK000972_WI_S" u="1"/>
        <s v="EK000972_GB_XXL" u="1"/>
        <s v="EK000972_GB_S" u="1"/>
        <s v="EK000972_CG_L" u="1"/>
        <s v="EK000972_CG_XXL" u="1"/>
        <s v="EK000972_WI_XXL" u="1"/>
        <s v="EK000972_AQG_XXL" u="1"/>
        <s v="EK000972_CG_XL" u="1"/>
        <s v="EK000972_AQG_L" u="1"/>
        <s v="EK000972_AQG_M" u="1"/>
        <s v="EK000972_WI_XL" u="1"/>
        <s v="EK000972_AQG_S" u="1"/>
        <s v="EK000972_SE_XL" u="1"/>
        <s v="EK000972_O_S" u="1"/>
        <s v="EK000972_GB_XL" u="1"/>
        <s v="EK000972_O_L" u="1"/>
        <s v="EK000972_O_M" u="1"/>
        <s v="EKY005272_DGT_XXL#" u="1"/>
        <s v="EKY005272_B_M*#" u="1"/>
        <s v="EKY005272_B_XXL*#" u="1"/>
        <s v="EKY005272_WR_XXL#" u="1"/>
        <s v="EKY005272_DGT_S#" u="1"/>
        <s v="EKY005272_WR_S#" u="1"/>
        <s v="EKY005272_WR_M#" u="1"/>
        <s v="EKY005272_PEB_XL*#" u="1"/>
        <s v="EKY005272_B_S#" u="1"/>
        <s v="EKY005272_PEB_M**#" u="1"/>
        <s v="ETY005236_LGT_M" u="1"/>
        <s v="ETY005236_WI_M" u="1"/>
        <s v="EKY005343_PAT1_M" u="1"/>
        <s v="EKY005343_PAT1_XXL" u="1"/>
        <s v="EKY005343_PAT1_XL" u="1"/>
        <s v="EKK009904_ARG_S" u="1"/>
        <s v="EKY005429_CLB_M###" u="1"/>
        <s v="EKY005429_Y_L" u="1"/>
        <s v="EKY005429_Y_XXL" u="1"/>
        <s v="EKY005429_Y_S" u="1"/>
        <s v="EKK009956_MGT_L" u="1"/>
        <s v="EKK009956_MIR_XL" u="1"/>
        <s v="EKK009956_PEB_XL" u="1"/>
        <s v="EKK009956_LIL_M" u="1"/>
        <s v="EKK009956_DG_XL" u="1"/>
        <s v="EKK009956_NB_M" u="1"/>
        <s v="EKK009956_NB_L" u="1"/>
        <s v="EKK009956_DGR_XL" u="1"/>
        <s v="EKK009956_DG_L" u="1"/>
        <s v="EKK009956_WI_XXL" u="1"/>
        <s v="EKK009956_WI_S" u="1"/>
        <s v="EKK009956_B_L" u="1"/>
        <s v="EKK009956_PEB_S" u="1"/>
        <s v="EKK009956_B_XXL" u="1"/>
        <s v="EKK009956_ARG_XXL" u="1"/>
        <s v="EKK009956_NB_XXL" u="1"/>
        <s v="EKK009956_DGR_M" u="1"/>
        <s v="EKK009956_MGT_XL" u="1"/>
        <s v="EKK009956_ARG_S" u="1"/>
        <s v="EKK009956_DGR_S" u="1"/>
        <s v="EKY005429_W_M" u="1"/>
        <s v="EKY005429_Y_XL" u="1"/>
        <s v="EKY005909_P_M" u="1"/>
        <s v="EKY005909_P_L" u="1"/>
        <s v="EKY005909_WTR_S" u="1"/>
        <s v="EKY005909_WTR_XXXL" u="1"/>
        <s v="EKY005909_DG_L" u="1"/>
        <s v="EKY005909_DG_M" u="1"/>
        <s v="EKY005909_P_XXXL" u="1"/>
        <s v="EKY005909_WTR_4XL" u="1"/>
        <s v="EKY005909_WTR_M" u="1"/>
        <s v="EKY005909_WTR_L" u="1"/>
        <s v="EKY005909_DG_XXXL" u="1"/>
        <s v="EKY005909_DG_S" u="1"/>
        <s v="EKY005909_DG_4XL" u="1"/>
        <s v="EKY005909_P_XXL" u="1"/>
        <s v="EKY005909_DG_XXL" u="1"/>
        <s v="EKY005909_P_4XL" u="1"/>
        <s v="EKY005909_WTR_XXL" u="1"/>
        <s v="EKY005909_DG_XL" u="1"/>
        <s v="EKY005909_P_S" u="1"/>
        <s v="EKY005909_P_XL" u="1"/>
        <s v="EKY005909_WTR_XL" u="1"/>
        <s v="EKK009997_B2_L" u="1"/>
        <s v="EKK010116_ARG_XXL" u="1"/>
        <s v="EKK010116_SB_L" u="1"/>
        <s v="EKK010116_MIR_L" u="1"/>
        <s v="EKK010116_MIR_M" u="1"/>
        <s v="EKK010116_MIR_S" u="1"/>
        <s v="ETK010116_NA_L" u="1"/>
        <s v="EKK010116_SB_S" u="1"/>
        <s v="EKK010116_SB_XL" u="1"/>
        <s v="EKK010116_SB_M" u="1"/>
        <s v="EKK010116_MIR_XL" u="1"/>
        <s v="EKK010116_SB_XXL" u="1"/>
        <s v="EKY005099_B_L" u="1"/>
        <s v="EKY005099_B_XL" u="1"/>
        <s v="EKY005099_B_M" u="1"/>
        <s v="EKY005099_NB_XL" u="1"/>
        <s v="EKY005099_NB_L" u="1"/>
        <s v="EKY005099_NB_XXL" u="1"/>
        <s v="EKY005099_NB_S" u="1"/>
        <s v="EKY005099_NB_M" u="1"/>
        <s v="EKY005099_WR_XL" u="1"/>
        <s v="EKY005099_WR_L" u="1"/>
        <s v="EKY005099_WR_S" u="1"/>
        <s v="AMY005099_DGT1_M" u="1"/>
        <s v="AMY005099_DGT1_S" u="1"/>
        <s v="EKY005099_DGR_M" u="1"/>
        <s v="EKY005099_NA_M" u="1"/>
        <s v="EKY005099_DGR_L" u="1"/>
        <s v="EKY005099_PP_M" u="1"/>
        <s v="EKY005099_ARG_S" u="1"/>
        <s v="EKY005099_ARG_M" u="1"/>
        <s v="EKY005099_BUG_M" u="1"/>
        <s v="EKY005099_BUG_S" u="1"/>
        <s v="EKY005099_ARG_XXL" u="1"/>
        <s v="EKY005099_PP_XL" u="1"/>
        <s v="EKY005099_NA_L" u="1"/>
        <s v="EKY005099_RR_XL" u="1"/>
        <s v="EKY005099_WR_M" u="1"/>
        <s v="EKY005099_RR_S" u="1"/>
        <s v="EKY005099_WI_XXL" u="1"/>
        <s v="EKY005099_BUG_L" u="1"/>
        <s v="EKY005099_WR_XXL" u="1"/>
        <s v="EKY005099_PP_XXL" u="1"/>
        <s v="EKY005099_PP_L" u="1"/>
        <s v="EKY005099_PP_S" u="1"/>
        <s v="EKY005099_ARG_L" u="1"/>
        <s v="EKY005099_WI_XL" u="1"/>
        <s v="EKY005099_BUG_XL" u="1"/>
        <s v="EKY005099_DGR_XL" u="1"/>
        <s v="EKY005099_DGR_S" u="1"/>
        <s v="EKY005099_BUG_XXL" u="1"/>
        <s v="EKY005099_B_XXL" u="1"/>
        <s v="EKY005099_B_S" u="1"/>
        <s v="EKY005099_DGR_XXL" u="1"/>
        <s v="AMY005099_DGT1_XXL" u="1"/>
        <s v="AMY005099_DGT1_XL" u="1"/>
        <s v="AMY005099_DGT1_L" u="1"/>
        <s v="AMK005725_PAP_XS" u="1"/>
        <s v="EKK005446_DBL_L##" u="1"/>
        <s v="EKK005446_P_L" u="1"/>
        <s v="EKK005446_PB_L" u="1"/>
        <s v="EKK005446_WG_M" u="1"/>
        <s v="EKK005446_WG_L" u="1"/>
        <s v="EKK005446_LB_M" u="1"/>
        <s v="EKK005446_BL_S##" u="1"/>
        <s v="EKK005446_G1_S" u="1"/>
        <s v="EKK005446_G1_L" u="1"/>
        <s v="EKK005446_T_XS" u="1"/>
        <s v="EKK005446_WG_XS" u="1"/>
        <s v="EKK005446_PAT3_S" u="1"/>
        <s v="EKK005446_BL_XS" u="1"/>
        <s v="EKK005446_PB_XS" u="1"/>
        <s v="EKK005446_G1_XS" u="1"/>
        <s v="EKK005446_G1_M" u="1"/>
        <s v="EKK005446_LB_S" u="1"/>
        <s v="EKY005361_YDF1_XXL" u="1"/>
        <s v="EKY005361_YDF1_XL" u="1"/>
        <s v="EKY005361_WR_S#" u="1"/>
        <s v="EKK006095_RBL_M" u="1"/>
        <s v="EKK006095_RBL_L" u="1"/>
        <s v="EKK006095_PEB_XL" u="1"/>
        <s v="EKY006462_PAT12_M" u="1"/>
        <s v="EKY006462_PAT16_L" u="1"/>
        <s v="EKY006462_PAT17_L" u="1"/>
        <s v="EKY006462_PAT16_M" u="1"/>
        <s v="EKY006462_PAT17_M" u="1"/>
        <s v="EKY006462_PAT12_S" u="1"/>
        <s v="EKY006462_PAT17_S" u="1"/>
        <s v="EKY006462_PAT17_XXL" u="1"/>
        <s v="EKY006462_PAT17_XXXL" u="1"/>
        <s v="EKY006462_PAT17_XL" u="1"/>
        <s v="EKY006462_PAT12_XL" u="1"/>
        <s v="EKY006462_PAT16_XXXL" u="1"/>
        <s v="EKY006462_PAT12_XXL" u="1"/>
        <s v="EKY006462_PAT12_XXXL" u="1"/>
        <s v="EKY006462_PAT16_XXL" u="1"/>
        <s v="EKY006462_PAT12_L" u="1"/>
        <s v="EKK009065_ARG_S" u="1"/>
        <s v="EKK009065_ARG_M" u="1"/>
        <s v="EKK009065_ARG_L" u="1"/>
        <s v="EKK009065_ARG_XL" u="1"/>
        <s v="EKK009065_ARG_XXL" u="1"/>
        <s v="EKK009065_LIL_S" u="1"/>
        <s v="EKK009065_LIL_M" u="1"/>
        <s v="EKK009065_LIL_L" u="1"/>
        <s v="EKK009065_LIL_XL" u="1"/>
        <s v="EKK009065_LIL_XXL" u="1"/>
        <s v="EKK009065_MGT_S" u="1"/>
        <s v="EKK009065_MGT_M" u="1"/>
        <s v="EKK009065_MGT_L" u="1"/>
        <s v="EKK009065_MGT_XL" u="1"/>
        <s v="EKK009065_MGT_XXL" u="1"/>
        <s v="EKK009065_PP_S" u="1"/>
        <s v="EKK009065_PP_M" u="1"/>
        <s v="EKK009065_PP_L" u="1"/>
        <s v="EKK009065_PP_XL" u="1"/>
        <s v="EKK009065_PP_XXL" u="1"/>
        <s v="ETK009065_B_S" u="1"/>
        <s v="EKK009065_B_M" u="1"/>
        <s v="EKK009065_B_L" u="1"/>
        <s v="ETK009065_B_XL" u="1"/>
        <s v="EKK009065_B_XXL" u="1"/>
        <s v="EKK009065_NB_S" u="1"/>
        <s v="ETK009065_NB_L" u="1"/>
        <s v="ETK009065_FG_S" u="1"/>
        <s v="EKK009065_FG_M" u="1"/>
        <s v="EKK009065_FG_L" u="1"/>
        <s v="EKK009065_FG_XL" u="1"/>
        <s v="EKK009065_FG_XXL" u="1"/>
        <s v="ETK009065_WR_S" u="1"/>
        <s v="ETK009065_WR_M" u="1"/>
        <s v="EKK009065_WR_L" u="1"/>
        <s v="EKK009065_WR_XXL" u="1"/>
        <s v="EKK009065_NA_S" u="1"/>
        <s v="EKK009065_NA_M" u="1"/>
        <s v="EKK009065_NA_L" u="1"/>
        <s v="EKK009065_NA_XL" u="1"/>
        <s v="EKK009065_CLB_S" u="1"/>
        <s v="EKK009065_CLB_M" u="1"/>
        <s v="EKK009065_CLB_L" u="1"/>
        <s v="EKK009065_CLB_XL" u="1"/>
        <s v="EKK009065_CLB_XXL" u="1"/>
        <s v="EKY005991_B_S" u="1"/>
        <s v="EKK009726_B_L" u="1"/>
        <s v="EKK009726_B_XL" u="1"/>
        <s v="EKK009726_WR1_XL" u="1"/>
        <s v="EKK009726_NA_L" u="1"/>
        <s v="EKK009726_DGT_XXL" u="1"/>
        <s v="EKK005472_B1_S" u="1"/>
        <s v="EKK005472_NB_S" u="1"/>
        <s v="EKK005472_NB_L" u="1"/>
        <s v="EKK005472_NB_M" u="1"/>
        <s v="EKK005472_NB_XL" u="1"/>
        <s v="EKK006043_PU_XL" u="1"/>
        <s v="ETK006043_WG_XXL" u="1"/>
        <s v="EKK006043_PAT2_XXL" u="1"/>
        <s v="EKK006043_NB_XXL" u="1"/>
        <s v="EKK006043_PU_XXL" u="1"/>
        <s v="EKK006043_DBG_XL" u="1"/>
        <s v="EKK006043_B_XXL" u="1"/>
        <s v="EKK006043_DBG_XXL" u="1"/>
        <s v="EKK006043_PU_S" u="1"/>
        <s v="EKK006043_PU_M" u="1"/>
        <s v="EKK006043_PU_L" u="1"/>
        <s v="EKY005343_SB_S" u="1"/>
        <s v="EKY005343_SB_XXL" u="1"/>
        <s v="EKY005343_SB_M" u="1"/>
        <s v="EKY005343_SB_L" u="1"/>
        <s v="EKY005343_SB_XL" u="1"/>
        <s v="EKY005919_B_L" u="1"/>
        <s v="EKY005919_B_M" u="1"/>
        <s v="EKY005919_B_S" u="1"/>
        <s v="EKY005919_WR_S" u="1"/>
        <s v="EKY005919_WR_M" u="1"/>
        <s v="EKY005919_NB_M" u="1"/>
        <s v="EKY005919_WR_XL" u="1"/>
        <s v="EKY005919_B_XL" u="1"/>
        <s v="EKY005919_NB_XXL" u="1"/>
        <s v="EKY005919_WR_L" u="1"/>
        <s v="EKY005919_WR_XXL" u="1"/>
        <s v="EKY005667_WR_XXL" u="1"/>
        <s v="EKY005667_NB_XXL" u="1"/>
        <s v="EKY005667_WR_XL" u="1"/>
        <s v="EKK009126_WR_M" u="1"/>
        <s v="EKK009126_WR_L" u="1"/>
        <s v="EKK009126_WR_XL" u="1"/>
        <s v="EKK009126_WR_XXL" u="1"/>
        <s v="EKK009126_MGT_XXL" u="1"/>
        <s v="EKK009126_WR_S" u="1"/>
        <s v="EKY005144_WR_S" u="1"/>
        <s v="EKK009907_NB_XL" u="1"/>
        <s v="EKK009907_R_L" u="1"/>
        <s v="EKK009907_R_XXL" u="1"/>
        <s v="EKK009126_BUG_XL" u="1"/>
        <s v="EKY005919_MIR_L#" u="1"/>
        <s v="EKY005919_MIR_M#" u="1"/>
        <s v="EKY005919_MIR_XXL#" u="1"/>
        <s v="EKY005919_MIR_S#" u="1"/>
        <s v="EKY005919_MIR_XL#" u="1"/>
        <s v="EKX005442_B_XL#" u="1"/>
        <s v="EKX005442_B_L#" u="1"/>
        <s v="EKX005442_W_XL#" u="1"/>
        <s v="EKX005442_W_L#" u="1"/>
        <s v="EKX005442_B_M#" u="1"/>
        <s v="EKX005442_B_XXL#" u="1"/>
        <s v="EKY005112_DGT_XXL" u="1"/>
        <s v="EKY005112_B_L" u="1"/>
        <s v="EKY005112_XH1_L" u="1"/>
        <s v="###EKV007173_NB_XXXL" u="1"/>
        <s v="EKY005962_MGT_S#" u="1"/>
        <s v="EKY005962_MGT_M#" u="1"/>
        <s v="EKY005962_MGT_L#" u="1"/>
        <s v="EKY005962_MGT_XL#" u="1"/>
        <s v="EKY005962_MGT_XXL#" u="1"/>
        <s v="EKY005962_SB_S#" u="1"/>
        <s v="EKY005962_SB_M#" u="1"/>
        <s v="EKY005962_SB_L#" u="1"/>
        <s v="EKY005962_SB_XL#" u="1"/>
        <s v="EKY005962_SB_XXL#" u="1"/>
        <s v="EKY005962_B_S#" u="1"/>
        <s v="EKY005962_B_M#" u="1"/>
        <s v="EKY005962_B_L#" u="1"/>
        <s v="EKY005962_B_XL#" u="1"/>
        <s v="EKY005962_B_XXL#" u="1"/>
        <s v="EKY005962_NA_S#" u="1"/>
        <s v="EKY005962_NA_M#" u="1"/>
        <s v="EKY005962_NA_L#" u="1"/>
        <s v="EKY005962_NA_XL#" u="1"/>
        <s v="EKY005962_NA_XXL#" u="1"/>
        <s v="EKY005962_DGT_S#" u="1"/>
        <s v="EKY005962_DGT_M#" u="1"/>
        <s v="EKY005962_DGT_L#" u="1"/>
        <s v="EKY005962_DGT_XL#" u="1"/>
        <s v="EKX005277_BW_XXL#" u="1"/>
        <s v="EKX005277_BRR_XL#" u="1"/>
        <s v="EKV007155_PAT6_L#" u="1"/>
        <s v="EKV007155_PAT6_XXL#" u="1"/>
        <s v="EKV007155_PAT9_XXL#" u="1"/>
        <s v="EKV007155_PAT9_M#" u="1"/>
        <s v="EKV007155_PAT7_XXL#" u="1"/>
        <s v="EKV007155_PAT6_XL#" u="1"/>
        <s v="EKV007155_YDF5_S#" u="1"/>
        <s v="EKV007155_PAT6_S#" u="1"/>
        <s v="EKV007155_PT1_M##" u="1"/>
        <s v="EKV007155_YDF5_L##" u="1"/>
        <s v="EKY005667_B_L" u="1"/>
        <s v="EK000972_PAT5_S" u="1"/>
        <s v="EK000972_PAT5_L" u="1"/>
        <s v="EK000972_LBL_L" u="1"/>
        <s v="EK000972_G_L" u="1"/>
        <s v="EK000972_PAT5_XXL" u="1"/>
        <s v="EK000972_PAT5_XL" u="1"/>
        <s v="EK000972_PAT2_M" u="1"/>
        <s v="EK000972_PAT3_L" u="1"/>
        <s v="EK000972_PAT3_S" u="1"/>
        <s v="EK000972_LB_L" u="1"/>
        <s v="EK000972_LB_XXL" u="1"/>
        <s v="EK000972_LBL_S" u="1"/>
        <s v="EK000972_MIR_L" u="1"/>
        <s v="EK000972_MIR_M" u="1"/>
        <s v="EK000972_MIR_XL" u="1"/>
        <s v="EK000972_MIR_XXL" u="1"/>
        <s v="EK000972_G_XXL" u="1"/>
        <s v="EK000972_PAT2_S" u="1"/>
        <s v="EK000972_PAT1_XL" u="1"/>
        <s v="EK000972_CR_S" u="1"/>
        <s v="EK000972_CR_L" u="1"/>
        <s v="EK000972_CR_M" u="1"/>
        <s v="EK000972_CGR_M" u="1"/>
        <s v="EK000972_PAT1_M" u="1"/>
        <s v="EK000972_PAT1_S" u="1"/>
        <s v="EK000972_CR_XL" u="1"/>
        <s v="EK000972_PAT1_L" u="1"/>
        <s v="EK000972_CGR_S" u="1"/>
        <s v="EKK009907_MGT_XXL" u="1"/>
        <s v="EKK009907_WR_XXL" u="1"/>
        <s v="EKK009907_MGT_S" u="1"/>
        <s v="EKK009907_WR_S" u="1"/>
        <s v="EKK009907_MGT_XL" u="1"/>
        <s v="EKK009907_WR_L" u="1"/>
        <s v="EKK009907_MGT_M" u="1"/>
        <s v="EKK009907_WR_M" u="1"/>
        <s v="EKK009907_MGT_L" u="1"/>
        <s v="EK000972_VA_S" u="1"/>
        <s v="EKX005599_BE_XXXL" u="1"/>
        <s v="EKX005599_LA_XXXL" u="1"/>
        <s v="EKX005599_PAP_M" u="1"/>
        <s v="EKX005599_PAP_XL" u="1"/>
        <s v="EKX005599_PAP_XXL" u="1"/>
        <s v="EKX005599_RR_M" u="1"/>
        <s v="EKX005599_RR_S" u="1"/>
        <s v="EKX005599_RR_XL" u="1"/>
        <s v="EKX005599_RR_XXXL" u="1"/>
        <s v="EKX005599_RV_L" u="1"/>
        <s v="EKX005599_RV_M" u="1"/>
        <s v="EKX005599_RV_S" u="1"/>
        <s v="EKX005599_RV_XL" u="1"/>
        <s v="EKX005599_RV_XXXL" u="1"/>
        <s v="EKX005599_SKB_XXXL" u="1"/>
        <s v="EKV007146_PAT4_L" u="1"/>
        <s v="EKV007146_PAT4_XXL" u="1"/>
        <s v="EKV007146_PAT4_XXXL" u="1"/>
        <s v="EKV007146_PAT5_M" u="1"/>
        <s v="EKV007146_PAT7_XXL" u="1"/>
        <s v="EKV007146_PAT9_XXL" u="1"/>
        <s v="EKV007146_PAT9_XXXL" u="1"/>
        <s v="EKV007146_PAT9_4XL" u="1"/>
        <s v="EKV007146_PT1_4XL" u="1"/>
        <s v="EKV007146_PT1_XXXL" u="1"/>
        <s v="EKV007146_PT2_XXXL" u="1"/>
        <s v="EKV007146_PT3_4XL" u="1"/>
        <s v="EKV007146_PT3_XXXL" u="1"/>
        <s v="EKV007146_SB_4XL" u="1"/>
        <s v="EKV007146_SB_XXXL" u="1"/>
        <s v="EKV007146_ARG_L" u="1"/>
        <s v="EKV007146_ARG_M" u="1"/>
        <s v="EKV007146_ARG_S" u="1"/>
        <s v="EKV007146_ARG_XL" u="1"/>
        <s v="EKV007146_ARG_XXL" u="1"/>
        <s v="EKV007146_B_M" u="1"/>
        <s v="EKV007146_B_XXL" u="1"/>
        <s v="EKV007146_DA_XXL" u="1"/>
        <s v="EKV007146_MGT_M" u="1"/>
        <s v="EKV007146_MGT_XL" u="1"/>
        <s v="EKV007146_NA_L" u="1"/>
        <s v="EKV007146_PAT4_4XL" u="1"/>
        <s v="EKV007146_PAT4_XL" u="1"/>
        <s v="EKV007146_PAT5_S" u="1"/>
        <s v="EKV007146_PAT5_XL" u="1"/>
        <s v="EKV007146_PAT7_L" u="1"/>
        <s v="EKV007146_PAT7_M" u="1"/>
        <s v="EKV007146_PAT7_S" u="1"/>
        <s v="EKV007146_PAT7_XL" u="1"/>
        <s v="EKV007146_PAT7_XXXL" u="1"/>
        <s v="EKV007146_PAT9_L" u="1"/>
        <s v="EKV007146_PAT9_M" u="1"/>
        <s v="EKV007146_PAT9_S" u="1"/>
        <s v="EKV007146_PAT9_XL" u="1"/>
        <s v="EKV007146_PT1_XL" u="1"/>
        <s v="EKV007146_PT2_XXL" u="1"/>
        <s v="EKV007146_PT3_S" u="1"/>
        <s v="EKV007146_PT3_XXL" u="1"/>
        <s v="EKV007146_PU_4XL" u="1"/>
        <s v="EKV007146_PU_L" u="1"/>
        <s v="EKV007146_PU_S" u="1"/>
        <s v="EKV007146_PU_XL" u="1"/>
        <s v="EKV007146_PU_XXL" u="1"/>
        <s v="EKV007146_SB_L" u="1"/>
        <s v="EKV007146_SB_M" u="1"/>
        <s v="EKV007146_SB_S" u="1"/>
        <s v="EKV007146_SB_XL" u="1"/>
        <s v="EKV007146_SB_XXL" u="1"/>
        <s v="EKV007146_WR_L" u="1"/>
        <s v="EKV007146_WR_XL" u="1"/>
        <s v="EKV007146_YDF4_4XL" u="1"/>
        <s v="EKV007146_YDF4_L" u="1"/>
        <s v="EKV007146_YDF4_M" u="1"/>
        <s v="EKV007146_YDF4_S" u="1"/>
        <s v="EKV007146_YDF4_XL" u="1"/>
        <s v="EKV007146_YDF4_XXL" u="1"/>
        <s v="EKV007146_YDF4_XXXL" u="1"/>
        <s v="EKV007146_YDF5_4XL" u="1"/>
        <s v="EKV007146_YDF5_L" u="1"/>
        <s v="EKV007146_YDF5_M" u="1"/>
        <s v="EKV007146_YDF5_XL" u="1"/>
        <s v="EKV007146_YDF5_XXXL" u="1"/>
        <s v="ETV007146_PT1_M" u="1"/>
        <s v="ETV007146_PT1_XXL" u="1"/>
        <s v="ETV007146_PT2_L" u="1"/>
        <s v="ETV007146_PT2_M" u="1"/>
        <s v="ETV007146_PT2_S" u="1"/>
        <s v="ETV007146_PT2_XL" u="1"/>
        <s v="ETV007146_PT3_XL" u="1"/>
        <s v="ETV007146_YDF5_XXL" u="1"/>
        <s v="EKV007146_ARG_4XL" u="1"/>
        <s v="EKV007146_ARG_XXXL" u="1"/>
        <s v="EKV007146_B_4XL" u="1"/>
        <s v="EKV007146_MGT_4XL" u="1"/>
        <s v="EKV007146_MGT_XXL" u="1"/>
        <s v="EKV007146_NA_4XL" u="1"/>
        <s v="EKV007146_NA_M" u="1"/>
        <s v="EKV007146_NA_XL" u="1"/>
        <s v="EKV007146_NA_XXL" u="1"/>
        <s v="EKV007146_NA_XXXL" u="1"/>
        <s v="EKV007025_WR_XL" u="1"/>
        <s v="EKV007025_BL_M" u="1"/>
        <s v="EKV007025_BL_L" u="1"/>
        <s v="EKV007025_PU_XXL" u="1"/>
        <s v="EKV007025_WR_M" u="1"/>
        <s v="EKV007025_WR_L" u="1"/>
        <s v="EKV007025_WR_XXL" u="1"/>
        <s v="EKV007025_PU_L" u="1"/>
        <s v="EKV007025_BL_S" u="1"/>
        <s v="EKV007025_PU_S" u="1"/>
        <s v="EKV007025_BL_XXL" u="1"/>
        <s v="EKV007025_BL_XL" u="1"/>
        <s v="EKV007025_WR_S" u="1"/>
        <s v="EKK009726_WR_XXL" u="1"/>
        <s v="EKK009997_PAT4_S" u="1"/>
        <s v="EKK009997_PAT4_XXL" u="1"/>
        <s v="EKK009997_PAT3_XXL" u="1"/>
        <s v="EKK009997_PAT3_L" u="1"/>
        <s v="EKK009997_PAT4_L" u="1"/>
        <s v="EKK009997_PAT3_M" u="1"/>
        <s v="EKK009997_PAT4_XL" u="1"/>
        <s v="EKK009997_PAT3_XL" u="1"/>
        <s v="EKK009997_PAT3_S" u="1"/>
        <s v="EKK009320_MIR_S" u="1"/>
        <s v="EKK009320_MIR_M" u="1"/>
        <s v="EKY005271_CLB_XL#" u="1"/>
        <s v="EKY005271_WR_XL#" u="1"/>
        <s v="EKY005271_WR_L#" u="1"/>
        <s v="EKY005271_B_XXL#" u="1"/>
        <s v="EKY005271_MIR_XXL#" u="1"/>
        <s v="EKY005271_MIR_L#" u="1"/>
        <s v="EKY005271_LIL_S#" u="1"/>
        <s v="EKY005271_MIR_S#" u="1"/>
        <s v="EKY005271_WR_S#" u="1"/>
        <s v="EKY005271_MIR_XL#" u="1"/>
        <s v="EKY005271_WR_XXL#" u="1"/>
        <s v="EKY005271_MIR_M#" u="1"/>
        <s v="EKY005271_CLB_L#" u="1"/>
        <s v="EKY005271_DSB_XXL#" u="1"/>
        <s v="EKY005271_LIL_XXL#" u="1"/>
        <s v="EKY005271_LIL_XL#" u="1"/>
        <s v="EKY005271_CLB_XXL#" u="1"/>
        <s v="EKY005271_CLB_S#" u="1"/>
        <s v="EKY005271_LIL_L#" u="1"/>
        <s v="EKY005271_NA_S#" u="1"/>
        <s v="EKY005271_NA_XXL#" u="1"/>
        <s v="EKY005271_NA_L#" u="1"/>
        <s v="EKY005271_NA_M#" u="1"/>
        <s v="EKY005271_GR_M#" u="1"/>
        <s v="EKY005271_DSB_XL#" u="1"/>
        <s v="EKY005271_B_L#" u="1"/>
        <s v="EKY005271_LIL_M#" u="1"/>
        <s v="EKY005271_DSB_L#" u="1"/>
        <s v="EKY005271_DSB_M#" u="1"/>
        <s v="EKY005271_B_XL#" u="1"/>
        <s v="EKY005271_DSB_S#" u="1"/>
        <s v="EKY005271_GR_S#" u="1"/>
        <s v="EKY005271_GR_XL#" u="1"/>
        <s v="EKY005271_GR_L#" u="1"/>
        <s v="EKY005271_B_M#" u="1"/>
        <s v="EKY005271_GR_XXL#" u="1"/>
        <s v="EKY005271_NA_XL#" u="1"/>
        <s v="EKK006095_PAT1_L" u="1"/>
        <s v="EKK006095_PAT3_XL" u="1"/>
        <s v="EKK006095_PAT3_XXL" u="1"/>
        <s v="EKK006095_PAT2_XL" u="1"/>
        <s v="EKK006095_PAT2_S" u="1"/>
        <s v="EKK006095_PAT1_XL" u="1"/>
        <s v="EKK006095_PAT2_XXL" u="1"/>
        <s v="EKK006095_PAT2_M" u="1"/>
        <s v="EKK006095_PAT1_M" u="1"/>
        <s v="EKK005446_BL_XL" u="1"/>
        <s v="EKK005446_G1_XL" u="1"/>
        <s v="EKK005446_P_XXL" u="1"/>
        <s v="EKY006520_DA_M" u="1"/>
        <s v="EKY006520_DA_L" u="1"/>
        <s v="EKY006520_DA_XL" u="1"/>
        <s v="EKY006520_SKB_XL" u="1"/>
        <s v="EKY006520_DA_S" u="1"/>
        <s v="EKY006520_DA_XXL" u="1"/>
        <s v="EKK006095_PAT1_XXL" u="1"/>
        <s v="EKK006095_PAT3_S" u="1"/>
        <s v="EKX005277_BB_L#" u="1"/>
        <s v="EKX005277_BKH_L" u="1"/>
        <s v="EKX005277_BKH_M" u="1"/>
        <s v="EKX005277_BKH_XXL" u="1"/>
        <s v="EKX005277_BRR_S#" u="1"/>
        <s v="EKX005277_BRR_XXL#" u="1"/>
        <s v="EKX005277_BWB_L" u="1"/>
        <s v="EKX005277_BWB_M" u="1"/>
        <s v="EKX005277_BWB_XXL" u="1"/>
        <s v="EKX005277_BW_L#" u="1"/>
        <s v="EKX005277_BW_S#" u="1"/>
        <s v="EKX005277_GP10_M" u="1"/>
        <s v="EKX005277_GP10_S" u="1"/>
        <s v="EKX005277_GP12_M" u="1"/>
        <s v="EKX005277_GP12_S" u="1"/>
        <s v="EKX005277_GP12_XL" u="1"/>
        <s v="EKX005277_GP13_M" u="1"/>
        <s v="EKX005277_GP13_S" u="1"/>
        <s v="EKX005277_GP13_XXL" u="1"/>
        <s v="EKX005277_GP14_L" u="1"/>
        <s v="EKX005277_GP14_M" u="1"/>
        <s v="EKX005277_GP14_XL" u="1"/>
        <s v="EKX005277_GP14_XXL" u="1"/>
        <s v="EKX005277_GP15_M" u="1"/>
        <s v="EKX005277_GP16_L" u="1"/>
        <s v="EKX005277_GP16_XL" u="1"/>
        <s v="EKX005277_GP1_L" u="1"/>
        <s v="EKX005277_GP1_S" u="1"/>
        <s v="EKX005277_GP1_XL" u="1"/>
        <s v="EKX005277_GP2_L" u="1"/>
        <s v="EKX005277_GP2_XL" u="1"/>
        <s v="EKX005277_GP3_L" u="1"/>
        <s v="EKX005277_GP3_S" u="1"/>
        <s v="EKX005277_GP4_M" u="1"/>
        <s v="EKX005277_GP4_XL" u="1"/>
        <s v="EKX005277_GP4_XXL" u="1"/>
        <s v="EKX005277_GP5_XXL" u="1"/>
        <s v="EKX005277_GP6_XL" u="1"/>
        <s v="EKX005277_GP7_S" u="1"/>
        <s v="EKX005277_GP7_XL" u="1"/>
        <s v="EKX005277_GP9_XXL" u="1"/>
        <s v="EKX005277_NBW_L" u="1"/>
        <s v="EKX005277_NBW_M" u="1"/>
        <s v="EKX005277_NBW_S" u="1"/>
        <s v="EKX005277_NBW_XL" u="1"/>
        <s v="EKX005277_NBW_XXL" u="1"/>
        <s v="EKX005277_PAT6_L" u="1"/>
        <s v="EKX005277_PAT6_M" u="1"/>
        <s v="EKX005277_PAT6_S" u="1"/>
        <s v="EKX005277_PAT6_XL" u="1"/>
        <s v="EKX005277_PAT6_XXL" u="1"/>
        <s v="EKX005277_GP12_L" u="1"/>
        <s v="EKK009739_SKB_M" u="1"/>
        <s v="EKX005277_BB_XL#" u="1"/>
        <s v="EKX005277_BKH_S" u="1"/>
        <s v="EKX005277_BKH_XL" u="1"/>
        <s v="EKX005277_BRR_L#" u="1"/>
        <s v="EKX005277_BRR_M#" u="1"/>
        <s v="EKX005277_BWB_S" u="1"/>
        <s v="EKX005277_BW_XL#" u="1"/>
        <s v="EKX005277_GP10_XXL" u="1"/>
        <s v="EKX005277_GP11_M" u="1"/>
        <s v="EKX005277_GP11_XXL" u="1"/>
        <s v="EKX005277_GP12_XXL" u="1"/>
        <s v="EKX005277_GP13_L" u="1"/>
        <s v="EKX005277_GP13_XL" u="1"/>
        <s v="EKX005277_GP14_S" u="1"/>
        <s v="EKX005277_GP15_L" u="1"/>
        <s v="EKX005277_GP15_S" u="1"/>
        <s v="EKX005277_GP15_XL" u="1"/>
        <s v="EKX005277_GP15_XXL" u="1"/>
        <s v="EKX005277_GP16_M" u="1"/>
        <s v="EKX005277_GP16_S" u="1"/>
        <s v="EKX005277_GP1_M" u="1"/>
        <s v="EKX005277_GP1_XXL" u="1"/>
        <s v="EKX005277_GP2_M" u="1"/>
        <s v="EKX005277_GP2_S" u="1"/>
        <s v="EKX005277_GP2_XXL" u="1"/>
        <s v="EKX005277_GP3_M" u="1"/>
        <s v="EKX005277_GP3_XXL" u="1"/>
        <s v="EKX005277_GP4_L" u="1"/>
        <s v="EKX005277_GP5_L" u="1"/>
        <s v="EKX005277_GP5_S" u="1"/>
        <s v="EKX005277_GP5_XL" u="1"/>
        <s v="EKX005277_GP6_L" u="1"/>
        <s v="EKX005277_GP6_M" u="1"/>
        <s v="EKX005277_GP6_XXL" u="1"/>
        <s v="EKX005277_GP7_L" u="1"/>
        <s v="EKX005277_GP7_M" u="1"/>
        <s v="EKX005277_GP7_XXL" u="1"/>
        <s v="EKX005277_GP9_M" u="1"/>
        <s v="EKX005277_GP9_S" u="1"/>
        <s v="EKX005277_GP9_XL" u="1"/>
        <s v="EKX005277_GP9_L" u="1"/>
        <s v="EKY005271_WR_M#" u="1"/>
        <s v="EKY005271_CLB_M#" u="1"/>
        <s v="EKY006960_CH_M" u="1"/>
        <s v="EKY006960_W_XXL" u="1"/>
        <s v="EKY006960_B_S" u="1"/>
        <s v="EKY006960_B_L" u="1"/>
        <s v="EKY006960_CH_XXL" u="1"/>
        <s v="#EKV007165_NB_XL#" u="1"/>
        <s v="#EKV007165_B_XL#" u="1"/>
        <s v="#EKV007165_GR_XXL#" u="1"/>
        <s v="#EKV007165_NB_M#" u="1"/>
        <s v="#EKV007165_B_XXL#" u="1"/>
        <s v="#EKV007165_NB_XXL#" u="1"/>
        <s v="#EKV007165_NB_L#" u="1"/>
        <s v="#EKV007165_B_S#" u="1"/>
        <s v="EKK005094_W2_M" u="1"/>
        <s v="EKK005094_PAP_L" u="1"/>
        <s v="EKK005094_W2_XL" u="1"/>
        <s v="EKY005192_NB_XL" u="1"/>
        <s v="EKY005192_MGT_XXL" u="1"/>
        <s v="EKY005192_NB_XXL" u="1"/>
        <s v="EKY005919_BUG_L#" u="1"/>
        <s v="EKY005919_WI_S" u="1"/>
        <s v="EKY005919_BUG_M#" u="1"/>
        <s v="EKY005919_GR_L#" u="1"/>
        <s v="EKY005919_PAP_XXL" u="1"/>
        <s v="EKY005919_PAP_M" u="1"/>
        <s v="EKY005919_GR_S#" u="1"/>
        <s v="EKY005919_PAP_L" u="1"/>
        <s v="EKY005919_PAP_S" u="1"/>
        <s v="EKY005919_WI_XXL" u="1"/>
        <s v="EKY005919_BUG_XL#" u="1"/>
        <s v="EKY005919_PAP_XL" u="1"/>
        <s v="EKY005644_PU_M" u="1"/>
        <s v="EKY005644_ARG_L" u="1"/>
        <s v="EKY005644_PU_L" u="1"/>
        <s v="EKY005644_ARG_XXL" u="1"/>
        <s v="EKY005644_ARG_S" u="1"/>
        <s v="EKY005644_B_M" u="1"/>
        <s v="EKY005644_B_L" u="1"/>
        <s v="EKY005644_PU_S" u="1"/>
        <s v="EKY005644_DGT_S" u="1"/>
        <s v="EKY005644_DGT_XL" u="1"/>
        <s v="EKY005644_NB_S" u="1"/>
        <s v="EKY005644_DGT_M" u="1"/>
        <s v="EKY005644_NB_L" u="1"/>
        <s v="EKY005644_B_XL" u="1"/>
        <s v="EKY005644_NB_M" u="1"/>
        <s v="EKY005644_B_XXL" u="1"/>
        <s v="EKY005644_DGT_XXL" u="1"/>
        <s v="EKY005644_NB_XL" u="1"/>
        <s v="EKY005644_ARG_M" u="1"/>
        <s v="EKY005644_B_S" u="1"/>
        <s v="EKY005644_NB_XXL" u="1"/>
        <s v="EKY005144_NA_L" u="1"/>
        <s v="EKY006292_SKB_XXL" u="1"/>
        <s v="EKY006292_SKB_XL" u="1"/>
        <s v="EKY006292_DGR_XL" u="1"/>
        <s v="EKY006292_DGR_XXL" u="1"/>
        <s v="EKY006292_NB_XXL" u="1"/>
        <s v="EKY006292_BUG_S" u="1"/>
        <s v="EKY006292_WR_L" u="1"/>
        <s v="EKY006292_MIR_L" u="1"/>
        <s v="EKY006292_NA_M" u="1"/>
        <s v="EKY006292_MIR_XL" u="1"/>
        <s v="EKY006292_MIR_M" u="1"/>
        <s v="EKY006292_NB_M" u="1"/>
        <s v="EKY006292_B_S" u="1"/>
        <s v="EKY006292_NB_XL" u="1"/>
        <s v="EKY006292_WR_M" u="1"/>
        <s v="EKY006292_MIR_XXL" u="1"/>
        <s v="EKY006292_B_XL" u="1"/>
        <s v="EKY006292_B_L" u="1"/>
        <s v="EKY006292_BUG_XL" u="1"/>
        <s v="EKY006292_BUG_L" u="1"/>
        <s v="EKY006292_WR_XL" u="1"/>
        <s v="EKY006292_NB_S" u="1"/>
        <s v="EKY006292_WR_S" u="1"/>
        <s v="EKY006292_NB_L" u="1"/>
        <s v="EKY006292_WR_XXL" u="1"/>
        <s v="EKY006292_LIL_XXL" u="1"/>
        <s v="EKY005962_B_XL" u="1"/>
        <s v="EKY005962_PP_S" u="1"/>
        <s v="EKY005962_B_M" u="1"/>
        <s v="EKY005962_PP_XXL" u="1"/>
        <s v="EKY005962_B_XXL" u="1"/>
        <s v="EKY005962_B_S" u="1"/>
        <s v="EKY005962_NB_XL" u="1"/>
        <s v="EKY005962_B_L" u="1"/>
        <s v="EKY005962_NB_XXL" u="1"/>
        <s v="EKY005962_NB_L" u="1"/>
        <s v="EKY005962_PP_M" u="1"/>
        <s v="EKY005962_NB_S" u="1"/>
        <s v="EKY005962_NB_M" u="1"/>
        <s v="EKV007173_BRR_L" u="1"/>
        <s v="EKV007173_SB_XXL" u="1"/>
        <s v="ETK009997_B_XXL" u="1"/>
        <s v="ETK009997_B_XL" u="1"/>
        <s v="EKY005919_LA_XL" u="1"/>
        <s v="EKY005919_LA_XXL" u="1"/>
        <s v="EKY005919_LA_L" u="1"/>
        <s v="EKY005919_LA_M" u="1"/>
        <s v="EKY005919_LA_S" u="1"/>
        <s v="EKY006920_W_M" u="1"/>
        <s v="EKK009709_WR_XL" u="1"/>
        <s v="EKK009709_MIR_XXL" u="1"/>
        <s v="EKK009949_B_S#" u="1"/>
        <s v="EKK009949_LGR_XXL#" u="1"/>
        <s v="EKY006296_PAT11_S" u="1"/>
        <s v="EKY006296_PAT9_L" u="1"/>
        <s v="EKY006296_PAT9_M" u="1"/>
        <s v="EKY006296_PAT9_XXL" u="1"/>
        <s v="EKY006296_PAT9_XL" u="1"/>
        <s v="EKY006296_PAT11_XXL" u="1"/>
        <s v="EKY006296_PAT11_L" u="1"/>
        <s v="EKY006296_PAT11_M" u="1"/>
        <s v="EKY006296_PAT11_XL" u="1"/>
        <s v="EKV006903_PAT11_L#" u="1"/>
        <s v="EKV006903_DK_XL" u="1"/>
        <s v="EKV006903_NB_L" u="1"/>
        <s v="EKV006903_NB_M" u="1"/>
        <s v="EKV006903_FG_XXL" u="1"/>
        <s v="EKV006903_FG_XL" u="1"/>
        <s v="EKV006903_NB_S" u="1"/>
        <s v="EKV006903_PAT11_XXL#" u="1"/>
        <s v="EKV006903_DK_S" u="1"/>
        <s v="EKV006903_RV_L" u="1"/>
        <s v="EKV006903_RV_M" u="1"/>
        <s v="EKV006903_FG_S" u="1"/>
        <s v="EKV006903_DK_L" u="1"/>
        <s v="EKV006903_DK_M" u="1"/>
        <s v="EKV006903_RV_S" u="1"/>
        <s v="EKV006903_FG_M" u="1"/>
        <s v="EKV006903_PAT11_XL#" u="1"/>
        <s v="EKV006903_RV_XL" u="1"/>
        <s v="EKV006903_RV_XXL" u="1"/>
        <s v="EKV006903_NB_XXL" u="1"/>
        <s v="EKV006903_DK_XXL" u="1"/>
        <s v="EKV006903_NB_XL" u="1"/>
        <s v="EKY005271_PU_XXL#" u="1"/>
        <s v="EKY005271_PAT1_XL#" u="1"/>
        <s v="EKY005271_BB_S#" u="1"/>
        <s v="EKY005271_PAT1_S#" u="1"/>
        <s v="EKY005271_PU_XL#" u="1"/>
        <s v="EKY005271_PAT2_XXL#" u="1"/>
        <s v="EKY005271_PU_M#" u="1"/>
        <s v="EKY005271_BB_XXL#" u="1"/>
        <s v="EKY005271_BB_XL#" u="1"/>
        <s v="EKY005271_PAT1_M#" u="1"/>
        <s v="EKY005271_BB_L#" u="1"/>
        <s v="EKY005271_PU_S#" u="1"/>
        <s v="EKY005271_PU_L#" u="1"/>
        <s v="EKY005271_PAT1_L#" u="1"/>
        <s v="EKY005271_BB_M#" u="1"/>
        <s v="EKX005442_CLB_M#" u="1"/>
        <s v="EKX005442_BL_S#" u="1"/>
        <s v="EKX005442_CLB_L#" u="1"/>
        <s v="EKX005442_CLB_XXL#" u="1"/>
        <s v="EKX005442_BL_XL#" u="1"/>
        <s v="EKX005442_BL_L#" u="1"/>
        <s v="EKY005962_CG_M" u="1"/>
        <s v="EKY005962_CG_L" u="1"/>
        <s v="EKY005962_RG_M" u="1"/>
        <s v="EKY005962_RG_XXL" u="1"/>
        <s v="EKY005962_RG_L" u="1"/>
        <s v="EKY005962_RB_L" u="1"/>
        <s v="EKY005962_RB_M" u="1"/>
        <s v="EKY005962_RG_S" u="1"/>
        <s v="EKY005962_W_S" u="1"/>
        <s v="EKY005962_W_L" u="1"/>
        <s v="EKY005962_BUG_S" u="1"/>
        <s v="EKY005962_RB_S" u="1"/>
        <s v="EKY005962_W_M" u="1"/>
        <s v="EKY005962_CG_XXL" u="1"/>
        <s v="EKY005962_RG_XL" u="1"/>
        <s v="EKY005962_BUG_L" u="1"/>
        <s v="EKY005962_BUG_M" u="1"/>
        <s v="EKY005962_W_XXL" u="1"/>
        <s v="EKY005962_W_XL" u="1"/>
        <s v="EKY005962_CG_XL" u="1"/>
        <s v="EKY005962_RB_XL" u="1"/>
        <s v="EKY005962_RB_XXL" u="1"/>
        <s v="EKY005962_CG_S" u="1"/>
        <s v="EKY005962_BUG_XL" u="1"/>
        <s v="EKY005962_BUG_XXL" u="1"/>
        <s v="EKY005919_WI_XL" u="1"/>
        <s v="AMK005725_NB_L" u="1"/>
        <s v="AMK005725_GR_XXL" u="1"/>
        <s v="AMK005725_NB_XL" u="1"/>
        <s v="AMK005725_GR_L" u="1"/>
        <s v="AMK005725_NB_XS" u="1"/>
        <s v="AMK005725_NB_XXL" u="1"/>
        <s v="EKK009079_B_L" u="1"/>
        <s v="EKK009079_B_XXL" u="1"/>
        <s v="EKK009079_B_M" u="1"/>
        <s v="EKK009079_PAT7_M" u="1"/>
        <s v="EKK009079_PAT15_S" u="1"/>
        <s v="EKK009079_PAT15_XL" u="1"/>
        <s v="EKK009079_PAT15_XXXL" u="1"/>
        <s v="EKK009079_PAT17_S" u="1"/>
        <s v="EKK009079_PAT15_XXL" u="1"/>
        <s v="EKK009079_PAT15_L" u="1"/>
        <s v="EKK009079_B_S" u="1"/>
        <s v="EKK009079_PAT17_M" u="1"/>
        <s v="EKK009079_PAT17_L" u="1"/>
        <s v="EKK009079_PAT15_M" u="1"/>
        <s v="EKK009079_PAT17_XL" u="1"/>
        <s v="EKK009079_PAT17_XXL" u="1"/>
        <s v="EKK009079_B_XL" u="1"/>
        <s v="EKK009079_B_XXXL" u="1"/>
        <s v="AM000517_PAT4_XL" u="1"/>
        <s v="AM000517_PR_XXL" u="1"/>
        <s v="AM000517_PR_XL" u="1"/>
        <s v="AM000517_BD1_XL" u="1"/>
        <s v="AM000517_NA_S" u="1"/>
        <s v="AM000517_PAT9_L" u="1"/>
        <s v="AM000517_WI_S" u="1"/>
        <s v="AM000517_PAT6_M" u="1"/>
        <s v="AM000517_PR_S" u="1"/>
        <s v="AM000517_PAT9_XXL" u="1"/>
        <s v="AM000517_GFR_16" u="1"/>
        <s v="AM000517_WI_L" u="1"/>
        <s v="AM000517_B_16" u="1"/>
        <s v="AM000517_ARG_S" u="1"/>
        <s v="AM000517_PAT7_XXL" u="1"/>
        <s v="AM000517_PEB_XXL" u="1"/>
        <s v="AM000517_WC_14" u="1"/>
        <s v="AM000517_PAT6_XL" u="1"/>
        <s v="AM000517_PEB_S" u="1"/>
        <s v="AM000517_PAT6_XXL" u="1"/>
        <s v="AM000517_PAT3_M" u="1"/>
        <s v="AM000517_PF_12" u="1"/>
        <s v="AM000517_PAT5_S" u="1"/>
        <s v="AM000517_BLF_19" u="1"/>
        <s v="AM000517_PF_19" u="1"/>
        <s v="AM000517_PAT5_XS" u="1"/>
        <s v="AM000517_O_9" u="1"/>
        <s v="AM000517_O_19" u="1"/>
        <s v="AM000517_O_10" u="1"/>
        <s v="AM000517_O_12" u="1"/>
        <s v="AM000517_R_19" u="1"/>
        <s v="AM000517_O_16" u="1"/>
        <s v="AM000517_WL_XL" u="1"/>
        <s v="AM000517_BC_10" u="1"/>
        <s v="AM000517_BD1_M" u="1"/>
        <s v="AM000517_BD1_XXL" u="1"/>
        <s v="AM000517_PAT7_L" u="1"/>
        <s v="AM000517_PAT5_L" u="1"/>
        <s v="AM000517_BD1_S" u="1"/>
        <s v="AM000517_WL_M" u="1"/>
        <s v="AM000517_ARG_L" u="1"/>
        <s v="AM000517_PAT5_XXL" u="1"/>
        <s v="AM000517_PUF_14" u="1"/>
        <s v="AM000517_PAT5_XL" u="1"/>
        <s v="AM000517_WB_14" u="1"/>
        <s v="AM000517_PAT2_19" u="1"/>
        <s v="AM000517_BC_14" u="1"/>
        <s v="AM000517_PAT1_16" u="1"/>
        <s v="AM000517_PAT5_M" u="1"/>
        <s v="AM000517_WI_XXL" u="1"/>
        <s v="AM000517_WR_19" u="1"/>
        <s v="AM000517_WC_19" u="1"/>
        <s v="AM000517_BD1_L" u="1"/>
        <s v="AM000517_ARG_XXL" u="1"/>
        <s v="AM000517_NB_19" u="1"/>
        <s v="AM000517_WL_XXL" u="1"/>
        <s v="AM000517_PAT9_XL" u="1"/>
        <s v="AM000517_BC_19" u="1"/>
        <s v="AM000517_WB_19" u="1"/>
        <s v="AM000517_PAT4_M" u="1"/>
        <s v="AM000517_G_19" u="1"/>
        <s v="AM000517_PAT4_L" u="1"/>
        <s v="AM000517_PAT4_XXL" u="1"/>
        <s v="AM000517_BC_9" u="1"/>
        <s v="AM000517_PAT9_S" u="1"/>
        <s v="AM000517_PUF_19" u="1"/>
        <s v="AM000517_PAT4_S" u="1"/>
        <s v="AM000517_PAT6_S" u="1"/>
        <s v="AM000517_PEB_XL" u="1"/>
        <s v="AM000517_ARG_XL" u="1"/>
        <s v="AM000517_ARG_M" u="1"/>
        <s v="AM000517_PAT6_L" u="1"/>
        <s v="AM000517_GL_12" u="1"/>
        <s v="AM000517_BLF_10" u="1"/>
        <s v="EKY006992_B_S" u="1"/>
        <s v="EKY006992_B_M" u="1"/>
        <s v="EKY006992_B_XL" u="1"/>
        <s v="EKY006992_B_XXL" u="1"/>
        <s v="EKY006992_DG_S" u="1"/>
        <s v="EKY006992_DG_L" u="1"/>
        <s v="EKY006992_DG_XL" u="1"/>
        <s v="EKY006992_DG_XXL" u="1"/>
        <s v="EKY006992_KH_M" u="1"/>
        <s v="EKY006992_KH_L" u="1"/>
        <s v="EKY006992_KH_XL" u="1"/>
        <s v="EKY006992_KH_XXL" u="1"/>
        <s v="EKY006992_NB_S" u="1"/>
        <s v="EKY006992_NB_M" u="1"/>
        <s v="EKY006992_NB_L" u="1"/>
        <s v="EKY006992_NB_XL" u="1"/>
        <s v="EKY006992_NB_XXL" u="1"/>
        <s v="EKY006992_W_S" u="1"/>
        <s v="EKY006992_W_L" u="1"/>
        <s v="EKY006992_W_XXL" u="1"/>
        <s v="EKY006992_WR_M" u="1"/>
        <s v="EKY006992_WR_XL" u="1"/>
        <s v="EKY006992_WR_XXL" u="1"/>
        <s v="EKK009904_PAT6_M" u="1"/>
        <s v="EKK009904_PAT4_XXL" u="1"/>
        <s v="EKK005472_PAT14_XXL" u="1"/>
        <s v="EKK005472_PAT12_XXL" u="1"/>
        <s v="EKK005472_PAT12_L" u="1"/>
        <s v="EKK005472_PAT12_XL" u="1"/>
        <s v="EKK005472_PAT12_S" u="1"/>
        <s v="EKK005472_PAT12_M" u="1"/>
        <s v="EKK005472_PAT13_XXL" u="1"/>
        <s v="EKK005472_PAT10_S" u="1"/>
        <s v="EKK005472_PAT11_XS" u="1"/>
        <s v="EKK005472_B_S" u="1"/>
        <s v="EKK005472_BLF_S" u="1"/>
        <s v="EKK005472_BRG_M" u="1"/>
        <s v="EKK005472_BLF_XL" u="1"/>
        <s v="EKK005472_PAT12_XS" u="1"/>
        <s v="EKK005472_PAT10_XS" u="1"/>
        <s v="EKK005472_PAT2_M" u="1"/>
        <s v="EKK005512_BRR_L" u="1"/>
        <s v="EKY005991_ARG_S" u="1"/>
        <s v="EKY005991_ARG_M" u="1"/>
        <s v="EKY005991_ARG_L" u="1"/>
        <s v="EKY005991_ARG_XL" u="1"/>
        <s v="EKY005991_ARG_XXL" u="1"/>
        <s v="EKY005991_B_L" u="1"/>
        <s v="EKY005991_NB_S" u="1"/>
        <s v="EKY005991_NB_L" u="1"/>
        <s v="EKY005991_WR_XL" u="1"/>
        <s v="EKY005962_PP_L" u="1"/>
        <s v="EKY005962_PP_XL" u="1"/>
        <s v="EKK009702_PON_M" u="1"/>
        <s v="EKK009702_DGR_S" u="1"/>
        <s v="EKK009702_DGR_L" u="1"/>
        <s v="EKK009702_DGT_M" u="1"/>
        <s v="EKK009702_ARG_S" u="1"/>
        <s v="EKK009702_DGR_M" u="1"/>
        <s v="EKK009702_DR_M" u="1"/>
        <s v="EKK009702_DR_S" u="1"/>
        <s v="EKK009702_LK_XXL" u="1"/>
        <s v="EKK009702_RV_M" u="1"/>
        <s v="EKK009702_RV_XXL" u="1"/>
        <s v="EKK009702_ARG_L" u="1"/>
        <s v="EKK009702_RV_S" u="1"/>
        <s v="EKK009702_ARG_XL" u="1"/>
        <s v="EKK009702_DR_XL" u="1"/>
        <s v="EKK009702_ARG_XXL" u="1"/>
        <s v="EKK009702_ARG_M" u="1"/>
        <s v="EKK009702_PON_S" u="1"/>
        <s v="EKK009702_DR_L" u="1"/>
        <s v="EKK009702_DG_L" u="1"/>
        <s v="EKK009702_DG_XL" u="1"/>
        <s v="EKK009702_DG_M" u="1"/>
        <s v="EKK009702_NA_S" u="1"/>
        <s v="EKK009702_LIL_XL" u="1"/>
        <s v="EKK009702_DG_S" u="1"/>
        <s v="EKK009702_DGT_S" u="1"/>
        <s v="EKK009702_ROP_M" u="1"/>
        <s v="EKK009702_ROP_XL" u="1"/>
        <s v="EKK009702_PAT6_XXL" u="1"/>
        <s v="EKK009702_DGR_XXL" u="1"/>
        <s v="EKK009702_DGR_XL" u="1"/>
        <s v="EKK009702_PAT6_L" u="1"/>
        <s v="EKK009702_PAT6_S" u="1"/>
        <s v="EKK009702_LK_S" u="1"/>
        <s v="EKK009702_B_XXL#" u="1"/>
        <s v="EKK009702_GR_XL#" u="1"/>
        <s v="EKK009702_B_XL#" u="1"/>
        <s v="EKK009702_PAT4_XXL" u="1"/>
        <s v="EKK009702_PAT5_XL" u="1"/>
        <s v="EKK009702_NB_XXL#" u="1"/>
        <s v="EKK009702_NB_XL#" u="1"/>
        <s v="EKV007173_PU_XXXL" u="1"/>
        <s v="EKV007173_WI_XXL" u="1"/>
        <s v="EKY005437_BUG_L" u="1"/>
        <s v="EKY005437_BUG_XL" u="1"/>
        <s v="EKV006903_PAT2_XXL#" u="1"/>
        <s v="EKV006903_FG_L" u="1"/>
        <s v="EKV006903_PAT4_XXL#" u="1"/>
        <s v="EKV006903_PAT5_XL#" u="1"/>
        <s v="EKV006903_R_L#" u="1"/>
        <s v="EKV006903_PAT2_S#" u="1"/>
        <s v="EKV006903_W_XL#" u="1"/>
        <s v="EKY006992_DG_M" u="1"/>
        <s v="EKY006992_KH_S" u="1"/>
        <s v="EKY006992_W_M" u="1"/>
        <s v="EKY006992_W_XL" u="1"/>
        <s v="EKY006992_WR_S" u="1"/>
        <s v="EKX005277_GP23_L" u="1"/>
        <s v="EKX005277_GP23_S" u="1"/>
        <s v="EKX005277_GP25_XXL" u="1"/>
        <s v="EKX005277_GP24_L" u="1"/>
        <s v="EKX005277_GP22_M" u="1"/>
        <s v="EKX005277_GP19_M" u="1"/>
        <s v="EKX005277_GP25_M" u="1"/>
        <s v="EKX005277_GP22_XL" u="1"/>
        <s v="EKX005277_GP10_L" u="1"/>
        <s v="EKX005277_GP11_S" u="1"/>
        <s v="EKX005277_BW_M#" u="1"/>
        <s v="EKY005961_R2_XXL" u="1"/>
        <s v="EKY005961_R2_XL" u="1"/>
        <s v="EKY005961_R2_S" u="1"/>
        <s v="EKY005961_R2_M" u="1"/>
        <s v="EKY005961_R2_L" u="1"/>
        <s v="EKY005961_B_L" u="1"/>
        <s v="EKY005961_B_M" u="1"/>
        <s v="EKY005961_B_S" u="1"/>
        <s v="EKY005961_B_XL" u="1"/>
        <s v="EKY005961_B_XXL" u="1"/>
        <s v="EKY005961_BAB_L" u="1"/>
        <s v="EKY005961_BAB_M" u="1"/>
        <s v="EKY005961_BAB_S" u="1"/>
        <s v="EKY005961_BAB_XL" u="1"/>
        <s v="EKY005961_BAB_XXL" u="1"/>
        <s v="EKY005961_BL_L" u="1"/>
        <s v="EKY005961_BL_M" u="1"/>
        <s v="EKY005961_BL_S" u="1"/>
        <s v="EKY005961_BL_XL" u="1"/>
        <s v="EKY005961_BP_L#" u="1"/>
        <s v="EKY005961_BP_M#" u="1"/>
        <s v="EKY005961_BP_S#" u="1"/>
        <s v="EKY005961_BP_XL#" u="1"/>
        <s v="EKY005961_BP_XXL#" u="1"/>
        <s v="EKY005961_BUG_L" u="1"/>
        <s v="EKY005961_BUG_M" u="1"/>
        <s v="EKY005961_BUG_S" u="1"/>
        <s v="EKY005961_BUG_XL" u="1"/>
        <s v="EKY005961_BUG_XXL" u="1"/>
        <s v="EKY005961_CG_L" u="1"/>
        <s v="EKY005961_CG_M" u="1"/>
        <s v="EKY005961_CG_S" u="1"/>
        <s v="EKY005961_CG_XL" u="1"/>
        <s v="EKY005961_DG_L" u="1"/>
        <s v="EKY005961_DG_M" u="1"/>
        <s v="EKY005961_DG_S" u="1"/>
        <s v="EKY005961_DG_XL" u="1"/>
        <s v="EKY005961_DG_XXL" u="1"/>
        <s v="EKY005961_GR_L" u="1"/>
        <s v="EKY005961_GR_M" u="1"/>
        <s v="EKY005961_GR_S" u="1"/>
        <s v="EKY005961_GR_XL" u="1"/>
        <s v="EKY005961_GR_XXL" u="1"/>
        <s v="EKY005961_LGB_L" u="1"/>
        <s v="EKY005961_LGB_M" u="1"/>
        <s v="EKY005961_LGB_S" u="1"/>
        <s v="EKY005961_LGB_XL" u="1"/>
        <s v="EKY005961_LGB_XXL" u="1"/>
        <s v="EKY005961_LIL_L" u="1"/>
        <s v="EKY005961_LIL_S" u="1"/>
        <s v="EKY005961_LIL_XL" u="1"/>
        <s v="EKY005961_LIL_XXL" u="1"/>
        <s v="EKY005961_PAT5_L" u="1"/>
        <s v="EKY005961_PAT5_M" u="1"/>
        <s v="EKY005961_PAT5_S" u="1"/>
        <s v="EKY005961_PAT5_XL" u="1"/>
        <s v="EKY005961_PAT5_XXL" u="1"/>
        <s v="EKY005961_PP_L" u="1"/>
        <s v="EKY005961_PP_M" u="1"/>
        <s v="EKY005961_PP_S" u="1"/>
        <s v="EKY005961_PP_XL" u="1"/>
        <s v="EKY005961_PP_XXL" u="1"/>
        <s v="EKY005961_PTP_L" u="1"/>
        <s v="EKY005961_PTP_S" u="1"/>
        <s v="EKY005961_PTP_XL" u="1"/>
        <s v="EKY005961_PTP_XXL" u="1"/>
        <s v="EKY005961_RB_L" u="1"/>
        <s v="EKY005961_RB_M" u="1"/>
        <s v="EKY005961_RB_S" u="1"/>
        <s v="EKY005961_RG_L" u="1"/>
        <s v="EKY005961_RG_M" u="1"/>
        <s v="EKY005961_RG_S" u="1"/>
        <s v="EKY005961_RG_XL" u="1"/>
        <s v="EKY005961_RG_XXL" u="1"/>
        <s v="EKY005961_SKB_L" u="1"/>
        <s v="EKY005961_SKB_M" u="1"/>
        <s v="EKY005961_SKB_S" u="1"/>
        <s v="EKY005961_SKB_XL" u="1"/>
        <s v="EKY005961_SKB_XXL" u="1"/>
        <s v="EKY005961_W_L" u="1"/>
        <s v="EKY005961_W_M" u="1"/>
        <s v="EKY005961_W_S" u="1"/>
        <s v="EKY005961_W_XL" u="1"/>
        <s v="EKY005961_W_XXL" u="1"/>
        <s v="EKY005961_WI_L" u="1"/>
        <s v="EKY005961_WI_M" u="1"/>
        <s v="EKY005961_WI_S" u="1"/>
        <s v="EKY005961_WI_XL" u="1"/>
        <s v="EKY005961_WI_XXL" u="1"/>
        <s v="EKY005961_WR_L" u="1"/>
        <s v="EKY005961_WR_M" u="1"/>
        <s v="EKY005961_WR_S" u="1"/>
        <s v="EKY005961_WR_XL" u="1"/>
        <s v="EKY005961_WR_XXL" u="1"/>
        <s v="EKY005961_WTR_L" u="1"/>
        <s v="EKY005961_WTR_M" u="1"/>
        <s v="EKY005961_WTR_XL" u="1"/>
        <s v="EKY005961_WTR_XXL" u="1"/>
        <s v="EKK005512_PAT9_XL" u="1"/>
        <s v="#EKK006095_PU_M" u="1"/>
        <s v="EKX005277_GP26_S" u="1"/>
        <s v="EKX005277_GP22_L" u="1"/>
        <s v="EKX005277_GP23_XL" u="1"/>
        <s v="EKX005277_GP20_L" u="1"/>
        <s v="EKX005277_GP20_M" u="1"/>
        <s v="EKX005277_GP26_L" u="1"/>
        <s v="EKX005277_GP20_S" u="1"/>
        <s v="EKX005277_GP22_S" u="1"/>
        <s v="EKX005277_GP11_XL" u="1"/>
        <s v="EKX005277_GP25_S" u="1"/>
        <s v="EKX005277_GP23_M" u="1"/>
        <s v="EKX005277_GP25_XL" u="1"/>
        <s v="EKX005277_GP25_L" u="1"/>
        <s v="EKX005277_GP19_S" u="1"/>
        <s v="EKX005277_GP20_XL" u="1"/>
        <s v="EKX005277_GP19_L" u="1"/>
        <s v="EKX005277_GP26_M" u="1"/>
        <s v="EKX005277_GP11_L" u="1"/>
        <s v="EKY006993_LK_XL" u="1"/>
        <s v="EKY006993_LK_S" u="1"/>
        <s v="EKY006993_LK_M" u="1"/>
        <s v="EKY006993_LK_L" u="1"/>
        <s v="EKY006993_LG_S" u="1"/>
        <s v="EKY006993_DA_XXL" u="1"/>
        <s v="EKY006993_DA_S" u="1"/>
        <s v="EKY006993_DA_L" u="1"/>
        <s v="EKY006993_B_XXL" u="1"/>
        <s v="EKY006993_B_L" u="1"/>
        <s v="EKY006993_BL_XXL" u="1"/>
        <s v="EKY006993_BL_XL" u="1"/>
        <s v="EKY006993_BL_S" u="1"/>
        <s v="EKY006993_BL_M" u="1"/>
        <s v="EKY006993_BL_L" u="1"/>
        <s v="EKY005999_WR_S#" u="1"/>
        <s v="EKY005999_WR_XL#" u="1"/>
        <s v="EKY005999_NB_S#" u="1"/>
        <s v="EKY005999_WR_L#" u="1"/>
        <s v="EKY005999_NB_XL#" u="1"/>
        <s v="EKY005999_NB_L#" u="1"/>
        <s v="EKY005999_NB_M#" u="1"/>
        <s v="EKY005999_WR_M#" u="1"/>
        <s v="EKY005999_WR_XXL#" u="1"/>
        <s v="EKY005999_NB_XXL#" u="1"/>
        <s v="EKY005999_LIL_XXL#" u="1"/>
        <s v="EKY005999_LIL_L#" u="1"/>
        <s v="EKY005999_NA_L#" u="1"/>
        <s v="EKY005999_B_XXL#" u="1"/>
        <s v="EKY005999_NA_XL#" u="1"/>
        <s v="EKY005999_MIR_XXL#" u="1"/>
        <s v="EKY005999_LIL_XL#" u="1"/>
        <s v="EKY005999_MIR_S#" u="1"/>
        <s v="EKY005999_MIR_XL#" u="1"/>
        <s v="EKY005999_MIR_M#" u="1"/>
        <s v="EKY005999_MIR_L#" u="1"/>
        <s v="EKY005999_NA_M#" u="1"/>
        <s v="EKY005999_NA_XXL#" u="1"/>
        <s v="EKY005999_NA_S#" u="1"/>
        <s v="EKY005999_B_L#" u="1"/>
        <s v="EKY005999_B_M#" u="1"/>
        <s v="EKY005999_MGT_L#" u="1"/>
        <s v="EKY005999_B_S#" u="1"/>
        <s v="EKY005999_MGT_XXL#" u="1"/>
        <s v="EKY005999_B_XL#" u="1"/>
        <s v="EKK005996_PAT22_XXXL" u="1"/>
        <s v="EKK005996_PAT21_XL" u="1"/>
        <s v="EKK005996_PAT22_XXL" u="1"/>
        <s v="EKK005996_PAT20_XXXL" u="1"/>
        <s v="EKK005996_PAT21_XXXL" u="1"/>
        <s v="EKK005996_PAT21_L" u="1"/>
        <s v="EKK005996_PAT21_XXL" u="1"/>
        <s v="EKK005996_PAT21_M" u="1"/>
        <s v="EKK005996_PAT22_L" u="1"/>
        <s v="EKK005996_PAT22_M" u="1"/>
        <s v="EKK005996_PAT20_XXL" u="1"/>
        <s v="EKK005996_PAT12_XXL" u="1"/>
        <s v="EKK005996_PAT10_L" u="1"/>
        <s v="EKK005996_PAT10_M" u="1"/>
        <s v="EKK005996_PAT10_XXL" u="1"/>
        <s v="EKK005996_PAT16_M" u="1"/>
        <s v="EKK005996_PAT11_XXXL" u="1"/>
        <s v="EKK005996_PAT12_L" u="1"/>
        <s v="EKK005996_PAT12_XXXL" u="1"/>
        <s v="EKK005996_PAT11_4XL" u="1"/>
        <s v="EKK005996_PAT19_XXXL" u="1"/>
        <s v="EKK005996_W_XXXL" u="1"/>
        <s v="EKK005996_PAT12_XL" u="1"/>
        <s v="EKK005996_PAT20_L" u="1"/>
        <s v="EKK005996_PAT14_4XL" u="1"/>
        <s v="EKK005996_PAT17_M" u="1"/>
        <s v="EKK005996_W_XL" u="1"/>
        <s v="EKK005996_PAT10_XL" u="1"/>
        <s v="EKK005996_PAT16_4XL" u="1"/>
        <s v="EKK005996_PAT10_XXXL" u="1"/>
        <s v="EKK005996_PAT13_XXXL" u="1"/>
        <s v="EKK005996_PAT20_XL" u="1"/>
        <s v="EKS005745_LB_120" u="1"/>
        <s v="EKS005745_LG_140" u="1"/>
        <s v="EKS005745_LG_120" u="1"/>
        <s v="EKY005991_PAT1_S" u="1"/>
        <s v="EKY006545_BUG_L" u="1"/>
        <s v="EKY006545_BUG_M" u="1"/>
        <s v="EKY006545_RV_XXL" u="1"/>
        <s v="EKY006545_BUG_S" u="1"/>
        <s v="EKY006545_CH_XXL" u="1"/>
        <s v="EKY006545_CH_L" u="1"/>
        <s v="EKY006545_SKB_S" u="1"/>
        <s v="EKY006545_CH_M" u="1"/>
        <s v="EKY006545_SKB_M" u="1"/>
        <s v="EKY006545_PW_S" u="1"/>
        <s v="EKY006545_RV_S" u="1"/>
        <s v="EKY006545_PW_XXL" u="1"/>
        <s v="EKY006545_PW_L" u="1"/>
        <s v="EKY006545_PW_M" u="1"/>
        <s v="EKY006545_SKB_L" u="1"/>
        <s v="EKY006545_CH_XL" u="1"/>
        <s v="EKY006545_RG_XL" u="1"/>
        <s v="EKY006545_BUG_XL" u="1"/>
        <s v="EKY006545_RG_S" u="1"/>
        <s v="EKY006545_SKB_XL" u="1"/>
        <s v="EKY006545_RV_M" u="1"/>
        <s v="EKY006545_RV_L" u="1"/>
        <s v="EKY006545_SKB_XXL" u="1"/>
        <s v="EKY006545_BUG_XXL" u="1"/>
        <s v="EKY006545_RG_XXL" u="1"/>
        <s v="EKY006545_CH_S" u="1"/>
        <s v="EKY006545_RG_M" u="1"/>
        <s v="EKY006545_PW_XL" u="1"/>
        <s v="EKY006545_RG_L" u="1"/>
        <s v="EKV006903_RR1_XXXL" u="1"/>
        <s v="EKV006903_FO_L" u="1"/>
        <s v="EKV006903_DG_L" u="1"/>
        <s v="EKV006903_FO_XXXL" u="1"/>
        <s v="EKV006903_DG_M" u="1"/>
        <s v="EKV006903_FO_XXL" u="1"/>
        <s v="EKV006903_RR1_S" u="1"/>
        <s v="EKV006903_DG_XXXL" u="1"/>
        <s v="EKV006903_RR1_XL" u="1"/>
        <s v="EKV006903_DG_XL" u="1"/>
        <s v="EKV006903_FO_S" u="1"/>
        <s v="EKV006903_DG_S" u="1"/>
        <s v="EKV006903_RR1_XXL" u="1"/>
        <s v="EKV006903_FO_M" u="1"/>
        <s v="EKV006903_FO_XL" u="1"/>
        <s v="EKV006903_RR1_M" u="1"/>
        <s v="EKK010116_NB_S" u="1"/>
        <s v="EKK010116_NB_XL" u="1"/>
        <s v="EKK010116_NB_XXL" u="1"/>
        <s v="EKK010116_MGT_M" u="1"/>
        <s v="EKK010116_MGT_XXL" u="1"/>
        <s v="EKK010116_MGT_S" u="1"/>
        <s v="EKK010116_MGT_XL" u="1"/>
        <s v="EKK010116_MGT_L" u="1"/>
        <s v="EKK010116_NB_M" u="1"/>
        <s v="EKK010116_NB_L" u="1"/>
        <s v="EKK010116_NA_XL" u="1"/>
        <s v="EKK010116_NA_M" u="1"/>
        <s v="EKV006903_A_S" u="1"/>
        <s v="EKV006903_A_XXXL" u="1"/>
        <s v="EKV006903_A_L" u="1"/>
        <s v="EKV006903_A_XL" u="1"/>
        <s v="EKV006903_A_XXL" u="1"/>
        <s v="EKV006903_A_M" u="1"/>
        <s v="EKV006903_FY_L" u="1"/>
        <s v="EKV006903_FY_M" u="1"/>
        <s v="EKV006903_FY_S" u="1"/>
        <s v="EKV006903_FY_XXL" u="1"/>
        <s v="EKV006903_FY_XL" u="1"/>
        <s v="EKV006903_FR_XXL" u="1"/>
        <s v="EKV006903_FR_S" u="1"/>
        <s v="EKV006903_FR_L" u="1"/>
        <s v="EKV006903_FR_XL" u="1"/>
        <s v="EKV006903_FR_XXXL" u="1"/>
        <s v="EKV006903_FR_M" u="1"/>
        <s v="EKV006903_P_XL" u="1"/>
        <s v="EKV006903_P_S" u="1"/>
        <s v="EKV006903_P_L" u="1"/>
        <s v="EKV006903_P_XXXL" u="1"/>
        <s v="EKV006903_P_M" u="1"/>
        <s v="EKV006903_P_XXL" u="1"/>
        <s v="EKV006903_SKB_M" u="1"/>
        <s v="EKV006903_SKB_XL" u="1"/>
        <s v="EKV006903_SKB_L" u="1"/>
        <s v="EKV006903_SKB_XXXL" u="1"/>
        <s v="EKV006903_SKB_S" u="1"/>
        <s v="EKV006903_SKB_XXL" u="1"/>
        <s v="EKV006903_W1_XL" u="1"/>
        <s v="EKV006903_W1_XXL" u="1"/>
        <s v="EKV006903_W1_S" u="1"/>
        <s v="EKV006903_W1_L" u="1"/>
        <s v="EKV006903_W1_M" u="1"/>
        <s v="EKV006903_W1_XXXL" u="1"/>
        <s v="EKV006903_B1_XL" u="1"/>
        <s v="EKV006903_B1_L" u="1"/>
        <s v="EKV006903_B1_M" u="1"/>
        <s v="EKV006903_B1_S" u="1"/>
        <s v="EKV006903_B1_XXL" u="1"/>
        <s v="EKV006903_B1_XXXL" u="1"/>
        <s v="EKV006903_NB_XXXL" u="1"/>
        <s v="EKV006903_O_XXXL" u="1"/>
        <s v="EKV006903_O_S" u="1"/>
        <s v="EKV006903_O_M" u="1"/>
        <s v="EKV006903_O_L" u="1"/>
        <s v="EKV006903_O_XXL" u="1"/>
        <s v="EKV006903_O_XL" u="1"/>
        <s v="EKV006903_PEB_XXXL" u="1"/>
        <s v="EKV006903_PAT7_XXXL" u="1"/>
        <s v="EKV006903_PAT7_XL#" u="1"/>
        <s v="EKV006903_PAT7_M#" u="1"/>
        <s v="EKV006903_PAT5_XXXL" u="1"/>
        <s v="EKV006903_PAT23_M" u="1"/>
        <s v="EKV006903_PAT23_S" u="1"/>
        <s v="EKV006903_PAT23_L" u="1"/>
        <s v="EKV006903_PAT23_XL" u="1"/>
        <s v="EKV006903_PAT23_XXL" u="1"/>
        <s v="EKV006903_PAT20_XXXL" u="1"/>
        <s v="EKV006903_PAT20_XXL" u="1"/>
        <s v="EKV006903_PAT20_M" u="1"/>
        <s v="EKV006903_PAT20_XL" u="1"/>
        <s v="EKV006903_PAT20_L" u="1"/>
        <s v="EKV006903_PAT20_S" u="1"/>
        <s v="EKV006903_PAT2_XXXL" u="1"/>
        <s v="EKV006903_DG_XXL" u="1"/>
        <s v="EKV006903_RR1_L" u="1"/>
        <s v="EKV006903_PAT2_M#" u="1"/>
        <s v="EKV006903_PAT24_M" u="1"/>
        <s v="EKV006903_PAT24_S" u="1"/>
        <s v="EKY005991_PAT1_L" u="1"/>
        <s v="EKV006903_PAT25_XXL" u="1"/>
        <s v="EKV006903_PAT19_L" u="1"/>
        <s v="EKV006903_PAT19_XXL" u="1"/>
        <s v="EKV006903_PAT17_XXL" u="1"/>
        <s v="EKV006903_DGR_M" u="1"/>
        <s v="EKV006903_PAT14_L" u="1"/>
        <s v="EKV006903_PAT14_M" u="1"/>
        <s v="EKV006903_Y_XXL" u="1"/>
        <s v="EKV006903_PAT25_S" u="1"/>
        <s v="EKV006903_PAT13_S" u="1"/>
        <s v="EKV006903_BAB_XXXL" u="1"/>
        <s v="EKV006903_PAT9_XXXL" u="1"/>
        <s v="EKV006903_PAT22_S" u="1"/>
        <s v="EKV006903_PAT22_L" u="1"/>
        <s v="EKV006903_PAT21_XL" u="1"/>
        <s v="EKV006903_PAT21_L" u="1"/>
        <s v="EKV006903_DGR_XXL" u="1"/>
        <s v="EKV006903_PAT3_XXXL" u="1"/>
        <s v="EKV006903_PAT16_M" u="1"/>
        <s v="EKV006903_PAT16_L" u="1"/>
        <s v="EKV006903_PAT21_XXXL" u="1"/>
        <s v="EKV006903_Y_XL" u="1"/>
        <s v="EKV006903_PAT16_S" u="1"/>
        <s v="EKV006903_PAT16_XXL" u="1"/>
        <s v="EKV006903_PAT16_XL" u="1"/>
        <s v="EKV006903_Y_L" u="1"/>
        <s v="EKV006903_PAT14_XL" u="1"/>
        <s v="EKV006903_PAT14_XXXL" u="1"/>
        <s v="EKV006903_PAT25_L" u="1"/>
        <s v="EKV006903_PAT25_XL" u="1"/>
        <s v="EKV006903_Y_XXXL" u="1"/>
        <s v="EKV006903_PAT13_M" u="1"/>
        <s v="EKV006903_PAT19_M" u="1"/>
        <s v="EKV006903_PAT19_S" u="1"/>
        <s v="EKV006903_WTR_XXXL" u="1"/>
        <s v="EKV006903_PAT25_XXXL" u="1"/>
        <s v="EKV006903_PAT21_XXL" u="1"/>
        <s v="EKV006903_PAT1_XXXL" u="1"/>
        <s v="EKV006903_WR_XL##" u="1"/>
        <s v="EKV006903_BAB_L#" u="1"/>
        <s v="EKV006903_PAT10_XL##" u="1"/>
        <s v="EKV006903_PAT10_XXL##" u="1"/>
        <s v="EKV006903_PAT19_XL#" u="1"/>
        <s v="EKV006903_PAT10_L##" u="1"/>
        <s v="EKV006903_BAB_S" u="1"/>
        <s v="EKV006903_PAT14_XXL" u="1"/>
        <s v="EKV006903_FG_XXXL" u="1"/>
        <s v="EKV006903_BAB_M" u="1"/>
        <s v="EKV006903_RV_XXXL" u="1"/>
        <s v="EKV006903_BAB_XL" u="1"/>
        <s v="EKV006903_PAT25_M" u="1"/>
        <s v="EKV006903_DGR_XXXL" u="1"/>
        <s v="EKV006903_DGR_L" u="1"/>
        <s v="EKV006903_Y_S" u="1"/>
        <s v="EKV006903_PAT21_S" u="1"/>
        <s v="EKV006903_DGR_S" u="1"/>
        <s v="EKV006903_DGR_XL" u="1"/>
        <s v="EKV006903_PAT21_M" u="1"/>
        <s v="EKV006903_Y_M" u="1"/>
        <s v="EKV006903_DK_XXXL" u="1"/>
        <s v="EKV006903_PAT19_XXXL" u="1"/>
        <s v="EKV006903_PAT19_XL" u="1"/>
        <s v="EKV006903_PAT16_XXXL" u="1"/>
        <s v="EKV007024_DR_XXXL" u="1"/>
        <s v="EKV007024_W_M" u="1"/>
        <s v="EKV007024_W_XXXL" u="1"/>
        <s v="EKV007024_W_XXL" u="1"/>
        <s v="EKV007024_W_XL" u="1"/>
        <s v="EKV007024_W_L" u="1"/>
        <s v="EKV007024_PAT19_M" u="1"/>
        <s v="EKV007024_PAT19_XXXL" u="1"/>
        <s v="EKV007024_PAT19_XL" u="1"/>
        <s v="EKV007024_PAT19_L" u="1"/>
        <s v="EKV007024_R_XXXL" u="1"/>
        <s v="EKV007024_R_M" u="1"/>
        <s v="EKV007024_R_XXL" u="1"/>
        <s v="EKV007024_R_XL" u="1"/>
        <s v="EKV006903_PAT22_XXXL" u="1"/>
        <s v="EKV006903_WR_XXL#" u="1"/>
        <s v="EKV006903_BAB_XXL" u="1"/>
        <s v="EKV006903_PAT22_XXL" u="1"/>
        <s v="EKV006903_PAT22_M" u="1"/>
        <s v="EKV006903_PP_XXXL" u="1"/>
        <s v="EKK009904_PAT4_XL" u="1"/>
        <s v="EKK009904_PAT4_L" u="1"/>
        <s v="EKK009904_PAT3_XXL" u="1"/>
        <s v="EKK009904_PAT3_S" u="1"/>
        <s v="EKK009904_PAT4_S" u="1"/>
        <s v="EK002499_BE_XS*" u="1"/>
        <s v="EKK005512_FG_XL" u="1"/>
        <s v="EKK005512_FG_L" u="1"/>
        <s v="EKK005512_SKB_XL" u="1"/>
        <s v="EKK005512_SKB_XXL#" u="1"/>
        <s v="EKK005512_FG_S" u="1"/>
        <s v="EKK005512_FG_XXL" u="1"/>
        <s v="EKK005512_SKB_L" u="1"/>
        <s v="EKK005512_FG_M" u="1"/>
        <s v="EKK005512_SKB_M" u="1"/>
        <s v="EKK005512_BRR_M" u="1"/>
        <s v="EKK005512_SKB_S" u="1"/>
        <s v="EKK005512_BRR_XXL" u="1"/>
        <s v="EKK005512_PAT16_XL" u="1"/>
        <s v="EK002499_W_S" u="1"/>
        <s v="EKY005962_PAP_L" u="1"/>
        <s v="EKY005962_PAP_S" u="1"/>
        <s v="EKY005962_PAP_XL" u="1"/>
        <s v="EKY005962_PAP_XXL" u="1"/>
        <s v="EKK009607_PAT2_XXL" u="1"/>
        <s v="EKK009607_PAT1_L" u="1"/>
        <s v="EKK009607_PAT1_XL" u="1"/>
        <s v="EKK009607_PAT2_M" u="1"/>
        <s v="EKK009607_PAT3_XL" u="1"/>
        <s v="EKK009607_PAT3_L" u="1"/>
        <s v="EKK009607_PAT3_M" u="1"/>
        <s v="EKK009607_PAT4_M" u="1"/>
        <s v="EKK009607_PAT1_S" u="1"/>
        <s v="EKK009607_PAT1_XXL" u="1"/>
        <s v="EKK009607_PAT2_S" u="1"/>
        <s v="EKK009607_PAT3_S" u="1"/>
        <s v="EKK009607_PU_XXL" u="1"/>
        <s v="EKK009607_PU_XL" u="1"/>
        <s v="EKK009607_PAT4_XL" u="1"/>
        <s v="EKK009607_PAT2_XL" u="1"/>
        <s v="EKK009607_PAT3_XXL" u="1"/>
        <s v="EKK009065_PU_M" u="1"/>
        <s v="EKK009065_DG_XXL" u="1"/>
        <s v="EKK009065_PU_L" u="1"/>
        <s v="EKK009065_DG_S" u="1"/>
        <s v="EKK009065_DG_M" u="1"/>
        <s v="EKK009065_PU_XXL" u="1"/>
        <s v="EKK009065_DG_L" u="1"/>
        <s v="EKK009065_DG_XL" u="1"/>
        <s v="EKK009065_PU_S" u="1"/>
        <s v="EKK009065_PU_XL" u="1"/>
        <s v="EKK005996_PAT15_XXXL" u="1"/>
        <s v="EKK005996_PAT16_XXL" u="1"/>
        <s v="EKK005996_PAT15_M" u="1"/>
        <s v="EKK005996_PAT15_L" u="1"/>
        <s v="EKK005996_PAT16_XXXL" u="1"/>
        <s v="EKK005996_W_4XL" u="1"/>
        <s v="EKK005996_W_M" u="1"/>
        <s v="EKK005996_W_L" u="1"/>
        <s v="EKK005996_PAT15_XL" u="1"/>
        <s v="EKK005996_W_S" u="1"/>
        <s v="EKK005996_PAT12_M" u="1"/>
        <s v="EKK005996_W_XXL" u="1"/>
        <s v="EKK005996_PAT15_4XL" u="1"/>
        <s v="EKV007024_PAT16_L" u="1"/>
        <s v="EKV007024_PAT16_M" u="1"/>
        <s v="EKV007024_PAT16_XXL" u="1"/>
        <s v="EKV007024_PAT16_S" u="1"/>
        <s v="EKV007024_PAT16_XL" u="1"/>
        <s v="EKV007024_PAT16_XXXL" u="1"/>
        <s v="EKK009726_ARG_XL" u="1"/>
        <s v="EKK009726_B2_M" u="1"/>
        <s v="EKK006095_PAT4_XL" u="1"/>
        <s v="EKK006095_PAT4_XXL" u="1"/>
        <s v="EKK006095_PAT4_S" u="1"/>
        <s v="EKK006095_PAT4_L" u="1"/>
        <s v="EKV007065_B_XL" u="1"/>
        <s v="EKV007065_B_M" u="1"/>
        <s v="EKV007065_WR_L" u="1"/>
        <s v="EKV007065_WR_M" u="1"/>
        <s v="EKV007065_COB_M" u="1"/>
        <s v="EKV007065_DGR_M" u="1"/>
        <s v="EKV007065_DR_M" u="1"/>
        <s v="EKV007065_DGR_XXXL" u="1"/>
        <s v="EKV007065_DGR_XL" u="1"/>
        <s v="#EKV007065_COB_L" u="1"/>
        <s v="EKV007065_DGT_XL" u="1"/>
        <s v="EKK009726_ARG_M" u="1"/>
        <s v="EKK005512_PAT19_XXL" u="1"/>
        <s v="EKK005512_PAT19_XL" u="1"/>
        <s v="EKK005512_PAT17_XXL" u="1"/>
        <s v="EKK005512_PAT9_L" u="1"/>
        <s v="EKK005512_PAT11_XL" u="1"/>
        <s v="EKK005512_PAT15_XXL" u="1"/>
        <s v="EKK005512_PAT15_XL" u="1"/>
        <s v="EKK005512_PAT11_XXL" u="1"/>
        <s v="EKK005512_PAT17_XL" u="1"/>
        <s v="EKK005512_PAT11_L" u="1"/>
        <s v="EKK005512_PAT16_L" u="1"/>
        <s v="EKK005512_PAT17_L" u="1"/>
        <s v="EKK005512_PAT11_S" u="1"/>
        <s v="EKK005512_PAT19_L" u="1"/>
        <s v="EKK005512_PAT17_M" u="1"/>
        <s v="EKK005512_PAT11_M" u="1"/>
        <s v="EKK005512_PAT15_L" u="1"/>
        <s v="EKK005512_PAT17_S" u="1"/>
        <s v="EKK005512_PAT19_S" u="1"/>
        <s v="EKK005512_PAT15_M" u="1"/>
        <s v="EKK005512_PAT19_M" u="1"/>
        <s v="EKY005271_PAT3_XXXL" u="1"/>
        <s v="EKY005271_NB_XXXL" u="1"/>
        <s v="EKY005271_BB_XXXL" u="1"/>
        <s v="EKY005271_RR_XL" u="1"/>
        <s v="EKY005271_RR_XXXL" u="1"/>
        <s v="EKY005271_NA_XXXL" u="1"/>
        <s v="EKY005271_PU_XXXL" u="1"/>
        <s v="EKY005271_RR_XXL" u="1"/>
        <s v="EKY005271_WR_XXXL" u="1"/>
        <s v="EKY005271_RR_L" u="1"/>
        <s v="EKY005271_RR_M" u="1"/>
        <s v="EKY005271_MIR_XXXL" u="1"/>
        <s v="EKY005271_PAT5_XXXL" u="1"/>
        <s v="EKY005271_PAT1_XXXL" u="1"/>
        <s v="EKY005271_PAT2_XXXL" u="1"/>
        <s v="EKY005271_B_XXXL" u="1"/>
        <s v="EKY005271_DG_XXXL" u="1"/>
        <s v="EKY005271_CLB_XXXL" u="1"/>
        <s v="EKY005271_RR_S" u="1"/>
        <s v="EKY005271_GR_XXXL" u="1"/>
        <s v="EKY005271_DSB_XXXL" u="1"/>
        <s v="EKY005271_LIL_XXXL" u="1"/>
        <s v="EKK010116_PU_XL" u="1"/>
        <s v="EKK010116_PU_M" u="1"/>
        <s v="EKK010116_PU_L" u="1"/>
        <s v="EKK010116_PU_XXL" u="1"/>
        <s v="EKK010116_PU_S" u="1"/>
        <s v="EKY006992_WR_L" u="1"/>
        <s v="EKV007123_LGR_M" u="1"/>
        <s v="EKV007123_DGR_XL" u="1"/>
        <s v="EKV007123_DGT_XL" u="1"/>
        <s v="EKV007123_B_XXL" u="1"/>
        <s v="EKV007123_DGR_M" u="1"/>
        <s v="EKV007123_DGT_S" u="1"/>
        <s v="EKV007123_DGT_XXL" u="1"/>
        <s v="EKV007123_DGR_XXL" u="1"/>
        <s v="ETV007123_LGR_XL" u="1"/>
        <s v="ETV007123_DGT_L" u="1"/>
        <s v="ETV007123_LGR_XXL" u="1"/>
        <s v="ETV007123_BDG_XL" u="1"/>
        <s v="ETV007123_BDG_XXL" u="1"/>
        <s v="ETV007123_B_S" u="1"/>
        <s v="ETV007123_B_XL" u="1"/>
        <s v="ETV007123_B_M##" u="1"/>
        <s v="ETV007123_BDG_L" u="1"/>
        <s v="ETV007123_LGR_S#" u="1"/>
        <s v="ETV007123_DGR_L" u="1"/>
        <s v="ETV007123_B_L" u="1"/>
        <s v="ETV007123_LGR_L" u="1"/>
        <s v="ETV007123_DGR_S" u="1"/>
        <s v="ETV007123_BDG_M" u="1"/>
        <s v="ETV007123_BDG_S" u="1"/>
        <s v="ETK009065_NA_XXL" u="1"/>
        <s v="ETK009065_NB_M" u="1"/>
        <s v="ETK009065_NB_XL" u="1"/>
        <s v="ETK009065_NB_XXL" u="1"/>
        <s v="ETK009065_WR_XL" u="1"/>
        <s v="EKY005919_DR_M" u="1"/>
        <s v="EKY005919_DR_XL" u="1"/>
        <s v="EKY005919_DR_L" u="1"/>
        <s v="EKY005919_WTR_XXL" u="1"/>
        <s v="EKY005919_DR_XXL" u="1"/>
        <s v="EKY005919_WTR_L" u="1"/>
        <s v="EKY005919_WTR_XL" u="1"/>
        <s v="EKY005919_W_S" u="1"/>
        <s v="EKY005919_W_XXL" u="1"/>
        <s v="EKY005919_W_XL" u="1"/>
        <s v="EKY005919_WTR_S" u="1"/>
        <s v="EKY005919_W_L" u="1"/>
        <s v="EKY005919_W_M" u="1"/>
        <s v="EKK005996_PAT14_M" u="1"/>
        <s v="AMK005996_R_M" u="1"/>
        <s v="AMK005996_PAT4_L" u="1"/>
        <s v="AMK005996_BL_L" u="1"/>
        <s v="AMK005996_PAT2_XL" u="1"/>
        <s v="AMK005996_PAT4_XXL" u="1"/>
        <s v="EKK005996_PAT9_XXL" u="1"/>
        <s v="EKK005996_PAT12_S" u="1"/>
        <s v="EKY005236_B_XL" u="1"/>
        <s v="EKY005236_CLB_XL" u="1"/>
        <s v="EKY005236_LIL_XL" u="1"/>
        <s v="EKY005236_MGT_XL" u="1"/>
        <s v="EKY005236_MIR_XL" u="1"/>
        <s v="EKY005236_MIR_XXL" u="1"/>
        <s v="EKY005236_NB_XL" u="1"/>
        <s v="EKY005236_NB_XXL" u="1"/>
        <s v="EKY005236_PAT15_S" u="1"/>
        <s v="EKY005236_PAT7_L" u="1"/>
        <s v="EKY005236_PAT7_M" u="1"/>
        <s v="EKY005236_PAT7_S" u="1"/>
        <s v="EKY005236_PAT7_XL" u="1"/>
        <s v="EKY005236_PAT7_XXL" u="1"/>
        <s v="EKY005236_PON_XL" u="1"/>
        <s v="EKY005236_SB_XXL" u="1"/>
        <s v="EKY005236_WI_XXL" u="1"/>
        <s v="EKY005236_WR_XXL" u="1"/>
        <s v="ETY005236_WI_XL" u="1"/>
        <s v="EKK006107_PU_M" u="1"/>
        <s v="EKY005271_PAT5_XL" u="1"/>
        <s v="EKY005271_PAT3_XL" u="1"/>
        <s v="EKY005271_PAT3_XXL" u="1"/>
        <s v="EKY005271_DG_XL#" u="1"/>
        <s v="EKY005271_DG_S#" u="1"/>
        <s v="EKY005271_PAT3_M" u="1"/>
        <s v="EKY005271_PAT5_M" u="1"/>
        <s v="EKY005271_PAT3_S" u="1"/>
        <s v="EKY005271_PAT5_S" u="1"/>
        <s v="EKY005271_PAT4_S" u="1"/>
        <s v="EKY005271_NB_S#" u="1"/>
        <s v="EKY005271_PAT5_XXL" u="1"/>
        <s v="EKY005271_DG_L#" u="1"/>
        <s v="EKY005271_NB_M#" u="1"/>
        <s v="EKY005271_NB_XXL#" u="1"/>
        <s v="EKY005271_NB_XL#" u="1"/>
        <s v="EKY005271_DG_XXL#" u="1"/>
        <s v="EKY005271_DG_M#" u="1"/>
        <s v="EKY005271_NB_L#" u="1"/>
        <s v="EKY005271_PAT5_L" u="1"/>
        <s v="EK000972_DC_L" u="1"/>
        <s v="EK000972_DC_M" u="1"/>
        <s v="EK000972_DC_XL" u="1"/>
        <s v="AM000972_G_XL" u="1"/>
        <s v="EK000972_LA_M" u="1"/>
        <s v="EK000972_LA_S" u="1"/>
        <s v="EK000972_LA_XL" u="1"/>
        <s v="EK000972_LA_XXL" u="1"/>
        <s v="EK000972_MIR_S" u="1"/>
        <s v="EK000972_RR_M" u="1"/>
        <s v="EK000972_RR_XL" u="1"/>
        <s v="EK000972_RR_XXL" u="1"/>
        <s v="EK000972_WR_XXL" u="1"/>
        <s v="EK000972_PAT15_L" u="1"/>
        <s v="EK000972_PAT15_M" u="1"/>
        <s v="EK000972_PAT15_S" u="1"/>
        <s v="EK000972_PAT15_XL" u="1"/>
        <s v="EK000972_PAT2_L" u="1"/>
        <s v="EK000972_PAT21_L" u="1"/>
        <s v="EK000972_PAT21_M" u="1"/>
        <s v="EK000972_PAT21_S" u="1"/>
        <s v="EK000972_PAT21_XL" u="1"/>
        <s v="EK000972_PAT21_XXL" u="1"/>
        <s v="EK000972_PAT4_L" u="1"/>
        <s v="EK000972_PAT4_M" u="1"/>
        <s v="EK000972_PAT4_S" u="1"/>
        <s v="EK000972_PAT4_XL" u="1"/>
        <s v="EK000972_PAT4_XXL" u="1"/>
        <s v="EK000972_GB_M" u="1"/>
        <s v="EK000972_PU_M" u="1"/>
        <s v="EK000972_PU_S" u="1"/>
        <s v="EK000972_PU_XL" u="1"/>
        <s v="EK000972_PU_XXL" u="1"/>
        <s v="EK000972_PAT27_L" u="1"/>
        <s v="EK000972_PAT27_M" u="1"/>
        <s v="EK000972_PAT27_S" u="1"/>
        <s v="EK000972_PAT27_XL" u="1"/>
        <s v="EK000972_PAT27_XXL" u="1"/>
        <s v="EKK009907_NB2_XL" u="1"/>
        <s v="EKK009907_NB2_M" u="1"/>
        <s v="EKK009907_PAT2_L" u="1"/>
        <s v="EKK009907_PAT1_M" u="1"/>
        <s v="EKK009907_PAT1_S" u="1"/>
        <s v="EKK009907_NB2_S" u="1"/>
        <s v="EKK009907_NB2_L" u="1"/>
        <s v="EKK009907_NB2_XXL" u="1"/>
        <s v="EKY006459_LGR_M" u="1"/>
        <s v="EKY006459_LGR_XL" u="1"/>
        <s v="EKY006459_PU_M" u="1"/>
        <s v="EKY006459_PU_L" u="1"/>
        <s v="EKY006459_PU_XXL" u="1"/>
        <s v="EKY006459_DGR_XL" u="1"/>
        <s v="EKY006459_DGR_XXL" u="1"/>
        <s v="EKY006459_NB_XL" u="1"/>
        <s v="EKY006459_NB_XXL" u="1"/>
        <s v="EKY006459_WR_S" u="1"/>
        <s v="EKY005919_NB_XL" u="1"/>
        <s v="EKY005919_BUG_S#" u="1"/>
        <s v="EKY005919_NB_S" u="1"/>
        <s v="EKY005919_GR_XL#" u="1"/>
        <s v="EKY005919_GR_M#" u="1"/>
        <s v="EKY005919_WI_L" u="1"/>
        <s v="EKY005919_NB_L" u="1"/>
        <s v="EKY005919_GR_XXL#" u="1"/>
        <s v="EKY005962_LGB_XL" u="1"/>
        <s v="EKY005962_LGB_XXL" u="1"/>
        <s v="EKY005962_LGB_L" u="1"/>
        <s v="EKY005962_LGB_M" u="1"/>
        <s v="EKY005962_LGB_S" u="1"/>
        <s v="EKY005962_R_L" u="1"/>
        <s v="EKY005962_R_M" u="1"/>
        <s v="EKY005962_R_S" u="1"/>
        <s v="EKY005962_R_XL" u="1"/>
        <s v="EKY005962_R_XXL" u="1"/>
        <s v="EKY005962_SKB_L" u="1"/>
        <s v="EKY005962_SKB_M" u="1"/>
        <s v="EKY005962_SKB_S" u="1"/>
        <s v="EKY005962_SKB_XXL" u="1"/>
        <s v="EKY005962_WI_L" u="1"/>
        <s v="EKY005962_WI_M" u="1"/>
        <s v="EKY005962_WI_S" u="1"/>
        <s v="EKY005962_WI_XL" u="1"/>
        <s v="EKY005962_WI_XXL" u="1"/>
        <s v="EKY005962_WR_L" u="1"/>
        <s v="EKY005962_WR_M" u="1"/>
        <s v="EKY005962_WR_S" u="1"/>
        <s v="EKY005962_WR_XL" u="1"/>
        <s v="EKY005962_WR_XXL" u="1"/>
        <s v="EKY005962_PAT5_L" u="1"/>
        <s v="EKY005962_PAT5_M" u="1"/>
        <s v="EKY005962_PAT5_S" u="1"/>
        <s v="EKY005962_PAT5_XL" u="1"/>
        <s v="EKY005962_PAT5_XXL" u="1"/>
        <s v="EKY005962_PAT6_L" u="1"/>
        <s v="EKY005962_PAT6_M" u="1"/>
        <s v="EKY005962_PAT6_S" u="1"/>
        <s v="EKY005962_PAT6_XL" u="1"/>
        <s v="EKY005962_PAT6_XXL" u="1"/>
        <s v="EKY005962_PAT7_M" u="1"/>
        <s v="EKY005962_PAT7_S" u="1"/>
        <s v="EKY005962_PAT7_XXL" u="1"/>
        <s v="EKY005962_PAT9_L" u="1"/>
        <s v="EKY005962_PAT9_XL" u="1"/>
        <s v="EKY005962_PAT9_XXL" u="1"/>
        <s v="EKY005962_SI_L" u="1"/>
        <s v="EKY005962_SI_M" u="1"/>
        <s v="EKY005962_SI_S" u="1"/>
        <s v="EKY005962_SI_XL" u="1"/>
        <s v="EKY005962_SI_XXL" u="1"/>
        <s v="EKY005962_LY_L" u="1"/>
        <s v="EKY005962_LY_M" u="1"/>
        <s v="EKY005962_WTR_L" u="1"/>
        <s v="EKY005962_WTR_M" u="1"/>
        <s v="EKY005962_WTR_S" u="1"/>
        <s v="EKY005962_WTR_XL" u="1"/>
        <s v="EKY005962_PTP_L" u="1"/>
        <s v="EKY005962_PTP_M" u="1"/>
        <s v="EKY005962_PTP_S" u="1"/>
        <s v="EKY005962_PTP_XL" u="1"/>
        <s v="EKY005962_PTP_XXL" u="1"/>
        <s v="EKY005962_LIL_L" u="1"/>
        <s v="EKY005962_LIL_S" u="1"/>
        <s v="EKY005962_LIL_XXL" u="1"/>
        <s v="EKY005962_DG_L" u="1"/>
        <s v="EKY005962_DG_M" u="1"/>
        <s v="EKY005962_DG_S" u="1"/>
        <s v="EKY005962_DG_XL" u="1"/>
        <s v="EKY005962_DG_XXL" u="1"/>
        <s v="EKY005962_GR_L" u="1"/>
        <s v="EKY005962_GR_M" u="1"/>
        <s v="EKY005962_GR_S" u="1"/>
        <s v="EKY005962_GR_XL" u="1"/>
        <s v="EKY005962_GR_XXL" u="1"/>
        <s v="EKY005962_PAP_M" u="1"/>
        <s v="EKY005962_PAT3_L" u="1"/>
        <s v="EKY005962_PAT3_M" u="1"/>
        <s v="EKY005962_PAT3_S" u="1"/>
        <s v="EKY005962_PAT3_XXL" u="1"/>
        <s v="EKY005962_PAT4_L" u="1"/>
        <s v="EKY005962_PAT4_M" u="1"/>
        <s v="EKY005962_PAT4_S" u="1"/>
        <s v="EKY005962_PAT4_XL" u="1"/>
        <s v="EKY005962_PAT4_XXL" u="1"/>
        <s v="EKY006916_PEB_XXL" u="1"/>
        <s v="EKY006916_PP_XL" u="1"/>
        <s v="EKY006916_PP_L" u="1"/>
        <s v="EKK009997_PU_L" u="1"/>
        <s v="EKK009997_PU_M" u="1"/>
        <s v="EKK009997_PU_S" u="1"/>
        <s v="AM000517_WC_12" u="1"/>
        <s v="AM000517_PAT1_14" u="1"/>
        <s v="AM000517_WB_10" u="1"/>
        <s v="EKV006713_BL_XXL" u="1"/>
        <s v="EKV006713_BL_XXXL" u="1"/>
        <s v="EKV006713_B_L" u="1"/>
        <s v="EKV006713_B_M" u="1"/>
        <s v="EKV006713_B_XXXL" u="1"/>
        <s v="EKV006713_DG_L" u="1"/>
        <s v="EKV006713_DG_M" u="1"/>
        <s v="EKV006713_DG_XL" u="1"/>
        <s v="EKV006713_DG_XXL" u="1"/>
        <s v="EKV006713_GR_L" u="1"/>
        <s v="EKV006713_GR_M" u="1"/>
        <s v="EKV006713_GR_XL" u="1"/>
        <s v="EKV006713_GR_XXL" u="1"/>
        <s v="EKV006713_WR_M" u="1"/>
        <s v="EKV006713_WR_XL" u="1"/>
        <s v="EKV006713_WR_XXL" u="1"/>
        <s v="EKV006713_WR_XXXL" u="1"/>
        <s v="ETV006713_GR_XXXL" u="1"/>
        <s v="EKV006713_BL_L" u="1"/>
        <s v="EKV006713_BL_M" u="1"/>
        <s v="EKV006713_BL_XL" u="1"/>
        <s v="EKV006713_B_XL" u="1"/>
        <s v="EKV006713_DG_XXXL" u="1"/>
        <s v="EKY005112_LGT_M" u="1"/>
        <s v="EKY005112_B1_S" u="1"/>
        <s v="EKY005112_B1_L" u="1"/>
        <s v="EKY005112_LIL_L" u="1"/>
        <s v="EKY005112_LIL_S" u="1"/>
        <s v="EKY005112_MIR_S" u="1"/>
        <s v="EKY005112_MIR_M" u="1"/>
        <s v="EKY005112_PU_XL" u="1"/>
        <s v="EKK009702_LK_XL" u="1"/>
        <s v="EKK009702_ROP_L" u="1"/>
        <s v="EKK009702_LK_L" u="1"/>
        <s v="EKK009702_PON_L" u="1"/>
        <s v="EKK009702_PON_XL" u="1"/>
        <s v="EKK009702_PON_XXL" u="1"/>
        <s v="EKX005277_BB_XXL#" u="1"/>
        <s v="EKX005277_BB_M#" u="1"/>
        <s v="EKK009907_MIR_XL" u="1"/>
        <s v="EKK009907_BUG_XL" u="1"/>
        <s v="EKK009907_MIR_S" u="1"/>
        <s v="EKY005236_PAT6_S" u="1"/>
        <s v="EKY005236_PAT6_M" u="1"/>
        <s v="EKY005236_PAT6_L" u="1"/>
        <s v="EKV007173_ARG_XXXL" u="1"/>
        <s v="EKV007173_ARG_L" u="1"/>
        <s v="EKV007173_ARG_M" u="1"/>
        <s v="EKV007173_SKB_XXL" u="1"/>
        <s v="EKV007173_PAT4_XXL" u="1"/>
        <s v="EKV007173_PAT4_XL" u="1"/>
        <s v="EKV007173_ARG_XXL" u="1"/>
        <s v="EKV007173_PAT3_XL" u="1"/>
        <s v="EKV007173_ARG_XL" u="1"/>
        <s v="EKV007173_PAT4_XXXL" u="1"/>
        <s v="EKV007173_PAT4_M" u="1"/>
        <s v="EKV007173_PAT3_XXL" u="1"/>
        <s v="EKV007173_PAT4_S" u="1"/>
        <s v="EKV007173_PAT3_S" u="1"/>
        <s v="EKV007173_SKB_XXXL" u="1"/>
        <s v="EKV007173_PAT4_L" u="1"/>
        <s v="ETV006713_B_XXL" u="1"/>
        <s v="EKV006713_WR_L" u="1"/>
        <s v="EKX005599_PAT4_M" u="1"/>
        <s v="EKX005599_PAT4_XXXL" u="1"/>
        <s v="EKX005599_PAT5_L" u="1"/>
        <s v="EKX005599_PAT5_M" u="1"/>
        <s v="EKX005599_PAT10_XXL" u="1"/>
        <s v="EKX005599_PAT4_L" u="1"/>
        <s v="EKX005599_PAT4_XL" u="1"/>
        <s v="EKX005599_PAT9_S" u="1"/>
        <s v="EKX005599_PAT9_M" u="1"/>
        <s v="EKX005599_PAT4_S" u="1"/>
        <s v="EKX005599_PAT5_S" u="1"/>
        <s v="EKX005599_PAT9_XXL" u="1"/>
        <s v="EKX005599_PAT10_M" u="1"/>
        <s v="EKX005599_PAT4_XXL" u="1"/>
        <s v="EKX005599_PAT10_L" u="1"/>
        <s v="EKX005599_PAT10_S" u="1"/>
        <s v="EKX005599_PAT9_XXXL" u="1"/>
        <s v="EKX005599_PAT9_XL" u="1"/>
        <s v="EKX005599_PAT5_XL" u="1"/>
        <s v="EKX005599_PAT10_XL" u="1"/>
        <s v="EKX005599_PAT5_XXXL" u="1"/>
        <s v="EKY005962_SKB_XL" u="1"/>
        <s v="EKV007065_YDL2_XL" u="1"/>
        <s v="EKV007065_B_L" u="1"/>
        <s v="EKV007065_COB_XXL" u="1"/>
        <s v="EKV007065_YDL3_XL" u="1"/>
        <s v="EKV007065_YDL1_XL" u="1"/>
        <s v="EKV007065_YDL1_M" u="1"/>
        <s v="EKV007065_YDL2_L" u="1"/>
        <s v="EKV007065_DR_L" u="1"/>
        <s v="EKV007065_YDL1_L" u="1"/>
        <s v="EKV007065_YDL3_M" u="1"/>
        <s v="EKV007065_YDL3_L" u="1"/>
        <s v="EKV007065_YDL2_M" u="1"/>
        <s v="EKV007024_PAT20_XXL" u="1"/>
        <s v="EKV007024_PAT22_XXL" u="1"/>
        <s v="EKV007024_PAT17_XXL" u="1"/>
        <s v="EKV007024_PAT22_XXXL" u="1"/>
        <s v="EKV007024_PAT17_XL" u="1"/>
        <s v="EKV007024_PAT20_L" u="1"/>
        <s v="EKV007024_PAT22_L" u="1"/>
        <s v="EKV007024_PAT22_M" u="1"/>
        <s v="EKV007024_PAT17_M" u="1"/>
        <s v="EKV007024_PAT19_XXL" u="1"/>
        <s v="EKV007024_PAT22_S" u="1"/>
        <s v="EKV007024_PAT17_XXXL" u="1"/>
        <s v="EKY005991_NB_XL" u="1"/>
        <s v="EKY005991_B_XL" u="1"/>
        <s v="EKY005991_W_L" u="1"/>
        <s v="EKY005991_W_S" u="1"/>
        <s v="EKY005991_PU_L" u="1"/>
        <s v="EKY005991_W_XXL" u="1"/>
        <s v="EKV007024_PAT19_S" u="1"/>
        <s v="EKV007024_PAT20_XXXL" u="1"/>
        <s v="EKV007024_PAT20_XL" u="1"/>
        <s v="EKV007024_PAT20_M" u="1"/>
        <s v="EKV007024_PAT20_S" u="1"/>
        <s v="EKV007024_PAT17_L" u="1"/>
        <s v="EKV007024_PAT17_S" u="1"/>
        <s v="EKX005593_ARG_XXL" u="1"/>
        <s v="EKX005593_BUG_S" u="1"/>
        <s v="EKX005593_BUG_L" u="1"/>
        <s v="EKX005593_BUG_XL" u="1"/>
        <s v="EKX005593_BUG_M" u="1"/>
        <s v="EKX005593_CLB_L" u="1"/>
        <s v="EKX005593_ARG_L" u="1"/>
        <s v="EKX005593_CLB_XL" u="1"/>
        <s v="EKX005593_ARG_S" u="1"/>
        <s v="EKX005593_ARG_M" u="1"/>
        <s v="EKX005593_ARG_XL" u="1"/>
        <s v="EKX005593_BL_XXL" u="1"/>
        <s v="EKX005593_B_L" u="1"/>
        <s v="EKX005593_NB_XXL" u="1"/>
        <s v="EKX005593_BL_L" u="1"/>
        <s v="EKX005593_B_M" u="1"/>
        <s v="EKX005593_W_XL" u="1"/>
        <s v="EKX005593_W_XXL" u="1"/>
        <s v="EKX005593_BL_XL" u="1"/>
        <s v="EKX005593_B_S" u="1"/>
        <s v="EKX005593_NB_M" u="1"/>
        <s v="EKX005593_NB_XL" u="1"/>
        <s v="EKX005593_NB_L" u="1"/>
        <s v="EKX005593_BL_S" u="1"/>
        <s v="EKV006995_B_S" u="1"/>
        <s v="EKV006995_B_M" u="1"/>
        <s v="EKV006995_B_L" u="1"/>
        <s v="EKV006995_B_XL" u="1"/>
        <s v="EKV006995_B_XXL" u="1"/>
        <s v="EKV006995_BL_M" u="1"/>
        <s v="EKV006995_BL_L" u="1"/>
        <s v="EKV006995_BL_XL" u="1"/>
        <s v="EKV006995_BL_XXL" u="1"/>
        <s v="EKV006995_PR_S" u="1"/>
        <s v="EKV006995_PR_M" u="1"/>
        <s v="EKV006995_PR_L" u="1"/>
        <s v="EKV006995_PR_XL" u="1"/>
        <s v="EKV006995_PR_XXL" u="1"/>
        <s v="EKV006995_ARG_S" u="1"/>
        <s v="EKV006995_ARG_M" u="1"/>
        <s v="EKV006995_ARG_L" u="1"/>
        <s v="EKV006995_ARG_XL" u="1"/>
        <s v="EKV006995_ARG_XXL" u="1"/>
        <s v="EKV006995_GR_S" u="1"/>
        <s v="EKV006995_GR_M" u="1"/>
        <s v="EKV006995_GR_L" u="1"/>
        <s v="EKV006995_GR_XL" u="1"/>
        <s v="EKV006995_GR_XXL" u="1"/>
        <s v="EKV006995_GB_S" u="1"/>
        <s v="EKV006995_GB_M" u="1"/>
        <s v="EKV006995_GB_L" u="1"/>
        <s v="EKV006995_GB_XL" u="1"/>
        <s v="EKV006995_GB_XXL" u="1"/>
        <s v="EKV006995_YDF2_S" u="1"/>
        <s v="EKV006995_YDF2_M" u="1"/>
        <s v="EKV006995_YDF2_L" u="1"/>
        <s v="EKV006995_YDF2_XL" u="1"/>
        <s v="EKV006995_YDF2_XXL" u="1"/>
        <s v="EKV006995_G_M" u="1"/>
        <s v="EKV006995_G_L" u="1"/>
        <s v="EKV006995_G_XL" u="1"/>
        <s v="EKV006995_G_XXL" u="1"/>
        <s v="EKV006995_PU_S" u="1"/>
        <s v="ETV006995_PU_M" u="1"/>
        <s v="EKV006995_PU_L" u="1"/>
        <s v="EKV006995_PU_XXL" u="1"/>
        <s v="EKV006995_R_S" u="1"/>
        <s v="EKV006995_R_M" u="1"/>
        <s v="EKV006995_R_L" u="1"/>
        <s v="EKV006995_R_XXL" u="1"/>
        <s v="EKV006995_YDF1_M" u="1"/>
        <s v="EKV006995_YDF1_L" u="1"/>
        <s v="EKV006995_YDF1_XL" u="1"/>
        <s v="EKV006995_YDF1_XXL" u="1"/>
        <s v="EKV006995_DG_L" u="1"/>
        <s v="EKK009726_PAT2_L" u="1"/>
        <s v="EKV007165_BL_S#" u="1"/>
        <s v="EKV007165_BL_L#" u="1"/>
        <s v="EKV007165_BL_M#" u="1"/>
        <s v="EKV007165_BL_XXL#" u="1"/>
        <s v="#EKV007165_BL_XL#" u="1"/>
        <s v="EKK009194_B3_L" u="1"/>
        <s v="EKK009194_B3_M" u="1"/>
        <s v="EKK009194_B3_S" u="1"/>
        <s v="EKK009194_B3_XL" u="1"/>
        <s v="EKK009194_B3_XXL" u="1"/>
        <s v="EKK009194_B_XL" u="1"/>
        <s v="EKK009194_DA_M" u="1"/>
        <s v="EKK009194_LGT_L" u="1"/>
        <s v="EKK009194_LGT_M" u="1"/>
        <s v="EKK009194_NA_S" u="1"/>
        <s v="EKK009194_PAT10_XL" u="1"/>
        <s v="EKK009194_PU_XL" u="1"/>
        <s v="EKK009194_WR2_L" u="1"/>
        <s v="EKK009194_WR2_M" u="1"/>
        <s v="EKK009194_WR2_S" u="1"/>
        <s v="EKK009194_WR2_XL" u="1"/>
        <s v="EKY005134_MIR_XXL" u="1"/>
        <s v="EKY005134_DGT_S" u="1"/>
        <s v="EKY005134_DGT_XL" u="1"/>
        <s v="EKY005134_MIR_L" u="1"/>
        <s v="EKY005134_DGT_XXL" u="1"/>
        <s v="EKY005134_DGT_M" u="1"/>
        <s v="EKY005134_MIR_XL" u="1"/>
        <s v="EKY005134_B_S" u="1"/>
        <s v="EKY005134_WR_XXL" u="1"/>
        <s v="EKY005112_DGT_M" u="1"/>
        <s v="EKY005112_B3_S" u="1"/>
        <s v="EKY005112_WI_S" u="1"/>
        <s v="EKY005112_CG_XXL" u="1"/>
        <s v="EKY005112_PAT1_L" u="1"/>
        <s v="EKY005112_PAT2_XL" u="1"/>
        <s v="EKY005112_ARG_XXL" u="1"/>
        <s v="EKY005112_CG_L" u="1"/>
        <s v="EKY005112_CG_XL" u="1"/>
        <s v="EKY005112_BUG_XXL" u="1"/>
        <s v="EKY005112_DGT1_L" u="1"/>
        <s v="EKY005112_DGT1_XL" u="1"/>
        <s v="EKY005112_DGT1_XXL" u="1"/>
        <s v="EKY005112_PAT1_XL" u="1"/>
        <s v="EKY005112_BUG_L" u="1"/>
        <s v="EKY005112_BUG_XL" u="1"/>
        <s v="EKY005112_PAT1_M" u="1"/>
        <s v="EKY005112_LGT1_M" u="1"/>
        <s v="EKY005112_PAT2_S" u="1"/>
        <s v="EKY005112_BUG_M" u="1"/>
        <s v="EKY005112_DGT1_S" u="1"/>
        <s v="EKY005112_BUG_S" u="1"/>
        <s v="EKV006696_ARG_S" u="1"/>
        <s v="EKV006696_NA_M" u="1"/>
        <s v="EKV006696_NA_L" u="1"/>
        <s v="EKV006696_ARG_L" u="1"/>
        <s v="EKV006696_NA_XXXL" u="1"/>
        <s v="EKV006696_ARG_XXL" u="1"/>
        <s v="EKV006696_ARG_M" u="1"/>
        <s v="EKV006696_NA_S" u="1"/>
        <s v="EKV006696_ARG_XL" u="1"/>
        <s v="EKV006696_ARG_XXXL" u="1"/>
        <s v="EKV006696_NA_XXL" u="1"/>
        <s v="EKV006696_PAT9_M#" u="1"/>
        <s v="EKV006696_PP_XXXL" u="1"/>
        <s v="EKV007123_WR_L" u="1"/>
        <s v="EKV007123_WR_M" u="1"/>
        <s v="EKV007123_WR_XXL" u="1"/>
        <s v="EKV007123_WR_XL" u="1"/>
        <s v="EKV007123_WR_S" u="1"/>
        <s v="EKK010256_GP1_S" u="1"/>
        <s v="EKK010256_GP1_M" u="1"/>
        <s v="EKK010256_GP1_L" u="1"/>
        <s v="EKK010256_B_S" u="1"/>
        <s v="EKK010256_GP2_L" u="1"/>
        <s v="EKK010256_GP3_XL" u="1"/>
        <s v="EKK010256_GP3_S" u="1"/>
        <s v="EKK010256_GP3_M" u="1"/>
        <s v="EKK010256_GP3_L" u="1"/>
        <s v="EKV007123_ARG_M" u="1"/>
        <s v="EKV007123_ARG_XL" u="1"/>
        <s v="EKV007123_ARG_S" u="1"/>
        <s v="EKV007123_ARG_XXL" u="1"/>
        <s v="EKV007123_ARG_L" u="1"/>
        <s v="EKY005343_NA_XL" u="1"/>
        <s v="ETY005343_MGT1_XL" u="1"/>
        <s v="EKY005343_PAT10_XXL" u="1"/>
        <s v="ETY005343_B_M" u="1"/>
        <s v="EKY005343_PAT10_XL" u="1"/>
        <s v="EKY005343_PAT10_M" u="1"/>
        <s v="EKY005343_PAT10_L" u="1"/>
        <s v="EKY005343_PAT10_S" u="1"/>
        <s v="EKY005991_NB_XXL" u="1"/>
        <s v="EKY005991_PAT9_XL" u="1"/>
        <s v="EKY005991_R_S" u="1"/>
        <s v="EKY005991_WR_L" u="1"/>
        <s v="EKY005991_NA_M" u="1"/>
        <s v="EKY005991_W_M" u="1"/>
        <s v="EKY005991_PAT1_XXL" u="1"/>
        <s v="EKY005991_W_XL" u="1"/>
        <s v="EKV006619_DNB_M" u="1"/>
        <s v="EKV006619_DNB_L" u="1"/>
        <s v="EKV006619_PAT7_M" u="1"/>
        <s v="EKV006619_PAT7_L" u="1"/>
        <s v="EKV006619_ARG_XL" u="1"/>
        <s v="EKV006619_WR_XL" u="1"/>
        <s v="EKV006619_DNB_XXL" u="1"/>
        <s v="EKV006619_WR_XXL" u="1"/>
        <s v="EKV006619_PAT2_XXL" u="1"/>
        <s v="EKV006619_YDF1_M" u="1"/>
        <s v="EKV006619_YDF2_XL" u="1"/>
        <s v="EKV006619_ARG_L" u="1"/>
        <s v="EKV006619_DNB_XL" u="1"/>
        <s v="EKV006619_PAT2_XL" u="1"/>
        <s v="EKV006619_ARG_XXL" u="1"/>
        <s v="EKV006619_NA_XXL" u="1"/>
        <s v="EKV006619_YDF1_XXL" u="1"/>
        <s v="EKV006619_PAT4_M" u="1"/>
        <s v="EKV006619_YDF2_XXL" u="1"/>
        <s v="EKV006619_PAT9_M" u="1"/>
        <s v="EKV006619_DP_XXL" u="1"/>
        <s v="EKV006619_NA_M" u="1"/>
        <s v="EKV006619_YDF2_M" u="1"/>
        <s v="EKV006619_PAT9_XXL" u="1"/>
        <s v="EKV006619_DP_M" u="1"/>
        <s v="EKV006619_DP_L" u="1"/>
        <s v="EKK006043_BL_XL" u="1"/>
        <s v="EKK006043_B_S" u="1"/>
        <s v="EKK006043_BL_M" u="1"/>
        <s v="EKK006043_BL_L" u="1"/>
        <s v="EKK006043_B_M" u="1"/>
        <s v="EKK006043_PR_S" u="1"/>
        <s v="EKK006043_PR_XL" u="1"/>
        <s v="EKK006043_BL_XXL" u="1"/>
        <s v="EKK006043_PR_M" u="1"/>
        <s v="AM000517_PR_M" u="1"/>
        <s v="AM000517_G_14" u="1"/>
        <s v="EKY006520_DG_L#" u="1"/>
        <s v="EKY006520_DG_XL#" u="1"/>
        <s v="EKK009972_NA_XL" u="1"/>
        <s v="EKK009972_DBG_XL" u="1"/>
        <s v="EKK009972_LGT_XL" u="1"/>
        <s v="EKX005593_O_XXL" u="1"/>
        <s v="EKX005593_O_S" u="1"/>
        <s v="EKX005593_O_L" u="1"/>
        <s v="EKX005593_O_M" u="1"/>
        <s v="AMK005512_B_L" u="1"/>
        <s v="EKK005446_NB_XL" u="1"/>
        <s v="EKK005446_PAT14_XS" u="1"/>
        <s v="EKK005446_PAT13_M" u="1"/>
        <s v="EKK005446_PAT13_L" u="1"/>
        <s v="EKK005446_PAT13_XXL" u="1"/>
        <s v="EKK005446_PAT12_XS" u="1"/>
        <s v="EKK005446_PAT13_XL" u="1"/>
        <s v="EKK005446_PAT13_S" u="1"/>
        <s v="EKK005446_PAT19_M" u="1"/>
        <s v="EKK005446_PAT17_S" u="1"/>
        <s v="EKK005446_PAT17_M" u="1"/>
        <s v="EKK005446_RR_XS" u="1"/>
        <s v="EKK005446_PAT17_XL" u="1"/>
        <s v="EKK005446_PAT15_S" u="1"/>
        <s v="EKK005446_PAT3_M" u="1"/>
        <s v="EKK005446_PAT19_L" u="1"/>
        <s v="EKK005446_PAT19_S" u="1"/>
        <s v="EKK005446_PAT16_XS" u="1"/>
        <s v="EKV006995_PAT6_XL" u="1"/>
        <s v="EKV006995_PAT6_XXL" u="1"/>
        <s v="EKK007661_R_XXL#" u="1"/>
        <s v="EKY005271_B_S#" u="1"/>
        <s v="EKK005512_O_XXL" u="1"/>
        <s v="EKK005512_O_S" u="1"/>
        <s v="EKK005512_BRR_XL" u="1"/>
        <s v="EKK005512_O_L" u="1"/>
        <s v="EKK005512_O_M" u="1"/>
        <s v="EKK005512_O_XL" u="1"/>
        <s v="EKK005512_BRR_S" u="1"/>
        <s v="EKY005272_PU_XXL#" u="1"/>
        <s v="EKY005272_SB_M#" u="1"/>
        <s v="EKY005272_SB_XL#" u="1"/>
        <s v="EKY005272_PU_XL#" u="1"/>
        <s v="EKY005272_PP_L#" u="1"/>
        <s v="EKY005272_PU2_M#" u="1"/>
        <s v="EKY005272_PP_S#" u="1"/>
        <s v="EKY005272_PP_XXL#" u="1"/>
        <s v="EKY005272_PU2_S#" u="1"/>
        <s v="EKY005272_SB_S#" u="1"/>
        <s v="EKY005272_SB_L#" u="1"/>
        <s v="EKY005272_PU2_XXL#" u="1"/>
        <s v="EKY005272_PU_S#" u="1"/>
        <s v="EKY005272_PU_M#" u="1"/>
        <s v="EKY005272_PP_M#" u="1"/>
        <s v="EKY005272_PU2_XL#" u="1"/>
        <s v="EKY005272_PU2_L#" u="1"/>
        <s v="EKY005272_SB_XXL#" u="1"/>
        <s v="EKY005272_PP_XL#" u="1"/>
        <s v="#EKV007165_DGR_S#" u="1"/>
        <s v="#EKV007165_DGR_M#" u="1"/>
        <s v="#EKV007165_DGR_XXL#" u="1"/>
        <s v="#EKV007165_DGR_XL#" u="1"/>
        <s v="#EKV007165_DGR_L#" u="1"/>
        <s v="#EKV007165_GR_S#" u="1"/>
        <s v="#EKV007165_GR_M#" u="1"/>
        <s v="#EKV007165_GR_L#" u="1"/>
        <s v="#EKV007165_GR_XL#" u="1"/>
        <s v="#EKV007165_B_M#" u="1"/>
        <s v="##EKV007165_NB_S#" u="1"/>
        <s v="EKX005599_NB01_XXXL##" u="1"/>
        <s v="EKV007024_ARG_L" u="1"/>
        <s v="EKV007024_NA_XXXL" u="1"/>
        <s v="EKV007024_PAT14_L" u="1"/>
        <s v="EKY006459_B_XXL" u="1"/>
        <s v="EKY006459_NB_M" u="1"/>
        <s v="EKY006459_WR_XL" u="1"/>
        <s v="EKY006459_WR_M" u="1"/>
        <s v="EKY006459_WR_L" u="1"/>
        <s v="EKK009702_PAT2_XXL" u="1"/>
        <s v="EKK009702_PAT2_S" u="1"/>
        <s v="ETK009702_PAT2_M" u="1"/>
        <s v="EKK009702_PAT2_L" u="1"/>
        <s v="EKK009702_PAT2_XL" u="1"/>
        <s v="AMK005725_P_XL" u="1"/>
        <s v="AMK005725_P_L" u="1"/>
        <s v="EKY006545_B_L" u="1"/>
        <s v="EKY006545_RV2_S#" u="1"/>
        <s v="EKY006545_RV2_M#" u="1"/>
        <s v="EKY006545_RV2_XXL#" u="1"/>
        <s v="EKY006545_BL_S" u="1"/>
        <s v="EKY006545_DG_XL" u="1"/>
        <s v="EKY006545_B_XL" u="1"/>
        <s v="EKY006545_DG_XXL" u="1"/>
        <s v="EKY006545_R_S" u="1"/>
        <s v="EKY006545_B_XXL" u="1"/>
        <s v="EKY006545_B_S" u="1"/>
        <s v="EKY006545_R_L" u="1"/>
        <s v="EKY006545_R_XXL" u="1"/>
        <s v="EKY006545_PP_XXL" u="1"/>
        <s v="EKY006545_B_M" u="1"/>
        <s v="EKY006545_R_XL" u="1"/>
        <s v="EKY006545_PP_XL" u="1"/>
        <s v="EKY006545_BL_XXL" u="1"/>
        <s v="EKY006545_PP_L" u="1"/>
        <s v="EKY006545_DG_L" u="1"/>
        <s v="EKY006545_PP_S" u="1"/>
        <s v="EKY006545_PP_M" u="1"/>
        <s v="EKY006545_R_M" u="1"/>
        <s v="EKY006545_DG_M" u="1"/>
        <s v="EKY006545_DG_S" u="1"/>
        <s v="EKY006545_BL_XL" u="1"/>
        <s v="EKY006545_BL_M" u="1"/>
        <s v="EKY006545_BL_L" u="1"/>
        <s v="EKY005962_LIL_XL" u="1"/>
        <s v="EKK009997_SKB_XL" u="1"/>
        <s v="EKK009997_PAT5_XXL" u="1"/>
        <s v="EKK009997_PAT5_S" u="1"/>
        <s v="EKK009997_MIR_XL" u="1"/>
        <s v="EKK009997_MIR_XXL" u="1"/>
        <s v="EKK009997_SKB_M" u="1"/>
        <s v="EKK009997_SKB_L" u="1"/>
        <s v="EKK009997_SKB_XXL" u="1"/>
        <s v="EKK009997_SKB_S" u="1"/>
        <s v="EKK009997_MIR_S" u="1"/>
        <s v="EKK009997_MIR_L" u="1"/>
        <s v="EKK009997_MIR_M" u="1"/>
        <s v="EKK009997_PAT5_L" u="1"/>
        <s v="EKK009997_PAT5_M" u="1"/>
        <s v="EKK009997_PAT5_XL" u="1"/>
        <s v="EKK009956_PAT6_S" u="1"/>
        <s v="EKK009956_PAT6_XXL" u="1"/>
        <s v="EKK009956_PAT5_XL" u="1"/>
        <s v="EKK009956_PR_S" u="1"/>
        <s v="EKK009956_PR_M" u="1"/>
        <s v="EKK009956_PAT5_XXL" u="1"/>
        <s v="EKK009956_PAT6_L" u="1"/>
        <s v="EKK009956_PAT5_M" u="1"/>
        <s v="EKK009956_WR_S" u="1"/>
        <s v="EKK009956_WI_L" u="1"/>
        <s v="EKK009956_B_S" u="1"/>
        <s v="EKK009956_PAT5_S" u="1"/>
        <s v="EKK009956_PAT5_L" u="1"/>
        <s v="EKY005644_WR_L" u="1"/>
        <s v="EKY005644_CG_XXL" u="1"/>
        <s v="EKY005644_PAT2_M" u="1"/>
        <s v="EKY005644_WR_M" u="1"/>
        <s v="EKY005644_PAT2_XL" u="1"/>
        <s v="EKY005644_WR_XXL" u="1"/>
        <s v="EKY005644_PAT2_L" u="1"/>
        <s v="EKY005644_WR_S" u="1"/>
        <s v="EKY005644_PAT2_XXL" u="1"/>
        <s v="EKY005644_MIR_S" u="1"/>
        <s v="EKY005644_CG_L" u="1"/>
        <s v="EKY005644_CG_M" u="1"/>
        <s v="EKY005644_MIR_M" u="1"/>
        <s v="EKY005644_MIR_XL" u="1"/>
        <s v="EKY005644_CG_XL" u="1"/>
        <s v="EKX005269_O_XXL" u="1"/>
        <s v="EKX005269_RR_S" u="1"/>
        <s v="EKX005269_DGR_M" u="1"/>
        <s v="EKX005269_DGR_L" u="1"/>
        <s v="EKX005269_Y_XXL" u="1"/>
        <s v="EKX005269_O_XL" u="1"/>
        <s v="EKX005269_DGR_S" u="1"/>
        <s v="EKX005269_LIL_XXL" u="1"/>
        <s v="EKX005269_RR_XXL" u="1"/>
        <s v="EKX005269_O_S" u="1"/>
        <s v="EKX005269_RR_XL" u="1"/>
        <s v="EKX005269_Y_M" u="1"/>
        <s v="EKX005269_Y_S" u="1"/>
        <s v="EKX005269_RR_L" u="1"/>
        <s v="EKX005269_RR_M" u="1"/>
        <s v="EKX005269_O_L" u="1"/>
        <s v="EKX005269_O_M" u="1"/>
        <s v="EKK009972_PAT3_L" u="1"/>
        <s v="EKK009972_PAT3_M" u="1"/>
        <s v="EKK009972_PAT3_S" u="1"/>
        <s v="AMV007079_GR_S*" u="1"/>
        <s v="AMV007079_B_XL" u="1"/>
        <s v="AMV007079_PAT1_XL" u="1"/>
        <s v="AMV007079_PAT3_S" u="1"/>
        <s v="AMV007079_PAT4_L" u="1"/>
        <s v="AMV007079_PAT3_XL" u="1"/>
        <s v="AMV007079_PAT2_S" u="1"/>
        <s v="AMV007079_PAT4_M" u="1"/>
        <s v="AMV007079_PAT2_M" u="1"/>
        <s v="AMV007079_PAT4_S" u="1"/>
        <s v="AMV007079_PAT3_L" u="1"/>
        <s v="AMV007079_PAT3_M" u="1"/>
        <s v="AMV007079_PAT1_L" u="1"/>
        <s v="AMV007079_GR_M*" u="1"/>
        <s v="AMV007079_PAT4_XL" u="1"/>
        <s v="AMV007079_PAT1_XXL" u="1"/>
        <s v="AMV007079_PAT2_L" u="1"/>
        <s v="AMV007079_GR_XXL*" u="1"/>
        <s v="AMV007079_B_M" u="1"/>
        <s v="AMV007079_PAT2_XXL" u="1"/>
        <s v="AMV007079_PAT1_S" u="1"/>
        <s v="AMV007079_PAT1_M" u="1"/>
        <s v="AMV007079_PAT2_XL" u="1"/>
        <s v="AMV007079_B_XXL" u="1"/>
        <s v="AMV007079_WR_M" u="1"/>
        <s v="AMV007079_GR_XL*" u="1"/>
        <s v="AMV007079_B_S" u="1"/>
        <s v="AMV007079_B_L" u="1"/>
        <s v="AMV007079_WR_XL" u="1"/>
        <s v="AMV007079_WR_XXL" u="1"/>
        <s v="AMV007079_WR_S" u="1"/>
        <s v="AMV007079_WR_L" u="1"/>
        <s v="EKV006903_PON_XL" u="1"/>
        <s v="EKV006903_PON_M" u="1"/>
        <s v="EKV006903_PON_XXL" u="1"/>
        <s v="EKV006903_PON_XXXL" u="1"/>
        <s v="EKV006903_PON_L" u="1"/>
        <s v="EKV006903_PON_S" u="1"/>
        <s v="EKV006903_ARG_L" u="1"/>
        <s v="EKV006903_ARG_XXL" u="1"/>
        <s v="EKV006903_ARG_S" u="1"/>
        <s v="EKV006903_ARG_M" u="1"/>
        <s v="EKV006903_ARG_XXXL" u="1"/>
        <s v="EKV006903_ARG_XL" u="1"/>
        <s v="EKV006903_Y02_XXL" u="1"/>
        <s v="EKV006903_Y02_XL" u="1"/>
        <s v="EKV006903_Y02_S" u="1"/>
        <s v="EKV006903_Y02_L" u="1"/>
        <s v="EKV006903_Y02_M" u="1"/>
        <s v="EKV006903_Y02_XXXL" u="1"/>
        <s v="EKV006903_W02_S" u="1"/>
        <s v="EKV006903_W02_XL" u="1"/>
        <s v="EKV006903_W02_L" u="1"/>
        <s v="EKV006903_W02_XXXL" u="1"/>
        <s v="EKV006903_W02_XXL" u="1"/>
        <s v="EKV006903_W02_M" u="1"/>
        <s v="EKV006903_LK_M" u="1"/>
        <s v="EKV006903_LK_XL" u="1"/>
        <s v="EKV006903_LK_XXXL" u="1"/>
        <s v="EKV006903_LK_L" u="1"/>
        <s v="EKV006903_LK_S" u="1"/>
        <s v="EKV006903_LK_XXL" u="1"/>
        <s v="EKV006903_MIR_XXL" u="1"/>
        <s v="EKV006903_MIR_S" u="1"/>
        <s v="EKV006903_MIR_L" u="1"/>
        <s v="EKV006903_MIR_XL" u="1"/>
        <s v="EKV006903_MIR_XXXL" u="1"/>
        <s v="EKV006903_CLB_L" u="1"/>
        <s v="EKV006903_CLB_M" u="1"/>
        <s v="EKV006903_CLB_XXXL" u="1"/>
        <s v="EKV006903_CLB_XXL" u="1"/>
        <s v="EKV006903_CLB_XL" u="1"/>
        <s v="EKV006903_NB02_XL" u="1"/>
        <s v="EKV006903_NB02_S" u="1"/>
        <s v="EKV006903_NB02_L" u="1"/>
        <s v="EKV006903_NB02_M" u="1"/>
        <s v="EKV006903_NB02_XXXL" u="1"/>
        <s v="EKV006903_NB02_XXL" u="1"/>
        <s v="EKV006903_B02_M" u="1"/>
        <s v="EKV006903_B02_XXL" u="1"/>
        <s v="EKV006903_B02_L" u="1"/>
        <s v="EKV006903_B02_XXXL" u="1"/>
        <s v="EKV006903_B02_S" u="1"/>
        <s v="EKV006903_B02_XL" u="1"/>
        <s v="AMK005725_ARG_XS" u="1"/>
        <s v="AMK005725_ARG_XXL" u="1"/>
        <s v="AMK005725_BAB_XS" u="1"/>
        <s v="AMK005725_BAB_S" u="1"/>
        <s v="AMK005725_BAB_L" u="1"/>
        <s v="AMK005725_BAB_XL" u="1"/>
        <s v="AMK005725_B_XS" u="1"/>
        <s v="AMK005725_B_XL" u="1"/>
        <s v="AMK005725_B_XXL" u="1"/>
        <s v="AMK005725_CG_S" u="1"/>
        <s v="AMK005725_CG_L" u="1"/>
        <s v="AMK005725_CG_XXL" u="1"/>
        <s v="AMK005725_DR_XS" u="1"/>
        <s v="AMK005725_DR_S" u="1"/>
        <s v="AMK005725_DR_L" u="1"/>
        <s v="AMK005725_DR_XXL" u="1"/>
        <s v="AMK005725_GR_XS" u="1"/>
        <s v="AMK005725_LA_XS" u="1"/>
        <s v="AMK005725_LA_S" u="1"/>
        <s v="AMK005725_LA_XXL" u="1"/>
        <s v="AMK005725_PAT6A_S" u="1"/>
        <s v="AMK005725_PAT6A_M" u="1"/>
        <s v="AMK005725_PAT6A_L" u="1"/>
        <s v="AMK005725_PAT6A_XL" u="1"/>
        <s v="AMK005725_PAT3_XS" u="1"/>
        <s v="AMK005725_PAT3_S" u="1"/>
        <s v="AMK005725_PAT3_M" u="1"/>
        <s v="AMK005725_PAT3_L" u="1"/>
        <s v="AMK005725_PAT3_XL" u="1"/>
        <s v="AMK005725_PR_XS" u="1"/>
        <s v="AMK005725_PR_S" u="1"/>
        <s v="AMK005725_PR_M" u="1"/>
        <s v="AMK005725_PR_L" u="1"/>
        <s v="AMK005725_PR_XL" u="1"/>
        <s v="AMK005725_PR_XXL" u="1"/>
        <s v="AMK005725_S_M" u="1"/>
        <s v="AMK005725_S_L" u="1"/>
        <s v="AMK005725_S_XL" u="1"/>
        <s v="AMK005725_PAP_S" u="1"/>
        <s v="AMK005725_PAP_M" u="1"/>
        <s v="AMK005725_ARG_M" u="1"/>
        <s v="AMK005725_ARG_XL" u="1"/>
        <s v="AMK005725_GR_XL" u="1"/>
        <s v="AMK005725_PAT6A_XS" u="1"/>
        <s v="AMK005725_PAT6A_XXL" u="1"/>
        <s v="AMK005725_PAT3_XXL" u="1"/>
        <s v="AMK005725_DA_L" u="1"/>
        <s v="AMK005725_DA_XL" u="1"/>
        <s v="AMK005725_DA_XXL" u="1"/>
        <s v="AMK005725_SKB_S" u="1"/>
        <s v="AMK005725_SKB_XL" u="1"/>
        <s v="AMK005725_PAP_L" u="1"/>
        <s v="AMK005725_PAP_XL" u="1"/>
        <s v="AMK005725_PAP_XXL" u="1"/>
        <s v="AMK005725_P_XS" u="1"/>
        <s v="AMK005725_P_S" u="1"/>
        <s v="AMK005725_P_M" u="1"/>
        <s v="AMK005725_P_XXL" u="1"/>
        <s v="AMK005725_PAT1_S" u="1"/>
        <s v="AMK005725_PAT1_M" u="1"/>
        <s v="AMK005725_PAT1_L" u="1"/>
        <s v="AMK005725_PAT1_XL" u="1"/>
        <s v="AMK005725_PAT2_XS" u="1"/>
        <s v="AMK005725_PAT2_S" u="1"/>
        <s v="AMK005725_PAT2_M" u="1"/>
        <s v="AMK005725_PAT2_L" u="1"/>
        <s v="AMK005725_PAT2_XL" u="1"/>
        <s v="AMK005725_PU_M" u="1"/>
        <s v="AMK005725_PU_XL" u="1"/>
        <s v="AMK005725_R_XS" u="1"/>
        <s v="AMK005725_R_S" u="1"/>
        <s v="AMK005725_R_M" u="1"/>
        <s v="AMK005725_R_XL" u="1"/>
        <s v="AMK005725_RR_S" u="1"/>
        <s v="AMK005725_RR_M" u="1"/>
        <s v="AMK005725_RR_L" u="1"/>
        <s v="AMK005725_RR_XL" u="1"/>
        <s v="AMK005725_RR_XXL" u="1"/>
        <s v="AMK005725_WTR_XS#" u="1"/>
        <s v="AMK005725_WTR_S#" u="1"/>
        <s v="AMK005725_WTR_M#" u="1"/>
        <s v="AMK005725_WTR_L#" u="1"/>
        <s v="AMK005725_WTR_XL#" u="1"/>
        <s v="AMK005725_WTR_XXL#" u="1"/>
        <s v="AMK005725_W_XS" u="1"/>
        <s v="AMK005725_W_S" u="1"/>
        <s v="AMK005725_W_L" u="1"/>
        <s v="AMK005725_W_XL" u="1"/>
        <s v="AMK005725_W_XXL" u="1"/>
        <s v="AMK005725_WI_S" u="1"/>
        <s v="AMK005725_WI_L" u="1"/>
        <s v="AMK005725_WI_XL" u="1"/>
        <s v="AMK005725_RBL_XS" u="1"/>
        <s v="AMK005725_RBL_S" u="1"/>
        <s v="AMK005725_RBL_XXL" u="1"/>
        <s v="AMK005725_DP_S" u="1"/>
        <s v="AMK005725_DP_L" u="1"/>
        <s v="AMK005725_DP_XXL" u="1"/>
        <s v="AMK005725_GO_M" u="1"/>
        <s v="AMK005725_LIL_S" u="1"/>
        <s v="AMK005725_LIL_M" u="1"/>
        <s v="AMK005725_LIL_L" u="1"/>
        <s v="AMK005725_LIL_XL" u="1"/>
        <s v="AMK005725_PEB_S" u="1"/>
        <s v="AMK005725_PEB_M" u="1"/>
        <s v="AMK005725_PEB_XXL" u="1"/>
        <s v="AMK005725_DA_XS" u="1"/>
        <s v="AMK005725_DA_M" u="1"/>
        <s v="AMK005725_PU_XS" u="1"/>
        <s v="AMK005725_PEB_XS" u="1"/>
        <s v="EKK009194_PAT7_XXL" u="1"/>
        <s v="EKY006919_B_S" u="1"/>
        <s v="EKY006919_B_M" u="1"/>
        <s v="EKY006919_B_L" u="1"/>
        <s v="EKY006919_B_XL" u="1"/>
        <s v="EKY006919_PAT1_S" u="1"/>
        <s v="EKY006919_PAT1_L" u="1"/>
        <s v="EKY006919_PAT1_XXL" u="1"/>
        <s v="EKY006919_PAT2_S" u="1"/>
        <s v="EKY006919_PAT2_M" u="1"/>
        <s v="EKY006919_PAT2_L" u="1"/>
        <s v="EKY006919_PAT2_XL" u="1"/>
        <s v="EKY006919_PAT2_XXL" u="1"/>
        <s v="EKY006919_PAT4_S" u="1"/>
        <s v="EKY006919_PAT4_M" u="1"/>
        <s v="EKY006919_PAT4_L" u="1"/>
        <s v="EKY006919_PAT4_XL" u="1"/>
        <s v="EKY006919_PAT4_XXL" u="1"/>
        <s v="EKY006919_PAT3_M" u="1"/>
        <s v="EKY006919_PAT3_XL" u="1"/>
        <s v="EKY006919_PAT3_XXL" u="1"/>
        <s v="EKK009702_DSB_L" u="1"/>
        <s v="EKK009702_DC_S" u="1"/>
        <s v="EKK009702_DSB_XL" u="1"/>
        <s v="EKK009702_DC_XXL" u="1"/>
        <s v="EKK009702_W_XL" u="1"/>
        <s v="EKK009702_W_M" u="1"/>
        <s v="EKK009702_DC_L" u="1"/>
        <s v="EKK009702_DSB_S" u="1"/>
        <s v="EKK009702_DC_M" u="1"/>
        <s v="EKK009702_DSB_XXXL" u="1"/>
        <s v="EKK009702_W_XXXL" u="1"/>
        <s v="EKK009702_W_L" u="1"/>
        <s v="EKK009702_DSB_M" u="1"/>
        <s v="EKK009702_W_XXL" u="1"/>
        <s v="EKK009702_W_S" u="1"/>
        <s v="EKK009702_DSB_XXL" u="1"/>
        <s v="EKK009702_DC_XL" u="1"/>
        <s v="EKK009702_DC_XXXL" u="1"/>
        <s v="EKY005962_LIL_M" u="1"/>
        <s v="EKY005962_LY_S" u="1"/>
        <s v="EKY005962_PAT3_XL" u="1"/>
        <s v="EKK009999_B_S" u="1"/>
        <s v="EKK009999_NA_XXL" u="1"/>
        <s v="EKK009999_NA_XL" u="1"/>
        <s v="EKK009999_PP_XL" u="1"/>
        <s v="EKK009999_NA_L" u="1"/>
        <s v="EKK009999_PP_L" u="1"/>
        <s v="EKK009999_B_XXL" u="1"/>
        <s v="EKK009999_B_XL" u="1"/>
        <s v="EKK009999_NA_S" u="1"/>
        <s v="EKK009999_NA_M" u="1"/>
        <s v="EKK009999_NB_XL" u="1"/>
        <s v="EKK009999_WR_M" u="1"/>
        <s v="EKK009999_MGT_M" u="1"/>
        <s v="EKK009999_NB_M" u="1"/>
        <s v="EKK009999_WR_XL" u="1"/>
        <s v="EKK009999_ARG_XL" u="1"/>
        <s v="EKK009999_WR_S" u="1"/>
        <s v="EKK009999_NB_XXL" u="1"/>
        <s v="EKK009999_WR_L" u="1"/>
        <s v="EKK009999_ARG_XXL" u="1"/>
        <s v="EKK009999_B_L" u="1"/>
        <s v="EKK009999_WR_XXL" u="1"/>
        <s v="ETK009999_NB_S" u="1"/>
        <s v="ETK009999_B_M" u="1"/>
        <s v="ETK009999_MGT_XL" u="1"/>
        <s v="ETK009999_NB_L" u="1"/>
        <s v="EKK005446_R_XXL" u="1"/>
        <s v="EKK005446_R_XL" u="1"/>
        <s v="EKK005446_NB_M" u="1"/>
        <s v="EKK005446_NB_L" u="1"/>
        <s v="EKK005446_R_L" u="1"/>
        <s v="EKK005446_R_M" u="1"/>
        <s v="EKK005446_NB_XS" u="1"/>
        <s v="EKK005446_R_XS" u="1"/>
        <s v="EKK005446_NB_XXL" u="1"/>
        <s v="EKS005745_LB_160" u="1"/>
        <s v="EKS005745_NB_150" u="1"/>
        <s v="EKS005745_PP_160" u="1"/>
        <s v="EKS005745_NB_160" u="1"/>
        <s v="EKS005745_PU_160" u="1"/>
        <s v="EKS005745_RB_150" u="1"/>
        <s v="EKS005745_MIR_160" u="1"/>
        <s v="EKS005745_RB_160" u="1"/>
        <s v="EKS005745_LB_140" u="1"/>
        <s v="EKS005745_MIR_150" u="1"/>
        <s v="EKS005745_MIR_140" u="1"/>
        <s v="EKS005745_LB_150" u="1"/>
        <s v="EKS005745_LG_150" u="1"/>
        <s v="EKS005745_LG_160" u="1"/>
        <s v="EKS005745_PP_150" u="1"/>
        <s v="EKS005745_MIR_120" u="1"/>
        <s v="EKS005745_PU_150" u="1"/>
        <s v="EKS005745_PP_140" u="1"/>
        <s v="EKS005745_PU_140" u="1"/>
        <s v="EKS005745_LB_130" u="1"/>
        <s v="EKS005745_RB_120" u="1"/>
        <s v="EKS005745_PU_120" u="1"/>
        <s v="EKS005745_PU_130" u="1"/>
        <s v="EKS005745_RB_140" u="1"/>
        <s v="EKS005745_LG_130" u="1"/>
        <s v="EKS005745_NB_130" u="1"/>
        <s v="EKS005745_PP_130" u="1"/>
        <s v="EKS005745_RB_130" u="1"/>
        <s v="EKS005745_MIR_130" u="1"/>
        <s v="EKS005745_SI_140" u="1"/>
        <s v="EKS005745_PP_120" u="1"/>
        <s v="EKS005745_SI_130" u="1"/>
        <s v="EKS005745_NB_120" u="1"/>
        <s v="EKS005745_SI_120" u="1"/>
        <s v="EKS005745_NB_140" u="1"/>
        <s v="EKK005996_PAT15_S" u="1"/>
        <s v="EKK005996_PAT11_XXL" u="1"/>
        <s v="AMK005996_YDF_XXXL" u="1"/>
        <s v="EKK009702_LGR_XL" u="1"/>
        <s v="ETK009702_GR_XXL#" u="1"/>
        <s v="EKK009702_LGR_XXL" u="1"/>
        <s v="EKV006696_DGR_XXXL" u="1"/>
        <s v="EKV006696_PAT15_M" u="1"/>
        <s v="EKV006696_PAT15_L" u="1"/>
        <s v="EKV006696_PAT15_S" u="1"/>
        <s v="EKV006696_PAT16_XXL" u="1"/>
        <s v="EKV006696_PAT9_S#" u="1"/>
        <s v="EKV006696_PAT15_XXXL" u="1"/>
        <s v="EKV006696_PAT9_XXXL#" u="1"/>
        <s v="EKV006696_DG_S#" u="1"/>
        <s v="EKV006696_DG_XL#" u="1"/>
        <s v="EKV006696_PAT9_L#" u="1"/>
        <s v="EKV006696_PR_XXXL" u="1"/>
        <s v="EKV006696_DV_S##" u="1"/>
        <s v="EKV006696_FG_XXXL" u="1"/>
        <s v="EKV006696_DV_XXXL" u="1"/>
        <s v="EKV006696_NB_XXXL" u="1"/>
        <s v="EKV006696_BL_XXXL" u="1"/>
        <s v="EKV006696_PAT6_M#" u="1"/>
        <s v="EKV006696_PAT16_XXXL" u="1"/>
        <s v="EKV006696_PAT1_XXL#" u="1"/>
        <s v="EKV006696_PAT16_M" u="1"/>
        <s v="EKV006696_PAT16_L" u="1"/>
        <s v="EKV006696_R_XXXL" u="1"/>
        <s v="EKV006696_PAT15_XL" u="1"/>
        <s v="EKV006696_PAT16_S" u="1"/>
        <s v="EKV006696_PAT6_S#" u="1"/>
        <s v="EKV006696_WR_XXXL" u="1"/>
        <s v="EKV006696_FG_S*#" u="1"/>
        <s v="EKV006696_PAT16_XL" u="1"/>
        <s v="EKV006696_PAT1_XL#" u="1"/>
        <s v="EKV006696_PAT15_XXL" u="1"/>
        <s v="EKK005446_PAT9_L" u="1"/>
        <s v="EKK005446_PAT9_XS" u="1"/>
        <s v="EKY006992_SKB_S" u="1"/>
        <s v="EKY006992_PR_XL" u="1"/>
        <s v="EKY006992_SKB_XL" u="1"/>
        <s v="EKY006992_PR_L" u="1"/>
        <s v="EKY006992_PR_M" u="1"/>
        <s v="EKY006992_SKB_XXL" u="1"/>
        <s v="EKY006992_PR_S" u="1"/>
        <s v="EKY006992_PR_XXL" u="1"/>
        <s v="EKV006995_BL_S" u="1"/>
        <s v="EKV006995_DG_XL" u="1"/>
        <s v="EKV006995_DG_XXL" u="1"/>
        <s v="EKK010116_ARG_S" u="1"/>
        <s v="EKK010116_ARG_M" u="1"/>
        <s v="EKK010116_ARG_L" u="1"/>
        <s v="EKK010116_MIR_XXL" u="1"/>
        <s v="EKK010116_ARG_XL" u="1"/>
        <s v="EKK007661_PAT2_L" u="1"/>
        <s v="EKK007661_PAT2_M" u="1"/>
        <s v="EKK007661_PAT2_S" u="1"/>
        <s v="EKK007661_PAT2_XL" u="1"/>
        <s v="EKK007661_PAT3_L" u="1"/>
        <s v="EKK007661_PAT3_M" u="1"/>
        <s v="EKK007661_PAT3_XL" u="1"/>
        <s v="EKK007661_PAT4_L" u="1"/>
        <s v="EKK007661_PAT4_M" u="1"/>
        <s v="EKK007661_PAT4_S" u="1"/>
        <s v="EKK007661_PAT4_XL" u="1"/>
        <s v="EKK007661_PAT4_XXL" u="1"/>
        <s v="EKK007661_PAT5_XL" u="1"/>
        <s v="EKK009904_B4_L" u="1"/>
        <s v="EK003735_DGR_XXL" u="1"/>
        <s v="EKK009702_PAT4_S" u="1"/>
        <s v="EKK009702_PAT5_M" u="1"/>
        <s v="EKK009702_PAT4_M" u="1"/>
        <s v="EKK009702_PAT4_XL" u="1"/>
        <s v="EKK009702_PAT6_M" u="1"/>
        <s v="EKK009126_PAT2_S##" u="1"/>
        <s v="EKK009126_PAT1_S##" u="1"/>
        <s v="EKY006461_B_XL" u="1"/>
        <s v="EKY006461_DGT_XXXL" u="1"/>
        <s v="EKY006461_NA_XXL" u="1"/>
        <s v="EKY006461_NA_M" u="1"/>
        <s v="EKY006461_DGT_M" u="1"/>
        <s v="EKY006461_NA_XL" u="1"/>
        <s v="EKY006461_DGT_L" u="1"/>
        <s v="EKY006461_DGT_XXL" u="1"/>
        <s v="EKY006461_ARG_XL" u="1"/>
        <s v="EKY006461_NA_XXXL" u="1"/>
        <s v="EKY006461_B_XXXL" u="1"/>
        <s v="EKY006461_B_XXL" u="1"/>
        <s v="EKY006461_NB_L" u="1"/>
        <s v="EKY006461_DGT_XL" u="1"/>
        <s v="EKY006461_NA_L" u="1"/>
        <s v="EKV007155_PAT11_L#" u="1"/>
        <s v="EKV007155_PAT11_XL#" u="1"/>
        <s v="EKV007155_PAT10_S#" u="1"/>
        <s v="EKV007155_PAT11_S#" u="1"/>
        <s v="EKV007155_PAT7_S#" u="1"/>
        <s v="EKV007155_PT2_S##" u="1"/>
        <s v="EKV006903_W03_XXXL" u="1"/>
        <s v="EKV006903_W03_XXL" u="1"/>
        <s v="EKV006903_W03_XL" u="1"/>
        <s v="EKV006903_W03_S" u="1"/>
        <s v="EKV006903_W03_M" u="1"/>
        <s v="EKV006903_W03_L" u="1"/>
        <s v="EKK009194_NA_XL" u="1"/>
        <s v="EKK009194_NA_XXL" u="1"/>
        <s v="EKK009194_NA_L" u="1"/>
        <s v="AM000517_PAT7_S" u="1"/>
        <s v="AM000517_PAT7_M" u="1"/>
        <s v="AM000517_WB_12" u="1"/>
        <s v="AM000517_WI_M" u="1"/>
        <s v="AM000517_PAT9_M" u="1"/>
        <s v="AM000517_WI_XL" u="1"/>
        <s v="AM000517_PF_16" u="1"/>
        <s v="AM000517_R_12" u="1"/>
        <s v="AM000517_PF_14" u="1"/>
        <s v="EKY006992_RR_S" u="1"/>
        <s v="EKY006992_RR_XXL" u="1"/>
        <s v="EKY006992_RR_L" u="1"/>
        <s v="EKY006992_PU_M" u="1"/>
        <s v="EKY006992_PP_XXL" u="1"/>
        <s v="EKY006992_PU_XXL" u="1"/>
        <s v="EKY006992_PP_M" u="1"/>
        <s v="EKY006992_RR_XL" u="1"/>
        <s v="EKY006992_PU_S" u="1"/>
        <s v="EKY006992_PP_S" u="1"/>
        <s v="EKY006992_PU_L" u="1"/>
        <s v="EKY006992_PAP_S" u="1"/>
        <s v="EKY006992_PAP_XL" u="1"/>
        <s v="EKY006992_PAP_L" u="1"/>
        <s v="EKY006992_PAP_XXL" u="1"/>
        <s v="EKY006992_SKB_M" u="1"/>
        <s v="EKK005472_BLF_M" u="1"/>
        <s v="EKY006392_PAT3_XXL" u="1"/>
        <s v="EKY006392_PAT3_S" u="1"/>
        <s v="EKY005122_YDF2_XL" u="1"/>
        <s v="EKY005122_YDF7_XL" u="1"/>
        <s v="EKY005122_YDF7_L" u="1"/>
        <s v="EKY005122_PAT2_M" u="1"/>
        <s v="EKY005122_YDF2_XXL" u="1"/>
        <s v="EKY005122_YDF4_XXL" u="1"/>
        <s v="EKY005122_YDF4_L" u="1"/>
        <s v="EKK006043_ARG_XXL" u="1"/>
        <s v="EKK006043_NB1_XL" u="1"/>
        <s v="EKK006043_ARG_M" u="1"/>
        <s v="EKK006043_ARG_L" u="1"/>
        <s v="EKK006043_PAT9_M" u="1"/>
        <s v="EKK006043_PAT9_XL" u="1"/>
        <s v="EKY005961_BL_XXL" u="1"/>
        <s v="EKY005961_CG_XXL" u="1"/>
        <s v="EKY005961_LIL_M" u="1"/>
        <s v="EKY005961_PAT9_L" u="1"/>
        <s v="EKY005961_PAT9_S" u="1"/>
        <s v="EKY005961_PAT9_XXL" u="1"/>
        <s v="EKY005961_PTP_M" u="1"/>
        <s v="EKY005961_SI_XXL" u="1"/>
        <s v="EKY005961_WTR_S" u="1"/>
        <s v="EKY005961_MP_S" u="1"/>
        <s v="EKY005961_MP_M" u="1"/>
        <s v="EKY005961_MP_L" u="1"/>
        <s v="EKY005961_MP_XL" u="1"/>
        <s v="EKY005961_MP_XXL" u="1"/>
        <s v="EKY005961_BRV_L" u="1"/>
        <s v="EKY005961_BRV_XL" u="1"/>
        <s v="EKY005961_BRV_XXL" u="1"/>
        <s v="EKV007154_BL_XXXL#" u="1"/>
        <s v="EKV007154_BL_M#" u="1"/>
        <s v="EKV007154_BL_L#" u="1"/>
        <s v="EKV007154_BL_XL#" u="1"/>
        <s v="EKV007154_BL_XXL#" u="1"/>
        <s v="EKV007154_BL_S#" u="1"/>
        <s v="EKY006296_PAT4_L" u="1"/>
        <s v="EKY006296_PAT4_M" u="1"/>
        <s v="EKY006296_PAT5_M" u="1"/>
        <s v="EKY006296_PAT4_XL" u="1"/>
        <s v="EKY006296_PAT4_XXL" u="1"/>
        <s v="EKY006296_PAT5_S" u="1"/>
        <s v="EKY006296_PAT5_XXL" u="1"/>
        <s v="EKY006296_PAT9_S" u="1"/>
        <s v="EKY006992_PP_L" u="1"/>
        <s v="EKY006992_RR_M" u="1"/>
        <s v="EKY006992_PU_XL" u="1"/>
        <s v="EKY006992_SKB_L" u="1"/>
        <s v="EKY006549_P_XXL" u="1"/>
        <s v="EKY006549_WI_XXL" u="1"/>
        <s v="EKY006549_WR_XL" u="1"/>
        <s v="EKY006549_P_XL" u="1"/>
        <s v="EKY006549_WI_M" u="1"/>
        <s v="EKY006549_BAB_M" u="1"/>
        <s v="EKY006549_BAB_L" u="1"/>
        <s v="EKY006549_BAB_XL" u="1"/>
        <s v="EKY006549_WI_L" u="1"/>
        <s v="EKY006549_BAB_S" u="1"/>
        <s v="EKY006549_P_S" u="1"/>
        <s v="EKY006549_NB_L#" u="1"/>
        <s v="EKY006549_WI_XL" u="1"/>
        <s v="EKY006549_WR_XXL" u="1"/>
        <s v="EKY006549_P_L" u="1"/>
        <s v="EKY006549_BAB_XXL" u="1"/>
        <s v="EKY006549_P_M" u="1"/>
        <s v="EKY006549_WR_L" u="1"/>
        <s v="EKY006549_WR_M" u="1"/>
        <s v="EKV007155_PAT16_XL" u="1"/>
        <s v="EKV007155_PAT16_XXXL" u="1"/>
        <s v="EKV007155_PAT19_XXL" u="1"/>
        <s v="EKV007155_PAT16_S" u="1"/>
        <s v="EKV007155_PAT16_M" u="1"/>
        <s v="EKV007155_PAT17_L" u="1"/>
        <s v="EKV007155_PAT16_L" u="1"/>
        <s v="EKV007155_PAT17_M" u="1"/>
        <s v="EKV007155_PAT19_L" u="1"/>
        <s v="EKV007155_PAT19_S" u="1"/>
        <s v="EKV007155_PAT17_XXXL" u="1"/>
        <s v="EKV007155_PAT17_S" u="1"/>
        <s v="EKV007155_PAT17_XXL" u="1"/>
        <s v="EKV007155_PAT19_XL" u="1"/>
        <s v="EKV007155_PAT13_L" u="1"/>
        <s v="EKV007155_PAT7_XL#" u="1"/>
        <s v="EKV007155_PAT12_M" u="1"/>
        <s v="EKV007155_PAT15_XL" u="1"/>
        <s v="EKV007155_PAT14_S" u="1"/>
        <s v="EKV007155_PAT15_M" u="1"/>
        <s v="EKV007155_PAT15_XXXL" u="1"/>
        <s v="EKV007155_PAT15_XXL" u="1"/>
        <s v="EKV007155_PAT14_XL" u="1"/>
        <s v="EKY006993_LGR_S" u="1"/>
        <s v="EKY006993_ROP_M" u="1"/>
        <s v="EKY006993_LGR_XL" u="1"/>
        <s v="EKY006993_ROP_XL" u="1"/>
        <s v="EKY006993_ROP_L" u="1"/>
        <s v="EKY006993_PAP_L" u="1"/>
        <s v="EKY006993_LGR_L" u="1"/>
        <s v="EKY006993_LIL_L" u="1"/>
        <s v="EKY006993_PAP_XL" u="1"/>
        <s v="EKY006993_LIL_XL" u="1"/>
        <s v="EKY006993_ROP_XXL" u="1"/>
        <s v="EKY006993_LIL_S" u="1"/>
        <s v="EKY006993_PAP_S" u="1"/>
        <s v="EKV007123_PR_L" u="1"/>
        <s v="EKV007123_PR_XL" u="1"/>
        <s v="EKV007123_PR_XXL" u="1"/>
        <s v="EKV007123_PR_M" u="1"/>
        <s v="ETV007123_DG_M" u="1"/>
        <s v="ETV007123_DG_L" u="1"/>
        <s v="ETV007123_DGT_M" u="1"/>
        <s v="EKY006992_PAP_M" u="1"/>
        <s v="EKY006992_PP_XL" u="1"/>
        <s v="EKX005599_AQG_XXXL" u="1"/>
        <s v="EKX005599_ARG01_M" u="1"/>
        <s v="EKX005599_ARG01_XS" u="1"/>
        <s v="EKX005599_ARG01_XXL##" u="1"/>
        <s v="EKX005599_ARG01_XXXL" u="1"/>
        <s v="EKX005599_B01_XS" u="1"/>
        <s v="EKX005599_BL_L" u="1"/>
        <s v="EKX005599_BL_M" u="1"/>
        <s v="EKX005599_BL_S" u="1"/>
        <s v="EKX005599_BL_XL" u="1"/>
        <s v="EKX005599_BL_XS" u="1"/>
        <s v="EKX005599_BL_XXL" u="1"/>
        <s v="EKX005599_BL_XXXL" u="1"/>
        <s v="EKX005599_CO_M" u="1"/>
        <s v="EKX005599_CO_XS" u="1"/>
        <s v="EKX005599_DC01_XL##" u="1"/>
        <s v="EKX005599_DGR_S" u="1"/>
        <s v="EKX005599_DGR_XL" u="1"/>
        <s v="EKX005599_DGR_XS" u="1"/>
        <s v="EKX005599_DGR_XXL" u="1"/>
        <s v="EKX005599_DG_M" u="1"/>
        <s v="EKX005599_DG_S" u="1"/>
        <s v="EKX005599_DG_XL" u="1"/>
        <s v="EKX005599_DG_XS" u="1"/>
        <s v="EKX005599_DG_XXL" u="1"/>
        <s v="EKX005599_DG_XXXL" u="1"/>
        <s v="EKX005599_GB_XL##" u="1"/>
        <s v="EKX005599_GB_XS" u="1"/>
        <s v="EKX005599_GB_XXL##" u="1"/>
        <s v="EKX005599_LA_S##" u="1"/>
        <s v="EKX005599_LA_XL##" u="1"/>
        <s v="EKX005599_PAP_XS" u="1"/>
        <s v="EKX005599_PAT11_L" u="1"/>
        <s v="EKX005599_PAT11_M" u="1"/>
        <s v="EKX005599_PAT11_XS" u="1"/>
        <s v="EKX005599_PAT11_XXXL" u="1"/>
        <s v="EKX005599_PAT4_XS" u="1"/>
        <s v="EKX005599_PAT5_XS" u="1"/>
        <s v="EKX005599_PAT9_XS" u="1"/>
        <s v="EKX005599_PAT9_S#" u="1"/>
        <s v="EKX005599_PP_L##" u="1"/>
        <s v="EKX005599_PP_XXL##" u="1"/>
        <s v="EKX005599_PR_M" u="1"/>
        <s v="EKX005599_PR_XS" u="1"/>
        <s v="EKX005599_PR_XXXL" u="1"/>
        <s v="EKX005599_RR_XS" u="1"/>
        <s v="EKX005599_RV_XXL##" u="1"/>
        <s v="EKX005599_R_XXL##" u="1"/>
        <s v="EKX005599_SB_L##" u="1"/>
        <s v="EKX005599_SKB_XL##" u="1"/>
        <s v="EKX005599_WR_L" u="1"/>
        <s v="EKX005599_WR_S" u="1"/>
        <s v="EKX005599_WR_XS" u="1"/>
        <s v="EKX005599_WR_XXL" u="1"/>
        <s v="EKX005599_WR_XXXL" u="1"/>
        <s v="EKX005599_WTR_L" u="1"/>
        <s v="EKX005599_WTR_M" u="1"/>
        <s v="EKX005599_WTR_S" u="1"/>
        <s v="EKX005599_WTR_XL" u="1"/>
        <s v="EKX005599_WTR_XS" u="1"/>
        <s v="EKX005599_WTR_XXXL#" u="1"/>
        <s v="EKK006095_BL_L" u="1"/>
        <s v="EKV007173_PR_L" u="1"/>
        <s v="EKV007173_PR_XL" u="1"/>
        <s v="EKV007173_PR_S" u="1"/>
        <s v="EKV007173_NA_XXXL" u="1"/>
        <s v="EKV007173_NA_S" u="1"/>
        <s v="EKV007173_SKB_XL" u="1"/>
        <s v="EKV007173_NA_XL" u="1"/>
        <s v="EKV007173_NA_M" u="1"/>
        <s v="EKV007173_PR_XXXL" u="1"/>
        <s v="EKV007173_SKB_L" u="1"/>
        <s v="EKV007173_SKB_M" u="1"/>
        <s v="ETK006639_DBG_S" u="1"/>
        <s v="ETK006639_ARG_S" u="1"/>
        <s v="ETK006639_MOG_XL" u="1"/>
        <s v="ETV007123_DG_XL" u="1"/>
        <s v="ETV007123_DG_S" u="1"/>
        <s v="EKK009956_CG_XXL" u="1"/>
        <s v="EKK009956_DBG_S" u="1"/>
        <s v="EKK009956_CG_L" u="1"/>
        <s v="EKK009956_CG_S" u="1"/>
        <s v="EKK009956_DBG_XXL" u="1"/>
        <s v="EKK009956_DBG_M" u="1"/>
        <s v="EKK009079_PAT6_XXXL" u="1"/>
        <s v="EKK009956_CG_XL" u="1"/>
        <s v="EKK009956_DBG_XL" u="1"/>
        <s v="EKK009956_MIR_S" u="1"/>
        <s v="EKK009956_DBG_L" u="1"/>
        <s v="EKK009956_WR_XXL" u="1"/>
        <s v="EKK009956_PEB_L" u="1"/>
        <s v="EKK009956_DGT_M" u="1"/>
        <s v="EKK009956_WI_M" u="1"/>
        <s v="EKK009079_PAT6_L" u="1"/>
        <s v="EKK009079_PAT7_XL" u="1"/>
        <s v="EKK009079_PAT7_XXXL" u="1"/>
        <s v="EKK009079_PAT6_XL" u="1"/>
        <s v="EKY006992_ARG_XXL" u="1"/>
        <s v="EKY006992_LGR_XL" u="1"/>
        <s v="EKY006992_LGR_L" u="1"/>
        <s v="EKY006992_GO_XL" u="1"/>
        <s v="EKY006992_LGR_M" u="1"/>
        <s v="EKY006992_ARG_L" u="1"/>
        <s v="EKY006992_ARG_M" u="1"/>
        <s v="EKY006992_GO_M" u="1"/>
        <s v="EKY006992_ARG_XL" u="1"/>
        <s v="EKY006992_ARG_S" u="1"/>
        <s v="EKY006992_GO_S" u="1"/>
        <s v="EKY006992_LGR_XXL" u="1"/>
        <s v="EKY006992_GO_XXL" u="1"/>
        <s v="EKY006296_PAT7_L" u="1"/>
        <s v="EKY006296_PAT7_M" u="1"/>
        <s v="EKY006296_PAT10_S" u="1"/>
        <s v="EKY006296_PAT10_M" u="1"/>
        <s v="EKY006296_PAT7_S" u="1"/>
        <s v="EKY006296_PAT4_S" u="1"/>
        <s v="AM000517_W_XXL" u="1"/>
        <s v="AM000517_LIL_M" u="1"/>
        <s v="AM000517_LIL_L" u="1"/>
        <s v="AM000517_BRR_XXL" u="1"/>
        <s v="AM000517_SI_S" u="1"/>
        <s v="AM000517_LIL_XL" u="1"/>
        <s v="AM000517_Y_L" u="1"/>
        <s v="AM000517_Y_M" u="1"/>
        <s v="AM000517_W_L" u="1"/>
        <s v="AM000517_W_M" u="1"/>
        <s v="AM000517_SI_L" u="1"/>
        <s v="AM000517_SI_XXL" u="1"/>
        <s v="AM000517_SI_M" u="1"/>
        <s v="AM000517_W_XL" u="1"/>
        <s v="AM000517_Y_XL" u="1"/>
        <s v="AM000517_BRR_S" u="1"/>
        <s v="AM000517_LIL_XXL" u="1"/>
        <s v="AM000517_BRR_M" u="1"/>
        <s v="AM000517_Y_XXL" u="1"/>
        <s v="AM000517_BRR_L" u="1"/>
        <s v="AM000517_BRR_XL" u="1"/>
        <s v="AM000517_SI_XL" u="1"/>
        <s v="EKV006903_B03_L" u="1"/>
        <s v="EKV006903_B03_M" u="1"/>
        <s v="EKV006903_B03_XXL" u="1"/>
        <s v="EKV006903_B03_XL" u="1"/>
        <s v="EKV006903_B03_S" u="1"/>
        <s v="EKV006903_B03_XXXL" u="1"/>
        <s v="EKY005962_WR_M#" u="1"/>
        <s v="EKY005962_WR_L#" u="1"/>
        <s v="EKY005962_MIR_M#" u="1"/>
        <s v="EKY005962_MIR_L#" u="1"/>
        <s v="EKY005962_WR_XL#" u="1"/>
        <s v="EKY005962_PEB_S#" u="1"/>
        <s v="EKY005962_WR_S#" u="1"/>
        <s v="EKY005962_MIR_S#" u="1"/>
        <s v="EKY005962_PEB_L#" u="1"/>
        <s v="EKY005962_WR_XXL#" u="1"/>
        <s v="EKY005962_PEB_M#" u="1"/>
        <s v="EKY005962_MIR_XL#" u="1"/>
        <s v="EKY005962_PEB_XXL#" u="1"/>
        <s v="EKY005962_PEB_XL#" u="1"/>
        <s v="EKY005962_MIR_XXL#" u="1"/>
        <s v="EKY005999_SKB_S#" u="1"/>
        <s v="EKY005999_PR_XXL#" u="1"/>
        <s v="EKY005999_SKB_XL#" u="1"/>
        <s v="EKY005999_ARG_XL#" u="1"/>
        <s v="EKY005999_SKB_XXL#" u="1"/>
        <s v="EKY005999_ARG_XXL#" u="1"/>
        <s v="EKY005999_PR_S#" u="1"/>
        <s v="EKY005999_ARG_M#" u="1"/>
        <s v="EKY005999_ARG_L#" u="1"/>
        <s v="EKY005999_SKB_L#" u="1"/>
        <s v="EKY005999_SKB_M#" u="1"/>
        <s v="EKY005999_PR_M#" u="1"/>
        <s v="EKY005999_PR_XL#" u="1"/>
        <s v="EKY005999_ARG_S#" u="1"/>
        <s v="#EKV007165_SKB_L" u="1"/>
        <s v="#EKV007165_WR_XL" u="1"/>
        <s v="#EKV007165_SKB_XL" u="1"/>
        <s v="#EKV007165_NA_S" u="1"/>
        <s v="#EKV007165_ARG_L" u="1"/>
        <s v="#EKV007165_WR_L" u="1"/>
        <s v="#EKV007165_WR_M" u="1"/>
        <s v="#EKV007165_NA_XL" u="1"/>
        <s v="#EKV007165_ARG_S" u="1"/>
        <s v="#EKV007165_SKB_XXL" u="1"/>
        <s v="#EKV007165_WR_S" u="1"/>
        <s v="#EKV007165_ARG_XXL" u="1"/>
        <s v="EKY006992_LGR_S" u="1"/>
        <s v="EKY006992_GO_L" u="1"/>
        <s v="EKY005405_ARG_L" u="1"/>
        <s v="EKY005405_ARG_M" u="1"/>
        <s v="EKY005405_ARG_S" u="1"/>
        <s v="EKY005405_BUG_XL" u="1"/>
        <s v="EKY005405_LGT_L" u="1"/>
        <s v="EKY005405_LGT_S" u="1"/>
        <s v="EKY005405_LGT_XL" u="1"/>
        <s v="EKY005405_WR_L" u="1"/>
        <s v="EKY005405_WR_M" u="1"/>
        <s v="EKY005405_WR_S" u="1"/>
        <s v="EKY005405_WR_XL" u="1"/>
        <s v="EKY005405_WR_XXL" u="1"/>
        <s v="EKY005405_BUG_L" u="1"/>
        <s v="EKY005405_BUG_M" u="1"/>
        <s v="EKY005405_BUG_S" u="1"/>
        <s v="EKY005405_BUG_XXL" u="1"/>
        <s v="EKY006992_PAT3_L" u="1"/>
        <s v="EKK009907_BUG_XXL" u="1"/>
        <s v="EKK009907_MIR_L" u="1"/>
        <s v="EKK009907_BUG_S" u="1"/>
        <s v="EKK009907_BUG_L" u="1"/>
        <s v="EKK009907_BUG_M" u="1"/>
        <s v="EKK009907_PAT2_XL" u="1"/>
        <s v="EKK009907_MIR_XXL" u="1"/>
        <s v="EKK005472_B1_M" u="1"/>
        <s v="EKK005472_BRR_L" u="1"/>
        <s v="EKK005472_BRG_XS" u="1"/>
        <s v="EKY005919_DEG_XL" u="1"/>
        <s v="EKY005919_SKB_XXL" u="1"/>
        <s v="EKY005919_DEG_S" u="1"/>
        <s v="EKY005919_DEG_M" u="1"/>
        <s v="EKY005919_SKB_M" u="1"/>
        <s v="EKY005919_SKB_XL" u="1"/>
        <s v="EKY005919_SKB_L" u="1"/>
        <s v="EKY005919_DEG_XXL" u="1"/>
        <s v="EKY005919_PAT3_S" u="1"/>
        <s v="EKY005919_PAT2_M" u="1"/>
        <s v="EKY005919_PAT2_S" u="1"/>
        <s v="EKY005919_PAT3_M" u="1"/>
        <s v="EKY005919_PAT2_L" u="1"/>
        <s v="EKY005919_PAT2_XL" u="1"/>
        <s v="EKV007154_SKB_L#" u="1"/>
        <s v="EKV007154_PAT4_XL#" u="1"/>
        <s v="EKV007154_PAT4_XXL#" u="1"/>
        <s v="EKV007154_PP_XXXL#" u="1"/>
        <s v="EKV007154_NB_XXL#" u="1"/>
        <s v="EKV007154_SKB_XXXL#" u="1"/>
        <s v="EKV007154_PAT1_4XL#" u="1"/>
        <s v="EKV007154_DG_XXL#" u="1"/>
        <s v="EKV007154_SKB_4XL#" u="1"/>
        <s v="EKV007154_PAT6_S#" u="1"/>
        <s v="EKV007154_PAT6_4XL#" u="1"/>
        <s v="EKV007154_GR_L#" u="1"/>
        <s v="EKV007154_PAT4_XXXL#" u="1"/>
        <s v="EKV007154_NB_XL#" u="1"/>
        <s v="EKV007154_BUG_XL#" u="1"/>
        <s v="EKV007154_PAT6_XXXL#" u="1"/>
        <s v="EKV007154_PAT6_M#" u="1"/>
        <s v="EKV007154_PAT1_XXL#" u="1"/>
        <s v="EKV007154_B_4XL#" u="1"/>
        <s v="EKV007154_PAT4_S#" u="1"/>
        <s v="EKV007154_PAT4_M#" u="1"/>
        <s v="EKV007154_GR_4XL#" u="1"/>
        <s v="EKV007154_BUG_S#" u="1"/>
        <s v="EKV007154_BUG_M#" u="1"/>
        <s v="EKV007154_SKB_M#" u="1"/>
        <s v="EKV007154_SKB_XL#" u="1"/>
        <s v="EKV007154_PAT6_XL#" u="1"/>
        <s v="EKV007154_PAT6_L#" u="1"/>
        <s v="EKV007154_SKB_XXL#" u="1"/>
        <s v="EKV007154_PAT4_L#" u="1"/>
        <s v="EKV007154_PAT6_XXL#" u="1"/>
        <s v="EKX005277_GP31_XL" u="1"/>
        <s v="EKX005277_GP31_L" u="1"/>
        <s v="EKX005277_GP27_XXL" u="1"/>
        <s v="AMK005512_B01_L" u="1"/>
        <s v="AMK005512_PB_XL" u="1"/>
        <s v="AMK005512_B01_S" u="1"/>
        <s v="AMK005512_BW_L" u="1"/>
        <s v="EKK009904_B3_XXL" u="1"/>
        <s v="EKK009904_B4_XL" u="1"/>
        <s v="EKK009904_B3_XL" u="1"/>
        <s v="EKK006095_PAT11_M" u="1"/>
        <s v="EKK006095_DSB_L" u="1"/>
        <s v="EKK009904_B3_S" u="1"/>
        <s v="EKY005999_PAT6_L#" u="1"/>
        <s v="EKY005999_PAT5_S#" u="1"/>
        <s v="EKY005999_PAT7_S#" u="1"/>
        <s v="EKY005999_PAT7_XXXL#" u="1"/>
        <s v="EKY005999_PAT7_XXL#" u="1"/>
        <s v="EKY005999_PAT5_L#" u="1"/>
        <s v="EKY005999_PAT7_L#" u="1"/>
        <s v="EKY005999_PEB_L#" u="1"/>
        <s v="EKY005999_PAT5_XL#" u="1"/>
        <s v="EKY005999_PAT6_S#" u="1"/>
        <s v="EKY005999_DG_XL#" u="1"/>
        <s v="EKY005999_PAT6_XXL#" u="1"/>
        <s v="EKY005999_PAT6_XL#" u="1"/>
        <s v="EKY005999_MP_L#" u="1"/>
        <s v="EKY006379_WR_XXL" u="1"/>
        <s v="EKY006379_W_L" u="1"/>
        <s v="EKY006379_WR_XL" u="1"/>
        <s v="EKY006379_W_XXL" u="1"/>
        <s v="EKY006379_PAT3_XXL" u="1"/>
        <s v="EKK009972_PAT9_XL" u="1"/>
        <s v="EKK009972_ARG_L" u="1"/>
        <s v="EKK009972_DG_S" u="1"/>
        <s v="EKK009972_ARG_XXL" u="1"/>
        <s v="EKK009972_MGT_XXL" u="1"/>
        <s v="EKV006995_DG_M" u="1"/>
        <s v="EKV006995_DG_S" u="1"/>
        <s v="EKV006995_PAT4_L" u="1"/>
        <s v="EKV006995_PAT4_S" u="1"/>
        <s v="EKV006995_PAT4_XL" u="1"/>
        <s v="EKV006995_PAT4_XXL" u="1"/>
        <s v="EKV006995_PAT4_M" u="1"/>
        <s v="EKV006995_PAT4_XXXL" u="1"/>
        <s v="EKK009904_WR_XXL" u="1"/>
        <s v="EKK009904_WR_S" u="1"/>
        <s v="EKK009904_WR_XL" u="1"/>
        <s v="EKK009904_A_XXL" u="1"/>
        <s v="EKK009904_PU_XL" u="1"/>
        <s v="AMK005725_ROP_XL" u="1"/>
        <s v="AMK005725_DE_S" u="1"/>
        <s v="AMK005725_DE_M" u="1"/>
        <s v="AMK005725_DP_XL" u="1"/>
        <s v="AMK005725_PAT34_XXL" u="1"/>
        <s v="AMK005725_SKB_M" u="1"/>
        <s v="AMK005725_WI_XS" u="1"/>
        <s v="EKK007661_PU_L" u="1"/>
        <s v="EKK007661_LBL_L" u="1"/>
        <s v="EKK007661_LBL_M#" u="1"/>
        <s v="EKK007661_B_XXL" u="1"/>
        <s v="EKK007661_B_L" u="1"/>
        <s v="EKK007661_P_L#" u="1"/>
        <s v="EKK007661_P_XL" u="1"/>
        <s v="EKK007661_LA_L" u="1"/>
        <s v="EKK007661_LA_XL" u="1"/>
        <s v="EKK007661_LA_M" u="1"/>
        <s v="EKK007661_LA_S" u="1"/>
        <s v="EKK007661_B_XL" u="1"/>
        <s v="EKK007661_B_M" u="1"/>
        <s v="EKK007661_R_M" u="1"/>
        <s v="EKK007661_R_XL" u="1"/>
        <s v="EKK007661_P_S" u="1"/>
        <s v="EKK007661_PU_S#" u="1"/>
        <s v="EKK007661_NB_L#" u="1"/>
        <s v="EKK007661_B_S" u="1"/>
        <s v="EKK007661_PU_M" u="1"/>
        <s v="EKK007661_LBL_S#" u="1"/>
        <s v="EKK007661_NB_M" u="1"/>
        <s v="EKK007661_NB_XXL#" u="1"/>
        <s v="EKK007661_P_M" u="1"/>
        <s v="EKK007661_NB_XL#" u="1"/>
        <s v="EKX005599_PAT5_XXL##" u="1"/>
        <s v="EKX005599_PAP_XXXL##" u="1"/>
        <s v="EKX005599_PAT9_L##" u="1"/>
        <s v="EKX005971_GP4_XXL" u="1"/>
        <s v="EKX005971_GP7_XXL" u="1"/>
        <s v="EKX005971_GP6_L" u="1"/>
        <s v="EKX005971_GP6_XXL" u="1"/>
        <s v="EKX005971_GP7_L" u="1"/>
        <s v="EKX005971_GP6_XL" u="1"/>
        <s v="EKX005971_GP7_M" u="1"/>
        <s v="EKX005971_GP7_S" u="1"/>
        <s v="EKX005971_GP6_M" u="1"/>
        <s v="EKX005971_GP7_XL" u="1"/>
        <s v="EKX005971_GP5_L" u="1"/>
        <s v="EKX005971_GP1_XL" u="1"/>
        <s v="EKX005971_GP5_XXL" u="1"/>
        <s v="EKX005971_GP3_XXL" u="1"/>
        <s v="EKX005971_GP4_XL" u="1"/>
        <s v="EKX005971_GP2_M" u="1"/>
        <s v="EKX005971_GP5_XL" u="1"/>
        <s v="EKX005971_GP1_XXL" u="1"/>
        <s v="EKX005971_GP4_L" u="1"/>
        <s v="EKV006995_G_S" u="1"/>
        <s v="AM000517_DG_M" u="1"/>
        <s v="AM000517_DG_L" u="1"/>
        <s v="AM000517_DG_S" u="1"/>
        <s v="AM000517_DG_XXL" u="1"/>
        <s v="AM000517_PP_XXL" u="1"/>
        <s v="AM000517_PP_S" u="1"/>
        <s v="AM000517_PP_L" u="1"/>
        <s v="AM000517_PAT1_19" u="1"/>
        <s v="AM000517_DG_XL" u="1"/>
        <s v="AM000517_PP_M" u="1"/>
        <s v="AM000517_PP_XL" u="1"/>
        <s v="EKY006977_PAT11_XXXL" u="1"/>
        <s v="EKY006977_PAT5_M#" u="1"/>
        <s v="EKY006977_PAT1_XL#" u="1"/>
        <s v="EKY006977_PAT2_XXL#" u="1"/>
        <s v="EKY006977_PAT5_S" u="1"/>
        <s v="EKY005343_B1_L" u="1"/>
        <s v="EKY005343_B_L" u="1"/>
        <s v="EKY005343_W_XXL" u="1"/>
        <s v="AMK007661_LBL_XXL#" u="1"/>
        <s v="AMK007661_P_XXL#" u="1"/>
        <s v="EKY005134_AQG_S" u="1"/>
        <s v="EKY005134_SKB_S" u="1"/>
        <s v="EKY005134_AQG_XL" u="1"/>
        <s v="EKY005134_AQG_XXL" u="1"/>
        <s v="EKY006462_PAT19_XXL" u="1"/>
        <s v="EKY006462_PAT19_XXXL" u="1"/>
        <s v="EKY006462_PAT19_L" u="1"/>
        <s v="EKY006462_PAT19_M" u="1"/>
        <s v="EKY006462_PAT19_XL" u="1"/>
        <s v="EKY006462_PAT19_S" u="1"/>
        <s v="EKK009904_A_XXXL" u="1"/>
        <s v="EKK009904_PAT4_XXXL" u="1"/>
        <s v="EKK009904_B4_XXXL" u="1"/>
        <s v="EKK009904_ARG_XXXL" u="1"/>
        <s v="EKK009904_PAT3_XXXL" u="1"/>
        <s v="EKV006995_B2_L" u="1"/>
        <s v="EKV006995_B2_XXXL" u="1"/>
        <s v="EKV006995_B2_XL" u="1"/>
        <s v="EKV006995_B2_S" u="1"/>
        <s v="EKV006995_NB_XL" u="1"/>
        <s v="EKV006995_NB_S" u="1"/>
        <s v="EKV006995_NB_XXXL" u="1"/>
        <s v="EKV006995_NB_L" u="1"/>
        <s v="EKV007173_PAT9_S" u="1"/>
        <s v="EKV007173_PAT5_XL" u="1"/>
        <s v="EKV007173_PAT7_S" u="1"/>
        <s v="EKV007173_PAT7_L" u="1"/>
        <s v="EKV007173_PAT6_M" u="1"/>
        <s v="EKV007173_PAT9_L" u="1"/>
        <s v="EKV007173_PAT7_M" u="1"/>
        <s v="EKV007173_PAT6_L" u="1"/>
        <s v="EKV007173_PAT5_M" u="1"/>
        <s v="EKV007173_PAT5_S" u="1"/>
        <s v="EKV007173_PAT6_XL" u="1"/>
        <s v="EKV007154_YDL1_4XL#" u="1"/>
        <s v="EKV007154_PP_4XL#" u="1"/>
        <s v="EKV007154_LIL_4XL#" u="1"/>
        <s v="EKV007154_BUG_4XL#" u="1"/>
        <s v="EKV007154_PAT4_4XL#" u="1"/>
        <s v="EKV007154_NB_XXXL#" u="1"/>
        <s v="EKV007154_PAT5_XXL#" u="1"/>
        <s v="EKV007154_SKB_S#" u="1"/>
        <s v="EKV007154_YDL2_S#" u="1"/>
        <s v="EKV007154_PAT5_XXXL#" u="1"/>
        <s v="EKV007154_PAT5_S#" u="1"/>
        <s v="EKV007154_GR_XXL#" u="1"/>
        <s v="EKV007154_PAT5_M#" u="1"/>
        <s v="##EKK009079_PAT1_XXL" u="1"/>
        <s v="##EKK009079_PAT2_XXXL" u="1"/>
        <s v="##EKK009079_PAT3_XXXL" u="1"/>
        <s v="##EKK009079_PAT4_XXL" u="1"/>
        <s v="##EKK005094_RR_XL" u="1"/>
        <s v="EKK007661_PU_XL#" u="1"/>
        <s v="EKK007661_PU_XXL" u="1"/>
        <s v="EKV006995_B2_M" u="1"/>
        <s v="EKV006995_DG_XXXL" u="1"/>
        <s v="EKV006995_ARG_XXXL" u="1"/>
        <s v="EKV006995_B2_XXL" u="1"/>
        <s v="EKV006995_BL_XXXL" u="1"/>
        <s v="EKV006995_B_XXXL" u="1"/>
        <s v="EKV006995_GB_XXXL" u="1"/>
        <s v="EKV006995_GR_XXXL" u="1"/>
        <s v="EKV006995_G_XXXL" u="1"/>
        <s v="EKV006995_NA2_S" u="1"/>
        <s v="EKV006995_NB_XXL" u="1"/>
        <s v="EKY006317_B_M#" u="1"/>
        <s v="EKY006317_WR_M" u="1"/>
        <s v="EKY006317_ROG_S" u="1"/>
        <s v="EKY006317_ROG_XL" u="1"/>
        <s v="EKY006317_PP_XXL" u="1"/>
        <s v="EKY006317_B_XXL" u="1"/>
        <s v="EKY006317_MIR_S" u="1"/>
        <s v="EKY006317_WR_S" u="1"/>
        <s v="EKY006317_B_S" u="1"/>
        <s v="EKY006317_B_L" u="1"/>
        <s v="EKY006317_MIR_XXL" u="1"/>
        <s v="EKY006317_WR_L#" u="1"/>
        <s v="EKY006317_PON_XXL" u="1"/>
        <s v="EKY006317_PON_M" u="1"/>
        <s v="EKY006317_PP_L" u="1"/>
        <s v="EKY006317_PP_M" u="1"/>
        <s v="EKY006317_PP_XL" u="1"/>
        <s v="EKY006317_PP_S" u="1"/>
        <s v="EKY006317_DGR_S" u="1"/>
        <s v="EKY006317_PON_XL" u="1"/>
        <s v="EKY006317_PON_S" u="1"/>
        <s v="EKY006317_PU_XL" u="1"/>
        <s v="EKY006317_NB_XL" u="1"/>
        <s v="EKY006317_MIR_M" u="1"/>
        <s v="EKY006317_MIR_XL" u="1"/>
        <s v="EKY006317_NB_S" u="1"/>
        <s v="EKY006317_NB_M" u="1"/>
        <s v="EKY006317_WR_XL" u="1"/>
        <s v="EKY006317_B_XL" u="1"/>
        <s v="EKY006317_NB_XXL" u="1"/>
        <s v="EKX005277_GP35_XXL" u="1"/>
        <s v="EKX005277_GP35_XL" u="1"/>
        <s v="EKX005277_GP34_L" u="1"/>
        <s v="EKX005277_GP35_S" u="1"/>
        <s v="EKX005277_GP34_S" u="1"/>
        <s v="EKX005277_GP34_M" u="1"/>
        <s v="EKY006459_B_XL" u="1"/>
        <s v="EKY006459_LGR_L" u="1"/>
        <s v="EKY006459_DGR_L" u="1"/>
        <s v="EKY006459_B_L" u="1"/>
        <s v="EKY006459_B_M" u="1"/>
        <s v="EKY006459_DGR_M" u="1"/>
        <s v="EKY006459_LGR_S" u="1"/>
        <s v="EKY006459_DGR_S" u="1"/>
        <s v="EKY006459_NB_S" u="1"/>
        <s v="EKY006459_WR_XXL" u="1"/>
        <s v="EKY006459_PU_S" u="1"/>
        <s v="EKY006459_LGR_XXL" u="1"/>
        <s v="EKY006459_PU_XL" u="1"/>
        <s v="EKV007155_PAT11_XXXL" u="1"/>
        <s v="EKV007155_PAT15_L" u="1"/>
        <s v="EKV007155_PAT16_4XL" u="1"/>
        <s v="EKV007155_PAT19_4XL" u="1"/>
        <s v="EKV007155_PAT17_4XL#" u="1"/>
        <s v="EKV007155_PAT11_4XL" u="1"/>
        <s v="EKV007155_PAT13_4XL" u="1"/>
        <s v="EKX005269_B_L#" u="1"/>
        <s v="EKX005269_B_M#" u="1"/>
        <s v="EKX005269_B_XL#" u="1"/>
        <s v="EKX005269_PP_XXL" u="1"/>
        <s v="EKX005269_W_S" u="1"/>
        <s v="EKX005269_W_L" u="1"/>
        <s v="EKX005269_W_M" u="1"/>
        <s v="EKX005269_W_XXL" u="1"/>
        <s v="EKX005269_R_XXL" u="1"/>
        <s v="EKX005269_R_XL" u="1"/>
        <s v="EKX005269_R_S" u="1"/>
        <s v="EKX005269_R_M" u="1"/>
        <s v="EKX005269_R_L" u="1"/>
        <s v="EKX005269_PP_L" u="1"/>
        <s v="EKX005269_PP_XL" u="1"/>
        <s v="EKX005269_PP_S" u="1"/>
        <s v="EKX005269_NB_L" u="1"/>
        <s v="EKX005269_NB_XXL" u="1"/>
        <s v="EKX005269_NB_XL" u="1"/>
        <s v="EKX005269_NB_S" u="1"/>
        <s v="EKX005269_NB_M" u="1"/>
        <s v="EKX005269_DK_S" u="1"/>
        <s v="EKX005269_DK_M" u="1"/>
        <s v="EKX005269_DK_L" u="1"/>
        <s v="EKX005269_B_XXL" u="1"/>
        <s v="EKX005269_B_S#" u="1"/>
        <s v="EKX005269_W_XL" u="1"/>
        <s v="EKX005269_PAT5_XXL" u="1"/>
        <s v="EKX005269_PAT4_M" u="1"/>
        <s v="EKX005269_PAT3_M" u="1"/>
        <s v="EKX005269_PAT5_XL" u="1"/>
        <s v="EKX005269_PAT5_S" u="1"/>
        <s v="EKX005269_PAT3_L" u="1"/>
        <s v="EKX005269_PAT3_XL" u="1"/>
        <s v="EKX005269_PAT4_XL" u="1"/>
        <s v="EKX005269_PAT3_S" u="1"/>
        <s v="EKX005269_PAT4_XXL" u="1"/>
        <s v="EKX005269_PAT4_L" u="1"/>
        <s v="EKX005269_PAT5_L" u="1"/>
        <s v="EKX005269_PAT6_S" u="1"/>
        <s v="EKX005269_PAT5_M" u="1"/>
        <s v="EKX005269_PAT3_XXL" u="1"/>
        <s v="EKX005442_PAT6_L" u="1"/>
        <s v="EKX005442_PAT6_XL" u="1"/>
        <s v="EKK009904_B_XXL##" u="1"/>
        <s v="EKK009904_B_M" u="1"/>
        <s v="EKK009904_B_XXXL" u="1"/>
        <s v="EKK009904_B3_M" u="1"/>
        <s v="EKK009904_B3_XXXL" u="1"/>
        <s v="EKK009904_BL_S" u="1"/>
        <s v="EKK009904_GR_XXXL" u="1"/>
        <s v="EKK009904_NB_L" u="1"/>
        <s v="EKK009904_NB_XXXL" u="1"/>
        <s v="EKK009904_PU_L" u="1"/>
        <s v="EKK009904_PU_XXXL" u="1"/>
        <s v="EKK009904_PAT4_M" u="1"/>
        <s v="EKK009904_PAT9_XXL" u="1"/>
        <s v="EKK009904_PAT9_L" u="1"/>
        <s v="EKK009904_PAT9_XL" u="1"/>
        <s v="EKK009904_PAT9_XXXL" u="1"/>
        <s v="EKK009904_DR_XL" u="1"/>
        <s v="EKK009904_PAT3_M" u="1"/>
        <s v="EKK009904_PAT3_XL" u="1"/>
        <s v="EKK009904_PON_XXL" u="1"/>
        <s v="EKK009904_PON_L" u="1"/>
        <s v="EKK009904_PON_XXXL" u="1"/>
        <s v="EKK009904_WR_M" u="1"/>
        <s v="EKK009904_WR_L" u="1"/>
        <s v="EKK009904_WR_XXXL" u="1"/>
        <s v="EKK009904_PP_XXL" u="1"/>
        <s v="EKK009904_PP_L" u="1"/>
        <s v="EKX005277_GP29_S" u="1"/>
        <s v="EKX005277_GP32_XXL" u="1"/>
        <s v="EKX005277_GP29_M" u="1"/>
        <s v="EKX005277_GP29_L" u="1"/>
        <s v="EKV006903_PAT14_S" u="1"/>
        <s v="EKV007154_DG_S#" u="1"/>
        <s v="EKV007154_YDL1_XL#" u="1"/>
        <s v="EKV007154_YDL2_L#" u="1"/>
        <s v="EKV007154_NB_M#" u="1"/>
        <s v="EKV007154_WR_S#" u="1"/>
        <s v="EKV007154_YDL1_L#" u="1"/>
        <s v="EKV007154_DG_XL#" u="1"/>
        <s v="EKV007154_DG_L#" u="1"/>
        <s v="EKV007154_GR_XL#" u="1"/>
        <s v="EKV007154_YDL2_M#" u="1"/>
        <s v="EKV007154_DG_4XL#" u="1"/>
        <s v="EKV007154_NB_4XL#" u="1"/>
        <s v="EKV007154_WR_L#" u="1"/>
        <s v="EKV007154_WR_XL#" u="1"/>
        <s v="EKV007154_BUG_L#" u="1"/>
        <s v="EKV007154_DG_M#" u="1"/>
        <s v="EKV007154_YDL1_XXL#" u="1"/>
        <s v="EKV007154_YDL1_M#" u="1"/>
        <s v="EKV007154_NB_S#" u="1"/>
        <s v="EKV007154_PAT5_L#" u="1"/>
        <s v="EKV007154_DG_XXXL#" u="1"/>
        <s v="EKV007154_WR_XXL#" u="1"/>
        <s v="EKV007154_GR_S#" u="1"/>
        <s v="EKV007154_B_S#" u="1"/>
        <s v="EKV007154_NB_L#" u="1"/>
        <s v="EKV007154_WR_4XL#" u="1"/>
        <s v="EKV007154_PAT5_XL#" u="1"/>
        <s v="EKV007154_PAT2_4XL#" u="1"/>
        <s v="EKV007154_YDL2_4XL#" u="1"/>
        <s v="EKV007154_PAT5_4XL#" u="1"/>
        <s v="EKX005277_GP5_M" u="1"/>
        <s v="EKX005277_GP3_XL" u="1"/>
        <s v="EKX005277_GP4_S" u="1"/>
        <s v="EKK009091_BUG_L" u="1"/>
        <s v="EKK009091_BUG_S" u="1"/>
        <s v="EKK009091_BUG_XL" u="1"/>
        <s v="EKK009091_BUG_XXL" u="1"/>
        <s v="EKK009091_B_S" u="1"/>
        <s v="EKK009091_B_XL" u="1"/>
        <s v="EKK009091_B_XXL" u="1"/>
        <s v="EKK009091_NB_L" u="1"/>
        <s v="EKK009091_NB_M" u="1"/>
        <s v="EKK009091_NB_S" u="1"/>
        <s v="EKK009091_NB_XL" u="1"/>
        <s v="EKK009091_PAT14_XL" u="1"/>
        <s v="EKK009091_PAT1_L" u="1"/>
        <s v="EKK009091_PAT1_M" u="1"/>
        <s v="EKK009091_PAT1_S" u="1"/>
        <s v="EKK009091_PAT1_XL" u="1"/>
        <s v="EKK009091_PAT1_XXL" u="1"/>
        <s v="EKK009091_PAT2_L" u="1"/>
        <s v="EKK009091_PAT3_L" u="1"/>
        <s v="EKK009091_PAT3_M" u="1"/>
        <s v="EKK009091_PAT4_L" u="1"/>
        <s v="EKK009091_PAT4_S" u="1"/>
        <s v="EKK009091_PAT4_XL" u="1"/>
        <s v="EKK009091_PAT6_L" u="1"/>
        <s v="EKK009091_PAT6_M" u="1"/>
        <s v="EKK009091_PAT6_S" u="1"/>
        <s v="EKK009091_PP_XXL*" u="1"/>
        <s v="EKK009091_WR_XXL" u="1"/>
        <s v="EKK009091_W_XXL" u="1"/>
        <s v="EKY006919_B_XXL" u="1"/>
        <s v="EKY006919_PAT1_XL" u="1"/>
        <s v="EKY006919_PAT3_S" u="1"/>
        <s v="EKK009091_B_M" u="1"/>
        <s v="EKK009091_PAT2_S" u="1"/>
        <s v="EKK009091_PAT4_M" u="1"/>
        <s v="EKK009091_PAT5_M" u="1"/>
        <s v="EKK009091_PAT6_XL" u="1"/>
        <s v="EKK009091_WR_L" u="1"/>
        <s v="EKK009091_WR_M" u="1"/>
        <s v="EKY005909_B_4XL" u="1"/>
        <s v="EKY005909_B_XXXL" u="1"/>
        <s v="EKY005909_DGT_4XL" u="1"/>
        <s v="EKY005909_DGT_XXXL" u="1"/>
        <s v="EKY005909_NA_4XL" u="1"/>
        <s v="EKY005909_NA_XXXL" u="1"/>
        <s v="EKY005909_NB_4XL" u="1"/>
        <s v="EKY005909_NB_XXXL" u="1"/>
        <s v="EKY005909_PAT2_XXXL" u="1"/>
        <s v="EKY005909_PAT3_XXXL" u="1"/>
        <s v="EKY005909_PU_4XL" u="1"/>
        <s v="EKY005909_PU_XXXL" u="1"/>
        <s v="EKY005909_WR_4XL" u="1"/>
        <s v="EKY005909_WR_XXXL" u="1"/>
        <s v="EKY005909_PAT2_L" u="1"/>
        <s v="EKY005909_PAT2_XXL" u="1"/>
        <s v="EKY005909_PAT3_M" u="1"/>
        <s v="#EKY005909_PU_L" u="1"/>
        <s v="#EKY005909_PU_M" u="1"/>
        <s v="#EKY005909_PU_S" u="1"/>
        <s v="#EKY005909_PU_XL" u="1"/>
        <s v="#EKY005909_PU_XXL" u="1"/>
        <s v="EKY005909_B_L" u="1"/>
        <s v="EKY005909_B_XL" u="1"/>
        <s v="EKY005909_DGT_M" u="1"/>
        <s v="EKY005909_DGT_XXL" u="1"/>
        <s v="EKY005909_NA_M" u="1"/>
        <s v="EKY005909_NA_XL" u="1"/>
        <s v="EKY005909_NA_XXL" u="1"/>
        <s v="EKY005909_NB_S" u="1"/>
        <s v="EKY005909_NB_XL" u="1"/>
        <s v="EKY005909_NB_XXL" u="1"/>
        <s v="EKY005909_WR_L" u="1"/>
        <s v="EKY005909_WR_M" u="1"/>
        <s v="EKY005909_WR_S" u="1"/>
        <s v="EKY005909_WR_XL" u="1"/>
        <s v="EKY005909_WR_XXL" u="1"/>
        <s v="##EKY005909_DGT_XL" u="1"/>
        <s v="##EKY005909_NA_L" u="1"/>
        <s v="EKK006043_W_L" u="1"/>
        <s v="EKK006043_W_S" u="1"/>
        <s v="EKK006043_W_XL" u="1"/>
        <s v="EKK006043_W_XXL" u="1"/>
        <s v="EKK006043_B_L" u="1"/>
        <s v="EKK006043_WG_XL" u="1"/>
        <s v="EKK006043_PR_XXL" u="1"/>
        <s v="EKK006043_PR_L" u="1"/>
        <s v="EKK006043_B1_XL" u="1"/>
        <s v="EKK006043_B1_XXL" u="1"/>
        <s v="EKK006043_B1_S" u="1"/>
        <s v="EKK006043_B1_M" u="1"/>
        <s v="EKK006043_NB_L" u="1"/>
        <s v="EKK006043_NB_XL" u="1"/>
        <s v="ETK006043_WG_S" u="1"/>
        <s v="EKK006043_NB1_XXL" u="1"/>
        <s v="EKK006043_ARG_S" u="1"/>
        <s v="EKK006043_ARG_XL" u="1"/>
        <s v="EKK006043_PAT9_L" u="1"/>
        <s v="EKK005446_PAT9_M" u="1"/>
        <s v="EKK005446_PAT9_S" u="1"/>
        <s v="EKK009997_PAT9_S" u="1"/>
        <s v="EKK009997_LIL_XXL" u="1"/>
        <s v="EKK009997_PAT9_XL" u="1"/>
        <s v="EKK009997_LIL_S" u="1"/>
        <s v="EKK009997_LIL_M" u="1"/>
        <s v="EKK009997_LIL_L" u="1"/>
        <s v="EKK009997_PAT2_L" u="1"/>
        <s v="EKK009997_PAT2_M" u="1"/>
        <s v="EKK009997_PAT6_L" u="1"/>
        <s v="EKK009997_R_L" u="1"/>
        <s v="EKK009997_PAT6_M" u="1"/>
        <s v="EKK009997_PAT9_L" u="1"/>
        <s v="EKK009997_PAT2_S" u="1"/>
        <s v="EKK009997_PAT9_M" u="1"/>
        <s v="EKK009997_PAT6_S" u="1"/>
        <s v="EKK009997_LIL_XL" u="1"/>
        <s v="EKK009997_DG_XXL" u="1"/>
        <s v="EKK009997_PAT9_XXL" u="1"/>
        <s v="EKK009997_R_XXL" u="1"/>
        <s v="EKK009997_PAT6_XXL" u="1"/>
        <s v="EKK009997_PAT1_M" u="1"/>
        <s v="EKK009997_DG_S" u="1"/>
        <s v="EKK009997_PAT6_XL" u="1"/>
        <s v="EKY006520_WR_XXL" u="1"/>
        <s v="EKY006520_CH_L" u="1"/>
        <s v="EKY006520_B_XXL" u="1"/>
        <s v="EKY006520_CH_XXL" u="1"/>
        <s v="EKY006520_B_S" u="1"/>
        <s v="EK002499_BUG_XXL" u="1"/>
        <s v="EK002499_BUG_XL" u="1"/>
        <s v="EK002499_BUG_S" u="1"/>
        <s v="EK002499_WR_XXL" u="1"/>
        <s v="EK002499_BUG_M" u="1"/>
        <s v="EK002499_BUG_L" u="1"/>
        <s v="EK002499_WR_M" u="1"/>
        <s v="EK002499_WR_S" u="1"/>
        <s v="EKY006992_PON_S" u="1"/>
        <s v="EKY006992_LIL_M" u="1"/>
        <s v="EKY006992_PON_M" u="1"/>
        <s v="EKY006992_PON_L" u="1"/>
        <s v="EKY006992_LIL_XL" u="1"/>
        <s v="EKK009904_PU_XXL" u="1"/>
        <s v="EKK009904_B4_M" u="1"/>
        <s v="EKV007024_CLB_XL" u="1"/>
        <s v="EKV007024_DA_M" u="1"/>
        <s v="EKV007024_DA_XL" u="1"/>
        <s v="EKV007024_PAT4_S" u="1"/>
        <s v="EKV007024_PAT4_XL" u="1"/>
        <s v="EKV007024_PEB_S" u="1"/>
        <s v="EKV007024_PAT7_S" u="1"/>
        <s v="EKV007024_PAT7_L" u="1"/>
        <s v="EKV007024_PAT14_S" u="1"/>
        <s v="EKY005099_BL_M" u="1"/>
        <s v="EKY005099_AQG_XXL" u="1"/>
        <s v="EKY005099_LIL_S" u="1"/>
        <s v="EKY005099_RR_XXL" u="1"/>
        <s v="EKY005099_BL_L" u="1"/>
        <s v="EKY005099_RR_M" u="1"/>
        <s v="EKY005099_PAT5_S" u="1"/>
        <s v="EKY005099_PAT5_XXL" u="1"/>
        <s v="EKY005099_PAT5_L" u="1"/>
        <s v="EKY005099_LIL_L" u="1"/>
        <s v="EKY005099_LIL_XXL" u="1"/>
        <s v="EKY005099_AQG_M" u="1"/>
        <s v="#EKK009079_PAT5_L" u="1"/>
        <s v="#EKK009079_LIL_XXXL" u="1"/>
        <s v="#EKK009079_PAT5_S" u="1"/>
        <s v="#EKK009079_PAT4_S" u="1"/>
        <s v="#EKK009079_PAT2_XXL" u="1"/>
        <s v="#EKK009079_PAT1_XXXL" u="1"/>
        <s v="EKY006549_WR_S" u="1"/>
        <s v="EKY005991_PAT1_M" u="1"/>
        <s v="EKY005134_PEB_M" u="1"/>
        <s v="EKY005134_LGT_L" u="1"/>
        <s v="EKY005134_LGT_XL" u="1"/>
        <s v="EKY005134_PEB_L" u="1"/>
        <s v="EKY005134_PU_XXL" u="1"/>
        <s v="EKY005134_LGT_S" u="1"/>
        <s v="EKY005134_WR_S" u="1"/>
        <s v="EKY005134_PEB_XL" u="1"/>
        <s v="EKY005134_PU_M" u="1"/>
        <s v="EKY005134_LGT_XXL" u="1"/>
        <s v="EKY005134_PU_L" u="1"/>
        <s v="EKY005134_PEB_XXL" u="1"/>
        <s v="EKY005134_PU_S" u="1"/>
        <s v="EKY005134_PEB_S" u="1"/>
        <s v="EKV006903_PAT26_S" u="1"/>
        <s v="EKV006903_PAT27_S" u="1"/>
        <s v="EKV006903_PAT30_XXXL" u="1"/>
        <s v="EKV006903_PAT31_XL" u="1"/>
        <s v="EKV006903_PAT29_S" u="1"/>
        <s v="EKV006903_PAT29_XXL" u="1"/>
        <s v="EKV006903_PAT29_XXXL" u="1"/>
        <s v="EKV006903_PAT26_XXL" u="1"/>
        <s v="EKV006903_PAT26_L" u="1"/>
        <s v="EKV006903_PAT27_XL" u="1"/>
        <s v="EKV006903_PAT30_XXL" u="1"/>
        <s v="EKV006903_PAT27_XXXL" u="1"/>
        <s v="EKV006903_PAT29_M" u="1"/>
        <s v="EKV006903_PAT29_L" u="1"/>
        <s v="EKV006903_PAT29_XL" u="1"/>
        <s v="EKV006903_PAT26_M" u="1"/>
        <s v="EKV006903_PAT27_L" u="1"/>
        <s v="EKV006903_PAT27_M" u="1"/>
        <s v="EKV006903_PAT27_XXL" u="1"/>
        <s v="EKV006903_PAT30_XL" u="1"/>
        <s v="EKV006903_PAT26_XXXL" u="1"/>
        <s v="EKV006903_PAT31_XXL" u="1"/>
        <s v="EKV006903_PAT31_XXXL" u="1"/>
        <s v="EKV006903_PAT31_M" u="1"/>
        <s v="EKV006903_PAT30_L" u="1"/>
        <s v="EKV006903_PAT30_M" u="1"/>
        <s v="EKV006903_PAT31_L" u="1"/>
        <s v="EKV006903_PAT30_S" u="1"/>
        <s v="EKV006903_PAT26_XL" u="1"/>
        <s v="EKV006903_PAT31_S" u="1"/>
        <s v="EKV006903_PAT33_XXXL" u="1"/>
        <s v="EKV006903_PAT33_XL" u="1"/>
        <s v="EKV006903_PAT33_XXL" u="1"/>
        <s v="EKV006903_PAT32_XL" u="1"/>
        <s v="EKV006903_PAT32_L" u="1"/>
        <s v="EKV006903_PAT32_M" u="1"/>
        <s v="EKV006903_PAT33_M" u="1"/>
        <s v="EKV006903_PAT33_S" u="1"/>
        <s v="EKV006903_PAT32_XXL" u="1"/>
        <s v="EKV006903_PAT32_S" u="1"/>
        <s v="EKV006903_PAT33_L" u="1"/>
        <s v="EKY006545_DK_L" u="1"/>
        <s v="EKY006545_LK_XXL" u="1"/>
        <s v="EKY006545_LK_XL" u="1"/>
        <s v="EKY006545_DK_S" u="1"/>
        <s v="EKY006545_LK_S" u="1"/>
        <s v="EKY006545_LK_L" u="1"/>
        <s v="EKY006545_LK_M" u="1"/>
        <s v="EKY006545_SB_XL" u="1"/>
        <s v="EKY006545_CG_S" u="1"/>
        <s v="EKY006545_SB_XXL" u="1"/>
        <s v="EKY006545_SB_S" u="1"/>
        <s v="EKY006545_CG_XXL" u="1"/>
        <s v="EKY006545_CG_XL" u="1"/>
        <s v="EKY006545_CG_L" u="1"/>
        <s v="EKY006545_SB_M" u="1"/>
        <s v="EKY006545_SB_L" u="1"/>
        <s v="#EKV007064_B_XXL" u="1"/>
        <s v="EKV007064_DG_M" u="1"/>
        <s v="AMV007064_B_L" u="1"/>
        <s v="EKV007064_DBG_XL" u="1"/>
        <s v="EKV007064_PAT5_XXL" u="1"/>
        <s v="EKV007064_PAT10_XXL" u="1"/>
        <s v="EKV007064_DG_XXL" u="1"/>
        <s v="EKV007064_DR_XXL" u="1"/>
        <s v="EKV007064_DSB_XL" u="1"/>
        <s v="EKV007064_PAT5_XL" u="1"/>
        <s v="EKV007064_PAT5_S" u="1"/>
        <s v="EKV007064_B_M" u="1"/>
        <s v="EKV007064_PAT10_XL" u="1"/>
        <s v="EKV007064_COB_XXL" u="1"/>
        <s v="EKV007064_WR_XXL" u="1"/>
        <s v="EKV007064_DGR_XXL" u="1"/>
        <s v="EKV007064_DBG_L" u="1"/>
        <s v="EKV007064_B_XL" u="1"/>
        <s v="EKV007064_PAT10_S" u="1"/>
        <s v="EKV007064_COB_L" u="1"/>
        <s v="EKV007064_DSB_XXL" u="1"/>
        <s v="EKV007064_NB_XXL" u="1"/>
        <s v="EKV007064_DG_XL" u="1"/>
        <s v="EKV007064_DSB_L" u="1"/>
        <s v="EKV007064_PAT3_XL" u="1"/>
        <s v="EKV007064_GR_XXL" u="1"/>
        <s v="EKV007064_OR_XXL" u="1"/>
        <s v="EKV007064_ARG_XL" u="1"/>
        <s v="#EKV007064_DR_M" u="1"/>
        <s v="EKV007064_SKB_XL" u="1"/>
        <s v="EKV007064_OR_XL" u="1"/>
        <s v="EKV007064_PP_XL" u="1"/>
        <s v="EKV007064_DR_L" u="1"/>
        <s v="EKV007064_ARG_XXL" u="1"/>
        <s v="EKV007064_WTR_L" u="1"/>
        <s v="EKV007064_PU_L" u="1"/>
        <s v="EKV007064_PAT9_M" u="1"/>
        <s v="EKV007064_PAT10_M" u="1"/>
        <s v="EKV007064_GR_M" u="1"/>
        <s v="EKV007064_DG_L" u="1"/>
        <s v="EKV007064_Y_L" u="1"/>
        <s v="EKV007064_PAT9_S" u="1"/>
        <s v="EKV007064_DSB_S" u="1"/>
        <s v="EKV007064_DG_S" u="1"/>
        <s v="EKV007064_WTR_XXL" u="1"/>
        <s v="EKV007064_GR_L" u="1"/>
        <s v="EKV007064_Y_XXL" u="1"/>
        <s v="EKV007064_Y_M" u="1"/>
        <s v="EKV007064_RR_L" u="1"/>
        <s v="EKV007064_PU_XL" u="1"/>
        <s v="EKV007064_PAT9_XXL" u="1"/>
        <s v="EKV007064_OR_M" u="1"/>
        <s v="EKV007064_OR_L" u="1"/>
        <s v="EKV007064_WTR_M" u="1"/>
        <s v="EKV007064_SB_S" u="1"/>
        <s v="EKV007064_NB_XL" u="1"/>
        <s v="EKV007064_Y_XL" u="1"/>
        <s v="EKV007064_WR_XL" u="1"/>
        <s v="EKV007064_RR_XL" u="1"/>
        <s v="EKV007064_Y_S" u="1"/>
        <s v="EKV007064_WTR_XL" u="1"/>
        <s v="EKV007064_WTR_S" u="1"/>
        <s v="EKV007064_WR_S" u="1"/>
        <s v="EKV007064_WR_M" u="1"/>
        <s v="EKV007064_WR_L" u="1"/>
        <s v="EKV007064_SKB_XXL" u="1"/>
        <s v="EKV007064_SKB_S" u="1"/>
        <s v="EKV007064_SKB_M" u="1"/>
        <s v="EKV007064_SKB_L" u="1"/>
        <s v="EKV007064_SB_XXL" u="1"/>
        <s v="EKV007064_SB_XL" u="1"/>
        <s v="EKV007064_SB_M" u="1"/>
        <s v="EKV007064_SB_L" u="1"/>
        <s v="EKV007064_RR_XXL" u="1"/>
        <s v="EKV007064_RR_S" u="1"/>
        <s v="EKV007064_RR_M" u="1"/>
        <s v="EKV007064_PU_XXL" u="1"/>
        <s v="EKV007064_PU_S" u="1"/>
        <s v="EDY000032_NB_S" u="1"/>
        <s v="EDY000032_DG_M" u="1"/>
        <s v="EDY000032_LK_S" u="1"/>
        <s v="EDY000032_B_L" u="1"/>
        <s v="EDY000032_NB_XL" u="1"/>
        <s v="EDY000032_LIL_XL" u="1"/>
        <s v="EDY000032_DG_XL" u="1"/>
        <s v="EDY000032_LIL_XXL" u="1"/>
        <s v="EDY000032_LIL_S" u="1"/>
        <s v="EDY000032_LK_M" u="1"/>
        <s v="EDY000032_WR_XXL" u="1"/>
        <s v="EDY000032_LK_L" u="1"/>
        <s v="EDY000032_WR_L" u="1"/>
        <s v="EDY000032_B_S" u="1"/>
        <s v="EDY000032_LK_XL" u="1"/>
        <s v="EDY000032_NB_XXL" u="1"/>
        <s v="EDY000032_B_M" u="1"/>
        <s v="EDY000032_WR_M" u="1"/>
        <s v="EDY000032_B_XL" u="1"/>
        <s v="EDY000032_WR_S" u="1"/>
        <s v="EDY000032_WR_XL" u="1"/>
        <s v="EDY000032_B_XXL" u="1"/>
        <s v="EDY000032_DG_XXL" u="1"/>
        <s v="EDY000032_NB_L" u="1"/>
        <s v="EDY000032_DG_S" u="1"/>
        <s v="EKY005134_PU_XL" u="1"/>
        <s v="EKY005134_LGT_M" u="1"/>
        <s v="EKV007064_PU_M" u="1"/>
        <s v="EKV007064_PP_S" u="1"/>
        <s v="EKV007064_PP_M" u="1"/>
        <s v="EKV007064_PP_L" u="1"/>
        <s v="EKV007064_PAT9_XL" u="1"/>
        <s v="EKV007064_PAT9_L" u="1"/>
        <s v="EKV007064_PAT5_M" u="1"/>
        <s v="EKV007064_PAT5_L" u="1"/>
        <s v="EKV007064_PAT35_XXL" u="1"/>
        <s v="EKV007064_PAT35_XL" u="1"/>
        <s v="EKV007064_PAT35_L" u="1"/>
        <s v="EKV007064_OR_S" u="1"/>
        <s v="EKV007064_NB_M" u="1"/>
        <s v="EKV007064_NB_L" u="1"/>
        <s v="EKV007064_LIL_XL" u="1"/>
        <s v="EKV007064_LIL_S" u="1"/>
        <s v="EKV007064_LIL_M" u="1"/>
        <s v="EKV007064_LIL_L" u="1"/>
        <s v="EKV007064_GR_XL" u="1"/>
        <s v="EKV007064_DSB_M" u="1"/>
        <s v="EKV007064_DR_XL" u="1"/>
        <s v="EKV007064_DR_S" u="1"/>
        <s v="EKV007064_DGR_M" u="1"/>
        <s v="EKV007064_DGR_L" u="1"/>
        <s v="EKV007064_DBG_XXL" u="1"/>
        <s v="EKV007064_DBG_S" u="1"/>
        <s v="EKV007064_DBG_M" u="1"/>
        <s v="EKV007064_COB_M" u="1"/>
        <s v="EKV007064_B_S" u="1"/>
        <s v="EKV007064_ARG_M" u="1"/>
        <s v="#EKV007064_NB_S" u="1"/>
        <s v="#EKV007064_COB_S" u="1"/>
        <s v="#EKV007064_ARG_S" u="1"/>
        <s v="EKV007064_PAT10_L" u="1"/>
        <s v="EKV007064_COB_XL" u="1"/>
        <s v="EKV007064_ARG_L" u="1"/>
        <s v="EKV007064_PAT34_XXL" u="1"/>
        <s v="EKV007064_DGR_XL" u="1"/>
        <s v="EKV007064_DGR_S" u="1"/>
        <s v="EKY005961_DBG_XXL" u="1"/>
        <s v="EKY005961_CO_S" u="1"/>
        <s v="EKY005961_DBG_S" u="1"/>
        <s v="EKY005961_PAT13_M" u="1"/>
        <s v="EKY005961_CO_M" u="1"/>
        <s v="EKY005961_CO_L" u="1"/>
        <s v="EKY005961_DA_M" u="1"/>
        <s v="EKY005961_DA_S" u="1"/>
        <s v="EKY005961_CO_XL" u="1"/>
        <s v="EKY005961_DBG_XL" u="1"/>
        <s v="EKY005961_CO_XXL" u="1"/>
        <s v="EKY005961_DBG_M" u="1"/>
        <s v="EKY005961_DA_L" u="1"/>
        <s v="EKY005961_DA_XXL" u="1"/>
        <s v="EKY005961_DBG_L" u="1"/>
        <s v="EKY005961_DA_XL" u="1"/>
        <s v="EKY006462_PAT1_XL" u="1"/>
        <s v="EKY006462_PAT1_XXL" u="1"/>
        <s v="EKY006462_PAT2_L" u="1"/>
        <s v="EKY006462_B_L" u="1"/>
        <s v="EKY006462_B_XL" u="1"/>
        <s v="EKY006462_PAT1_L" u="1"/>
        <s v="EKY006462_PAT2_XXL" u="1"/>
        <s v="EKY006462_PAT2_XL" u="1"/>
        <s v="EKY006462_PAT3_L" u="1"/>
        <s v="EKY006462_PAT2_M" u="1"/>
        <s v="EKY006462_B_XXXL" u="1"/>
        <s v="EKY006462_PAT2_S" u="1"/>
        <s v="EKY006462_PAT2_XXXL" u="1"/>
        <s v="EKY006462_PAT1_M" u="1"/>
        <s v="EKY006462_B_S" u="1"/>
        <s v="EKY006462_PAT3_XXXL" u="1"/>
        <s v="EKY006462_B_M" u="1"/>
        <s v="EKY006462_PAT1_S" u="1"/>
        <s v="EKV006903_PAT34_XXL" u="1"/>
        <s v="EKV006903_PAT34_L" u="1"/>
        <s v="EKV006903_PAT34_XXXL" u="1"/>
        <s v="EKV006903_PAT34_S" u="1"/>
        <s v="EKV006903_PAT34_M" u="1"/>
        <s v="EKV006903_PAT34_XL" u="1"/>
        <s v="EKV006903_PAT35_S" u="1"/>
        <s v="EKV006903_PAT35_XXL" u="1"/>
        <s v="EKV006903_PAT35_M" u="1"/>
        <s v="EKV006903_PAT35_XXXL" u="1"/>
        <s v="EKV006903_PAT35_L" u="1"/>
        <s v="EKV006903_PAT35_XL" u="1"/>
        <s v="EKY005961_PAT11_XXL" u="1"/>
        <s v="EKY005961_PAT11_L" u="1"/>
        <s v="EKY005961_PAT12_M" u="1"/>
        <s v="EKY005961_PAT11_M" u="1"/>
        <s v="EKY005961_PAT12_XL" u="1"/>
        <s v="EKY005961_PAT6_S" u="1"/>
        <s v="EKY005961_PAT11_S" u="1"/>
        <s v="EKY005961_PAT6_L" u="1"/>
        <s v="EKY005961_PAT12_XXL" u="1"/>
        <s v="EKY005961_PAT6_XL" u="1"/>
        <s v="EKY005961_PAT6_XXL" u="1"/>
        <s v="EKK009956_PAT9_S" u="1"/>
        <s v="EKK009956_PAT7_S" u="1"/>
        <s v="EKK006107_BL_S" u="1"/>
        <s v="EKK006107_DG_XXL" u="1"/>
        <s v="EKK006107_BL_XL" u="1"/>
        <s v="EKY006545_WI_XL" u="1"/>
        <s v="EKY006545_WI_XXL" u="1"/>
        <s v="EKY006545_WI_S" u="1"/>
        <s v="EKY006545_CLB_XXL" u="1"/>
        <s v="EKY006545_WI_L" u="1"/>
        <s v="EKY006545_WI_M" u="1"/>
        <s v="EKY006545_CLB_XL" u="1"/>
        <s v="EKY006545_CLB_S" u="1"/>
        <s v="EKY006545_CLB_M" u="1"/>
        <s v="EKY006545_CLB_L" u="1"/>
        <s v="EKV007154_PAT3_L#" u="1"/>
        <s v="EKV007154_PAT2_M#" u="1"/>
        <s v="EKV007154_PAT1_L#" u="1"/>
        <s v="EKV007154_PAT3_XXXL#" u="1"/>
        <s v="EKV007154_PAT2_XXL#" u="1"/>
        <s v="EKV007154_PAT3_XL#" u="1"/>
        <s v="EKV007154_PAT2_S#" u="1"/>
        <s v="EKV007154_PAT1_XXXL#" u="1"/>
        <s v="EKV007154_PAT1_M#" u="1"/>
        <s v="EKV007154_PAT2_XXXL#" u="1"/>
        <s v="EKV007154_PAT2_XL#" u="1"/>
        <s v="EKV007154_PAT2_L#" u="1"/>
        <s v="EKV007154_PAT3_XXL#" u="1"/>
        <s v="EKV007154_PAT1_S#" u="1"/>
        <s v="EKV007154_PAT3_S#" u="1"/>
        <s v="EKV007154_PAT1_XL#" u="1"/>
        <s v="EKV007154_PAT3_M#" u="1"/>
        <s v="EKY005991_PU_XL" u="1"/>
        <s v="EKY005991_PAT1_XL" u="1"/>
        <s v="EKY005421_PAT1_L#" u="1"/>
        <s v="EKY005421_DNB_XXL#" u="1"/>
        <s v="EKY005421_DG_XXL#" u="1"/>
        <s v="EKY005421_NB_M#" u="1"/>
        <s v="EKY005421_PU_XL#" u="1"/>
        <s v="EKY005421_B_M#" u="1"/>
        <s v="EKY005421_DNB_M#" u="1"/>
        <s v="EKY005421_DG_M#" u="1"/>
        <s v="EKY005421_DG_XL#" u="1"/>
        <s v="EKY005421_DG_L#" u="1"/>
        <s v="EKY005421_PU_L#" u="1"/>
        <s v="EKY005421_OR_XXL#" u="1"/>
        <s v="EKY005421_NB_S#" u="1"/>
        <s v="EKY005421_DNB_L#" u="1"/>
        <s v="EKY005421_DG_S#" u="1"/>
        <s v="EKY005421_NB_XXL#" u="1"/>
        <s v="EKY005421_B_L#" u="1"/>
        <s v="EKY005421_PAT1_XXL#" u="1"/>
        <s v="EKY005421_PU_S#" u="1"/>
        <s v="EKY005421_B_XXL#" u="1"/>
        <s v="EKY005421_NB_L#" u="1"/>
        <s v="EKY005421_B_S#" u="1"/>
        <s v="EKY005421_DNB_S#" u="1"/>
        <s v="EKY005421_NB_XL#" u="1"/>
        <s v="EKY005421_B_XL#" u="1"/>
        <s v="EKY005421_DNB_XL#" u="1"/>
        <s v="EKX005599_GB_XXXL##" u="1"/>
        <s v="EKX005599_NB01_XS" u="1"/>
        <s v="EKX005599_SKB_XS" u="1"/>
        <s v="EK002499_PU2_XL" u="1"/>
        <s v="EK002499_PU2_L" u="1"/>
        <s v="EK002499_PU2_M" u="1"/>
        <s v="EKK009904_PON_M" u="1"/>
        <s v="EKK009904_B5_XXXL" u="1"/>
        <s v="EKK009904_PAT9_M" u="1"/>
        <s v="EKK009904_BL_M" u="1"/>
        <s v="EKK009904_PU_M" u="1"/>
        <s v="EKK009607_B_XXXL" u="1"/>
        <s v="EKY006992_LIL_S" u="1"/>
        <s v="EKY006992_LIL_L" u="1"/>
        <s v="EKK007661_LBL_XL#" u="1"/>
        <s v="EKY006292_B_M" u="1"/>
        <s v="EKY006292_B_XXL" u="1"/>
        <s v="EKY006292_BUG_M" u="1"/>
        <s v="EKY006292_NA_L" u="1"/>
        <s v="EKY006292_LIL_XL" u="1"/>
        <s v="EKY006292_LIL_L" u="1"/>
        <s v="EKY006292_LIL_S" u="1"/>
        <s v="EKK009904_DR_L" u="1"/>
        <s v="EKK009904_B5_M" u="1"/>
        <s v="EKK009904_B5_XL" u="1"/>
        <s v="EKY006520_PU_XXL" u="1"/>
        <s v="EKY006520_SKB_XXL" u="1"/>
        <s v="EKY006520_NB_M" u="1"/>
        <s v="EKY006520_NB_L" u="1"/>
        <s v="EKY006520_DC_XXL" u="1"/>
        <s v="EKY006520_DC_S" u="1"/>
        <s v="EKY006520_LIL_S" u="1"/>
        <s v="EKY006520_PU_XL" u="1"/>
        <s v="EKY006520_DG_XXL" u="1"/>
        <s v="EKY006520_NB_XXL" u="1"/>
        <s v="EKY006520_SKB_L" u="1"/>
        <s v="EKY006520_PU_M" u="1"/>
        <s v="EKY006520_PU_S" u="1"/>
        <s v="EKY006520_B_M" u="1"/>
        <s v="EKY006520_B_XL" u="1"/>
        <s v="EKV007173_B_4XL" u="1"/>
        <s v="EKY005361_BUG_M" u="1"/>
        <s v="EKY005361_PU_S" u="1"/>
        <s v="EKY005361_ARG_XXL" u="1"/>
        <s v="EKY005361_ARG_XL" u="1"/>
        <s v="EKY005361_BL_S" u="1"/>
        <s v="EKY005361_LIL_XXL" u="1"/>
        <s v="EKY005361_BUG_L" u="1"/>
        <s v="EKY005361_LIL_M" u="1"/>
        <s v="EKY005361_LIL_S" u="1"/>
        <s v="EKY005361_BUG_S" u="1"/>
        <s v="EKY005361_LIL_L" u="1"/>
        <s v="EKY005361_BL_L" u="1"/>
        <s v="EKY005361_BUG_XXL" u="1"/>
        <s v="EKY005361_ARG_L" u="1"/>
        <s v="EKY005361_ARG_S" u="1"/>
        <s v="EKX005269_PAT7_L" u="1"/>
        <s v="EKX005269_PAT9_S" u="1"/>
        <s v="EKX005269_PAT9_M" u="1"/>
        <s v="EKX005269_PAT9_L" u="1"/>
        <s v="EKX005269_PAT10_XXL" u="1"/>
        <s v="EKX005269_PAT7_M" u="1"/>
        <s v="EKX005269_PAT7_XXL" u="1"/>
        <s v="EKX005269_PAT9_XL" u="1"/>
        <s v="EKX005269_PAT9_XXL" u="1"/>
        <s v="EKX005269_PAT10_L" u="1"/>
        <s v="EKX005269_PAT10_M" u="1"/>
        <s v="EKX005269_PAT11_M" u="1"/>
        <s v="EKX005269_PAT10_S" u="1"/>
        <s v="EKX005269_PAT11_S" u="1"/>
        <s v="EKX005269_PAT10_XL" u="1"/>
        <s v="EKX005269_PAT7_XL" u="1"/>
        <s v="EKK009065_SKB_L" u="1"/>
        <s v="EKK009065_SKB_M" u="1"/>
        <s v="EKK009065_SKB_S" u="1"/>
        <s v="EKK009065_SKB_XL" u="1"/>
        <s v="EKK009065_SKB_XXL" u="1"/>
        <s v="AMK005725_LY_S" u="1"/>
        <s v="AMK005725_DG_XL" u="1"/>
        <s v="AMK005725_ROP_XXL" u="1"/>
        <s v="EKV006903_PAT37_S" u="1"/>
        <s v="EKV006903_PAT36_S" u="1"/>
        <s v="EKV006903_PAT39_S" u="1"/>
        <s v="EKV006903_PAT37_XL" u="1"/>
        <s v="EKV006903_PAT36_XL" u="1"/>
        <s v="EKV006903_PAT37_XXL" u="1"/>
        <s v="EKV006903_PAT39_XXXL" u="1"/>
        <s v="EKV006903_PAT36_XXXL" u="1"/>
        <s v="EKV006903_PAT39_XL" u="1"/>
        <s v="EKV006903_PAT39_XXL" u="1"/>
        <s v="EKV006903_PAT40_XXL" u="1"/>
        <s v="EKV006903_PAT40_L" u="1"/>
        <s v="EKV006903_PAT40_M" u="1"/>
        <s v="EKV006903_PAT36_L" u="1"/>
        <s v="EKV006903_PAT40_S" u="1"/>
        <s v="EKV006903_PAT36_M" u="1"/>
        <s v="EKV006903_PAT36_XXL" u="1"/>
        <s v="EKV006903_PAT37_L" u="1"/>
        <s v="EKV006903_PAT37_XXXL" u="1"/>
        <s v="EKV006903_PAT40_XL" u="1"/>
        <s v="EKV006903_PAT39_M" u="1"/>
        <s v="EKV006903_PAT37_M" u="1"/>
        <s v="EKV006903_PAT40_XXXL" u="1"/>
        <s v="EKV006903_PAT39_L" u="1"/>
        <s v="EKV007156_PAT6_XL#" u="1"/>
        <s v="EKV007156_PAT10_XL" u="1"/>
        <s v="EKV007156_PAT6_S#" u="1"/>
        <s v="EKV007156_PT4_L#" u="1"/>
        <s v="EKV007156_PAT9_XL" u="1"/>
        <s v="EKV007156_PAT10_M" u="1"/>
        <s v="EKV007156_PAT10_S" u="1"/>
        <s v="EKV007064_PAT7_XXL" u="1"/>
        <s v="EKV007064_PAT7_XL" u="1"/>
        <s v="EKV007064_PAT7_S" u="1"/>
        <s v="EKV007064_PAT7_M" u="1"/>
        <s v="EKV007064_PAT7_L" u="1"/>
        <s v="EKV007064_PAT4_XXL" u="1"/>
        <s v="EKV007064_PAT4_S" u="1"/>
        <s v="EKV007064_PAT4_L" u="1"/>
        <s v="EKV007064_PAT33_XXL" u="1"/>
        <s v="EKV007064_PAT33_XL" u="1"/>
        <s v="EKV007064_PAT33_L" u="1"/>
        <s v="EKV007064_PAT31_XXL" u="1"/>
        <s v="EKV007064_PAT31_XL" u="1"/>
        <s v="EKV007064_PAT31_S" u="1"/>
        <s v="EKV007064_PAT31_M" u="1"/>
        <s v="EKV007064_PAT27_M" u="1"/>
        <s v="EKV007064_PAT26_XXL" u="1"/>
        <s v="EKV007064_PAT26_XL" u="1"/>
        <s v="EKV007064_PAT26_L" u="1"/>
        <s v="EKV007064_PAT25_XL" u="1"/>
        <s v="EKV007064_PAT25_S" u="1"/>
        <s v="EKV007064_PAT25_M" u="1"/>
        <s v="EKV007064_PAT25_L" u="1"/>
        <s v="EKV007064_PAT24_XL" u="1"/>
        <s v="EKV007064_PAT24_S" u="1"/>
        <s v="EKV007064_PAT24_L" u="1"/>
        <s v="EKV007064_PAT23_XXL" u="1"/>
        <s v="EKV007064_PAT23_S" u="1"/>
        <s v="EKV007064_PAT22_XXL" u="1"/>
        <s v="EKV007064_PAT22_XL" u="1"/>
        <s v="EKV007064_PAT22_M" u="1"/>
        <s v="EKV007064_PAT22_L" u="1"/>
        <s v="EKV007064_PAT21_S" u="1"/>
        <s v="EKV007064_PAT20_S" u="1"/>
        <s v="EKV007064_PAT19_S" u="1"/>
        <s v="EKV007064_PAT19_XL" u="1"/>
        <s v="EKV007064_PAT17_XXL" u="1"/>
        <s v="EKV007064_PAT17_XL" u="1"/>
        <s v="EKV007064_PAT17_S" u="1"/>
        <s v="EKV007064_PAT17_M" u="1"/>
        <s v="EKV007064_PAT17_L" u="1"/>
        <s v="EKV007064_PAT15_XXL" u="1"/>
        <s v="EKV007064_PAT15_S" u="1"/>
        <s v="AMV007079_GR_L*" u="1"/>
        <s v="EKX005269_ARG_S" u="1"/>
        <s v="EKX005269_RB_L" u="1"/>
        <s v="EKX005269_RB_M" u="1"/>
        <s v="EKX005269_ARG_L" u="1"/>
        <s v="EKX005269_ARG_M" u="1"/>
        <s v="EKX005269_RB_XXL" u="1"/>
        <s v="EKX005269_ARG_XL" u="1"/>
        <s v="EKX005269_ARG_XXL" u="1"/>
        <s v="EKX005269_RB_XL" u="1"/>
        <s v="EKX005269_LB_L" u="1"/>
        <s v="EKX005269_LB_XXL" u="1"/>
        <s v="EKX005269_LB_M" u="1"/>
        <s v="EKX005269_RB_S" u="1"/>
        <s v="EKX005269_LB_S" u="1"/>
        <s v="EKX005269_LB_XL" u="1"/>
        <s v="EKK009904_B5_L" u="1"/>
        <s v="EKY005962_PAT1_XXL#" u="1"/>
        <s v="EKY005962_PAT2_S#" u="1"/>
        <s v="EKY005962_PAT2_XXL#" u="1"/>
        <s v="EKY005962_PAT1_S#" u="1"/>
        <s v="EKY005962_PAT2_L#" u="1"/>
        <s v="EKY005962_PAT2_XL#" u="1"/>
        <s v="EKY005962_PAT1_M#" u="1"/>
        <s v="EKY005962_PAT1_L#" u="1"/>
        <s v="EKY005962_PAT2_M#" u="1"/>
        <s v="EKY005962_PAT1_XL#" u="1"/>
        <s v="EKV007146_PAT1_S" u="1"/>
        <s v="EKV007146_PAT1_XXL" u="1"/>
        <s v="AMK005725_DE_L" u="1"/>
        <s v="AMK005725_DGR_XL" u="1"/>
        <s v="AMK005725_DG_XS" u="1"/>
        <s v="AMK005725_DG_S" u="1"/>
        <s v="AMK005725_DG_M" u="1"/>
        <s v="AMK005725_PEB2_XS" u="1"/>
        <s v="AMK005725_ROP_L" u="1"/>
        <s v="AMK005725_ROP_S" u="1"/>
        <s v="AMK005725_LIL_XS" u="1"/>
        <s v="AMK005725_PEB_L" u="1"/>
        <s v="AMK005725_DA_S" u="1"/>
        <s v="AMK005725_PAT1_XS" u="1"/>
        <s v="AMK005725_BRR_XL" u="1"/>
        <s v="AMK005725_RBL_XL" u="1"/>
        <s v="EKX005277_GP10_XL" u="1"/>
        <s v="EKX005599_DGR_M#" u="1"/>
        <s v="EKX005599_AQG_S##" u="1"/>
        <s v="EKV007064_DC_XXL" u="1"/>
        <s v="EKV007064_SB2_S" u="1"/>
        <s v="EKV007064_AQG_L" u="1"/>
        <s v="EKV007064_AQG_M" u="1"/>
        <s v="EKV007064_OR2_S" u="1"/>
        <s v="EKV007064_SB2_L" u="1"/>
        <s v="EKV007064_SB2_M" u="1"/>
        <s v="EKV007064_AQG_XXL" u="1"/>
        <s v="EKV007064_OR2_M" u="1"/>
        <s v="EKV007064_OR2_L" u="1"/>
        <s v="EKV007064_SB2_XXL" u="1"/>
        <s v="EKV007064_OR2_XXL" u="1"/>
        <s v="EKV007064_DC_XL" u="1"/>
        <s v="EKV007064_SB2_XL" u="1"/>
        <s v="EKV007064_DC_M" u="1"/>
        <s v="EKV007064_AQG_XL" u="1"/>
        <s v="EKV007064_DC_L" u="1"/>
        <s v="EKV007064_OR2_XL" u="1"/>
        <s v="EKV007064_DC_S" u="1"/>
        <s v="EKV007064_AQG_S" u="1"/>
        <s v="EKK006095_ARG_M" u="1"/>
        <s v="EKK006095_PAT3_L" u="1"/>
        <s v="EKK006095_PAT3_M" u="1"/>
        <s v="EKK006095_PAT10_M" u="1"/>
        <s v="EKK006095_WI_L" u="1"/>
        <s v="EKK006095_PU_S" u="1"/>
        <s v="EKK006095_NB_M" u="1"/>
        <s v="EKV006713_PAT1_M" u="1"/>
        <s v="EKV006713_PAT1_XL" u="1"/>
        <s v="EKV006713_PAT1_XXL" u="1"/>
        <s v="EKV006713_PAT1_XXXL" u="1"/>
        <s v="EKY006977_PAT20_XL" u="1"/>
        <s v="EKY006977_PAT15_XXL" u="1"/>
        <s v="EKY006977_PAT15_L" u="1"/>
        <s v="EKY006977_PAT15_XXXL" u="1"/>
        <s v="EKY006977_PAT15_XL" u="1"/>
        <s v="EKY006977_PAT5_XXL#" u="1"/>
        <s v="EKY006977_PAT19_XL" u="1"/>
        <s v="EKY006977_PAT17_XL" u="1"/>
        <s v="EKY006977_PAT19_XXXL" u="1"/>
        <s v="EKY006977_PAT20_L" u="1"/>
        <s v="EKY006977_PAT19_L" u="1"/>
        <s v="EKY006520_B_L" u="1"/>
        <s v="EKY006520_DG_M" u="1"/>
        <s v="EKK005472_PAT9_XL" u="1"/>
        <s v="EKK005472_PAT11_XL" u="1"/>
        <s v="EKK005472_PAT11_S" u="1"/>
        <s v="EKK005472_PAT9_M" u="1"/>
        <s v="EKK005472_PAT9_L" u="1"/>
        <s v="EKK005472_PAT9_XS" u="1"/>
        <s v="EKK005472_PAT9_S" u="1"/>
        <s v="EKK006095_PAT10_XL" u="1"/>
        <s v="EKK006095_PAT10_L" u="1"/>
        <s v="EKV006995_PU_4XL" u="1"/>
        <s v="EKV006995_BL_4XL" u="1"/>
        <s v="EKK009079_PP_XL" u="1"/>
        <s v="EKK009079_WR_S" u="1"/>
        <s v="EKK009079_PAT6_M" u="1"/>
        <s v="EKK009079_WR_XXL" u="1"/>
        <s v="EKK009079_WR_XL" u="1"/>
        <s v="EKK009079_PP_M" u="1"/>
        <s v="EKK009079_PAT3_XXL" u="1"/>
        <s v="EKK009079_PAT6_XXL" u="1"/>
        <s v="EKK009079_PAT7_XXL" u="1"/>
        <s v="EKK009079_PAT7_S" u="1"/>
        <s v="EKK009079_PAT9_XXL" u="1"/>
        <s v="EKK009079_PAT2_S" u="1"/>
        <s v="AMK009079_PAT2_M" u="1"/>
        <s v="EKK006043_PAT9_XXL" u="1"/>
        <s v="EKK006043_NB1_M" u="1"/>
        <s v="EKK006043_PON_L" u="1"/>
        <s v="EKK006043_PON_M" u="1"/>
        <s v="EKK006043_PON_XL" u="1"/>
        <s v="EKK006043_BL_S" u="1"/>
        <s v="EKK006043_PON_XXL" u="1"/>
        <s v="EKK005472_DBG_S" u="1"/>
        <s v="EKK005472_DBG_L" u="1"/>
        <s v="EKK005472_DBG_M" u="1"/>
        <s v="EKK005472_DBG_XL" u="1"/>
        <s v="EKY005361_BUG_XL" u="1"/>
        <s v="EKY005361_ARG_M" u="1"/>
        <s v="EKY005361_BL_XXL" u="1"/>
        <s v="EKY005361_BL_M" u="1"/>
        <s v="EKY005361_BL_XL" u="1"/>
        <s v="EKY005361_LIL_XL" u="1"/>
        <s v="EDY000040_B_M" u="1"/>
        <s v="EDY000040_B_XL" u="1"/>
        <s v="EDY000040_B_XXL" u="1"/>
        <s v="EDY000040_DG_S" u="1"/>
        <s v="EDY000040_DG_M" u="1"/>
        <s v="EDY000040_DG_XXL" u="1"/>
        <s v="EDY000040_NB_L" u="1"/>
        <s v="EDY000040_NB_XL" u="1"/>
        <s v="EDY000040_NB_XXL" u="1"/>
        <s v="EDY000040_LIL_S" u="1"/>
        <s v="EDY000040_LIL_M" u="1"/>
        <s v="EDY000040_LIL_XL" u="1"/>
        <s v="EDY000040_WR_S" u="1"/>
        <s v="EDY000040_WR_M" u="1"/>
        <s v="EDY000040_WR_XL" u="1"/>
        <s v="EDY000040_WR_XXL" u="1"/>
        <s v="EKY005236_PAT6_XL" u="1"/>
        <s v="EKY005236_CLB_XXL" u="1"/>
        <s v="EKY005236_B_M" u="1"/>
        <s v="EKY005236_LGT_XL" u="1"/>
        <s v="EKK006095_PAT7_XL" u="1"/>
        <s v="EKK006095_PAT9_M" u="1"/>
        <s v="EKK006095_DG_XL" u="1"/>
        <s v="EKK006095_PAT9_XXL" u="1"/>
        <s v="EKY006392_B_XXL" u="1"/>
        <s v="EKY006392_ARG_XXL" u="1"/>
        <s v="EKK005512_PAT9_M" u="1"/>
        <s v="EKV007123_AQG_M" u="1"/>
        <s v="EKV007123_AQG_S" u="1"/>
        <s v="EKV007123_NA_L" u="1"/>
        <s v="EKV007123_NA_M" u="1"/>
        <s v="EKV007123_NA_XL" u="1"/>
        <s v="EKV007123_NA_XXL" u="1"/>
        <s v="EKV007123_PU_L" u="1"/>
        <s v="EKV007123_PU_M" u="1"/>
        <s v="EKV007123_PU_XL" u="1"/>
        <s v="ETV007123_DG_XXL" u="1"/>
        <s v="EKY006999_A_XL" u="1"/>
        <s v="EKY006999_KH_L" u="1"/>
        <s v="EKY006999_G_L" u="1"/>
        <s v="EKY006999_G_XXL" u="1"/>
        <s v="EKY006999_GR_S" u="1"/>
        <s v="EKY006999_NA_L" u="1"/>
        <s v="EKY006999_G_S" u="1"/>
        <s v="EKY006999_B_XXL" u="1"/>
        <s v="EKY006999_NA_S" u="1"/>
        <s v="EKY006999_GR_XL" u="1"/>
        <s v="EKY006999_B_XL" u="1"/>
        <s v="EKY006999_NA_XL" u="1"/>
        <s v="EKY006999_NA_XXL" u="1"/>
        <s v="EKY006999_KH_XXL" u="1"/>
        <s v="EKY006999_A_XXL" u="1"/>
        <s v="EKY006999_KH_S" u="1"/>
        <s v="EKY006999_A_M" u="1"/>
        <s v="EKY006999_GR_L" u="1"/>
        <s v="EKY006999_KH_M" u="1"/>
        <s v="EKY006999_GR_XXL" u="1"/>
        <s v="EKY006999_A_L" u="1"/>
        <s v="EKY006999_B_S" u="1"/>
        <s v="EKY006999_G_XL" u="1"/>
        <s v="EKY006999_GR_M" u="1"/>
        <s v="EKY006999_G_M" u="1"/>
        <s v="EKY006999_KH_XL" u="1"/>
        <s v="EKY006999_A_S" u="1"/>
        <s v="EKK005472_PAT2_XXL" u="1"/>
        <s v="EKK005472_PAT10_M" u="1"/>
        <s v="EKK005472_PAT11_XXL" u="1"/>
        <s v="EKK005472_PAT10_L" u="1"/>
        <s v="EKK005472_PAT9_XXL" u="1"/>
        <s v="EKK009904_A_XL" u="1"/>
        <s v="EKK009904_PAT2_XXXL" u="1"/>
        <s v="EKY006461_WR_L" u="1"/>
        <s v="EKY006461_WR_XXXL" u="1"/>
        <s v="EKY006461_LGT_XXXL" u="1"/>
        <s v="EKX005277_GP30_XL" u="1"/>
        <s v="EKX005277_GP31_S" u="1"/>
        <s v="EKX005277_GP30_S" u="1"/>
        <s v="EKY006919_PAT6_XXL" u="1"/>
        <s v="EKY006919_LK_L" u="1"/>
        <s v="EKY006919_PAT5_XXL" u="1"/>
        <s v="EKY006919_PAT6_L" u="1"/>
        <s v="EKY006919_PAT6_XL" u="1"/>
        <s v="EKY006919_LK_XXL" u="1"/>
        <s v="EKY006919_PAT5_S" u="1"/>
        <s v="EKK009999_WI_L" u="1"/>
        <s v="EKK009999_PEB_XXL" u="1"/>
        <s v="EKK009999_DGR_M" u="1"/>
        <s v="EKK009999_DGR_L" u="1"/>
        <s v="EKK009999_PEB_M" u="1"/>
        <s v="EKK009999_WI_M" u="1"/>
        <s v="EKK009999_DG_XL" u="1"/>
        <s v="EKK009999_DG_S" u="1"/>
        <s v="EKK009999_DG_M" u="1"/>
        <s v="EKK009999_PAT5_L" u="1"/>
        <s v="EKK009999_DG_L" u="1"/>
        <s v="EKK009999_WI_XL" u="1"/>
        <s v="EKK009999_PAT6_M" u="1"/>
        <s v="EKK009999_PEB_S" u="1"/>
        <s v="EKK009999_PEB_XL" u="1"/>
        <s v="EKK009999_PEB_L" u="1"/>
        <s v="EKK009999_PP_XXL" u="1"/>
        <s v="EKK009999_MGT_L" u="1"/>
        <s v="EKK009999_MGT_XXL" u="1"/>
        <s v="EKK009999_PAT6_XL" u="1"/>
        <s v="EKK009999_PAT6_S" u="1"/>
        <s v="EKK009999_PAT6_XXL" u="1"/>
        <s v="EKK009999_PAT5_M" u="1"/>
        <s v="EKK009999_PAT5_S" u="1"/>
        <s v="EKV007025_DGR_M#" u="1"/>
        <s v="EKV007025_NA_S" u="1"/>
        <s v="EKV007025_PU_XL" u="1"/>
        <s v="EDY000040_CH_S" u="1"/>
        <s v="EDY000040_CH_XXL" u="1"/>
        <s v="EDY000040_CH_XL" u="1"/>
        <s v="EDY000040_CH_M" u="1"/>
        <s v="EKK009320_PAT6_M" u="1"/>
        <s v="EKK009320_PAT6_L" u="1"/>
        <s v="EKK009320_PAT9_S" u="1"/>
        <s v="EKK009320_PAT6_S" u="1"/>
        <s v="AM000517_PAT7_XL" u="1"/>
        <s v="EKY005272_WR_XXXL#*" u="1"/>
        <s v="EKY005272_LGT_XXXL#*" u="1"/>
        <s v="EKY005272_DG_XXXL#" u="1"/>
        <s v="EKY005272_PP_XXXL#*" u="1"/>
        <s v="EKY005272_PU2_XXXL#*" u="1"/>
        <s v="EKY005272_DBG_XXXL#" u="1"/>
        <s v="EKY006993_CLB_XL" u="1"/>
        <s v="EKY006993_LIL_XXL" u="1"/>
        <s v="EKY006993_LC_XXL" u="1"/>
        <s v="EKY006993_RR_M" u="1"/>
        <s v="EKY006993_CLB_L" u="1"/>
        <s v="EKY006993_RR_S" u="1"/>
        <s v="EKY006993_RR_XXL" u="1"/>
        <s v="EKY006993_LC_M" u="1"/>
        <s v="EKY006993_RR_XL" u="1"/>
        <s v="EKY006993_CLB_S" u="1"/>
        <s v="EKY006993_LK_XXL#" u="1"/>
        <s v="EKY006993_LC_L" u="1"/>
        <s v="EKY005192_PAT1_XXL" u="1"/>
        <s v="EKY005192_PAT1_XL" u="1"/>
        <s v="EKY005192_PAT1_L" u="1"/>
        <s v="EKY005192_PAT1_M" u="1"/>
        <s v="EKY006779_B_XL" u="1"/>
        <s v="EKY006779_MGT_L" u="1"/>
        <s v="EKY006779_MGT_M" u="1"/>
        <s v="EKY006779_MGT_XL" u="1"/>
        <s v="EKY006779_MGT_XXL" u="1"/>
        <s v="EKY006779_NB_L" u="1"/>
        <s v="EKY006779_NB_XL" u="1"/>
        <s v="EKY006779_NB_XXL" u="1"/>
        <s v="EKY006779_WR_L" u="1"/>
        <s v="EKY006779_WR_M" u="1"/>
        <s v="EKY006779_WR_S" u="1"/>
        <s v="EKY006779_WR_XL" u="1"/>
        <s v="EKY006993_LC_XL" u="1"/>
        <s v="EKY006993_RR_L" u="1"/>
        <s v="EKY005099_AQG_XL" u="1"/>
        <s v="EKY005099_LIL_M" u="1"/>
        <s v="EKY005099_BL_XL" u="1"/>
        <s v="EKY005099_BL_S" u="1"/>
        <s v="EKY005099_ARG_XL" u="1"/>
        <s v="EKY005099_LIL_XL" u="1"/>
        <s v="EKY005099_WI_M" u="1"/>
        <s v="EKY005099_WI_L" u="1"/>
        <s v="EKY005099_AQG_L" u="1"/>
        <s v="EKY005099_BL_XXL" u="1"/>
        <s v="EKY005099_WI_S" u="1"/>
        <s v="EKY005099_AQG_S" u="1"/>
        <s v="EKY005099_NA_XL" u="1"/>
        <s v="EKY005099_PAT5_M" u="1"/>
        <s v="EKY005099_PU_S" u="1"/>
        <s v="EKY005099_RR_L" u="1"/>
        <s v="EKY005099_NA_S" u="1"/>
        <s v="EKY005099_PAT5_XL" u="1"/>
        <s v="EKY005099_NA_XXL" u="1"/>
        <s v="EK001337_B_XS" u="1"/>
        <s v="EK001337_B_S" u="1"/>
        <s v="EK001337_B_M" u="1"/>
        <s v="EK001337_B_L" u="1"/>
        <s v="EK001337_B_XL" u="1"/>
        <s v="EK001337_B_XXL" u="1"/>
        <s v="AM001337_W_S" u="1"/>
        <s v="AM001337_W_M" u="1"/>
        <s v="AM001337_W_XL" u="1"/>
        <s v="AM001337_R_L" u="1"/>
        <s v="AM001337_R_XL" u="1"/>
        <s v="AM001337_R_XXL" u="1"/>
        <s v="AM001337_NB_S" u="1"/>
        <s v="AM001337_NB_M" u="1"/>
        <s v="AM001337_NB_XL" u="1"/>
        <s v="EK001337_WR_XS" u="1"/>
        <s v="EK001337_WR_S" u="1"/>
        <s v="EK001337_WR_M" u="1"/>
        <s v="EK001337_WR_L" u="1"/>
        <s v="EK001337_WR_XL" u="1"/>
        <s v="EK001337_WR_XXL" u="1"/>
        <s v="EK001337_VA_S" u="1"/>
        <s v="EK001337_VA_M" u="1"/>
        <s v="EK001337_VA_L" u="1"/>
        <s v="EK001337_VA_XL" u="1"/>
        <s v="EK001337_VA_XXL" u="1"/>
        <s v="EK001337_PU_S" u="1"/>
        <s v="EK001337_PU_M" u="1"/>
        <s v="EK001337_PU_L" u="1"/>
        <s v="EK001337_PU_XL#" u="1"/>
        <s v="EK001337_PR_S" u="1"/>
        <s v="EK001337_PR_M" u="1"/>
        <s v="EK001337_PR_L" u="1"/>
        <s v="EK001337_PR_XL" u="1"/>
        <s v="EK001337_PR_XXL" u="1"/>
        <s v="EK001337_PAT5_S" u="1"/>
        <s v="EK001337_PAT5_M" u="1"/>
        <s v="EK001337_PAT5_L" u="1"/>
        <s v="EK001337_PAT5_XL" u="1"/>
        <s v="EK001337_PAT5_XXL" u="1"/>
        <s v="EK001337_PAT4_S" u="1"/>
        <s v="EK001337_PAT4_M" u="1"/>
        <s v="EK001337_PAT4_XL" u="1"/>
        <s v="EK001337_PAT4_XXL" u="1"/>
        <s v="EK001337_NA_S" u="1"/>
        <s v="EK001337_NA_M" u="1"/>
        <s v="EK001337_NA_L" u="1"/>
        <s v="EK001337_LB_S" u="1"/>
        <s v="EK001337_LB_M" u="1"/>
        <s v="EK001337_LB_XL" u="1"/>
        <s v="EK001337_GR_S" u="1"/>
        <s v="EK001337_GR_M" u="1"/>
        <s v="EK001337_GR_L" u="1"/>
        <s v="EK001337_GR_XL" u="1"/>
        <s v="EK001337_GR_XXL" u="1"/>
        <s v="EK001337_G_S" u="1"/>
        <s v="EK001337_G_M" u="1"/>
        <s v="EK001337_G_L" u="1"/>
        <s v="EK001337_G_XL" u="1"/>
        <s v="EK001337_G_XXL" u="1"/>
        <s v="EK001337_DGT_XS" u="1"/>
        <s v="EK001337_DGT_S" u="1"/>
        <s v="EK001337_DGT_M" u="1"/>
        <s v="EK001337_DGT_L" u="1"/>
        <s v="EK001337_DGT_XL" u="1"/>
        <s v="EK001337_DGT_XXL" u="1"/>
        <s v="EK001337_DBL_XS" u="1"/>
        <s v="EK001337_DBL_S" u="1"/>
        <s v="EK001337_DBL_M" u="1"/>
        <s v="EK001337_DBL_L" u="1"/>
        <s v="EK001337_DBL_XL" u="1"/>
        <s v="EK001337_DBL_XXL" u="1"/>
        <s v="EK001337_BRR_S" u="1"/>
        <s v="EK001337_BRR_M" u="1"/>
        <s v="EK001337_BRR_L" u="1"/>
        <s v="EK001337_PAT12_L" u="1"/>
        <s v="EK001337_PAT12_M" u="1"/>
        <s v="EK001337_PAT12_S" u="1"/>
        <s v="EK001337_PAT12_XL" u="1"/>
        <s v="EK001337_PAT12_XXL" u="1"/>
        <s v="EK001337_PAT13_L" u="1"/>
        <s v="EK001337_PAT13_M" u="1"/>
        <s v="EK001337_PAT13_S" u="1"/>
        <s v="EK001337_PAT13_XL" u="1"/>
        <s v="EK001337_MIR_L" u="1"/>
        <s v="EK001337_MIR_M" u="1"/>
        <s v="EK001337_MIR_S" u="1"/>
        <s v="EK001337_MIR_XL" u="1"/>
        <s v="EK001337_MIR_XXL" u="1"/>
        <s v="EK001337_PAT22_L" u="1"/>
        <s v="EK001337_PAT22_M" u="1"/>
        <s v="EK001337_PAT22_S" u="1"/>
        <s v="EK001337_PAT22_XL" u="1"/>
        <s v="EK001337_PAT26_S" u="1"/>
        <s v="EK001337_PAT26_M" u="1"/>
        <s v="EK001337_PAT26_L" u="1"/>
        <s v="EK001337_PAT26_XL" u="1"/>
        <s v="EK001337_PAT26_XXL" u="1"/>
        <s v="EK001337_PAT29_S" u="1"/>
        <s v="EK001337_PAT29_L" u="1"/>
        <s v="EK001337_PAT29_XL" u="1"/>
        <s v="EK001337_PAT30_S" u="1"/>
        <s v="EK001337_PAT30_XL" u="1"/>
        <s v="EK001337_PAT31_S" u="1"/>
        <s v="EK001337_PAT31_L" u="1"/>
        <s v="EK001337_PAT31_XL" u="1"/>
        <s v="EK001337_PAT31_XXL" u="1"/>
        <s v="EK001337_PAT32_S" u="1"/>
        <s v="EK001337_PAT32_M" u="1"/>
        <s v="EK001337_LA_XL" u="1"/>
        <s v="EK001337_CG_XXL" u="1"/>
        <s v="EK001337_CG_XL" u="1"/>
        <s v="EK001337_CG_S" u="1"/>
        <s v="EK001337_W2_S" u="1"/>
        <s v="EK001337_W2_XXL" u="1"/>
        <s v="EK001337_PAT34_S" u="1"/>
        <s v="EK001337_PAT34_M" u="1"/>
        <s v="EK001337_PAT34_L" u="1"/>
        <s v="EKY006461_WR_XXL" u="1"/>
        <s v="EKY006461_CO_L" u="1"/>
        <s v="EKY006461_WR_M" u="1"/>
        <s v="EKY006461_WR_XL" u="1"/>
        <s v="EKY006292_NB2_M" u="1"/>
        <s v="EKY006292_NB2_L" u="1"/>
        <s v="EKY006292_NB2_XL" u="1"/>
        <s v="EKY006292_NB2_S" u="1"/>
        <s v="EKY006292_LIL2_M" u="1"/>
        <s v="EKY006292_LIL2_L" u="1"/>
        <s v="EKY006292_LIL2_S" u="1"/>
        <s v="EKY006292_LC_S" u="1"/>
        <s v="EKY006292_LIL2_XL" u="1"/>
        <s v="EKY006292_LIL2_XXL" u="1"/>
        <s v="EKX005277_BB_S#" u="1"/>
        <s v="EK001337_PAT29_M" u="1"/>
        <s v="EK001337_PAT32_L" u="1"/>
        <s v="AM001337_W_L" u="1"/>
        <s v="AM001337_R_S" u="1"/>
        <s v="AM001337_R_M" u="1"/>
        <s v="EK001337_PUG_M" u="1"/>
        <s v="#EKY006462_PAT1_XXXL" u="1"/>
        <s v="EKY007003_B_XL" u="1"/>
        <s v="EKY007003_W_L" u="1"/>
        <s v="EKY007003_B_M" u="1"/>
        <s v="EKY007003_KH_S" u="1"/>
        <s v="EKY007003_B_S" u="1"/>
        <s v="EKY007003_LA_L" u="1"/>
        <s v="EKY007003_W_XXL" u="1"/>
        <s v="EKY007003_LA_XL" u="1"/>
        <s v="EKY007003_W_M" u="1"/>
        <s v="EKY007003_LA_XXL" u="1"/>
        <s v="EKY007003_ARG_M" u="1"/>
        <s v="EKY007003_LC_L" u="1"/>
        <s v="EKY007003_KH_M" u="1"/>
        <s v="EKY007003_LC_XL" u="1"/>
        <s v="EKY007003_KH_XL" u="1"/>
        <s v="EKY007003_ARG_XXL" u="1"/>
        <s v="EKY007003_ARG_L" u="1"/>
        <s v="EKY007003_KH_L" u="1"/>
        <s v="EKY007003_ARG_S" u="1"/>
        <s v="EKY007003_ARG_XL" u="1"/>
        <s v="EKY007003_KH_XXL" u="1"/>
        <s v="EKY005271_ARG_XL" u="1"/>
        <s v="EKY005271_ARG_XXXL" u="1"/>
        <s v="EK001337_PUG_S" u="1"/>
        <s v="EK001337_PAT39_S" u="1"/>
        <s v="EK001337_PAT39_XL" u="1"/>
        <s v="EK001337_PAT39_XXL" u="1"/>
        <s v="EKY006920_LGT_XXL" u="1"/>
        <s v="EKY006920_LGT_S" u="1"/>
        <s v="EKY006920_LGT_XL" u="1"/>
        <s v="EKY006920_KH_XXL" u="1"/>
        <s v="EKY006920_KH_L" u="1"/>
        <s v="EKY006920_KH_M" u="1"/>
        <s v="EKY006920_WR_XXL" u="1"/>
        <s v="EKY006920_WR_L" u="1"/>
        <s v="EKY006920_WR_M" u="1"/>
        <s v="EKY006920_LGT_L" u="1"/>
        <s v="EKY006920_LGT_M" u="1"/>
        <s v="EKY006920_KH_S" u="1"/>
        <s v="EKY006920_WR_S" u="1"/>
        <s v="EKV007064_PAT4_M" u="1"/>
        <s v="EKV007064_PAT4_XL" u="1"/>
        <s v="EKV007064_PAT24_XXL" u="1"/>
        <s v="EKY005909_PEB_S" u="1"/>
        <s v="EKY005909_PEB_XXXL" u="1"/>
        <s v="EKY005909_B2_S" u="1"/>
        <s v="EKY005909_PEB_XL" u="1"/>
        <s v="EKY005909_PEB_XXL" u="1"/>
        <s v="EKY005909_PEB_L" u="1"/>
        <s v="EKY005909_PEB_4XL" u="1"/>
        <s v="EKK005446_PAT3_L" u="1"/>
        <s v="EKK005446_PAT3_XS" u="1"/>
        <s v="EKK005446_BF_XL" u="1"/>
        <s v="EKK005446_R_S" u="1"/>
        <s v="EKK005446_BF_XXL" u="1"/>
        <s v="EKK005446_B_M" u="1"/>
        <s v="EKK005446_PAT11_XXL" u="1"/>
        <s v="EKK005446_PAT9_XL" u="1"/>
        <s v="EKK005446_WG_XL" u="1"/>
        <s v="EKK005446_T_XXL" u="1"/>
        <s v="EKK005446_BF_XS" u="1"/>
        <s v="EKK005446_T_S" u="1"/>
        <s v="EKK005446_LB_XL" u="1"/>
        <s v="EKK005446_B_XL" u="1"/>
        <s v="EKK005446_PAT3_XL" u="1"/>
        <s v="EKK005446_BF_S" u="1"/>
        <s v="EKK005446_PAT9_XXL" u="1"/>
        <s v="EKY006779_BL_M" u="1"/>
        <s v="EKY006779_B_L" u="1"/>
        <s v="EKY006779_NB_S" u="1"/>
        <s v="EKK009344_PAT5_XXXL" u="1"/>
        <s v="EKK009344_PAT9_M" u="1"/>
        <s v="EKK009344_WI_XXXL" u="1"/>
        <s v="EKK009344_MGT_XXL#" u="1"/>
        <s v="EKK009344_PAT13_XXL" u="1"/>
        <s v="EKK009344_PAT6_L" u="1"/>
        <s v="EKK009344_NA_XL#" u="1"/>
        <s v="EKK009344_BRV_XXL#" u="1"/>
        <s v="EKK009344_BRV_XL#" u="1"/>
        <s v="EKK009344_DGR_XXL##" u="1"/>
        <s v="EKK009344_PAT13_XL" u="1"/>
        <s v="EKK009344_PAT9_S" u="1"/>
        <s v="EKK009344_PAT9_XXL" u="1"/>
        <s v="EKK009344_DSB_L#" u="1"/>
        <s v="EKK009344_MGT_L#" u="1"/>
        <s v="EKK009344_WR_XXL#" u="1"/>
        <s v="EKK009344_DSB_M#" u="1"/>
        <s v="EKK009344_PAT9_XL" u="1"/>
        <s v="EKK009344_SB_M#" u="1"/>
        <s v="EKK009344_NB_M#" u="1"/>
        <s v="EKK009344_WI_XL#" u="1"/>
        <s v="EKK009344_PAT7_L" u="1"/>
        <s v="EKK009344_PAT6_XL" u="1"/>
        <s v="EKK009344_WI_S#" u="1"/>
        <s v="EKK009344_WI_XXL#" u="1"/>
        <s v="EKK009344_WI_L#" u="1"/>
        <s v="EKK009344_BRV_S#" u="1"/>
        <s v="EKK009344_BRV_M#" u="1"/>
        <s v="EKK009344_B_S#" u="1"/>
        <s v="EKK009344_PAT6_XXL" u="1"/>
        <s v="EKK009344_PAT6_M" u="1"/>
        <s v="EKK009344_B_XXXL" u="1"/>
        <s v="EKK009344_PAT19_XXL" u="1"/>
        <s v="EKK009344_PAT16_S" u="1"/>
        <s v="EKK009344_PAT16_M" u="1"/>
        <s v="EKK009344_PAT15_XL" u="1"/>
        <s v="EKK009344_PAT15_XXXL" u="1"/>
        <s v="EKK009344_PAT15_M" u="1"/>
        <s v="EKK009344_LB_L" u="1"/>
        <s v="EKK009344_LB_S" u="1"/>
        <s v="EKK009344_LB_M" u="1"/>
        <s v="EKK009344_LB_XL" u="1"/>
        <s v="EKK009344_LB_XXL" u="1"/>
        <s v="EKK009344_LB_XXXL" u="1"/>
        <s v="EKK009344_R_XL" u="1"/>
        <s v="EKK009344_DSB_XL#" u="1"/>
        <s v="EKK009344_NB_S##" u="1"/>
        <s v="EKK009344_WR_M#" u="1"/>
        <s v="EKK009344_DG_L##" u="1"/>
        <s v="EKK009344_BL_XXL##" u="1"/>
        <s v="EKK009344_DG_XXL##" u="1"/>
        <s v="EKK009344_DGR_XXXL" u="1"/>
        <s v="EKK009344_PAT17_XXXL" u="1"/>
        <s v="EKK009344_WR_L#" u="1"/>
        <s v="EKK009344_PAT3_L#" u="1"/>
        <s v="EKK009344_WR_XL#" u="1"/>
        <s v="EKK009344_SB_XL#" u="1"/>
        <s v="EKK009344_DG_XL" u="1"/>
        <s v="EKK009344_MGT_XXXL" u="1"/>
        <s v="EKK009344_NA_XXXL" u="1"/>
        <s v="EKK009344_PAT3_XXXL" u="1"/>
        <s v="EKK009344_NB_L#" u="1"/>
        <s v="EKK009344_DG_S" u="1"/>
        <s v="EKK009344_PAT16_L" u="1"/>
        <s v="EKK009344_PAT17_XL" u="1"/>
        <s v="EKK009344_PAT16_XL" u="1"/>
        <s v="EKK009344_PAT15_XXL" u="1"/>
        <s v="EKK009344_PAT17_S" u="1"/>
        <s v="EKK009344_PAT19_S" u="1"/>
        <s v="EKK009344_PAT16_XXXL" u="1"/>
        <s v="EKK009344_PAT19_XL" u="1"/>
        <s v="EKK009344_PAT15_S" u="1"/>
        <s v="EKK009344_PAT16_XXL" u="1"/>
        <s v="EKK009344_PAT17_L" u="1"/>
        <s v="EKK009344_PAT15_L" u="1"/>
        <s v="EKK009344_PAT19_L" u="1"/>
        <s v="EKK009344_PAT17_XXL" u="1"/>
        <s v="EKK009344_NB_XL#" u="1"/>
        <s v="EKK009344_PAT9_L##" u="1"/>
        <s v="EKK009344_BL_XL" u="1"/>
        <s v="EKK009344_PAT4_XXL" u="1"/>
        <s v="EKK009344_PAT5_S" u="1"/>
        <s v="EKK009344_PAT4_L" u="1"/>
        <s v="EKK009344_PAT5_XXL" u="1"/>
        <s v="EKK009344_PAT4_S" u="1"/>
        <s v="EKK009344_PAT5_M" u="1"/>
        <s v="EKK009344_PAT5_L" u="1"/>
        <s v="EKK009344_PAT5_XL" u="1"/>
        <s v="EKK009344_PAT4_XL" u="1"/>
        <s v="EKK009344_NA_L#" u="1"/>
        <s v="EKK009344_DG_M" u="1"/>
        <s v="EKK009344_BL_M" u="1"/>
        <s v="EKK009344_BL_L" u="1"/>
        <s v="EKK009344_B_XL#" u="1"/>
        <s v="EKK009344_NA_M#" u="1"/>
        <s v="EKK009344_BL_XXXL" u="1"/>
        <s v="EKK009344_WR_XXXL" u="1"/>
        <s v="EKK009344_BL_S" u="1"/>
        <s v="EKK009344_DG_XXXL" u="1"/>
        <s v="EKK009344_BRV_XXXL" u="1"/>
        <s v="EKK009344_DSB_S#" u="1"/>
        <s v="EKK009344_WI_M#" u="1"/>
        <s v="EKK009344_PAT4_XXXL" u="1"/>
        <s v="EKK009344_PAT6_XXXL" u="1"/>
        <s v="EKK009344_NB_XXXL" u="1"/>
        <s v="EKK009344_MGT_M#" u="1"/>
        <s v="EKK009344_PAT9_XXXL" u="1"/>
        <s v="EKK009344_NB_XXL#" u="1"/>
        <s v="EKK009344_SB_S#" u="1"/>
        <s v="EKK009344_NA_XXL#" u="1"/>
        <s v="EKK009344_B_L#" u="1"/>
        <s v="EKK009344_B_XXL#" u="1"/>
        <s v="EKK009344_PAT3_XXL#" u="1"/>
        <s v="EKK009344_NA_S#" u="1"/>
        <s v="EKK009344_MGT_S#" u="1"/>
        <s v="EKK009344_MGT_XL#" u="1"/>
        <s v="EKK009344_B_M#" u="1"/>
        <s v="EKK009344_DGR_XL#" u="1"/>
        <s v="EKK009126_BUG_M" u="1"/>
        <s v="EKK009126_BUG_S" u="1"/>
        <s v="EKK009126_BUG_XXL" u="1"/>
        <s v="EKK009126_BUG_L" u="1"/>
        <s v="EKK009126_PAT2_M##" u="1"/>
        <s v="EKK009126_PAT2_XXL##" u="1"/>
        <s v="EKK009126_PAT2_L##" u="1"/>
        <s v="EKK009126_PAT2_XL##" u="1"/>
        <s v="EKK009126_NB_L##" u="1"/>
        <s v="EKK009126_MGT_M" u="1"/>
        <s v="EKK009126_MGT_S" u="1"/>
        <s v="EKK009126_MGT_XL" u="1"/>
        <s v="EKK007661_DG_S" u="1"/>
        <s v="EKK007661_R_L" u="1"/>
        <s v="EKY005999_PAT1_XL#" u="1"/>
        <s v="EKY005999_PAT1_S#" u="1"/>
        <s v="EKY005999_PAT1_L#" u="1"/>
        <s v="EKY005999_PAT1_M#" u="1"/>
        <s v="EKY005999_PAT2_XXL#" u="1"/>
        <s v="EKY005999_PAT2_XL#" u="1"/>
        <s v="EKY005999_PAT2_M#" u="1"/>
        <s v="EKY005999_PAT2_S#" u="1"/>
        <s v="EKY005999_PAT2_L#" u="1"/>
        <s v="EKY005999_PAT3_XXL#" u="1"/>
        <s v="EKY005999_PAT3_L#" u="1"/>
        <s v="EKY005999_PAT3_XL#" u="1"/>
        <s v="EKY005999_PAT3_M#" u="1"/>
        <s v="EKY005999_PAT4_M#" u="1"/>
        <s v="EKY005999_PAT4_L#" u="1"/>
        <s v="EKY005999_PAT4_S#" u="1"/>
        <s v="EKK009126_ARG_M" u="1"/>
        <s v="EKK009126_ARG_L" u="1"/>
        <s v="EKK009126_ARG_XL" u="1"/>
        <s v="EKK009126_ARG_S" u="1"/>
        <s v="EKY006552_DG_XXL" u="1"/>
        <s v="EKY007003_W_XL" u="1"/>
        <s v="EKY007003_B_L" u="1"/>
        <s v="EKY007003_W_S" u="1"/>
        <s v="EKY007003_B_XXL" u="1"/>
        <s v="EKY005271_BUG_XL" u="1"/>
        <s v="EDY000039_W_M" u="1"/>
        <s v="EDY000039_B2_XXL" u="1"/>
        <s v="EDY000039_W_L" u="1"/>
        <s v="EKK009344_PAT10_S" u="1"/>
        <s v="EKK009344_PAT10_L" u="1"/>
        <s v="EKK009344_PAT10_XL" u="1"/>
        <s v="EKK009344_ARG_S" u="1"/>
        <s v="EKK009344_PAT3_XL#" u="1"/>
        <s v="EKK009344_SB_XXL#" u="1"/>
        <s v="EKK009344_DSB_XXL#" u="1"/>
        <s v="EKK009726_B3_L" u="1"/>
        <s v="EKK009344_PAT19_XXXL" u="1"/>
        <s v="EKK009344_PAT14_XL" u="1"/>
        <s v="EKK009344_BL2_XL" u="1"/>
        <s v="EKK009344_BL2_M" u="1"/>
        <s v="EKK009344_BL2_L" u="1"/>
        <s v="EKK009344_BL2_XXL" u="1"/>
        <s v="EKK009344_BL2_S" u="1"/>
        <s v="EKK009344_BL2_XXXL" u="1"/>
        <s v="EKK009344_P_XXXL" u="1"/>
        <s v="EKK009344_P_M" u="1"/>
        <s v="EKK009344_P_XXL" u="1"/>
        <s v="EKK009344_P_XL" u="1"/>
        <s v="EKK009344_P_S" u="1"/>
        <s v="EKK009344_P_L" u="1"/>
        <s v="EKK009344_DGR_M#" u="1"/>
        <s v="EKK009344_PAT17_M" u="1"/>
        <s v="EKY005271_BUG_L" u="1"/>
        <s v="EKY005271_BUG_XXL" u="1"/>
        <s v="EKK009344_PAT1_M#" u="1"/>
        <s v="EKK009344_PAT11_S" u="1"/>
        <s v="EKK009344_PAT11_XXXL" u="1"/>
        <s v="EKK009344_PAT19_M" u="1"/>
        <s v="EKK009344_PAT2_S##" u="1"/>
        <s v="EKK009344_PAT12_S##" u="1"/>
        <s v="EKK009344_PAT4_M" u="1"/>
        <s v="EKK009344_DGR_S#" u="1"/>
        <s v="EKK009344_PAT2_XXL#" u="1"/>
        <s v="EKK009344_SB_XXXL" u="1"/>
        <s v="EKK009344_PAT2_XL#" u="1"/>
        <s v="EKK009344_PAT12_L" u="1"/>
        <s v="EKK009344_DGR_L#" u="1"/>
        <s v="EKK009344_PAT11_XXL" u="1"/>
        <s v="EKK009344_PAT1_XXL#" u="1"/>
        <s v="EKK009344_PAT7_S" u="1"/>
        <s v="EKK009344_BRV_L#" u="1"/>
        <s v="EKK009344_WR_S#" u="1"/>
        <s v="EKK009344_PAT11_XL" u="1"/>
        <s v="EKK009344_SB_L#" u="1"/>
        <s v="EKK009344_PAT1_L#" u="1"/>
        <s v="EKV007155_PAT13_XXL" u="1"/>
        <s v="EKV007155_PT2_XXXL" u="1"/>
        <s v="EKV007155_YDF5_XXXL" u="1"/>
        <s v="EKV007155_PT3_XXXL" u="1"/>
        <s v="EKV007155_PAT13_XL" u="1"/>
        <s v="EKY006317_PU_S#" u="1"/>
        <s v="EKY006994_W_S" u="1"/>
        <s v="EKY006994_W_L" u="1"/>
        <s v="EKY006994_W_M" u="1"/>
        <s v="EKY006994_WR_XXL" u="1"/>
        <s v="EKY006994_WR_L" u="1"/>
        <s v="EKY006994_ROP_S" u="1"/>
        <s v="EKY006994_NB_L" u="1"/>
        <s v="EKY006994_ROP_M" u="1"/>
        <s v="EKY006994_NB_S" u="1"/>
        <s v="EKY006994_WR_M" u="1"/>
        <s v="EKY006994_LK_M" u="1"/>
        <s v="EKY006994_B_S" u="1"/>
        <s v="EKY006994_NB_M" u="1"/>
        <s v="EKY006994_B_XL" u="1"/>
        <s v="EKY006994_B_L" u="1"/>
        <s v="EKY006994_B_XXL" u="1"/>
        <s v="EKY006994_WR_S" u="1"/>
        <s v="EKY006994_ROP_XXL" u="1"/>
        <s v="EKY006994_PP_L" u="1"/>
        <s v="EKY006994_MOG_M" u="1"/>
        <s v="EKY006994_MOG_XXL" u="1"/>
        <s v="EKY006994_WR_XL" u="1"/>
        <s v="EKY006994_MOG_S" u="1"/>
        <s v="EKY006994_PP_XXL" u="1"/>
        <s v="EKY006994_PP_S" u="1"/>
        <s v="EKY006994_ROP_L" u="1"/>
        <s v="EKY006994_MOG_L" u="1"/>
        <s v="EKY006994_NB_XL" u="1"/>
        <s v="EKY006994_NB_XXL" u="1"/>
        <s v="EKY006779_LGT_XXL" u="1"/>
        <s v="EKY006779_LGT_S" u="1"/>
        <s v="EKY006779_LGT_L" u="1"/>
        <s v="EKY006779_MGT_S" u="1"/>
        <s v="EKY006779_BL_L" u="1"/>
        <s v="EKY006779_BL_S" u="1"/>
        <s v="EKY006779_BL_XXL" u="1"/>
        <s v="EKY006779_B_S" u="1"/>
        <s v="EKY006779_B_M" u="1"/>
        <s v="EKY006779_DG_XL" u="1"/>
        <s v="EKY006779_DG_S" u="1"/>
        <s v="EKY006779_DG_XXL" u="1"/>
        <s v="EKY006779_DG_M" u="1"/>
        <s v="EKY006994_B_M" u="1"/>
        <s v="EKY006994_PP_XL" u="1"/>
        <s v="EKY006994_ROP_XL" u="1"/>
        <s v="EKY006994_PP_M" u="1"/>
        <s v="EKY006779_LGT_M" u="1"/>
        <s v="EKY006779_BL_XL" u="1"/>
        <s v="EKY006779_LGT_XL" u="1"/>
        <s v="EKY006779_DG_L" u="1"/>
        <s v="EKK009997_PAT4_M" u="1"/>
        <s v="EDY000032_LIL_M" u="1"/>
        <s v="EDY000032_NB_M" u="1"/>
        <s v="EDY000032_LK_XXL" u="1"/>
        <s v="EDY000032_LIL_L" u="1"/>
        <s v="EKV007152_ARG_4XL" u="1"/>
        <s v="EKV007152_GR_M#" u="1"/>
        <s v="EKV007152_ARG_L" u="1"/>
        <s v="EKV007152_B_XXXL" u="1"/>
        <s v="EKV007152_B_4XL" u="1"/>
        <s v="EKV007152_ARG_M" u="1"/>
        <s v="EKV006696_RR_XXXL" u="1"/>
        <s v="EKV006696_RR_XXL#" u="1"/>
        <s v="EKY005421_WR_M" u="1"/>
        <s v="EKY005421_PEB_L" u="1"/>
        <s v="EKY005421_PEB_S" u="1"/>
        <s v="EKY005421_PEB_XL" u="1"/>
        <s v="EKY005421_PEB_XXL" u="1"/>
        <s v="EKY006920_B_S" u="1"/>
        <s v="EKY006920_MP_S" u="1"/>
        <s v="EKY006920_NB2_L" u="1"/>
        <s v="EKY006920_W_L" u="1"/>
        <s v="EKY006920_W_XL" u="1"/>
        <s v="EKY006920_W_XXL" u="1"/>
        <s v="EKY006920_W_S" u="1"/>
        <s v="EKY006292_NB2_XXL" u="1"/>
        <s v="EKY006999_GP1_XXXL" u="1"/>
        <s v="EKY006999_GP6_S" u="1"/>
        <s v="EKY006999_GP2_S" u="1"/>
        <s v="EKY006999_GP4_XXL" u="1"/>
        <s v="EKY006999_GP6_L" u="1"/>
        <s v="EKY006999_GP3_L" u="1"/>
        <s v="EKY006999_GP4_L" u="1"/>
        <s v="EKY006999_GP2_XL" u="1"/>
        <s v="EKY006999_GP2_M" u="1"/>
        <s v="EKY006999_GP5_M" u="1"/>
        <s v="EKY006999_GP5_S" u="1"/>
        <s v="EKY006999_GP4_XL" u="1"/>
        <s v="EKY006999_GP4_S" u="1"/>
        <s v="EKY006999_GP2_L" u="1"/>
        <s v="EKY006999_GP5_XXL" u="1"/>
        <s v="EKY006999_GP5_XXXL" u="1"/>
        <s v="EKY006999_GP6_XL" u="1"/>
        <s v="EKY006999_GP5_L" u="1"/>
        <s v="EKY006999_GP4_M" u="1"/>
        <s v="EKY006999_GP1_L" u="1"/>
        <s v="EKY006999_GP3_XL" u="1"/>
        <s v="EKK005159_AQG_S" u="1"/>
        <s v="EKK005159_AQG_XXL" u="1"/>
        <s v="EKK005159_PP_S" u="1"/>
        <s v="EKK009702_RV_L" u="1"/>
        <s v="EKK009702_ROP_XXL" u="1"/>
        <s v="EKK009702_PAT4_XXXL" u="1"/>
        <s v="EKK009702_NA_XXL" u="1"/>
        <s v="EKK009702_NA_M" u="1"/>
        <s v="EKK009702_LK_XXXL" u="1"/>
        <s v="EKK009702_LIL_S" u="1"/>
        <s v="EKK009702_LIL_M" u="1"/>
        <s v="EKK009702_LIL_L" u="1"/>
        <s v="EKK009702_DGR_XXXL" u="1"/>
        <s v="EKK009702_DG_XXL" u="1"/>
        <s v="EKK009702_BUG_XXXL" u="1"/>
        <s v="EKK009702_BUG_XXL" u="1"/>
        <s v="EKK009702_BUG_XL" u="1"/>
        <s v="EKK009702_BUG_S" u="1"/>
        <s v="EKK009702_BUG_L" u="1"/>
        <s v="EKK009702_B_XXXL" u="1"/>
        <s v="EKK009702_ARG_XXXL" u="1"/>
        <s v="EKK009956_PAT9_XL" u="1"/>
        <s v="EKK009956_PAT7_L" u="1"/>
        <s v="EKK009956_PAT7_M" u="1"/>
        <s v="EKK009956_PAT9_XXL" u="1"/>
        <s v="EKK009956_PAT9_M" u="1"/>
        <s v="EKK009956_PAT7_XL" u="1"/>
        <s v="EKK009956_PAT7_XXL" u="1"/>
        <s v="EKK009956_PAT9_L" u="1"/>
        <s v="EKY006993_DA_M#" u="1"/>
        <s v="EKY006993_LGR_XXL#" u="1"/>
        <s v="EKY006993_LG_M#" u="1"/>
        <s v="EKY006999_GP1_XXL" u="1"/>
        <s v="EKY006999_GP3_XXL" u="1"/>
        <s v="EKY006999_GP3_S" u="1"/>
        <s v="EKY006999_GP4_XXXL" u="1"/>
        <s v="EKY006999_GP2_XXL" u="1"/>
        <s v="EKY006999_GP2_XXXL" u="1"/>
        <s v="EKY006999_GP5_XL" u="1"/>
        <s v="EKY006999_GP3_M" u="1"/>
        <s v="EKY006999_GP1_S" u="1"/>
        <s v="EKY006999_GP1_XL" u="1"/>
        <s v="EKY006999_GP6_XXXL" u="1"/>
        <s v="EKY006999_GP6_M" u="1"/>
        <s v="EKY006999_GP6_XXL" u="1"/>
        <s v="EKY006999_GP1_M" u="1"/>
        <s v="EKY006999_GP3_XXXL" u="1"/>
        <s v="EKY006996_CLB_XXL" u="1"/>
        <s v="EKY006996_B_XXL" u="1"/>
        <s v="EKY006996_PAP_XXXL" u="1"/>
        <s v="EKY006996_CLB_XXXL" u="1"/>
        <s v="EKY006996_W_XXXL" u="1"/>
        <s v="EKY006996_CLB_XL" u="1"/>
        <s v="EKY006996_DA_XXXL" u="1"/>
        <s v="EKY006996_W_L" u="1"/>
        <s v="EKY006996_DA_XXL" u="1"/>
        <s v="EKY006996_DA_M" u="1"/>
        <s v="EKY006996_DA_L" u="1"/>
        <s v="EKY006462_PAT4_S" u="1"/>
        <s v="EKY006462_PAT4_M" u="1"/>
        <s v="EKY006462_PAT4_L" u="1"/>
        <s v="EKY006462_PAT6_M" u="1"/>
        <s v="EKY006462_PAT6_XXXL" u="1"/>
        <s v="EKY006462_PAT6_XL" u="1"/>
        <s v="EKY006462_PAT4_XL" u="1"/>
        <s v="EKY006462_PAT4_XXL" u="1"/>
        <s v="EKK009320_ARG_S" u="1"/>
        <s v="EKK009320_ARG_XXL" u="1"/>
        <s v="EKK009320_ARG_M" u="1"/>
        <s v="EKK009320_ARG_XL" u="1"/>
        <s v="EKK009320_ARG_L" u="1"/>
        <s v="EKY006916_B_L" u="1"/>
        <s v="EKY006916_B_M" u="1"/>
        <s v="EKY006916_B_S" u="1"/>
        <s v="EKY006916_B_XL" u="1"/>
        <s v="EKY006916_B_XXL" u="1"/>
        <s v="EKY006916_MGT_L" u="1"/>
        <s v="EKY006916_MGT_M" u="1"/>
        <s v="EKY006916_MGT_S" u="1"/>
        <s v="EKY006916_MGT_XL" u="1"/>
        <s v="EKY006916_MGT_XXL" u="1"/>
        <s v="EKY006916_MP_M" u="1"/>
        <s v="EKY006916_MP_S#" u="1"/>
        <s v="EKY006916_MP_XL" u="1"/>
        <s v="EKY006916_MP_XXL" u="1"/>
        <s v="EKY006916_NB_M" u="1"/>
        <s v="EKY006916_NB_S" u="1"/>
        <s v="EKY006916_NB_XL" u="1"/>
        <s v="EKY006916_NB_XXL" u="1"/>
        <s v="EKY006916_PEB_L" u="1"/>
        <s v="EKY006916_PEB_M" u="1"/>
        <s v="EKY006916_PEB_S" u="1"/>
        <s v="EKY006916_PEB_XL" u="1"/>
        <s v="EKY006916_PP_M" u="1"/>
        <s v="EKY006916_PP_S" u="1"/>
        <s v="EKY006916_PP_XXL" u="1"/>
        <s v="EKY006916_WR_L" u="1"/>
        <s v="EKY006916_WR_M" u="1"/>
        <s v="EKY006916_WR_S" u="1"/>
        <s v="EKY006916_WR_XL" u="1"/>
        <s v="EKY006916_WR_XXL" u="1"/>
        <s v="EKY006993_B_M" u="1"/>
        <s v="EKY006993_B_S" u="1"/>
        <s v="EKY006993_B_XL" u="1"/>
        <s v="EKY006993_DC_L" u="1"/>
        <s v="EKY006993_DC_M" u="1"/>
        <s v="EKY006993_DC_S" u="1"/>
        <s v="EKY006993_DC_XL" u="1"/>
        <s v="EKY006993_DC_XXL" u="1"/>
        <s v="EKY006993_LGT_L" u="1"/>
        <s v="EKY006993_LGT_M" u="1"/>
        <s v="EKY006993_LGT_S" u="1"/>
        <s v="EKY006993_LGT_XXL" u="1"/>
        <s v="EKY006993_MGT_L" u="1"/>
        <s v="EKY006993_MGT_M" u="1"/>
        <s v="EKY006993_MGT_XXL" u="1"/>
        <s v="EKY006993_NA_L" u="1"/>
        <s v="EKY006993_NA_S" u="1"/>
        <s v="EKY006993_NA_XL" u="1"/>
        <s v="EKY006993_NA_XXL" u="1"/>
        <s v="EKY006993_WR_L" u="1"/>
        <s v="EKY006993_WR_S" u="1"/>
        <s v="EKY006993_WR_XL" u="1"/>
        <s v="EKY006993_WR_XXL" u="1"/>
        <s v="EKY006993_MGT_S" u="1"/>
        <s v="EKY006993_NA_M" u="1"/>
        <s v="EKV007024_BUG_M" u="1"/>
        <s v="EKY006569_MGT_M" u="1"/>
        <s v="EKY006569_MGT_S" u="1"/>
        <s v="EKY006569_NA_XXL" u="1"/>
        <s v="EKY006569_MGT_L" u="1"/>
        <s v="EKY006569_NA_S" u="1"/>
        <s v="EKY006569_B_S" u="1"/>
        <s v="EKY006569_B_XXL" u="1"/>
        <s v="EKY006569_B_M" u="1"/>
        <s v="EKY006569_LIL_S" u="1"/>
        <s v="EKY006569_MGT_XXL" u="1"/>
        <s v="EKY006569_LIL_M" u="1"/>
        <s v="EKV007156_PAT7_L#" u="1"/>
        <s v="EKV007156_PT4_XL#" u="1"/>
        <s v="EKV007156_PAT7_M#" u="1"/>
        <s v="EKV007156_PT4_XXXL" u="1"/>
        <s v="EKV007156_PAT9_XXL" u="1"/>
        <s v="EKV007156_PT2_XXXL" u="1"/>
        <s v="EKY006920_WR_XL##" u="1"/>
        <s v="EKY005991_PU_S" u="1"/>
        <s v="EKY005734_B_S" u="1"/>
        <s v="EKY005734_B_L" u="1"/>
        <s v="EKY005734_B_XL" u="1"/>
        <s v="#EKY005734_DGT_S" u="1"/>
        <s v="#EKY005734_DGT_M" u="1"/>
        <s v="#EKY005734_DGT_L" u="1"/>
        <s v="#EKY005734_DGT_XL" u="1"/>
        <s v="#EKY005734_DGT_XXL" u="1"/>
        <s v="#EKY005734_DEG_S" u="1"/>
        <s v="#EKY005734_DEG_XL" u="1"/>
        <s v="#EKY005734_DEG_XXL" u="1"/>
        <s v="#EKY005734_DG_S" u="1"/>
        <s v="#EKY005734_DG_M" u="1"/>
        <s v="#EKY005734_DG_XXL" u="1"/>
        <s v="EKY005734_NB_M" u="1"/>
        <s v="EKY005734_NB_L" u="1"/>
        <s v="EKY005734_NB_XXL" u="1"/>
        <s v="EKY005734_NA_S" u="1"/>
        <s v="EKY005734_NA_L" u="1"/>
        <s v="EKY005734_NA_XL" u="1"/>
        <s v="EKY005734_NA_XXL" u="1"/>
        <s v="#EKY005734_PAT4_XXL" u="1"/>
        <s v="#EKY005734_PAT5_S" u="1"/>
        <s v="#EKY005734_PAT5_L" u="1"/>
        <s v="#EKY005734_PAT5_XL" u="1"/>
        <s v="#EKY005734_PAT5_XXL" u="1"/>
        <s v="#EKY005734_PU_M" u="1"/>
        <s v="#EKY005734_PU_L" u="1"/>
        <s v="#EKY005734_SKB_S" u="1"/>
        <s v="#EKY005734_SKB_M" u="1"/>
        <s v="#EKY005734_SKB_XL" u="1"/>
        <s v="EKY005734_WR_S" u="1"/>
        <s v="EKY005734_WR_M" u="1"/>
        <s v="EKY005734_WR_L" u="1"/>
        <s v="EKS005964_PP_120" u="1"/>
        <s v="EKS005964_PP_140" u="1"/>
        <s v="EKS005964_NB_120" u="1"/>
        <s v="EKS005964_NB_130" u="1"/>
        <s v="EKS005964_NB_140" u="1"/>
        <s v="EKS005964_NB_150" u="1"/>
        <s v="EKS005964_NB_160" u="1"/>
        <s v="EKS005964_MIR_120" u="1"/>
        <s v="EKS005964_MIR_130" u="1"/>
        <s v="EKS005964_MIR_140" u="1"/>
        <s v="EKS005964_MIR_150" u="1"/>
        <s v="EKS005964_MIR_160" u="1"/>
        <s v="EKS005964_LGR_120" u="1"/>
        <s v="EKS005964_LGR_130" u="1"/>
        <s v="EKS005964_LGR_140" u="1"/>
        <s v="EKS005964_SKB_120" u="1"/>
        <s v="EKS005964_SKB_130" u="1"/>
        <s v="EKS005964_SKB_140" u="1"/>
        <s v="EKS005964_SKB_150" u="1"/>
        <s v="EKS005964_SKB_160" u="1"/>
        <s v="EKS005964_WI_120" u="1"/>
        <s v="EKS005964_WI_130" u="1"/>
        <s v="EKS005964_WI_140" u="1"/>
        <s v="EKS005964_WI_150" u="1"/>
        <s v="EKS005964_WI_160" u="1"/>
        <s v="EKS005964_R_120" u="1"/>
        <s v="EKS005964_R_140" u="1"/>
        <s v="EKS005964_R_150" u="1"/>
        <s v="EKS005964_R_160" u="1"/>
        <s v="EKS005964_LG_120" u="1"/>
        <s v="EKS005964_LG_130" u="1"/>
        <s v="EKS005964_LG_140" u="1"/>
        <s v="EKS005964_LG_150" u="1"/>
        <s v="EKS005964_LG_160" u="1"/>
        <s v="EKK009079_LIL_XL" u="1"/>
        <s v="EKK009079_LIL_XXL" u="1"/>
        <s v="EKK009079_LIL_M" u="1"/>
        <s v="EKK009079_PAT14_XL" u="1"/>
        <s v="EK002499_PP_M" u="1"/>
        <s v="EK002499_PP_XXL" u="1"/>
        <s v="EK002499_PP_XL" u="1"/>
        <s v="EK002499_PP_L" u="1"/>
        <s v="EK002499_PP_S" u="1"/>
        <s v="EK002499_SKB_S" u="1"/>
        <s v="EK002499_SKB_XL" u="1"/>
        <s v="EK002499_SKB_XXL" u="1"/>
        <s v="EK002499_SKB_L" u="1"/>
        <s v="EK002499_PU2_S" u="1"/>
        <s v="EDY000039_W_S" u="1"/>
        <s v="EKY005507_YDL4_M" u="1"/>
        <s v="EKY005507_YDL4_L" u="1"/>
        <s v="EKY005507_YDL5_S" u="1"/>
        <s v="EKY005507_YDL5_L" u="1"/>
        <s v="EKY005507_YDL5_XL" u="1"/>
        <s v="EKY005507_WR_S" u="1"/>
        <s v="EKY005507_WR_M" u="1"/>
        <s v="EKY005507_WR_L" u="1"/>
        <s v="EKY005507_WR_XL" u="1"/>
        <s v="EKY005507_WR_XXL" u="1"/>
        <s v="EKY005507_NA_S" u="1"/>
        <s v="EKY005507_NA_M" u="1"/>
        <s v="EKY005507_NA_L" u="1"/>
        <s v="EKY005507_NA_XL" u="1"/>
        <s v="EKY005507_NA_XXL" u="1"/>
        <s v="EKY006996_W_M" u="1"/>
        <s v="EKY006996_CLB_M" u="1"/>
        <s v="EKY006996_DA_XL" u="1"/>
        <s v="EKY006996_PAP_M" u="1"/>
        <s v="EKY006996_PAP_S" u="1"/>
        <s v="EKK005499_ARG_S" u="1"/>
        <s v="EKY007033_B_S" u="1"/>
        <s v="EKY007033_B_L" u="1"/>
        <s v="EKY007033_B_M" u="1"/>
        <s v="EKY007033_B_XL" u="1"/>
        <s v="EKY007033_B_XXL" u="1"/>
        <s v="EKY007033_DA_M" u="1"/>
        <s v="EKY007033_DA_L" u="1"/>
        <s v="EKY007033_DA_XXL" u="1"/>
        <s v="EKY007033_DA_S" u="1"/>
        <s v="EKY007033_DA_XL" u="1"/>
        <s v="EKY007033_KH_XL" u="1"/>
        <s v="EKY007033_KH_XXL" u="1"/>
        <s v="EKY007033_KH_M" u="1"/>
        <s v="EKY007033_KH_S" u="1"/>
        <s v="EKY007033_KH_L" u="1"/>
        <s v="EKY007033_CG_M" u="1"/>
        <s v="EKY007033_CG_S" u="1"/>
        <s v="EKY007033_CG_XL" u="1"/>
        <s v="EKY007033_CG_XXL" u="1"/>
        <s v="EKY007033_CG_L" u="1"/>
        <s v="EDY000033_B_S" u="1"/>
        <s v="EDY000033_B_M" u="1"/>
        <s v="EDY000033_B_L" u="1"/>
        <s v="EDY000033_B_XL" u="1"/>
        <s v="EDY000033_B_XXL" u="1"/>
        <s v="EDY000033_CLB_S" u="1"/>
        <s v="EDY000033_CLB_M" u="1"/>
        <s v="EDY000033_CLB_L" u="1"/>
        <s v="EDY000033_CLB_XL" u="1"/>
        <s v="EDY000033_CLB_XXL" u="1"/>
        <s v="EDY000033_KH_S" u="1"/>
        <s v="EDY000033_KH_M" u="1"/>
        <s v="EDY000033_KH_L" u="1"/>
        <s v="EDY000033_KH_XL" u="1"/>
        <s v="EDY000033_KH_XXL" u="1"/>
        <s v="EDY000033_NB_S" u="1"/>
        <s v="EDY000033_NB_M" u="1"/>
        <s v="EDY000033_NB_L" u="1"/>
        <s v="EDY000033_NB_XL" u="1"/>
        <s v="EDY000033_NB_XXL" u="1"/>
        <s v="EDY000033_PP_S" u="1"/>
        <s v="EDY000033_PP_M" u="1"/>
        <s v="EDY000033_PP_L" u="1"/>
        <s v="EDY000033_PP_XL" u="1"/>
        <s v="EDY000033_PP_XXL" u="1"/>
        <s v="EDY000033_W_S" u="1"/>
        <s v="EDY000033_W_M" u="1"/>
        <s v="EDY000033_W_L" u="1"/>
        <s v="EDY000033_W_XL" u="1"/>
        <s v="EDY000033_W_XXL" u="1"/>
        <s v="EKK009907_ARG_XXL" u="1"/>
        <s v="EKK009907_ARG_L" u="1"/>
        <s v="EKK009907_LIL_L" u="1"/>
        <s v="EKK009907_LIL_M" u="1"/>
        <s v="EKK009907_LIL_S" u="1"/>
        <s v="EKK009907_LIL_XXL" u="1"/>
        <s v="EKK009907_DG_XL" u="1"/>
        <s v="EKK009907_ARG_XL" u="1"/>
        <s v="EKK009907_LIL_XL" u="1"/>
        <s v="EKK009907_DG_XXL" u="1"/>
        <s v="EKK009907_KH_S" u="1"/>
        <s v="EKK009907_DG_M" u="1"/>
        <s v="EKK009907_ARG_S" u="1"/>
        <s v="EKK006107_NB_XL*" u="1"/>
        <s v="EDY000049_NB_M" u="1"/>
        <s v="EDY000049_B_M" u="1"/>
        <s v="EDY000049_B_L" u="1"/>
        <s v="EDY000049_CH_M" u="1"/>
        <s v="EDY000049_DG_L" u="1"/>
        <s v="EDY000049_CH_XXL" u="1"/>
        <s v="EDY000049_DG_XL" u="1"/>
        <s v="EDY000049_NB_S" u="1"/>
        <s v="EDY000049_WR_L" u="1"/>
        <s v="EDY000049_B_S" u="1"/>
        <s v="EDY000049_CH_L" u="1"/>
        <s v="EDY000049_CH_S" u="1"/>
        <s v="EDY000049_B_XXL" u="1"/>
        <s v="EDY000049_WR_S" u="1"/>
        <s v="EDY000049_CH_XL" u="1"/>
        <s v="EDY000049_B_XL" u="1"/>
        <s v="EDY000049_DG_M" u="1"/>
        <s v="EDY000049_NB_L" u="1"/>
        <s v="EDY000049_DG_XXL" u="1"/>
        <s v="EDY000049_WR_XXL" u="1"/>
        <s v="EDY000049_DG_S" u="1"/>
        <s v="EDY000049_NB_XXL" u="1"/>
        <s v="EDY000049_WR_M" u="1"/>
        <s v="EDY000049_WR_XL" u="1"/>
        <s v="EDY000049_NB_XL" u="1"/>
        <s v="EKY006920_G_L##" u="1"/>
        <s v="EKY006920_KH_XL##" u="1"/>
        <s v="EKY006920_MP_XL##" u="1"/>
        <s v="EKY006619_PAT1_L" u="1"/>
        <s v="EKY006619_PAT1_XXL" u="1"/>
        <s v="EKY006619_PAT5_M" u="1"/>
        <s v="EKY006619_PAT4_XL" u="1"/>
        <s v="EKY006619_PAT5_XL" u="1"/>
        <s v="EKY006619_PAT2_XL" u="1"/>
        <s v="EKY006619_PAT5_S" u="1"/>
        <s v="EKY006619_PAT1_S" u="1"/>
        <s v="EKY006619_PAT5_XXL" u="1"/>
        <s v="EKY006619_PAT1_M" u="1"/>
        <s v="EKY005421_WR_XL" u="1"/>
        <s v="EKY005421_WR_L" u="1"/>
        <s v="EKY005421_PEB_M" u="1"/>
        <s v="EKY005667_WR_S" u="1"/>
        <s v="EKY005667_PU_XL" u="1"/>
        <s v="EKY005667_PU_S" u="1"/>
        <s v="EKY005667_NB_XL" u="1"/>
        <s v="EKY005667_NB_S" u="1"/>
        <s v="EKY005667_NB_S#" u="1"/>
        <s v="EKY005667_NB_M" u="1"/>
        <s v="EKY005667_MGT_S" u="1"/>
        <s v="EKY005667_MGT_M" u="1"/>
        <s v="EKY005667_DG_XXL" u="1"/>
        <s v="EKY005667_BL_S" u="1"/>
        <s v="EKY005667_B_XXL" u="1"/>
        <s v="EKY005667_B_S" u="1"/>
        <s v="EKY005667_B_M" u="1"/>
        <s v="EKY005667_ARG_XXL" u="1"/>
        <s v="EKY005667_ARG_S" u="1"/>
        <s v="EKY005667_ARG_M" u="1"/>
        <s v="EKY005667_ARG_L" u="1"/>
        <s v="EKY005667_PAT5_M" u="1"/>
        <s v="EKY005667_PAT5_L" u="1"/>
        <s v="EKY005667_PAT6_XXL" u="1"/>
        <s v="EKY005667_PAT6_L" u="1"/>
        <s v="EKY006996_DA_S" u="1"/>
        <s v="EKY006996_CLB_L" u="1"/>
        <s v="EKY006996_PAP_XXL" u="1"/>
        <s v="EKY006996_W_XL" u="1"/>
        <s v="EKY006996_PAP_XL" u="1"/>
        <s v="EKY006996_PAP_L" u="1"/>
        <s v="EKY006996_W_S" u="1"/>
        <s v="EKY006996_W_XXL" u="1"/>
        <s v="EKK009065_CG_L" u="1"/>
        <s v="EKK009065_CG_M" u="1"/>
        <s v="EKK009065_CG_S" u="1"/>
        <s v="EKK009065_CG_XL" u="1"/>
        <s v="EKK009065_CG_XXL" u="1"/>
        <s v="EKY006996_B_XXXL" u="1"/>
        <s v="EKY006996_B_M" u="1"/>
        <s v="EKY006996_B_S" u="1"/>
        <s v="EKY006996_WR_XXL" u="1"/>
        <s v="EKY006742_MIR_M" u="1"/>
        <s v="EKY006742_PR_S" u="1"/>
        <s v="EKY006742_CLB_M" u="1"/>
        <s v="EKY006742_MIR_XXL" u="1"/>
        <s v="EKY006742_CLB_S" u="1"/>
        <s v="EKY006742_PR_M" u="1"/>
        <s v="EKY006742_MIR_S" u="1"/>
        <s v="EKY006742_MGT_XXL" u="1"/>
        <s v="EKY006742_MGT_XL" u="1"/>
        <s v="EKY006742_PR_XL" u="1"/>
        <s v="EKY006742_CLB_L" u="1"/>
        <s v="EKY006742_MGT_M" u="1"/>
        <s v="EKY006742_NB_S" u="1"/>
        <s v="EKY006742_PR_XXL" u="1"/>
        <s v="EKY006742_NB_M" u="1"/>
        <s v="EKY006742_PR_L" u="1"/>
        <s v="EKK009907_DG_S" u="1"/>
        <s v="EKK009907_ARG_M" u="1"/>
        <s v="EKK009907_DG_L" u="1"/>
        <s v="EKV007146_PAT5_XXL" u="1"/>
        <s v="EKV007146_PAT5_XXXL" u="1"/>
        <s v="EKK007661_DG_L" u="1"/>
        <s v="EKK007661_DG_M" u="1"/>
        <s v="EKK007661_DG_XL" u="1"/>
        <s v="EKK007661_DG_XXL" u="1"/>
        <s v="EKK007661_LA_XXL" u="1"/>
        <s v="EKK005499_B_M" u="1"/>
        <s v="EKY006460_YDL4_S" u="1"/>
        <s v="EKY006460_YDL4_M" u="1"/>
        <s v="EKY006460_YDL4_XXL" u="1"/>
        <s v="EKY006460_YDL5_S" u="1"/>
        <s v="EKY006460_YDL3_L" u="1"/>
        <s v="EKY006460_YDL2_M" u="1"/>
        <s v="EKY006460_YDL2_L" u="1"/>
        <s v="EKY006460_YDL1_XL" u="1"/>
        <s v="EKY006460_YDL2_S" u="1"/>
        <s v="EKY006460_YDL1_S" u="1"/>
        <s v="EKY006460_YDL1_XXL" u="1"/>
        <s v="EKV007154_B_XL#" u="1"/>
        <s v="EKV007154_BUG_XXXL#" u="1"/>
        <s v="EKV007154_PP_L#" u="1"/>
        <s v="EKV007154_YDL2_XL#" u="1"/>
        <s v="EKV007154_YDL2_XXL#" u="1"/>
        <s v="EKV007154_PP_M#" u="1"/>
        <s v="EKV007154_YDL1_S#" u="1"/>
        <s v="EKV007154_LIL_M#" u="1"/>
        <s v="EKV007154_LIL_XXXL#" u="1"/>
        <s v="EKV007154_GR_M#" u="1"/>
        <s v="EKV007154_PP_XL#" u="1"/>
        <s v="EKV007154_B_M#" u="1"/>
        <s v="EKV007154_PP_XXL#" u="1"/>
        <s v="EKV007154_YDL2_XXXL#" u="1"/>
        <s v="EKV007154_YDL1_XXXL#" u="1"/>
        <s v="EKV007154_WR_XXXL#" u="1"/>
        <s v="EKV007154_B_L#" u="1"/>
        <s v="EKV007154_B_XXXL#" u="1"/>
        <s v="EKV007154_GR_XXXL#" u="1"/>
        <s v="EKV007154_LIL_XL#" u="1"/>
        <s v="EKV007154_LIL_S#" u="1"/>
        <s v="EKV007154_LIL_L#" u="1"/>
        <s v="EKV007154_PP_S#" u="1"/>
        <s v="EKV007154_B_XXL#" u="1"/>
        <s v="EKV007154_BUG_XXL#" u="1"/>
        <s v="EKV007154_LIL_XXL#" u="1"/>
        <s v="EKV007154_WR_M#" u="1"/>
        <s v="EKY005999_ARG_XXXL#" u="1"/>
        <s v="EKY005999_SKB_XXXL#" u="1"/>
        <s v="EKY005999_WR_XXXL#" u="1"/>
        <s v="EKY005999_NB_XXXL#" u="1"/>
        <s v="EKY005999_PR_XXXL#" u="1"/>
        <s v="EKY005999_MGT_XXXL#" u="1"/>
        <s v="EKY005999_B_XXXL#" u="1"/>
        <s v="EKY005999_NA_XXXL#" u="1"/>
        <s v="EKY006953_B_M" u="1"/>
        <s v="EKY006953_B_L" u="1"/>
        <s v="EKY006953_B_XXL" u="1"/>
        <s v="EKY006953_NB_M" u="1"/>
        <s v="EKY006953_NB_XS" u="1"/>
        <s v="EKY006953_PAT2_L" u="1"/>
        <s v="EKY006953_PAT2_M" u="1"/>
        <s v="EKY006953_PAT2_S" u="1"/>
        <s v="EKY006953_PAT2_XL" u="1"/>
        <s v="EKY006953_PAT2_XXL" u="1"/>
        <s v="EKY006953_LC_M" u="1"/>
        <s v="EKY006953_LC_S" u="1"/>
        <s v="EKY006953_LC_L" u="1"/>
        <s v="EKY006953_LC_XL" u="1"/>
        <s v="#EKY006462_B_XXL" u="1"/>
        <s v="EKK009607_PAT7_XXL" u="1"/>
        <s v="EKK009607_PAT10_XXL" u="1"/>
        <s v="EKK009607_AQG_XL" u="1"/>
        <s v="EKK009607_PAT12_XL" u="1"/>
        <s v="EKK009607_PAT6_XXL" u="1"/>
        <s v="EKK009607_PAT7_M" u="1"/>
        <s v="EKK009607_PAT9_M" u="1"/>
        <s v="EKK009607_PAT7_S" u="1"/>
        <s v="EKK009607_PAT9_XXL" u="1"/>
        <s v="EKK009607_PAT9_S" u="1"/>
        <s v="EKK009607_PAT10_L" u="1"/>
        <s v="EKK009607_PAT12_L" u="1"/>
        <s v="EKK009607_PAT6_XL" u="1"/>
        <s v="EKK009607_PAT9_XL" u="1"/>
        <s v="EKK009607_PAT10_XL" u="1"/>
        <s v="EKK009607_PAT6_M" u="1"/>
        <s v="EKK009607_RR_XXL" u="1"/>
        <s v="EKK009607_PAT10_S" u="1"/>
        <s v="EKK009607_PAT6_S" u="1"/>
        <s v="EKK009607_RR_XL" u="1"/>
        <s v="EKK009607_AQG_L" u="1"/>
        <s v="EKK009607_AQG_M" u="1"/>
        <s v="EKK009607_RR_M" u="1"/>
        <s v="EKK009607_RR_L" u="1"/>
        <s v="EKK009607_PAT12_XXL" u="1"/>
        <s v="EKK009607_DG_L" u="1"/>
        <s v="EKY006520_PAT2_S" u="1"/>
        <s v="EKK009726_WR_XXXL" u="1"/>
        <s v="EKK009726_NB_XXXL" u="1"/>
        <s v="EKK009726_NA2_XL" u="1"/>
        <s v="EKK009726_NA_XXXL" u="1"/>
        <s v="EKK009726_WR1_XXXL" u="1"/>
        <s v="EKK009726_PU_M" u="1"/>
        <s v="EKK009726_WR_M" u="1"/>
        <s v="EKV007152_B_L##" u="1"/>
        <s v="EKY006755_WR_XXL" u="1"/>
        <s v="EKY006755_B_XL" u="1"/>
        <s v="EKY006755_MGT_XL" u="1"/>
        <s v="EKY006755_NA_S" u="1"/>
        <s v="EKY006755_WR_L" u="1"/>
        <s v="EKY006755_PAT2_XL" u="1"/>
        <s v="EKY006755_B_M" u="1"/>
        <s v="EKY006755_B_S" u="1"/>
        <s v="EKY006755_NA_L" u="1"/>
        <s v="EKY006755_PAT2_M" u="1"/>
        <s v="EKY006755_B_L" u="1"/>
        <s v="EKY006755_MGT_XXL" u="1"/>
        <s v="EKK009320_PAT10_S" u="1"/>
        <s v="EKK009320_PAT10_L" u="1"/>
        <s v="EKY007033_GR_XL" u="1"/>
        <s v="EKY007033_GR_S" u="1"/>
        <s v="EKY007033_PAP_M" u="1"/>
        <s v="EKY007033_GR_L" u="1"/>
        <s v="EKY007033_PAP_L" u="1"/>
        <s v="EKY007033_PAP_S" u="1"/>
        <s v="EKY007033_GR_M" u="1"/>
        <s v="EKY007033_GR_XXL" u="1"/>
        <s v="EKY007033_PAP_XL" u="1"/>
        <s v="EKK009949_PP_XXL" u="1"/>
        <s v="EKK009949_PP_M" u="1"/>
        <s v="EKK009949_PAT2_XXL" u="1"/>
        <s v="EKK009949_NB_XXL" u="1"/>
        <s v="EKK009949_R_S" u="1"/>
        <s v="EKK009949_R_XL" u="1"/>
        <s v="EKK009949_R_XXL" u="1"/>
        <s v="EKK009949_NB_M" u="1"/>
        <s v="EKV007155_PAT22_4XL" u="1"/>
        <s v="EKV007155_NA_M" u="1"/>
        <s v="EKV007155_PAT22_XXXL" u="1"/>
        <s v="EKV007155_B_M" u="1"/>
        <s v="EKV007155_NA_S" u="1"/>
        <s v="EKV007155_NA_XXL" u="1"/>
        <s v="EKV007155_B_L" u="1"/>
        <s v="EKV007155_B_XL" u="1"/>
        <s v="EKK009607_PAT6_L" u="1"/>
        <s v="EKY005272_DSB_L#" u="1"/>
        <s v="EKY005644_ARG_XL" u="1"/>
        <s v="EKY005644_DGT_L" u="1"/>
        <s v="EKY005644_PU_XL" u="1"/>
        <s v="EKY005644_PU_XXL" u="1"/>
        <s v="EKY005644_SKB_XXL" u="1"/>
        <s v="EKY005644_PAT1_S" u="1"/>
        <s v="EKY005644_PAT1_L" u="1"/>
        <s v="EKY005644_PAT1_XL" u="1"/>
        <s v="EKY005644_PAT1_XXL" u="1"/>
        <s v="EKY005644_PAT2_S" u="1"/>
        <s v="EKY005644_MIR_L" u="1"/>
        <s v="EKY005644_MIR_XXL" u="1"/>
        <s v="EKV007165_PAT1_M#" u="1"/>
        <s v="EKV007165_PAT1_L#" u="1"/>
        <s v="EKV007165_PAT1_S#" u="1"/>
        <s v="#EKV007165_NA_XXXL" u="1"/>
        <s v="EKY006460_YDL3_S#" u="1"/>
        <s v="EKY006460_YDL9_S" u="1"/>
        <s v="EKY006460_YDL13_M" u="1"/>
        <s v="EKY006460_YDL12_S" u="1"/>
        <s v="EKY006460_YDL11_L" u="1"/>
        <s v="EKY006460_YDL11_S" u="1"/>
        <s v="EKY006460_YDL9_M" u="1"/>
        <s v="EKY006460_YDL9_L" u="1"/>
        <s v="EKY006460_YDL11_XL" u="1"/>
        <s v="EKY006460_YDL12_M" u="1"/>
        <s v="EKY006460_YDL5_M#" u="1"/>
        <s v="EKY005272_DSB2_L#" u="1"/>
        <s v="EKY005272_DBG_XXL#" u="1"/>
        <s v="EKY005272_DSB_XXXL#*" u="1"/>
        <s v="EKY005272_DG_L#" u="1"/>
        <s v="EKY005272_DBG_M#" u="1"/>
        <s v="EKY005272_DBG_S#" u="1"/>
        <s v="EKY006460_YDL13_S" u="1"/>
        <s v="EKY006460_YDL3_XL#" u="1"/>
        <s v="EKY006460_YDL11_M" u="1"/>
        <s v="EKY006460_YDL5_XXL#" u="1"/>
        <s v="EKY006460_YDL10_XL" u="1"/>
        <s v="EKY006460_WR_S" u="1"/>
        <s v="EKY006460_WR_L" u="1"/>
        <s v="EKY006460_YDL3_M" u="1"/>
        <s v="EKY006460_YDL4_L" u="1"/>
        <s v="#EKV007165_GR_XXXL#" u="1"/>
        <s v="#EKV007165_NB_XXXL#" u="1"/>
        <s v="#EKV007165_BL_XXXL#" u="1"/>
        <s v="EKY006619_GR_XXL" u="1"/>
        <s v="EKY006619_GR_XL" u="1"/>
        <s v="EKY006619_NA_XL" u="1"/>
        <s v="EKY006619_GR_L" u="1"/>
        <s v="EKY006619_PAT6_XL" u="1"/>
        <s v="EKY006619_PAT2_M" u="1"/>
        <s v="EKY006619_PAT3_XXL" u="1"/>
        <s v="EKY006619_PAT2_L" u="1"/>
        <s v="EKY006619_PAT1_XL" u="1"/>
        <s v="EKY006619_PAT6_S" u="1"/>
        <s v="EKY006619_PAT2_XXL" u="1"/>
        <s v="EKY006619_PAT4_XXL" u="1"/>
        <s v="EKY006619_PAT6_M" u="1"/>
        <s v="EKY006619_PAT3_M" u="1"/>
        <s v="EKY006619_PAT3_XL" u="1"/>
        <s v="EKY006619_PAT6_XXL" u="1"/>
        <s v="EKY006619_PAT4_M" u="1"/>
        <s v="EKY006619_PAT4_S" u="1"/>
        <s v="EKY006619_LK_XXL#" u="1"/>
        <s v="EKY006619_DR_XXL#" u="1"/>
        <s v="EKY006619_LK_S#" u="1"/>
        <s v="EKY006619_LK_M#" u="1"/>
        <s v="EKY006619_B_S#" u="1"/>
        <s v="EKY006619_LK_XL#" u="1"/>
        <s v="EKY006619_LK_L#" u="1"/>
        <s v="EKY006619_PAT3_L" u="1"/>
        <s v="EKY006619_PAT6_L" u="1"/>
        <s v="EKY006619_PAT4_L" u="1"/>
        <s v="EKY006619_PAT5_L" u="1"/>
        <s v="EKY006619_LK_XL" u="1"/>
        <s v="EKY006619_B_XXL#" u="1"/>
        <s v="EKK006095_PAT9_S" u="1"/>
        <s v="EKK006095_PAT2_L" u="1"/>
        <s v="EKK006095_NB_L" u="1"/>
        <s v="EKY006999_Y_S" u="1"/>
        <s v="EKY006999_Y_L" u="1"/>
        <s v="EKY006999_B_L#" u="1"/>
        <s v="EKY006999_NA_M#" u="1"/>
        <s v="EKY006460_YDL2_XL" u="1"/>
        <s v="EKY006460_YDL1_M" u="1"/>
        <s v="EKY006999_Y_XL#" u="1"/>
        <s v="EKY006953_SKB_M" u="1"/>
        <s v="EKY006953_SKB_S" u="1"/>
        <s v="EKY006953_SKB_XL" u="1"/>
        <s v="EKY006953_BL_XL" u="1"/>
        <s v="EKY006953_BL_XXL" u="1"/>
        <s v="EKY006953_BRR_XL" u="1"/>
        <s v="EKY006953_B_S" u="1"/>
        <s v="EKY006953_B_XL" u="1"/>
        <s v="EKY006953_DR_M" u="1"/>
        <s v="EKY006953_DR_S" u="1"/>
        <s v="EKY006953_DR_XL" u="1"/>
        <s v="EKY006953_DR_XXL" u="1"/>
        <s v="EKY006953_LA_L" u="1"/>
        <s v="EKY006953_LA_S" u="1"/>
        <s v="EKY006953_LA_XS" u="1"/>
        <s v="EKY006953_NB_L" u="1"/>
        <s v="EKY006953_NB_S" u="1"/>
        <s v="EKY006953_NB_XL#" u="1"/>
        <s v="EKY006953_NB_XXL" u="1"/>
        <s v="EKY006953_PU_L" u="1"/>
        <s v="EKY006953_PU_M" u="1"/>
        <s v="EKY006953_PU_S" u="1"/>
        <s v="EKY006953_PU_XL" u="1"/>
        <s v="EKY006953_P_XS" u="1"/>
        <s v="EKY006953_SKB_L" u="1"/>
        <s v="EKY006609_PAT9_L" u="1"/>
        <s v="EKY006609_PAT9_M" u="1"/>
        <s v="EKY006609_PAT9_S" u="1"/>
        <s v="EKY006609_PAT9_XL" u="1"/>
        <s v="EKY006609_PAT9_XXL" u="1"/>
        <s v="EKY006609_PAT7_L" u="1"/>
        <s v="EKY006609_PAT7_M" u="1"/>
        <s v="EKY006609_PAT7_XXL" u="1"/>
        <s v="EKY006609_PAT7_XL" u="1"/>
        <s v="EKY006609_PAT7_S" u="1"/>
        <s v="EKY006609_PAT6_S" u="1"/>
        <s v="EKY006609_PAT6_M" u="1"/>
        <s v="EKY006609_PAT6_XXL" u="1"/>
        <s v="EKY006609_PAT6_XL" u="1"/>
        <s v="EKY006609_PAT6_L" u="1"/>
        <s v="EKY006609_PAT5_XXL" u="1"/>
        <s v="EKY006609_PAT5_XL" u="1"/>
        <s v="EKY006609_PAT5_S" u="1"/>
        <s v="EKY006609_PAT5_M" u="1"/>
        <s v="EKY006609_PAT3_XL" u="1"/>
        <s v="EKY006609_PAT3_XXL" u="1"/>
        <s v="EKY006609_PAT3_S" u="1"/>
        <s v="EKY006609_PAT3_M" u="1"/>
        <s v="EKY006609_PAT3_L" u="1"/>
        <s v="EKY006609_PAT2_XXL" u="1"/>
        <s v="EKY006609_PAT4_XXL" u="1"/>
        <s v="EKY006609_PAT2_M" u="1"/>
        <s v="EKY006609_PAT4_L" u="1"/>
        <s v="EKY006609_PAT4_S" u="1"/>
        <s v="EKY006609_PAT2_S" u="1"/>
        <s v="EKY006609_PAT4_XL" u="1"/>
        <s v="EKY006609_PAT4_M" u="1"/>
        <s v="EKY006609_PAT2_XL" u="1"/>
        <s v="EKY006609_PAT2_L" u="1"/>
        <s v="EKK009997_B2_M" u="1"/>
        <s v="EKK009997_B2_XXL" u="1"/>
        <s v="EKK009997_DGT_S" u="1"/>
        <s v="EKK009997_DGT_XL" u="1"/>
        <s v="EKK009997_DGT_M" u="1"/>
        <s v="EKK009997_DR_XXL" u="1"/>
        <s v="EKY007005_PU_XL" u="1"/>
        <s v="EKY007005_WR_S" u="1"/>
        <s v="EKY007005_PU_L" u="1"/>
        <s v="EKY007005_PU_M" u="1"/>
        <s v="EKK005159_GR_S" u="1"/>
        <s v="EKK005159_P_S**" u="1"/>
        <s v="EKK005159_SB_M" u="1"/>
        <s v="EKK005159_P_M*" u="1"/>
        <s v="EKK005159_GR_L" u="1"/>
        <s v="EKK005159_SB_XL*" u="1"/>
        <s v="EKK005159_PP_XL*" u="1"/>
        <s v="EKK005159_PP_XXL*" u="1"/>
        <s v="EKK007661_PAT2_XXL" u="1"/>
        <s v="EKK007661_PAT5_L" u="1"/>
        <s v="EKK007661_PAT5_S" u="1"/>
        <s v="EKY006755_PAT2_S" u="1"/>
        <s v="EKY006755_WR_S" u="1"/>
        <s v="EKY006755_MGT_M" u="1"/>
        <s v="EKY006755_WR_M" u="1"/>
        <s v="EKY006755_NA_M" u="1"/>
        <s v="EKY006755_WR_XL" u="1"/>
        <s v="EKY006755_MGT_S" u="1"/>
        <s v="EKY007005_BUG_XL" u="1"/>
        <s v="EKY007005_PU_XXL" u="1"/>
        <s v="EKY007005_DA_XL" u="1"/>
        <s v="EKY007005_B_XXL" u="1"/>
        <s v="EKY007005_BUG_XXXL" u="1"/>
        <s v="EKY007005_WR_XXL" u="1"/>
        <s v="EKY007005_BUG_XXL" u="1"/>
        <s v="EKY007005_DA_XXL" u="1"/>
        <s v="EKY007005_WR_XL" u="1"/>
        <s v="EKY007005_DA_XXXL" u="1"/>
        <s v="EKY007005_BUG_S" u="1"/>
        <s v="EKY007005_B_S" u="1"/>
        <s v="EKY007005_PU_S" u="1"/>
        <s v="EKY007005_B_L" u="1"/>
        <s v="EKY007005_WR_L" u="1"/>
        <s v="EKY007005_DA_L" u="1"/>
        <s v="EKY007005_PU_XXXL" u="1"/>
        <s v="EKK009949_CLB_XXL" u="1"/>
        <s v="EKK009949_DSB_L##" u="1"/>
        <s v="EKK009949_B_M##" u="1"/>
        <s v="EKK009949_PAT1_XL" u="1"/>
        <s v="EKK009949_PP_XL" u="1"/>
        <s v="EKK009949_PAT2_M" u="1"/>
        <s v="EKK009949_PAT1_L" u="1"/>
        <s v="EKK009949_LGR_S*#" u="1"/>
        <s v="EKV006995_SKB_XXXL" u="1"/>
        <s v="EKV006995_WR_L" u="1"/>
        <s v="EKV006995_PR_XXXL" u="1"/>
        <s v="EKV006995_WR_M" u="1"/>
        <s v="EKV006995_R_XXXL" u="1"/>
        <s v="EKV006995_WR_XXXL" u="1"/>
        <s v="EKV006995_WR_XXL" u="1"/>
        <s v="EKV006995_SKB_XXL" u="1"/>
        <s v="EKV006995_WI_XXXL" u="1"/>
        <s v="EKV006995_WI_L" u="1"/>
        <s v="EKV006995_WI_M" u="1"/>
        <s v="EKV006995_WI_XXL" u="1"/>
        <s v="EKV006995_WR_XL" u="1"/>
        <s v="EKV006995_WI_S" u="1"/>
        <s v="EKV006995_SKB_L" u="1"/>
        <s v="EKV006995_SKB_XL" u="1"/>
        <s v="EKV006995_SKB_S" u="1"/>
        <s v="EKV006995_PU_XXXL" u="1"/>
        <s v="EKV006995_WI_XL" u="1"/>
        <s v="EKK009949_CLB_S" u="1"/>
        <s v="EKY006460_YDL2_XXL" u="1"/>
        <s v="EKY006999_Y_XXL#" u="1"/>
        <s v="EKY006999_Y_M" u="1"/>
        <s v="EKY006999_COP_XXL" u="1"/>
        <s v="EKY006999_COP_XL" u="1"/>
        <s v="EKY006999_COP_S" u="1"/>
        <s v="EKY006999_COP_M" u="1"/>
        <s v="EKY006999_COP_L" u="1"/>
        <s v="EKY006999_CO_XXL" u="1"/>
        <s v="EKY006999_CO_XL" u="1"/>
        <s v="EKY006999_CO_S" u="1"/>
        <s v="EKY006999_CO_M" u="1"/>
        <s v="EKY006999_CO_L" u="1"/>
        <s v="EKY007033_PAP_XXL" u="1"/>
        <s v="EKY006292_LC_M" u="1"/>
        <s v="EKY006292_LC_L" u="1"/>
        <s v="EKY006292_LC_XL" u="1"/>
        <s v="EKY006292_NA_XL" u="1"/>
        <s v="EKV007064_B2_XXL" u="1"/>
        <s v="EKV007064_B2_XL" u="1"/>
        <s v="EKV007064_B2_S" u="1"/>
        <s v="EKV007064_B2_M" u="1"/>
        <s v="EKV007064_B2_L" u="1"/>
        <s v="EKV007064_DGR2_XXL" u="1"/>
        <s v="EKV007064_DGR2_S" u="1"/>
        <s v="EKV007064_DGR2_XL" u="1"/>
        <s v="EKV007064_DGR2_M" u="1"/>
        <s v="EKV007064_NB2_XL" u="1"/>
        <s v="EKV007064_NB2_XXL" u="1"/>
        <s v="EKV007064_NB2_M" u="1"/>
        <s v="EKV007064_NB2_S" u="1"/>
        <s v="EKV007064_NB2_L" u="1"/>
        <s v="EKV007064_DA_M" u="1"/>
        <s v="EKV007064_DA_S" u="1"/>
        <s v="EKV007064_DA_XL" u="1"/>
        <s v="EKV007064_DA_XXL" u="1"/>
        <s v="EKV007064_DA_L" u="1"/>
        <s v="EKV007064_LIL_XXL" u="1"/>
        <s v="EKV007064_PP_XXL" u="1"/>
        <s v="EKY006979_LC_S" u="1"/>
        <s v="EKY006979_LC_M" u="1"/>
        <s v="EKY006979_LC_L" u="1"/>
        <s v="EKY006979_LC_XL" u="1"/>
        <s v="EKY006979_LC_XXL" u="1"/>
        <s v="EKY006979_B_S" u="1"/>
        <s v="EKY006979_B_M" u="1"/>
        <s v="EKY006979_B_L" u="1"/>
        <s v="EKY006979_B_XL" u="1"/>
        <s v="EKY006979_B_XXL" u="1"/>
        <s v="EKY006979_WR_S" u="1"/>
        <s v="EKY006979_WR_L" u="1"/>
        <s v="EKY006979_WR_XL" u="1"/>
        <s v="EKY006446_B_S" u="1"/>
        <s v="EKY006446_B_XL" u="1"/>
        <s v="EKY006446_CH_L" u="1"/>
        <s v="EKY006446_CH_M" u="1"/>
        <s v="EKY006446_CH_XL" u="1"/>
        <s v="EKY006446_DG_L" u="1"/>
        <s v="EKY006446_DG_S" u="1"/>
        <s v="EKY006446_DG_XL" u="1"/>
        <s v="EKY006446_KH_XL" u="1"/>
        <s v="EKY006446_NB_L" u="1"/>
        <s v="EKY006446_NB_M" u="1"/>
        <s v="EKY006446_NB_XXL" u="1"/>
        <s v="EKY006446_W_M" u="1"/>
        <s v="EKY006446_W_XL" u="1"/>
        <s v="EKY006446_WR_L" u="1"/>
        <s v="EKY006446_WR_M" u="1"/>
        <s v="EKY006446_WR_XL" u="1"/>
        <s v="EKK007661_PAT3_XXL" u="1"/>
        <s v="EKK007661_PAT5_M" u="1"/>
        <s v="EKK007661_PAT5_XXL" u="1"/>
        <s v="EKK006095_PAT13_S" u="1"/>
        <s v="EKK006095_PAT13_L" u="1"/>
        <s v="EKK006095_PAT13_XXL" u="1"/>
        <s v="EKK006095_PAT13_M" u="1"/>
        <s v="EKK006095_PAT11_S" u="1"/>
        <s v="EKY005962_PAT10_XXL" u="1"/>
        <s v="EKY005962_PAT11_M" u="1"/>
        <s v="EKY005962_PAT11_XXL" u="1"/>
        <s v="EKY005962_MP_L" u="1"/>
        <s v="EKY005962_MP_M" u="1"/>
        <s v="EKY005962_MP_S" u="1"/>
        <s v="EKY005962_MP_XXL" u="1"/>
        <s v="EKY005962_P_L" u="1"/>
        <s v="EKY005962_P_XL" u="1"/>
        <s v="EKY005962_G_L" u="1"/>
        <s v="EKY005962_G_M" u="1"/>
        <s v="EKY005962_G_S" u="1"/>
        <s v="EKY005962_G_XL" u="1"/>
        <s v="EKY005962_G_XXL" u="1"/>
        <s v="EKY005962_DBG_L" u="1"/>
        <s v="EKY005962_DBG_M" u="1"/>
        <s v="EKY005962_DBG_S" u="1"/>
        <s v="EKY005962_DBG_XL" u="1"/>
        <s v="EKY005962_DBG_XXL" u="1"/>
        <s v="EKY005962_PAT11_S" u="1"/>
        <s v="EKY005644_CG_S" u="1"/>
        <s v="EKY005421_PAT6_M" u="1"/>
        <s v="EKY005421_PAT9_XXL" u="1"/>
        <s v="EKY005421_PAT3_S" u="1"/>
        <s v="EKY005421_PAT9_M" u="1"/>
        <s v="EKY005421_PAT7_XL" u="1"/>
        <s v="EKY005421_PAT7_L" u="1"/>
        <s v="EKY005421_PAT7_M" u="1"/>
        <s v="EKY005421_PAT7_S" u="1"/>
        <s v="EKY005421_PAT6_XL" u="1"/>
        <s v="EKY005421_PAT6_L" u="1"/>
        <s v="EKY005421_PAT6_S" u="1"/>
        <s v="EKY005421_PAT6_XXL" u="1"/>
        <s v="EKY005421_PAT5_S" u="1"/>
        <s v="EKY005421_PAT4_S" u="1"/>
        <s v="EKY005421_PAT2_M" u="1"/>
        <s v="EKY005421_PAT9_L" u="1"/>
        <s v="EKK009907_PAT4_M" u="1"/>
        <s v="EKK009907_PAT4_L" u="1"/>
        <s v="EKK009907_PAT3_M" u="1"/>
        <s v="EKK009907_PAT3_L" u="1"/>
        <s v="EKK009907_PAT6_XL" u="1"/>
        <s v="EKK009907_PAT7_M" u="1"/>
        <s v="EKK009907_PAT6_M" u="1"/>
        <s v="EKK009907_PAT4_XXL" u="1"/>
        <s v="EKK009907_PAT4_S" u="1"/>
        <s v="EKK009907_PAT3_XXL" u="1"/>
        <s v="EKK009907_PAT6_XXL" u="1"/>
        <s v="EKK009907_PAT5_XL" u="1"/>
        <s v="EKK009907_PAT3_XL" u="1"/>
        <s v="EKY006791_PAT4_M" u="1"/>
        <s v="EKY006791_PAT3_S" u="1"/>
        <s v="EKY006791_NA_S" u="1"/>
        <s v="EKY006791_NA_M" u="1"/>
        <s v="EKY006791_PAT5_S" u="1"/>
        <s v="EKY006791_PAT6_L" u="1"/>
        <s v="EKY006791_LK_XL" u="1"/>
        <s v="EKY006791_PAT6_S" u="1"/>
        <s v="EKY006791_PAT6_M" u="1"/>
        <s v="EKY006791_PAT4_XL" u="1"/>
        <s v="EKY006791_PAT3_M" u="1"/>
        <s v="EKY006791_PAT2_M" u="1"/>
        <s v="EKY006791_PAT2_S" u="1"/>
        <s v="EKY006791_PAT2_XL" u="1"/>
        <s v="EKY006791_PAT3_L" u="1"/>
        <s v="EKY006791_PAT2_L" u="1"/>
        <s v="EKY006791_LK_XXL" u="1"/>
        <s v="EKY006791_LK_L" u="1"/>
        <s v="EKY006791_PAT2_XXL" u="1"/>
        <s v="EKY006791_PAT5_M" u="1"/>
        <s v="EKY006791_PAT4_L" u="1"/>
        <s v="EKY007052_B_M" u="1"/>
        <s v="EKY007052_B_S" u="1"/>
        <s v="EKY007052_B_XL" u="1"/>
        <s v="EKY007052_B_XXL" u="1"/>
        <s v="EKY007052_BR_L" u="1"/>
        <s v="EKY007052_BR_M" u="1"/>
        <s v="EKY007052_BR_S" u="1"/>
        <s v="EKY007052_BR_XL" u="1"/>
        <s v="EKY007052_BR_XXL" u="1"/>
        <s v="EKY007052_EV_L" u="1"/>
        <s v="EKY007052_EV_M" u="1"/>
        <s v="EKY007052_EV_S" u="1"/>
        <s v="EKY007052_EV_XL" u="1"/>
        <s v="EKY007052_EV_XXL" u="1"/>
        <s v="EKY007052_FB_L" u="1"/>
        <s v="EKY007052_FB_M" u="1"/>
        <s v="EKY007052_FB_S" u="1"/>
        <s v="EKY007052_FB_XL" u="1"/>
        <s v="EKY007052_LK_L" u="1"/>
        <s v="EKY007052_LK_XL" u="1"/>
        <s v="EKY007052_LK_XXL" u="1"/>
        <s v="EKY007052_NB_L" u="1"/>
        <s v="EKY007052_NB_M" u="1"/>
        <s v="EKY007052_NB_XL" u="1"/>
        <s v="EKY007052_NB_XXL" u="1"/>
        <s v="EKY007052_OG_L" u="1"/>
        <s v="EKY007052_OG_M" u="1"/>
        <s v="EKY007052_OG_S" u="1"/>
        <s v="EKY007052_OG_XL" u="1"/>
        <s v="EKY007052_PW_L" u="1"/>
        <s v="EKY007052_PW_M" u="1"/>
        <s v="EKY007052_PW_S" u="1"/>
        <s v="EKY007052_PW_XL" u="1"/>
        <s v="EKY007052_PW_XXL" u="1"/>
        <s v="EKY007052_NB_S" u="1"/>
        <s v="EKY007052_FB_XXL" u="1"/>
        <s v="EKY005437_B_XXXL" u="1"/>
        <s v="EKY005437_B_4XL*" u="1"/>
        <s v="EKY005437_BL_4XL" u="1"/>
        <s v="EKY005437_NB_4XL" u="1"/>
        <s v="EKY005437_DGT_4XL" u="1"/>
        <s v="EKY005437_PP_XL*" u="1"/>
        <s v="EKY005437_BUG_XXXL" u="1"/>
        <s v="EKY005437_DGR_L*" u="1"/>
        <s v="EKY005437_DGR_4XL" u="1"/>
        <s v="EKY005437_MP_4XL" u="1"/>
        <s v="EKY005437_PON_L" u="1"/>
        <s v="EKY005437_PON_XL" u="1"/>
        <s v="EKY005437_PON_4XL" u="1"/>
        <s v="EKY005437_PAT9_XL" u="1"/>
        <s v="EKY005437_PAT9_XXXL" u="1"/>
        <s v="EKY005437_PAT9_XXL" u="1"/>
        <s v="EKY005437_PAT9_4XL" u="1"/>
        <s v="EKY005437_PAT10_XL" u="1"/>
        <s v="EKY005437_PAT10_XXXL" u="1"/>
        <s v="EKY005437_PAT10_4XL" u="1"/>
        <s v="EKY005437_ARG_XXXL" u="1"/>
        <s v="EKY005437_ARG_4XL" u="1"/>
        <s v="EKY005437_PAT1_XL" u="1"/>
        <s v="EKY005437_PAT1_XXL" u="1"/>
        <s v="EKY005437_PAT1_XXXL" u="1"/>
        <s v="EKY005437_PAT5_L" u="1"/>
        <s v="EKY005437_PAT2_XL" u="1"/>
        <s v="EKY005437_PAT2_XXL" u="1"/>
        <s v="EKY007044_B_L" u="1"/>
        <s v="EKY007044_B_M" u="1"/>
        <s v="EKY007044_B_S" u="1"/>
        <s v="EKY007044_B_XL" u="1"/>
        <s v="EKY007044_BUG_L" u="1"/>
        <s v="EKY007044_BUG_M" u="1"/>
        <s v="EKY007044_BUG_S" u="1"/>
        <s v="EKY007044_BUG_XL" u="1"/>
        <s v="EKY007044_GR_L" u="1"/>
        <s v="EKY007044_GR_M" u="1"/>
        <s v="EKY007044_PU_L" u="1"/>
        <s v="EKY007044_PU_M" u="1"/>
        <s v="EKY007044_PU_S" u="1"/>
        <s v="EKY007044_WR_M" u="1"/>
        <s v="EKY007044_WR_S" u="1"/>
        <s v="EKY007044_WR_XL" u="1"/>
        <s v="#EKK005374_GR_M" u="1"/>
        <s v="#EKK005374_LGR_L" u="1"/>
        <s v="#EKK005374_LGR_XL" u="1"/>
        <s v="#EKK005374_LGR_XXL" u="1"/>
        <s v="EKK005374_BUG_L" u="1"/>
        <s v="EKK005374_BUG_M" u="1"/>
        <s v="EKK005374_BUG_S" u="1"/>
        <s v="EKK005374_BUG_XL" u="1"/>
        <s v="EKK005374_BUG_XXL" u="1"/>
        <s v="EKK005374_B_M" u="1"/>
        <s v="EKK005374_B_S" u="1"/>
        <s v="EKK005374_B_XXL" u="1"/>
        <s v="EKK005374_CG_L" u="1"/>
        <s v="EKK005374_CG_M" u="1"/>
        <s v="EKK005374_CG_S" u="1"/>
        <s v="EKK005374_CG_XL" u="1"/>
        <s v="EKK005374_CG_XXL" u="1"/>
        <s v="EKK005374_CO_L" u="1"/>
        <s v="EKK005374_CO_M" u="1"/>
        <s v="EKK005374_CO_S" u="1"/>
        <s v="EKK005374_CO_XL" u="1"/>
        <s v="EKK005374_CO_XXL" u="1"/>
        <s v="EKK005374_GR_L" u="1"/>
        <s v="EKK005374_GR_S" u="1"/>
        <s v="EKK005374_GR_XL" u="1"/>
        <s v="EKK005374_GR_XXL#" u="1"/>
        <s v="EKK005374_LB_L" u="1"/>
        <s v="EKK005374_LB_M" u="1"/>
        <s v="EKK005374_LB_S" u="1"/>
        <s v="EKK005374_LB_XL" u="1"/>
        <s v="EKK005374_LB_XXL" u="1"/>
        <s v="EKK005374_NB_S" u="1"/>
        <s v="EKK005374_NB_XL" u="1"/>
        <s v="EKK005374_NB_XXL" u="1"/>
        <s v="EKK005374_WR_L" u="1"/>
        <s v="EKK005374_WR_M" u="1"/>
        <s v="EKK005374_WR_XL" u="1"/>
        <s v="EKK005374_WR_XXL" u="1"/>
        <s v="####EK001409_BL_XXL" u="1"/>
        <s v="###EK001409_PU_L" u="1"/>
        <s v="##AM001409_BUG_XXL" u="1"/>
        <s v="#EK001409_BUG_L" u="1"/>
        <s v="#EK001409_DGT_L" u="1"/>
        <s v="*#AM001409_GR_XXL" u="1"/>
        <s v="AM001409_LBL_XL" u="1"/>
        <s v="AM001409_NWD_XXL" u="1"/>
        <s v="AM001409_RV_S" u="1"/>
        <s v="EK001409_BL_L" u="1"/>
        <s v="EK001409_BL_M" u="1"/>
        <s v="EK001409_BUG_XL" u="1"/>
        <s v="EK001409_B_L" u="1"/>
        <s v="EK001409_B_M" u="1"/>
        <s v="EK001409_B_XL" u="1"/>
        <s v="EK001409_GR_L" u="1"/>
        <s v="EK001409_GR_S" u="1"/>
        <s v="EK001409_GR_XL" u="1"/>
        <s v="EK001409_G_L" u="1"/>
        <s v="EK001409_G_M" u="1"/>
        <s v="EK001409_LBL_L" u="1"/>
        <s v="EK001409_OR_L" u="1"/>
        <s v="EK001409_OR_XXL" u="1"/>
        <s v="EK001409_R_L" u="1"/>
        <s v="EK001409_R_XL" u="1"/>
        <s v="EK001409_R_XXL" u="1"/>
        <s v="EKK009949_R_M#" u="1"/>
        <s v="EKK009949_CLB_M#" u="1"/>
        <s v="EKK009949_B_XXL###" u="1"/>
        <s v="EKK009949_CLB_XL#" u="1"/>
        <s v="EKK009949_LA_M##" u="1"/>
        <s v="EKK009949_PAT1_M#" u="1"/>
        <s v="EKK009949_DSB_S##" u="1"/>
        <s v="EKK009949_LGR_M###" u="1"/>
        <s v="EKK009949_NB_S#" u="1"/>
        <s v="EKK009949_PAT3_S" u="1"/>
        <s v="EKK009949_DGR_S" u="1"/>
        <s v="EKK009949_BRR_XXL" u="1"/>
        <s v="EKK009949_PAT3_XXL" u="1"/>
        <s v="EKK009949_DGR_M" u="1"/>
        <s v="EKK009949_DGR_XXL" u="1"/>
        <s v="EKK009949_DGR_XL" u="1"/>
        <s v="EKK009949_PAT3_XL" u="1"/>
        <s v="EKK009949_DGR_L" u="1"/>
        <s v="EKK009949_BRR_XL" u="1"/>
        <s v="EKK009949_BRR_S" u="1"/>
        <s v="EKK009949_R_L#" u="1"/>
        <s v="EKK009949_LA_S##" u="1"/>
        <s v="EKK009949_BRR_M" u="1"/>
        <s v="EKK009949_PAT3_M" u="1"/>
        <s v="EKY006462_PAT30_L" u="1"/>
        <s v="EKY006462_PAT30_M" u="1"/>
        <s v="EKY006462_PAT30_S" u="1"/>
        <s v="EKY006462_PAT30_XL" u="1"/>
        <s v="EKY006462_PAT30_XXL" u="1"/>
        <s v="EKY006462_PAT30_XXXL" u="1"/>
        <s v="EKV007156_PAT17_L" u="1"/>
        <s v="EKV007156_PAT17_S" u="1"/>
        <s v="EKV007156_PAT17_XL" u="1"/>
        <s v="EKV007156_PAT17_XXL" u="1"/>
        <s v="EKV007156_PEB_L" u="1"/>
        <s v="EKV007156_PEB_M" u="1"/>
        <s v="EKV007156_PEB_S" u="1"/>
        <s v="EKV007156_PEB_XL" u="1"/>
        <s v="EKV007156_PEB_XXL" u="1"/>
        <s v="EKV007156_PEB_XXXL" u="1"/>
        <s v="EKK006095_PAT12_XL" u="1"/>
        <s v="EKK006095_PAT12_L" u="1"/>
        <s v="EKK006095_PAT12_S" u="1"/>
        <s v="EKK009726_PAT5_M" u="1"/>
        <s v="EKK009726_PAT5_XXL" u="1"/>
        <s v="EKK009726_PAT9_L" u="1"/>
        <s v="EKK009726_PON_XL" u="1"/>
        <s v="EKK009726_PON_XXL" u="1"/>
        <s v="EKK009726_PON_XXXL" u="1"/>
        <s v="EKK009739_WR_XL*" u="1"/>
        <s v="EKY005421_WR_XXL" u="1"/>
        <s v="EKY005421_P_XXL" u="1"/>
        <s v="EKY005421_P_XL" u="1"/>
        <s v="EKY005421_PAT9_S" u="1"/>
        <s v="EKY005421_PAT9_XL" u="1"/>
        <s v="EKY005421_PAT3_XXL" u="1"/>
        <s v="EKY005421_PAT3_XL" u="1"/>
        <s v="EKY005421_PAT5_M" u="1"/>
        <s v="EKY005421_WR_S" u="1"/>
        <s v="EKY005421_PAT3_L" u="1"/>
        <s v="EKY005421_CLB_L" u="1"/>
        <s v="EKY005421_P_L" u="1"/>
        <s v="EKY005421_P_S" u="1"/>
        <s v="EKY005421_P_M" u="1"/>
        <s v="EKY005421_CLB_S" u="1"/>
        <s v="EKY005421_PAT7_XXL" u="1"/>
        <s v="EKK009907_PAT7_L" u="1"/>
        <s v="EKY006462_PAT31_L" u="1"/>
        <s v="EKY006462_PAT31_M" u="1"/>
        <s v="EKY006462_PAT31_S" u="1"/>
        <s v="EKY006462_PAT31_XL" u="1"/>
        <s v="EKY006462_PAT31_XXL" u="1"/>
        <s v="EKY006462_PAT24_L" u="1"/>
        <s v="EKY006462_PAT24_M" u="1"/>
        <s v="EKY006462_PAT24_S" u="1"/>
        <s v="EKY006462_PAT24_XL" u="1"/>
        <s v="EKY006462_PAT24_XXXL" u="1"/>
        <s v="EKY006462_PAT25_S" u="1"/>
        <s v="EKY006462_PAT25_XL" u="1"/>
        <s v="EKY006462_PAT26_L" u="1"/>
        <s v="EKY006462_PAT26_M" u="1"/>
        <s v="EKY006462_PAT26_S" u="1"/>
        <s v="EKY006462_PAT26_XL" u="1"/>
        <s v="EKY006462_PAT26_XXL" u="1"/>
        <s v="EKY006462_PAT27_L" u="1"/>
        <s v="EKY006462_PAT27_M" u="1"/>
        <s v="EKY006462_PAT27_S" u="1"/>
        <s v="EKY006462_PAT27_XL" u="1"/>
        <s v="EKY006462_PAT27_XXL" u="1"/>
        <s v="EKY006462_PAT27_XXXL" u="1"/>
        <s v="EKK009079_NB_L#" u="1"/>
        <s v="EKK009079_NB_M#" u="1"/>
        <s v="EKK009079_NB_S#" u="1"/>
        <s v="EKK009079_NB_XL#" u="1"/>
        <s v="EKK009079_NB_XXL#" u="1"/>
        <s v="EKK009079_NB_XXXL#" u="1"/>
        <s v="EKY005343_ARG_XXL" u="1"/>
        <s v="EKY005343_NB2_S" u="1"/>
        <s v="EKY005343_ARG_M" u="1"/>
        <s v="EKY005343_ARG_L" u="1"/>
        <s v="EKY005343_ARG_S" u="1"/>
        <s v="EKY005343_ARG_XL" u="1"/>
        <s v="EKY006992_B_L*##" u="1"/>
        <s v="EKV006166_ARG_S" u="1"/>
        <s v="EKV006166_DG_S" u="1"/>
        <s v="EKV006166_PAT4_M" u="1"/>
        <s v="EKV006619_BL_XL" u="1"/>
        <s v="EKV006619_R_L" u="1"/>
        <s v="EKV006619_R_S" u="1"/>
        <s v="EKV006619_PU_M" u="1"/>
        <s v="EKV006619_DP_XL" u="1"/>
        <s v="EKV006619_DP_S" u="1"/>
        <s v="EKV006619_DGR_S" u="1"/>
        <s v="EKV006619_GR_XXL" u="1"/>
        <s v="EKV006619_PAT9_S" u="1"/>
        <s v="EKV006619_PAT7_S" u="1"/>
        <s v="EKV006619_PAT7_XXL" u="1"/>
        <s v="EKV006619_PAT11_M" u="1"/>
        <s v="EKV006619_PAT11_L" u="1"/>
        <s v="AMV007079_PAT3_XXL" u="1"/>
        <s v="AMV007079_PAT4_XXL" u="1"/>
        <s v="EKY007052_LK_M" u="1"/>
        <s v="EKV006696_NA_XL#*" u="1"/>
        <s v="EKV006696_PAT14_L" u="1"/>
        <s v="EKV006696_PAT14_M" u="1"/>
        <s v="EKV006696_PAT14_S" u="1"/>
        <s v="EKV006696_PAT14_XL" u="1"/>
        <s v="EKV006696_PAT14_XXL" u="1"/>
        <s v="EKV006696_PAT14_XXXL" u="1"/>
        <s v="EKV006696_PAT6_XXXL#*" u="1"/>
        <s v="EKV006696_PAT7_XXL#*" u="1"/>
        <s v="EKV006696_WR_S*" u="1"/>
        <s v="EKY005565_PAT1_S##" u="1"/>
        <s v="EKY005565_WR_S" u="1"/>
        <s v="EKY005565_MGT_M" u="1"/>
        <s v="EKY005565_B_S" u="1"/>
        <s v="EKY005565_MGT_XL" u="1"/>
        <s v="EKY005565_WR_L" u="1"/>
        <s v="EKY005565_NB_M##" u="1"/>
        <s v="EKY005565_NB_L##" u="1"/>
        <s v="EKY005565_PAT1_L##" u="1"/>
        <s v="EKY005565_PAT3_S##" u="1"/>
        <s v="EKY005565_NA_M##" u="1"/>
        <s v="EKY005565_PAT3_L" u="1"/>
        <s v="EKY005565_PAT3_M" u="1"/>
        <s v="EKY005565_PAT2_S" u="1"/>
        <s v="EKY005565_B_XL" u="1"/>
        <s v="EKY005565_MGT_XXL" u="1"/>
        <s v="EKY005565_B_XXL" u="1"/>
        <s v="EKY005565_NB_S##" u="1"/>
        <s v="EKK009726_DGT_XL" u="1"/>
        <s v="EKY007052_OAG_S" u="1"/>
        <s v="EDY000032_PU_S" u="1"/>
        <s v="EDY000032_PU_M" u="1"/>
        <s v="EDY000032_PU_L" u="1"/>
        <s v="EDY000032_PU_XL" u="1"/>
        <s v="EDY000032_PU_XXL" u="1"/>
        <s v="EDY000032_G_S" u="1"/>
        <s v="EDY000032_G_M" u="1"/>
        <s v="EDY000032_G_L" u="1"/>
        <s v="EDY000032_G_XL" u="1"/>
        <s v="EDY000032_G_XXL" u="1"/>
        <s v="EKY006993_PAP_XXL" u="1"/>
        <s v="EKY005364_NA2_XL" u="1"/>
        <s v="EKY005364_PAT1_M" u="1"/>
        <s v="EKY005364_NA2_S" u="1"/>
        <s v="EKY005364_WR2_S" u="1"/>
        <s v="EKY005364_CLB_L" u="1"/>
        <s v="EKY005364_WR2_XL" u="1"/>
        <s v="EKY005364_NB_XL" u="1"/>
        <s v="EKY005364_PAT1_XL" u="1"/>
        <s v="EKY005364_CLB_XL" u="1"/>
        <s v="EKY005364_PAT1_S" u="1"/>
        <s v="EKY005364_NA2_L" u="1"/>
        <s v="EKY006755_PAT3_M" u="1"/>
        <s v="EKY006755_PAT3_S" u="1"/>
        <s v="EKY006755_PAT3_XXL" u="1"/>
        <s v="EKY006755_PAT3_L" u="1"/>
        <s v="EKY006755_PAT3_XL" u="1"/>
        <s v="EKY006755_MGT_L" u="1"/>
        <s v="EKY006755_NA_XXL" u="1"/>
        <s v="EKY006755_PAT1_L" u="1"/>
        <s v="EKY006755_NB_M" u="1"/>
        <s v="EKY006755_NA_XL" u="1"/>
        <s v="EKY006755_PAT5_S" u="1"/>
        <s v="EKY006755_PAT4_L" u="1"/>
        <s v="EKY006755_PAT5_XL" u="1"/>
        <s v="EKK009949_B_XL###" u="1"/>
        <s v="EKK009949_DSB_M###" u="1"/>
        <s v="EKK009949_DSB_XL###" u="1"/>
        <s v="EKK009949_LGR_L###" u="1"/>
        <s v="EKK009949_PAT4_S" u="1"/>
        <s v="EKK009949_PAT4_XL" u="1"/>
        <s v="EKK009949_PAT4_XXL" u="1"/>
        <s v="EKV007155_PT1_4XL" u="1"/>
        <s v="EKV007155_PAT9_XXXL" u="1"/>
        <s v="EKV007155_PAT9_4XL" u="1"/>
        <s v="EKV007155_PAT7_XXXL" u="1"/>
        <s v="EKV007155_PAT22_XXL" u="1"/>
        <s v="EKV007155_PAT22_XL" u="1"/>
        <s v="EKV007155_PAT22_S" u="1"/>
        <s v="EKV007155_PAT22_M" u="1"/>
        <s v="EKV007155_PAT22_L" u="1"/>
        <s v="EKV007155_PAT20_XL" u="1"/>
        <s v="EKV007155_PAT20_S" u="1"/>
        <s v="EKV007155_PAT20_M" u="1"/>
        <s v="EKV007155_PAT20_L" u="1"/>
        <s v="EKV007155_PAT19_XXXL" u="1"/>
        <s v="EKV007155_PAT19_M" u="1"/>
        <s v="EKV007155_PAT15_S" u="1"/>
        <s v="EKV007155_PAT15_4XL" u="1"/>
        <s v="EKV007155_PAT14_4XL" u="1"/>
        <s v="EKV007155_NA_XXXL" u="1"/>
        <s v="EKV007155_NA_XL" u="1"/>
        <s v="EKV007155_NA_4XL" u="1"/>
        <s v="EKV007154_PAT7_XL#" u="1"/>
        <s v="EKV007154_PAT9_4XL#" u="1"/>
        <s v="EKV007154_PAT7_S#" u="1"/>
        <s v="EKV007154_PAT7_XXXL#" u="1"/>
        <s v="EKV007154_PAT9_L#" u="1"/>
        <s v="EKV007154_PAT9_XXL#" u="1"/>
        <s v="EKV007154_PAT9_XXXL#" u="1"/>
        <s v="EKV007154_PAT9_XL#" u="1"/>
        <s v="EKV007154_PAT9_S#" u="1"/>
        <s v="EKV007154_PAT9_M#" u="1"/>
        <s v="EKV007154_PAT7_M#" u="1"/>
        <s v="EKV007154_PAT7_L#" u="1"/>
        <s v="EKV007154_PAT7_XXL#" u="1"/>
        <s v="EKV007154_BL_4XL#" u="1"/>
        <s v="EKK009709_PEB_XL" u="1"/>
        <s v="EKY007052_BL_L" u="1"/>
        <s v="EKY007052_BL_XXL" u="1"/>
        <s v="EKY007052_BL_S" u="1"/>
        <s v="EKY007052_BL_XL" u="1"/>
        <s v="EKY007052_BL_M" u="1"/>
        <s v="EKY007052_CAC_M" u="1"/>
        <s v="EKY007052_CAC_S" u="1"/>
        <s v="EKY007052_CAC_L" u="1"/>
        <s v="EKY007052_CAC_XXL" u="1"/>
        <s v="EKY007052_CAC_XL" u="1"/>
        <s v="EKY007052_GR_XXL" u="1"/>
        <s v="EKY007052_GR_XL" u="1"/>
        <s v="EKY007052_GR_M" u="1"/>
        <s v="EKY007052_GR_L" u="1"/>
        <s v="EKV006696_PAT22_XL" u="1"/>
        <s v="EKV006696_PAT22_L" u="1"/>
        <s v="EKV006696_PAT22_XXXL" u="1"/>
        <s v="EKV006696_PAT22_XXL" u="1"/>
        <s v="EKV006696_PAT21_XL" u="1"/>
        <s v="EKV006696_PAT21_L" u="1"/>
        <s v="EKV006696_PAT21_XXL" u="1"/>
        <s v="EKV006696_PAT22_S" u="1"/>
        <s v="EKV006696_PAT22_M" u="1"/>
        <s v="EKV006696_PAT21_S" u="1"/>
        <s v="EKV006696_PAT21_M" u="1"/>
        <s v="EKV006696_PAT19_XL" u="1"/>
        <s v="EKV006696_PAT19_XXXL" u="1"/>
        <s v="EKV006696_PAT19_L" u="1"/>
        <s v="EKV006696_PAT19_M" u="1"/>
        <s v="EKV006696_PAT19_S" u="1"/>
        <s v="EKV006696_PAT19_XXL" u="1"/>
        <s v="EKY006619_GR_S" u="1"/>
        <s v="EKY006619_NB_XXL" u="1"/>
        <s v="EKK005499_PAT4_M" u="1"/>
        <s v="EKK005499_PAT3_S" u="1"/>
        <s v="EKK005499_PAT3_L" u="1"/>
        <s v="EKK005499_PAT2_M" u="1"/>
        <s v="EKK005499_PAT1_L" u="1"/>
        <s v="EKK005499_GR_S##" u="1"/>
        <s v="EKK005499_DGR_S##" u="1"/>
        <s v="EKK005499_KH_L#" u="1"/>
        <s v="EKK005499_KH_XXL#" u="1"/>
        <s v="EDY000033_BUG_S" u="1"/>
        <s v="EDY000033_BUG_M" u="1"/>
        <s v="EDY000033_BUG_L" u="1"/>
        <s v="EDY000033_BUG_XL" u="1"/>
        <s v="EDY000033_BUG_XXL" u="1"/>
        <s v="EDY000033_LK_S" u="1"/>
        <s v="EDY000033_LK_M" u="1"/>
        <s v="EDY000033_LK_L" u="1"/>
        <s v="EDY000033_LK_XL" u="1"/>
        <s v="EDY000033_LK_XXL" u="1"/>
        <s v="EDY000033_P_S" u="1"/>
        <s v="EDY000033_P_M" u="1"/>
        <s v="EDY000033_P_L" u="1"/>
        <s v="EDY000033_P_XL" u="1"/>
        <s v="EDY000033_P_XXL" u="1"/>
        <s v="EDY000033_PON_S" u="1"/>
        <s v="EDY000033_PON_M" u="1"/>
        <s v="EDY000033_PON_L" u="1"/>
        <s v="EDY000033_PON_XL" u="1"/>
        <s v="EDY000033_PON_XXL" u="1"/>
        <s v="EDY000033_WI_S" u="1"/>
        <s v="EDY000033_WI_M" u="1"/>
        <s v="EDY000033_WI_L" u="1"/>
        <s v="EDY000033_WI_XL" u="1"/>
        <s v="EDY000033_WI_XXL" u="1"/>
        <s v="AM001337_VA_L" u="1"/>
        <s v="EK001337_PAT4_L" u="1"/>
        <s v="AM001337_PAT39_S" u="1"/>
        <s v="AM001337_PAT39_L" u="1"/>
        <s v="AM001337_PAT40_XL" u="1"/>
        <s v="EK001337_PAT41_L" u="1"/>
        <s v="EK001337_G2_S" u="1"/>
        <s v="EK001337_G2_M" u="1"/>
        <s v="EK001337_G2_L" u="1"/>
        <s v="EK001337_G2_XXL" u="1"/>
        <s v="EK001337_CO_M" u="1"/>
        <s v="EKY005507_PAT2_S" u="1"/>
        <s v="EKY005507_PAT2_M" u="1"/>
        <s v="EKY005507_PAT2_L" u="1"/>
        <s v="EKY005507_PAT2_XL" u="1"/>
        <s v="EKY005507_PAT2_XXL" u="1"/>
        <s v="EKY005507_PAT1_S" u="1"/>
        <s v="EKY005507_PAT1_M" u="1"/>
        <s v="EKY005507_PAT1_L" u="1"/>
        <s v="EKY005507_PAT1_XL" u="1"/>
        <s v="EKY005507_PAT1_XXL" u="1"/>
        <s v="EKY005507_YDL6_M" u="1"/>
        <s v="EKY005507_YDL6_L" u="1"/>
        <s v="EKY005507_YDL6_XL" u="1"/>
        <s v="EKY005507_YDL7_XL" u="1"/>
        <s v="EKY006446_RV_L" u="1"/>
        <s v="EKY006446_RV_M" u="1"/>
        <s v="EKY006446_RV_S" u="1"/>
        <s v="EKY006446_RV_XL" u="1"/>
        <s v="EKY006446_RV_XXL" u="1"/>
        <s v="EKY006742_B_L" u="1"/>
        <s v="EKY006742_B_M" u="1"/>
        <s v="EKY006742_B_S" u="1"/>
        <s v="EKY006742_B_XL" u="1"/>
        <s v="EKY006742_B_XXL" u="1"/>
        <s v="EKY006742_LGT_M" u="1"/>
        <s v="EKY006742_LGT_XL" u="1"/>
        <s v="EKY006742_LGT_XXL" u="1"/>
        <s v="EKY006742_PU_S" u="1"/>
        <s v="EKY005547_BD1_S" u="1"/>
        <s v="EKY005547_BD1_M" u="1"/>
        <s v="EKY005547_BD1_XXL" u="1"/>
        <s v="EKY005547_BD2_S" u="1"/>
        <s v="EKY005547_BD2_M" u="1"/>
        <s v="EKY005547_BD2_L" u="1"/>
        <s v="EKY005547_BD2_XXL" u="1"/>
        <s v="EKY005547_BD4_XXL" u="1"/>
        <s v="EKY005547_YDL1_S" u="1"/>
        <s v="EKY005547_YDL1_M" u="1"/>
        <s v="EKY005547_YDL1_L" u="1"/>
        <s v="EKY005547_YDL1_XL" u="1"/>
        <s v="EKY005547_YDL1_XXL" u="1"/>
        <s v="EKY005547_YDL2_S" u="1"/>
        <s v="EKY005547_YDL2_XL" u="1"/>
        <s v="EKY005547_YDL2_XXL" u="1"/>
        <s v="EKY005547_YDL3_S" u="1"/>
        <s v="EKY005547_YDL3_M" u="1"/>
        <s v="EKY005547_YDL3_L" u="1"/>
        <s v="EKY005547_YDL3_XL" u="1"/>
        <s v="EKY005547_BD5_XXL" u="1"/>
        <s v="EKY005547_BD3_S" u="1"/>
        <s v="EKY005547_BD3_M" u="1"/>
        <s v="EKY005547_BD3_L" u="1"/>
        <s v="EKY005547_BD3_XXL" u="1"/>
        <s v="EK002499_NB_M" u="1"/>
        <s v="EK002499_BE_S*" u="1"/>
        <s v="EK002499_NB_L" u="1"/>
        <s v="EKV007156_PT2_XXL#" u="1"/>
        <s v="EKV007156_PT2_M#" u="1"/>
        <s v="EKV007156_PT2_S#" u="1"/>
        <s v="EKV007156_PT2_XL##" u="1"/>
        <s v="EKV007156_PT3_L#" u="1"/>
        <s v="EKV007156_PT4_XXL#" u="1"/>
        <s v="EKV007156_PAT7_XXL#" u="1"/>
        <s v="EKV007156_PAT7_S#" u="1"/>
        <s v="EKY006755_PAT1_XXL" u="1"/>
        <s v="EKY006755_PAT2_L" u="1"/>
        <s v="EKV007156_DBG_XL" u="1"/>
        <s v="EKV007156_B_S" u="1"/>
        <s v="AMY006994_BUG_L" u="1"/>
        <s v="AMY006994_BUG_M" u="1"/>
        <s v="AMY006994_BUG_S" u="1"/>
        <s v="AMY006994_DA_L" u="1"/>
        <s v="AMY006994_DA_M" u="1"/>
        <s v="AMY006994_DA_S" u="1"/>
        <s v="AMY006994_DA_XL" u="1"/>
        <s v="AMY006994_DA_XXL" u="1"/>
        <s v="AMY006994_RR_M" u="1"/>
        <s v="AMY006994_RR_S" u="1"/>
        <s v="EKY006619_NA_XXL" u="1"/>
        <s v="EKY006619_DR_XL" u="1"/>
        <s v="EK001337_CO_S" u="1"/>
        <s v="EK001337_CO_L" u="1"/>
        <s v="EK001337_CLB_XL" u="1"/>
        <s v="EK001337_CLB_XXL" u="1"/>
        <s v="EK001337_CLB_S" u="1"/>
        <s v="EKY006953_PU2_M" u="1"/>
        <s v="EKY006953_PU2_XXL" u="1"/>
        <s v="EKY006953_PU_XXL#" u="1"/>
        <s v="EKY006953_R_S" u="1"/>
        <s v="EKY006953_R_XL" u="1"/>
        <s v="EKY006953_R_XS" u="1"/>
        <s v="EKY005535_NA_L" u="1"/>
        <s v="EKY005535_NA_S" u="1"/>
        <s v="EKY005535_PAT1_L" u="1"/>
        <s v="EKY005535_PAT1_M" u="1"/>
        <s v="EKY005535_PAT1_S" u="1"/>
        <s v="EKY005535_PAT1_XL" u="1"/>
        <s v="EKY005535_PAT1_XXL" u="1"/>
        <s v="EKY005535_PAT2_L" u="1"/>
        <s v="EKY005535_PAT2_M" u="1"/>
        <s v="EKY005535_PAT2_XL" u="1"/>
        <s v="EKY005535_PAT2_XXL" u="1"/>
        <s v="EKY005535_PAT3_L" u="1"/>
        <s v="EKY005535_PAT3_XXL" u="1"/>
        <s v="EKY005535_PAT5_XL" u="1"/>
        <s v="EKY005535_YDF1_M" u="1"/>
        <s v="EKY005535_YDF1_XL" u="1"/>
        <s v="EKY005535_YDF1_XXL" u="1"/>
        <s v="EKY005535_YDF2_L" u="1"/>
        <s v="EKY005535_YDF2_M#" u="1"/>
        <s v="EKY005535_YDF2_S" u="1"/>
        <s v="EKY005535_YDF3_L" u="1"/>
        <s v="EKY005535_YDF3_M" u="1"/>
        <s v="EKY006791_PAT4_S" u="1"/>
        <s v="EKY006791_PAT5_XXL" u="1"/>
        <s v="EKV007155_PAT6_4XL" u="1"/>
        <s v="EKV007155_PAT12_4XL" u="1"/>
        <s v="EDY000032_LA_XXL" u="1"/>
        <s v="EDY000032_LA_XL" u="1"/>
        <s v="EDY000032_LA_S" u="1"/>
        <s v="EDY000032_LA_M" u="1"/>
        <s v="EDY000032_LA_L" u="1"/>
        <s v="EDY000032_GB_XXL" u="1"/>
        <s v="EDY000032_GB_XL" u="1"/>
        <s v="EDY000032_GB_S" u="1"/>
        <s v="EDY000032_GB_M" u="1"/>
        <s v="EDY000032_GB_L" u="1"/>
        <s v="EKY006960_LA_S" u="1"/>
        <s v="EKY006960_LA_XL" u="1"/>
        <s v="EKY006960_OAG_XL" u="1"/>
        <s v="EKY006960_LP_L" u="1"/>
        <s v="EKY006960_LA_M" u="1"/>
        <s v="EKY006960_OAG_L" u="1"/>
        <s v="EKY006960_LP_XXL" u="1"/>
        <s v="EKY006960_LP_M" u="1"/>
        <s v="EKY006960_LA_L" u="1"/>
        <s v="EKY006960_LA_XXL" u="1"/>
        <s v="EKY006960_OAG_M" u="1"/>
        <s v="EKY006960_LP_XL" u="1"/>
        <s v="EKY006960_OAG_XXL" u="1"/>
        <s v="EKY006960_LP_S" u="1"/>
        <s v="EKY006960_OAG_S" u="1"/>
        <s v="EKY005667_PAT5_XXL" u="1"/>
        <s v="EKY006569_MIR_S" u="1"/>
        <s v="EKY006569_MIR_L" u="1"/>
        <s v="EKY006569_MIR_M" u="1"/>
        <s v="EKY006569_CLB_L" u="1"/>
        <s v="EKY006569_CLB_M" u="1"/>
        <s v="EKY006569_CLB_XL" u="1"/>
        <s v="EKY006569_MIR_XL" u="1"/>
        <s v="EKY006569_CLB_XXL" u="1"/>
        <s v="EKY006569_CLB_S" u="1"/>
        <s v="EKY006569_MIR_XXL" u="1"/>
        <s v="EKY006569_WR_XXL" u="1"/>
        <s v="EKY007047_B_XL" u="1"/>
        <s v="EKY007047_NB_XL" u="1"/>
        <s v="EKY007047_B_XXL" u="1"/>
        <s v="EKY007047_DG_XXL" u="1"/>
        <s v="EKY007047_NB_XXL" u="1"/>
        <s v="EKY007047_WR_S" u="1"/>
        <s v="EKY007047_DG_S" u="1"/>
        <s v="EKY007047_DG_XL" u="1"/>
        <s v="EKY007047_DG_M" u="1"/>
        <s v="EKY007047_B_S" u="1"/>
      </sharedItems>
    </cacheField>
    <cacheField name="Advertised ASIN" numFmtId="0">
      <sharedItems containsBlank="1" count="4">
        <s v="B0CM9F3CXY"/>
        <s v="B0CMJ85RH6"/>
        <s v="B0CMHNDQT8"/>
        <m/>
      </sharedItems>
    </cacheField>
    <cacheField name="Impressions" numFmtId="0">
      <sharedItems containsString="0" containsBlank="1" containsNumber="1" containsInteger="1" minValue="0" maxValue="55114" count="96">
        <n v="4778"/>
        <n v="1993"/>
        <n v="4"/>
        <n v="6089"/>
        <n v="17820"/>
        <n v="40808"/>
        <n v="55114"/>
        <n v="6865"/>
        <n v="15258"/>
        <n v="3601"/>
        <n v="5307"/>
        <n v="8747"/>
        <n v="61"/>
        <n v="0"/>
        <n v="2710"/>
        <n v="3621"/>
        <n v="1926"/>
        <n v="4016"/>
        <n v="5879"/>
        <n v="867"/>
        <n v="2894"/>
        <n v="10519"/>
        <n v="408"/>
        <n v="1449"/>
        <n v="4452"/>
        <n v="3775"/>
        <n v="6592"/>
        <n v="2386"/>
        <n v="9975"/>
        <n v="5008"/>
        <n v="2346"/>
        <n v="2347"/>
        <n v="7312"/>
        <n v="8718"/>
        <n v="4216"/>
        <n v="5491"/>
        <n v="2921"/>
        <n v="1963"/>
        <n v="2160"/>
        <n v="2591"/>
        <n v="3759"/>
        <n v="9263"/>
        <n v="293"/>
        <n v="8"/>
        <n v="7"/>
        <n v="3297"/>
        <n v="2992"/>
        <n v="6"/>
        <n v="679"/>
        <n v="1238"/>
        <n v="1495"/>
        <n v="3172"/>
        <n v="713"/>
        <n v="1656"/>
        <n v="1717"/>
        <n v="43"/>
        <n v="10"/>
        <n v="4398"/>
        <n v="6217"/>
        <n v="5210"/>
        <n v="2759"/>
        <n v="1025"/>
        <n v="1806"/>
        <n v="416"/>
        <n v="1020"/>
        <n v="93"/>
        <n v="5328"/>
        <n v="11080"/>
        <n v="5728"/>
        <n v="9711"/>
        <n v="820"/>
        <n v="15919"/>
        <n v="7050"/>
        <n v="2557"/>
        <n v="35"/>
        <n v="1103"/>
        <n v="1480"/>
        <n v="1092"/>
        <n v="138"/>
        <n v="861"/>
        <n v="24"/>
        <n v="16"/>
        <n v="15904"/>
        <n v="57"/>
        <n v="6838"/>
        <n v="8070"/>
        <n v="305"/>
        <n v="1052"/>
        <n v="3212"/>
        <n v="5823"/>
        <n v="3206"/>
        <n v="624"/>
        <n v="5374"/>
        <n v="3488"/>
        <n v="1"/>
        <m/>
      </sharedItems>
    </cacheField>
    <cacheField name="Clicks" numFmtId="0">
      <sharedItems containsString="0" containsBlank="1" containsNumber="1" containsInteger="1" minValue="0" maxValue="62" count="34">
        <n v="12"/>
        <n v="4"/>
        <n v="0"/>
        <n v="22"/>
        <n v="45"/>
        <n v="52"/>
        <n v="62"/>
        <n v="23"/>
        <n v="41"/>
        <n v="10"/>
        <n v="5"/>
        <n v="26"/>
        <n v="17"/>
        <n v="11"/>
        <n v="16"/>
        <n v="20"/>
        <n v="8"/>
        <n v="9"/>
        <n v="19"/>
        <n v="47"/>
        <n v="40"/>
        <n v="18"/>
        <n v="1"/>
        <n v="6"/>
        <n v="3"/>
        <n v="2"/>
        <n v="13"/>
        <n v="15"/>
        <n v="30"/>
        <n v="35"/>
        <n v="28"/>
        <n v="7"/>
        <n v="14"/>
        <m/>
      </sharedItems>
    </cacheField>
    <cacheField name="Click-Thru Rate (CTR)" numFmtId="0">
      <sharedItems containsString="0" containsBlank="1" containsNumber="1" minValue="0" maxValue="0.0240384615384615" count="79">
        <n v="0.00251151109250733"/>
        <n v="0.00200702458605118"/>
        <n v="0"/>
        <n v="0.00361307275414682"/>
        <n v="0.00252525252525253"/>
        <n v="0.0012742599490296"/>
        <n v="0.00112494103131691"/>
        <n v="0.00335032774945375"/>
        <n v="0.00268711495608861"/>
        <n v="0.00277700638711469"/>
        <n v="0.000942151874882231"/>
        <n v="0.00297244769635304"/>
        <m/>
        <n v="0.00627306273062731"/>
        <n v="0.00276166804750069"/>
        <n v="0.00259605399792316"/>
        <n v="0.00298804780876494"/>
        <n v="0.00187106650790951"/>
        <n v="0.00576701268742791"/>
        <n v="0.0055286800276434"/>
        <n v="0.00190132141838578"/>
        <n v="0.0196078431372549"/>
        <n v="0.0062111801242236"/>
        <n v="0.00426774483378257"/>
        <n v="0.00105960264900662"/>
        <n v="0.00136529126213592"/>
        <n v="0.00160401002506266"/>
        <n v="0.0023961661341853"/>
        <n v="0.00980392156862745"/>
        <n v="0.00511291009799744"/>
        <n v="0.00642778993435449"/>
        <n v="0.00458820830465703"/>
        <n v="0.00426944971537002"/>
        <n v="0.00182116190129303"/>
        <n v="0.00684697021567956"/>
        <n v="0.00916963830871116"/>
        <n v="0.00740740740740741"/>
        <n v="0.000385951370127364"/>
        <n v="0.00239425379090184"/>
        <n v="0.000647738313721257"/>
        <n v="0.00181983621474067"/>
        <n v="0.00367647058823529"/>
        <n v="0.00441826215022091"/>
        <n v="0.00161550888529887"/>
        <n v="0.00334448160535117"/>
        <n v="0.00189155107187894"/>
        <n v="0.00701262272089762"/>
        <n v="0.0036231884057971"/>
        <n v="0.0029120559114735"/>
        <n v="0.00250113688040018"/>
        <n v="0.00209104069486891"/>
        <n v="0.00307101727447217"/>
        <n v="0.00362450163102573"/>
        <n v="0.00585365853658537"/>
        <n v="0.00609080841638981"/>
        <n v="0.0240384615384615"/>
        <n v="0.0147058823529412"/>
        <n v="0.00563063063063063"/>
        <n v="0.00315884476534296"/>
        <n v="0.00611033519553073"/>
        <n v="0.00267737617135208"/>
        <n v="0.00175890445379735"/>
        <n v="0.00283687943262411"/>
        <n v="0.00117324990222917"/>
        <n v="0.00271985494106981"/>
        <n v="0.00202702702702703"/>
        <n v="0.010989010989011"/>
        <n v="0.00116144018583043"/>
        <n v="0.0005658953722334"/>
        <n v="0.0026323486399532"/>
        <n v="0.00123915737298637"/>
        <n v="0.0229508196721311"/>
        <n v="0.00285171102661597"/>
        <n v="0.00435865504358655"/>
        <n v="0.00154559505409583"/>
        <n v="0.000623830318153462"/>
        <n v="0.0128205128205128"/>
        <n v="0.0035355414960923"/>
        <n v="0.00630733944954129"/>
      </sharedItems>
    </cacheField>
    <cacheField name="Cost Per Click (CPC)" numFmtId="0">
      <sharedItems containsString="0" containsBlank="1" containsNumber="1" minValue="0.535" maxValue="1.45333333333333" count="76">
        <n v="0.691666666666667"/>
        <n v="0.535"/>
        <m/>
        <n v="0.686363636363636"/>
        <n v="0.741777777777778"/>
        <n v="0.880192307692308"/>
        <n v="0.875483870967742"/>
        <n v="0.822173913043478"/>
        <n v="0.853170731707317"/>
        <n v="1.254"/>
        <n v="1.018"/>
        <n v="0.770384615384616"/>
        <n v="0.921764705882353"/>
        <n v="1.131"/>
        <n v="1.13"/>
        <n v="1.16666666666667"/>
        <n v="0.826363636363636"/>
        <n v="1.15"/>
        <n v="0.7575"/>
        <n v="0.75"/>
        <n v="0.67625"/>
        <n v="0.661111111111111"/>
        <n v="0.55"/>
        <n v="0.88"/>
        <n v="1.08444444444444"/>
        <n v="0.94125"/>
        <n v="1.03416666666667"/>
        <n v="1.05652173913043"/>
        <n v="0.8125"/>
        <n v="0.851914893617021"/>
        <n v="0.8105"/>
        <n v="0.742777777777778"/>
        <n v="0.808"/>
        <n v="0.791"/>
        <n v="1.10388888888889"/>
        <n v="1.241875"/>
        <n v="1.05"/>
        <n v="1.22444444444444"/>
        <n v="0.948333333333333"/>
        <n v="0.741666666666667"/>
        <n v="0.846363636363636"/>
        <n v="0.723333333333333"/>
        <n v="0.895"/>
        <n v="0.958"/>
        <n v="1.23166666666667"/>
        <n v="0.752"/>
        <n v="0.87"/>
        <n v="0.8"/>
        <n v="1.00727272727273"/>
        <n v="1.20230769230769"/>
        <n v="1.2125"/>
        <n v="1.121"/>
        <n v="0.698333333333333"/>
        <n v="0.977272727272727"/>
        <n v="0.955"/>
        <n v="1.03133333333333"/>
        <n v="0.839"/>
        <n v="0.872285714285714"/>
        <n v="0.981923076923077"/>
        <n v="1.15642857142857"/>
        <n v="1.0925"/>
        <n v="1.10333333333333"/>
        <n v="1.1"/>
        <n v="1.44666666666667"/>
        <n v="0.82"/>
        <n v="0.9"/>
        <n v="1.26777777777778"/>
        <n v="1.434"/>
        <n v="1.33571428571429"/>
        <n v="1.45333333333333"/>
        <n v="1.31071428571429"/>
        <n v="1.10444444444444"/>
        <n v="0.96"/>
        <n v="0.9675"/>
        <n v="1.09578947368421"/>
        <n v="0.7"/>
      </sharedItems>
    </cacheField>
    <cacheField name="Spend" numFmtId="0">
      <sharedItems containsString="0" containsBlank="1" containsNumber="1" minValue="0" maxValue="54.28" count="77">
        <n v="8.3"/>
        <n v="2.14"/>
        <n v="0"/>
        <n v="15.1"/>
        <n v="33.38"/>
        <n v="45.77"/>
        <n v="54.28"/>
        <n v="18.91"/>
        <n v="34.98"/>
        <n v="12.54"/>
        <n v="5.09"/>
        <n v="20.03"/>
        <n v="15.67"/>
        <n v="11.31"/>
        <n v="5.65"/>
        <n v="14"/>
        <n v="9.09"/>
        <n v="5.75"/>
        <n v="12.12"/>
        <n v="15"/>
        <n v="5.41"/>
        <n v="5.95"/>
        <n v="10.45"/>
        <n v="3.52"/>
        <n v="9.76"/>
        <n v="15.06"/>
        <n v="12.41"/>
        <n v="24.3"/>
        <n v="9.75"/>
        <n v="40.04"/>
        <n v="32.42"/>
        <n v="13.37"/>
        <n v="8.08"/>
        <n v="15.82"/>
        <n v="19.87"/>
        <n v="1.05"/>
        <n v="11.02"/>
        <n v="5.69"/>
        <n v="4.45"/>
        <n v="9.31"/>
        <n v="2.17"/>
        <n v="1.79"/>
        <n v="4.79"/>
        <n v="7.39"/>
        <n v="3.76"/>
        <n v="5.22"/>
        <n v="4"/>
        <n v="11.08"/>
        <n v="15.63"/>
        <n v="19.4"/>
        <n v="11.21"/>
        <n v="4.19"/>
        <n v="10.75"/>
        <n v="9.55"/>
        <n v="15.47"/>
        <n v="25.17"/>
        <n v="30.45"/>
        <n v="30.53"/>
        <n v="25.53"/>
        <n v="32.38"/>
        <n v="21.85"/>
        <n v="3.31"/>
        <n v="3.3"/>
        <n v="17.36"/>
        <n v="0.82"/>
        <n v="8.1"/>
        <n v="22.82"/>
        <n v="14.34"/>
        <n v="9.35"/>
        <n v="4.36"/>
        <n v="18.35"/>
        <n v="9.94"/>
        <n v="1.92"/>
        <n v="7.74"/>
        <n v="20.82"/>
        <n v="15.4"/>
        <m/>
      </sharedItems>
    </cacheField>
    <cacheField name="7 Day Total Sales " numFmtId="0">
      <sharedItems containsString="0" containsBlank="1" containsNumber="1" minValue="0" maxValue="145.95" count="17">
        <n v="0"/>
        <n v="29.99"/>
        <n v="119.96"/>
        <n v="145.95"/>
        <n v="59.98"/>
        <n v="89.97"/>
        <n v="42.98"/>
        <n v="25.99"/>
        <n v="25.98"/>
        <n v="12.99"/>
        <n v="51.96"/>
        <n v="23.39"/>
        <n v="77.96"/>
        <n v="124.72"/>
        <n v="126.35"/>
        <n v="37.38"/>
        <m/>
      </sharedItems>
    </cacheField>
    <cacheField name="Total Advertising Cost of Sales (ACOS) " numFmtId="0">
      <sharedItems containsString="0" containsBlank="1" containsNumber="1" minValue="0.0723574524841614" maxValue="1.87066974595843" count="29">
        <m/>
        <n v="0.503501167055685"/>
        <n v="0.278259419806602"/>
        <n v="0.313600548132922"/>
        <n v="0.904968322774258"/>
        <n v="0.388796265421807"/>
        <n v="0.466030711959051"/>
        <n v="0.522507502500834"/>
        <n v="0.577145055790689"/>
        <n v="0.13548883756736"/>
        <n v="1.87066974595843"/>
        <n v="0.770592763664357"/>
        <n v="0.764524817237399"/>
        <n v="0.183727909303101"/>
        <n v="0.0723574524841614"/>
        <n v="0.159719906635545"/>
        <n v="0.369456485495165"/>
        <n v="0.260586862287429"/>
        <n v="0.408294142796067"/>
        <n v="0.322857875833761"/>
        <n v="1.17205542725173"/>
        <n v="0.244788325849904"/>
        <n v="1.38435228730227"/>
        <n v="0.364288096032011"/>
        <n v="0.180609418282548"/>
        <n v="0.311770590196732"/>
        <n v="0.331443814604868"/>
        <n v="0.890123984608807"/>
        <n v="0.411985018726592"/>
      </sharedItems>
    </cacheField>
    <cacheField name="Total Return on Advertising Spend (ROAS)" numFmtId="0">
      <sharedItems containsString="0" containsBlank="1" containsNumber="1" minValue="0" maxValue="13.8202764976959" count="30">
        <n v="0"/>
        <m/>
        <n v="1.98609271523179"/>
        <n v="3.5937687237867"/>
        <n v="3.18876993663972"/>
        <n v="1.10501105379514"/>
        <n v="2.57204116638079"/>
        <n v="2.14578132800799"/>
        <n v="1.91384811742183"/>
        <n v="1.73266666666667"/>
        <n v="7.38068181818182"/>
        <n v="0.534567901234568"/>
        <n v="1.2977022977023"/>
        <n v="1.30800201308505"/>
        <n v="5.44283121597096"/>
        <n v="13.8202764976959"/>
        <n v="6.26096033402923"/>
        <n v="2.70667870036101"/>
        <n v="3.83749200255918"/>
        <n v="2.44921465968586"/>
        <n v="3.09733810091379"/>
        <n v="0.85320197044335"/>
        <n v="4.08516213560432"/>
        <n v="0.722359481161211"/>
        <n v="2.74508009153318"/>
        <n v="5.53680981595092"/>
        <n v="3.20748663101604"/>
        <n v="3.01710261569417"/>
        <n v="1.12343900096061"/>
        <n v="2.42727272727273"/>
      </sharedItems>
    </cacheField>
    <cacheField name="7 Day Total Orders (#)" numFmtId="0">
      <sharedItems containsString="0" containsBlank="1" containsNumber="1" containsInteger="1" minValue="0" maxValue="5" count="7">
        <n v="0"/>
        <n v="1"/>
        <n v="5"/>
        <n v="2"/>
        <n v="3"/>
        <n v="4"/>
        <m/>
      </sharedItems>
    </cacheField>
    <cacheField name="7 Day Total Units (#)" numFmtId="0">
      <sharedItems containsString="0" containsBlank="1" containsNumber="1" containsInteger="1" minValue="0" maxValue="8" count="8">
        <n v="0"/>
        <n v="1"/>
        <n v="5"/>
        <n v="2"/>
        <n v="3"/>
        <n v="4"/>
        <n v="8"/>
        <m/>
      </sharedItems>
    </cacheField>
    <cacheField name="7 Day Conversion Rate" numFmtId="0">
      <sharedItems containsString="0" containsBlank="1" containsNumber="1" minValue="0" maxValue="0.333333333333333" count="26">
        <n v="0"/>
        <m/>
        <n v="0.0454545454545455"/>
        <n v="0.111111111111111"/>
        <n v="0.0961538461538462"/>
        <n v="0.032258064516129"/>
        <n v="0.0731707317073171"/>
        <n v="0.0769230769230769"/>
        <n v="0.0588235294117647"/>
        <n v="0.05"/>
        <n v="0.25"/>
        <n v="0.0434782608695652"/>
        <n v="0.0851063829787234"/>
        <n v="0.0555555555555556"/>
        <n v="0.222222222222222"/>
        <n v="0.333333333333333"/>
        <n v="0.2"/>
        <n v="0.0909090909090909"/>
        <n v="0.153846153846154"/>
        <n v="0.1"/>
        <n v="0.133333333333333"/>
        <n v="0.0571428571428571"/>
        <n v="0.0857142857142857"/>
        <n v="0.0357142857142857"/>
        <n v="0.142857142857143"/>
        <n v="0.0526315789473684"/>
      </sharedItems>
    </cacheField>
    <cacheField name="7 Day Advertised SKU Units (#)" numFmtId="0">
      <sharedItems containsString="0" containsBlank="1" containsNumber="1" containsInteger="1" minValue="0" maxValue="6" count="8">
        <n v="0"/>
        <n v="1"/>
        <n v="5"/>
        <n v="4"/>
        <n v="2"/>
        <n v="3"/>
        <n v="6"/>
        <m/>
      </sharedItems>
    </cacheField>
    <cacheField name="7 Day Other SKU Units (#)" numFmtId="0">
      <sharedItems containsString="0" containsBlank="1" containsNumber="1" containsInteger="1" minValue="0" maxValue="2" count="4">
        <n v="0"/>
        <n v="1"/>
        <n v="2"/>
        <m/>
      </sharedItems>
    </cacheField>
    <cacheField name="7 Day Advertised SKU Sales " numFmtId="0">
      <sharedItems containsString="0" containsBlank="1" containsNumber="1" minValue="0" maxValue="119.96" count="12">
        <n v="0"/>
        <n v="29.99"/>
        <n v="119.96"/>
        <n v="59.98"/>
        <n v="89.97"/>
        <n v="25.99"/>
        <n v="25.98"/>
        <n v="12.99"/>
        <n v="51.96"/>
        <n v="23.39"/>
        <n v="77.94"/>
        <m/>
      </sharedItems>
    </cacheField>
    <cacheField name="7 Day Other SKU Sales " numFmtId="0">
      <sharedItems containsString="0" containsBlank="1" containsNumber="1" minValue="0" maxValue="51.98" count="9">
        <n v="0"/>
        <n v="25.99"/>
        <n v="12.99"/>
        <n v="51.98"/>
        <n v="46.78"/>
        <n v="23.39"/>
        <n v="36.38"/>
        <n v="13.99"/>
        <m/>
      </sharedItems>
    </cacheField>
    <cacheField name="CR" numFmtId="0" formula="'7 Day Total Orders (#)'/Clicks" databaseField="0"/>
    <cacheField name="ROI" numFmtId="0" formula="'7 Day Total Sales '/Spend" databaseField="0"/>
    <cacheField name="CTR" numFmtId="0" formula="Clicks/Impressions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5" minRefreshableVersion="3" refreshedDate="45106.7401736111" refreshedBy="X1 Carbon 2018" recordCount="83">
  <cacheSource type="worksheet">
    <worksheetSource ref="A3:AD259" sheet="5.业务报告&amp;AD报告分析"/>
  </cacheSource>
  <cacheFields count="33">
    <cacheField name="颜色" numFmtId="0">
      <sharedItems containsBlank="1" count="115">
        <s v="AMXX0001_YDF11"/>
        <s v="AMXX0001_B"/>
        <s v="AMXX0001_MGT"/>
        <s v="AMXX0001_NB"/>
        <s v="AMXX0001_WR"/>
        <s v="AMXX0001_YDF1"/>
        <s v="AMXX0001_YDF2"/>
        <s v="AMXX0001_PAT9"/>
        <s v="AMXX0001_YDF5"/>
        <s v="AMXX0001_YDF10"/>
        <s v="AMXX0001_YDF3"/>
        <s v="AMXX0001_PEB"/>
        <s v="AMXX0001_YDF9"/>
        <s v="AMXX0001_O"/>
        <s v="AMXX0001_PAT1"/>
        <s v="AMXX0001_YDF4"/>
        <s v="AMXX0001_LB"/>
        <s v="AMXX0001_YDF12"/>
        <s v="AMXX0001_PU"/>
        <s v="AMXX0001_PAT3"/>
        <m/>
        <s v="EKY005123_YDF11" u="1"/>
        <s v="EKY005123_B" u="1"/>
        <s v="EKY005123_YDF1" u="1"/>
        <s v="EKY005123_WR" u="1"/>
        <s v="EKY005123_NB" u="1"/>
        <s v="EKY005123_YDF2" u="1"/>
        <s v="EKY005123_YDF5" u="1"/>
        <s v="EKY005123_MGT" u="1"/>
        <s v="EKY005123_YDF9" u="1"/>
        <s v="EKY005123_PAT9" u="1"/>
        <s v="EKY005123_YDF10" u="1"/>
        <s v="EKY005123_PEB" u="1"/>
        <s v="EKY005123_YDF3" u="1"/>
        <s v="EKY005123_PAT1" u="1"/>
        <s v="EKY005123_O" u="1"/>
        <s v="EKY005123_YDF4" u="1"/>
        <s v="EKY005123_LB" u="1"/>
        <s v="EKY005123_YDF12" u="1"/>
        <s v="EKY005123_PU" u="1"/>
        <s v="EKY005123_PAT3" u="1"/>
        <s v="VAJ007919_PAT4" u="1"/>
        <s v="VAJ007919_PAT3" u="1"/>
        <s v="VAJ007919_R" u="1"/>
        <s v="VAJ007919_G" u="1"/>
        <s v="VAJ007919_PAT5" u="1"/>
        <s v="VAJ007919_NB" u="1"/>
        <s v="VAJ007919_GR" u="1"/>
        <s v="VAJ007919_B" u="1"/>
        <s v="VAJ007919_PAT2" u="1"/>
        <s v="VAJ007919_PAT6" u="1"/>
        <s v="VAJ007919_PAT1" u="1"/>
        <s v="VAJ007919_B1" u="1"/>
        <s v="VAJ008507_W" u="1"/>
        <s v="VAJ008507_B" u="1"/>
        <s v="VAJ008507_SB" u="1"/>
        <s v="VAJ008507_LGR" u="1"/>
        <s v="VAJ008507_KH" u="1"/>
        <s v="VAJ008507_CG" u="1"/>
        <s v="VAJ008507_ARG" u="1"/>
        <s v="VAJ008507_PAT3" u="1"/>
        <s v="VAJ008507_DBG" u="1"/>
        <s v="VAJ008507_DK" u="1"/>
        <s v="VAJ008507_PAT1" u="1"/>
        <s v="VAJ008507_PAT2" u="1"/>
        <s v="*VAJ008507" u="1"/>
        <s v="VAJ007917_GR" u="1"/>
        <s v="VAJ007674_BR" u="1"/>
        <s v="VAJ007917_LGR" u="1"/>
        <s v="VAJ007917_W" u="1"/>
        <s v="VAJ007674_R" u="1"/>
        <s v="VAJ007674_PAT1" u="1"/>
        <s v="VAJ007674_PAT7" u="1"/>
        <s v="VAJ007915_PAT1" u="1"/>
        <s v="VAJ007917_DGR" u="1"/>
        <s v="**VAJ007915" u="1"/>
        <s v="VAJ007674_PAT2" u="1"/>
        <s v="VAJ007674_PAT8" u="1"/>
        <s v="VAJ007674_B" u="1"/>
        <s v="VAJ007915_PAT2" u="1"/>
        <s v="VAJ007915_B" u="1"/>
        <s v="VAJ007674_BL" u="1"/>
        <s v="VAJ007915_BL" u="1"/>
        <s v="VAJ007915_WR" u="1"/>
        <s v="VAJ007674_LGT" u="1"/>
        <s v="VAJ007674_PON" u="1"/>
        <s v="VAJ007674_PAT3" u="1"/>
        <s v="VAJ007674_PAT9" u="1"/>
        <s v="VAJ007674_DG" u="1"/>
        <s v="VAJ007674_GR" u="1"/>
        <s v="VAJ007915_DG" u="1"/>
        <s v="VAJ007915_GR" u="1"/>
        <s v="VAJ007674_PAT4" u="1"/>
        <s v="VAJ007674_NB" u="1"/>
        <s v="VAJ007674_LGR" u="1"/>
        <s v="VAJ007674_W" u="1"/>
        <s v="VAJ007674_FY" u="1"/>
        <s v="VAJ007915_NB" u="1"/>
        <s v="VAJ007915_W" u="1"/>
        <s v="VAJ007917_B" u="1"/>
        <s v="VAJ007674_PAT10" u="1"/>
        <s v="VAJ007674_O" u="1"/>
        <s v="VAJ007674_FG" u="1"/>
        <s v="VAJ007917_BL" u="1"/>
        <s v="VAJ007917_WR" u="1"/>
        <s v="VAJ007915_DGR" u="1"/>
        <s v="VAJ007674_PAT5" u="1"/>
        <s v="VAJ007915_O" u="1"/>
        <s v="VAJ007915_PEB" u="1"/>
        <s v="VAJ007917_DBL" u="1"/>
        <s v="VAJ007674_Y" u="1"/>
        <s v="VAJ007915_ARG" u="1"/>
        <s v="VAJ007674_KH" u="1"/>
        <s v="VAJ007674_PAT6" u="1"/>
        <s v="VAJ007674_PAT11" u="1"/>
      </sharedItems>
    </cacheField>
    <cacheField name="(Parent) ASIN" numFmtId="0">
      <sharedItems containsBlank="1" count="2">
        <s v="B07MNML6HB"/>
        <m/>
      </sharedItems>
    </cacheField>
    <cacheField name="(Child) ASIN" numFmtId="0">
      <sharedItems containsBlank="1" count="83">
        <s v="B097G7KTG5"/>
        <s v="B094VV223H"/>
        <s v="B094VW3BCC"/>
        <s v="B094VWDNCJ"/>
        <s v="B097FQYKMD"/>
        <s v="B094VV69SJ"/>
        <s v="B097G3WTN9"/>
        <s v="B094VW749T"/>
        <s v="B094VX233Q"/>
        <s v="B094VVM9N9"/>
        <s v="B094VVNXY6"/>
        <s v="B094VW9DQK"/>
        <s v="B094VWP3ZC"/>
        <s v="B09LM9DKBB"/>
        <s v="B07MNMJQPC"/>
        <s v="B094VTZLZB"/>
        <s v="B097G15R7W"/>
        <s v="B07MNMHZ9H"/>
        <s v="B094Q7GZ9Y"/>
        <s v="B07MKFZF5K"/>
        <s v="B07MNMS9CV"/>
        <s v="B07MGTRVJ3"/>
        <s v="B07MKG31H6"/>
        <s v="B07M9N5KRP"/>
        <s v="B09LM9CZGB"/>
        <s v="B07QW54G73"/>
        <s v="B07M9N6BJW"/>
        <s v="B07X5GW94W"/>
        <s v="B07MNLT9RK"/>
        <s v="B07YDQ3DNK"/>
        <s v="B07QY7GQNK"/>
        <s v="B09LM9XDCJ"/>
        <s v="B07QV4NVRJ"/>
        <s v="B07QX4PVSZ"/>
        <s v="B094VWBW79"/>
        <s v="B07X6DWHMB"/>
        <s v="B07QY6GY4R"/>
        <s v="B097G59WBM"/>
        <s v="B09LM6NLJD"/>
        <s v="B094VW9GDY"/>
        <s v="B07S1P14C9"/>
        <s v="B07X6DJKB5"/>
        <s v="B094VWBXW2"/>
        <s v="B094VWXJ5V"/>
        <s v="B09LM6WJHH"/>
        <s v="B09LMBB57W"/>
        <s v="B07X2926M5"/>
        <s v="B0B5G9J79W"/>
        <s v="B09FJ9J5K7"/>
        <s v="B09FJ9322V"/>
        <s v="B07X39KLXW"/>
        <s v="B07Q3KT9XM"/>
        <s v="B09LM6WZQH"/>
        <s v="B09LM7BX3M"/>
        <s v="B0B5G9XJJS"/>
        <s v="B09FJ9CP4S"/>
        <s v="B07X39CJQM"/>
        <s v="B09LM9NJZJ"/>
        <s v="B07X6CJGCP"/>
        <s v="B097GHLXDN"/>
        <s v="B094VVVK4K"/>
        <s v="B07X4CCGXN"/>
        <s v="B09LM91Y9N"/>
        <s v="B0B5G9FC3H"/>
        <s v="B09FJ92V1B"/>
        <s v="B09LM9169K"/>
        <s v="B094VV2672"/>
        <s v="B0B5G9GQ74"/>
        <s v="B09LM9LB5C"/>
        <s v="B07Q4HZR7P"/>
        <s v="B09LM7951D"/>
        <s v="B09LM9YQHV"/>
        <s v="B09LM99DC2"/>
        <s v="B0B5G913R4"/>
        <s v="B0B5GBJT7T"/>
        <s v="B07Q3KTDRX"/>
        <s v="B07Q5MGQDY"/>
        <s v="B0B5G9KB4W"/>
        <s v="B0B5G9P6FN"/>
        <s v="B09FJ99PJ4"/>
        <s v="B0B5G9TP45"/>
        <s v="B0B5GC2GB4"/>
        <m/>
      </sharedItems>
    </cacheField>
    <cacheField name="Title" numFmtId="0">
      <sharedItems containsBlank="1" count="83">
        <s v="AMZON Women Nursing Pajamas 3 in 1 Hospital Gown Maternity Nursing Delivery Night Gown Grey Medium"/>
        <s v="AMZON Women's Nursing gown Shoulder Snap Nursing Dresses Breastfeeding Gown for Hospital Black M"/>
        <s v="AMZON Women's Nursing Nightgown Sleeveless Nursing Gowns Scoop Neck Nursing Sleepwear Black L"/>
        <s v="AMZON Women's Nightgown Sleeveless Sleep Shirts with Shoulder Snaps Loose Pajamas Dress Grey L"/>
        <s v="AMZON Women 3 in 1 Labor/Delivery/Nursing Hospital Gown Maternity Hospital Bag Must Have Grey Large"/>
        <s v="AMZON Womens Night Dress Loose Fit Nightgown with Shoulder Snaps Sleepwear Dress Grey M"/>
        <s v="AMZON Women Nursing Nightdress 3 in 1 Gown Maternity Labor &amp; Postpartum Gown Hospital Bag Must Have Small"/>
        <s v="AMZON Womens Sleepwear Dress Sleeveless Nightgown Shoulder Snaps Loose Fit Nightshirt Grey XL"/>
        <s v="AMZON Women Nightdress with Snaps Stretchy Sleep Gown Loose fit Gown for Night Wear Grey XXL"/>
        <s v="AMZON Womens Labor and Delivery Gown Sleeveless Nursing Nightgown Snap Closure Sleepwear Dress Black S"/>
        <s v="AMZON Women's Sleepshirts Sleeveless Nightdress O-neck Nightgown Loose Nightdress with Buttons Grey S"/>
        <s v="AMZON Womens Maternity Tank Dress Soft Breastfeeding Hospital Gown Sleepwear with Button Navy Blue L"/>
        <s v="AMZON Womens 3 in 1 Nursing Dress Sleeveless Nightdress Maternity Nightgown with Snap Button Navy Blue M"/>
        <s v="AMZON Women's Pregnancy Hospital Gowns Sleeveless Solid Nightgown Cute Loungewear Gown Wine Red L"/>
        <s v="AMZON Ultra Soft Maternity/Nursing Nightgown Dress Breastfeeding Nightwear Black Striped Pajama Dress Medium"/>
        <s v="AMZON Women's Maternity Tank Dress Labor/Delivery/Maternity Nursing Nightgown Navy Blue XL"/>
        <s v="AMZON Nursing Nightshirt Women Sleeveless Nursing Gown Hospital Bag Must Have Lounge Dress X-Large"/>
        <s v="AMZON Women's Maternity Dress Nursing Nightgown for Breastfeeding Nightshirt Sleepwear Black Large"/>
        <s v="AMZON 3 in 1 Delivery/Labor/Nursing Nightgown Snap Maternity Hospital Gown Sleeveless Striped Pregnancy Sleepwear"/>
        <s v="AMZON Ultra Soft Nursing Nightgown for Women Sleeveless Maternity Nightgown for Hospital Snap Sleepwear Dress Black XX-Large"/>
        <s v="AMZON Women Pajama Dress Round Neck Sleeveless Gown Striped Nightdress for Breastfeeding Sleepwear Black Small"/>
        <s v="AMZON Women Nursing Sleep Shirts Sleeveless Striped Pregnant Nightdress Round Neck Sleepwear Dress Navy Blue Large"/>
        <s v="AMZON Women's Maternity Dress Nursing Nightgown for Breastfeeding Navy Blue Small"/>
        <s v="AMZON Ultra Soft Maternity/Nursing Nightgown Dress, Breastfeeding Nightwear Navy Blue X-Large"/>
        <s v="AMZON Women's Maternity Sleeveless Dress Labor and Delivery Gown Snap Loungewear Hospital Gown L"/>
        <s v="AMZON Ultra Soft Maternity &amp; Nursing Nightgown Dress XX-Large"/>
        <s v="AMZON Women Sleeveless Nightgown Striped Nursing Nightgown Breastfeeding Sleep Dress Navy Blue Medium"/>
        <s v="AMZON Maternity Dress Sleeveless Gowns for Pregnant Women Breastfeeding Sleepdress Green XL"/>
        <s v="AMZON Women's Maternity Dress Nursing Nightgown for Breastfeeding Nightshirt Sleepwear Navy Blue XX-Large"/>
        <s v="AMZON Women's Maternity Sleeveless Dress Striped Nightgown Pregnancy Gown for Breastfeeding"/>
        <s v="AMZON Women's Maternity Dress Nursing Nightgown for Breastfeeding Nightshirt Sleepwear Large"/>
        <s v="AMZON Women's Maternity Sleeveless Dress Nursing Gowns for Hospital Pregnancy Gown Peacock Blue XXL"/>
        <s v="AMZON Women Round Neck Sleeveless Striped Pregnant Nightdress Sleepwear Small"/>
        <s v="AMZON Ultra Soft Maternity/Nursing Nightgown Dress, Breastfeeding Nightwear Medium"/>
        <s v="AMZON Hospital Gowns for Women Sleeveless Maternity Dress Snap Breastfeeding Nightdress Black XXL"/>
        <s v="AMZON Shoulder Surgery Gowns for Women Snap Button Loungewear Gown Pregnancy Gown for Breastfeeding Sky Blue L"/>
        <s v="AMZON Ultra Soft Maternity &amp; Nursing Pajamas Sleepwear Dress X-Large"/>
        <s v="AMZON Women Breastfeeding Dress Striped Hospital Gown Maternity Nightgown for Sleepwear Grey XX-Large"/>
        <s v="AMZON Women's Maternity Sleeveless Dress Nursing Pajama Dresses Breastfeeding Maternity Gown and Robe Wine Red XXL"/>
        <s v="AMZON Womens Nursing Nightgown Snap Button Gown for Labor/Maternity/Nursing Night Dress Black XL"/>
        <s v="AMZON Ultra Soft Maternity &amp; Nursing Nightgown Dress Blue Medium"/>
        <s v="AMZON Womens Nursing Gightgown Sleeveless Pregnancy Gown Snap Button Breastfeeding Sleepwear Dress Green"/>
        <s v="AMZON Women Labor and Delivery Gown Maternity Nursing Pajamas Sleepwear with Snap Closure Navy Blue S"/>
        <s v="AMZON Women's Maternity Gown Sleeveless Nursing Nightgown Shoulder Snap Maternity Dress Breastfeeding Sleepwear Navy Blue XXL"/>
        <s v="AMZON Nursing Nightgown Sleeveless Pregnancy Gowns Snap Button Nursing Pajama Dress Wine Red XL"/>
        <s v="AMZON Womens Maternity Nursing Gown Solid Blue Surgery Gown for Labor/Delivery Pregnancy Gown Peacock Blue XL"/>
        <s v="AMZON Women's Delivery Gowns Striped Maternity Nightgown Sleeveless Pregnancy Dress Sky Blue S"/>
        <s v="AMZON Women's Cottony Soft Nightgown Sleepwear Sleeveless U Neck Sleep Shirt Casual Sleepdress Brick Red L"/>
        <s v="AMZON Hospital Gowns for Women Labor Delivery Sleeveless Nursing Nightgown for Breastfeeding XL"/>
        <s v="AMZON Nursing Gowns for Women Breastfeeding Sleeveless Maternity Nightgown Casual Print Nursing Sleepdress L"/>
        <s v="AMZON Maternity Hospital Gowns for Women Striped Nightgown Sleeveless Loungewear Gown for Breastfeeding Green"/>
        <s v="AMZON Ultra Soft Maternity &amp; Nursing Pajamas Sleepwear Dress Wine Red X-Large"/>
        <s v="AMZON Hospital Gowns for Women Sleeveless Tank Dress for Nursing Maternity Hospital Bag Nightwear Peacock Blue L"/>
        <s v="AMZON Nursing Pajamas for Women Maternity Tank Nightdress Hospital Bag Essentials Gowns Polka Dots XL"/>
        <s v="AMZON Women's Casual Nightgown Sleeveless Scoop Neck Nightshirts Roomy Pj Dress Solid Nightwear Gown Baby Blue L"/>
        <s v="AMZON Women Maternity Dress Scoop Neck Nursing Tank Dress for Breastfeeding Night Shirts with Snap Button M"/>
        <s v="AMZON Women's Maternity Delivery Gowns for Hospital Sleeveless Night Gown Snap Button Nursing Dress Sky Blue XL"/>
        <s v="AMZON Women's Nursing Shirts for Breastfeeding Nightgown Motherhood Nursing Nightgown Wine Red S"/>
        <s v="AMZON Hospital Gowns for Women with Snaps Nightgown Sleeveless Breastfeeding Gown Sky Blue M"/>
        <s v="AMZON Women Nightgown Delivery/Labor/Maternity/Nursing Gown Sleeveless Stripe Breastfeeding Sleepdress Medium Blue-Green"/>
        <s v="AMZON Womens 3 in 1 Nursing Dress Maternity Nightgown Snap Button Breastfeeding Sleepwear Purple XL"/>
        <s v="AMZON Women's Maternity Sleeveless Dress Nursing Pajamas Breastfeeding Night Shirt Snap Button Loungewear Green"/>
        <s v="AMZON Maternity Nightgowns for Women Dots Print Nursing Gown Pregnancy Gown for Loungewear M"/>
        <s v="AMZON Women‘s Nightgown Snap Button Sleep Dress Sleeveless Night Shirt U Neck Sleepwear Baby Blue S"/>
        <s v="AMZON Maternity Gown for Women Sleeveless Sleep Dress Pregnancy Sleepshirts Shoulder Snap Nursing Pajama Gown XL"/>
        <s v="AMZON Maternity Women's Sleeveless Maternity Dress Solid Nightgown Snap Button Nursing Dress for Sleepwear Peacock Blue M"/>
        <s v="AMZON Women's Nursing Maternity Dress Sleeveless Nightdress Stretchy Breastfeeding Sleepwear Purple S"/>
        <s v="AMZON Women's Nightgown, Novelty Sleepshirts U Neck Sleeveless Sleep Shirt Loose Comfy Pajama Sleepwear Baby Blue M"/>
        <s v="AMZON Maternity Nightgowns for Women Sleeveless Solid Dress for Nursing Cute Pregnancy Gown Peacock Blue S"/>
        <s v="AMZON Ultra Soft Maternity/Nursing Nightgown Dress, Breastfeeding Nightwear Wine Red Medium"/>
        <s v="AMZON Women's Hospital Nursing Dress U-shaped Neck Nightgown Sleeveless Pregnancy Gown Wine Red M"/>
        <s v="AMZON Hospital Pregnancy Gown Sleeveless Nursing Nightgown Polka Dots Print Breastfeeding Dress S"/>
        <s v="AMZON Women's Postpartum Dress for Breastfeeding Sleeveless Nursing Nightdress Pregnancy Gown for Breastfeeding Polka Dots XXL"/>
        <s v="AMZON Women's Nightgown Sleeveless Sleepwear Comfy Sleepshirts Snap Button Scoopneck Nightshirt Baby Blue XL"/>
        <s v="AMZON Pajama Dress for Women Sleeveless U Neck Nightgowns Snap Shoulder Night Shirts Brick Red S"/>
        <s v="AMZON Women Round Neck Sleeveless Striped Pregnant Nightdress Sleepwear Wine Red Small"/>
        <s v="AMZON Women's Maternity Dress Nursing Nightgown for Breastfeeding Nightshirt Sleepwear Wine Red Large"/>
        <s v="AMZON Women's O Neck Pajamas Dress Loose Fit Hospital Gown Sleeveless Nightshirts Plus Size A-lined Nightgown Brick Red XL"/>
        <s v="AMZON Women's Nightshirt Sleeveless Shoulder Snap Nightgown U-Neck Sleepwear Pajama Dress Brick Red M"/>
        <s v="AMZON Women 3 in 1 Labor/Delivery/Nursing Hospital Gown/Sleepwear Hospital Bag Must Have Nursing Dress S"/>
        <s v="AMZON A-lined Nightgowns for Women Loose Fit Sleepshirt Sleeveless U Neck Sleepwear Dresses Plus Size Pjs Brick Red XXL"/>
        <s v="AMZON Women's Sleepwear Cottony Soft Sleep Tank Top Sleevelesss Comfy Sleepshirt Loose Fit Nightwear Dress Baby Blue XXL"/>
        <m/>
      </sharedItems>
    </cacheField>
    <cacheField name="SKU" numFmtId="0">
      <sharedItems containsBlank="1" count="83">
        <s v="AMXX0001_YDF11_M#"/>
        <s v="AMXX0001_B_M"/>
        <s v="AMXX0001_B_L"/>
        <s v="AMXX0001_MGT_L"/>
        <s v="AMXX0001_YDF11_L#"/>
        <s v="AMXX0001_MGT_M"/>
        <s v="AMXX0001_YDF11_S#"/>
        <s v="AMXX0001_MGT_XL"/>
        <s v="AMXX0001_MGT_XXL"/>
        <s v="AMXX0001_B_S"/>
        <s v="AMXX0001_MGT_S"/>
        <s v="AMXX0001_NB_L"/>
        <s v="AMXX0001_NB_M"/>
        <s v="AMXX0001_WR_L"/>
        <s v="AMXX0001_YDF1_M#"/>
        <s v="AMXX0001_NB_XL"/>
        <s v="AMXX0001_YDF11_XL#"/>
        <s v="AMXX0001_YDF1_L#"/>
        <s v="AMXX0001_YDF1_XL##"/>
        <s v="AMXX0001_YDF1_XXL#"/>
        <s v="AMXX0001_YDF1_S#"/>
        <s v="AMXX0001_YDF2_L#"/>
        <s v="AMXX0001_YDF2_S#"/>
        <s v="AMXX0001_YDF2_XL#"/>
        <s v="AMXX0001_PAT9_L"/>
        <s v="AMXX0001_YDF5_XXL#"/>
        <s v="AMXX0001_YDF2_M#"/>
        <s v="AMXX0001_YDF10_XL#"/>
        <s v="AMXX0001_YDF2_XXL#"/>
        <s v="AMXX0001_YDF3_S##"/>
        <s v="AMXX0001_YDF5_L#"/>
        <s v="AMXX0001_PEB_XXL"/>
        <s v="AMXX0001_YDF5_S#"/>
        <s v="AMXX0001_YDF5_M#"/>
        <s v="AMXX0001_B_XXL"/>
        <s v="AMXX0001_YDF9_L#"/>
        <s v="AMXX0001_YDF5_XL#"/>
        <s v="AMXX0001_YDF11_XXL#"/>
        <s v="AMXX0001_WR_XXL"/>
        <s v="AMXX0001_B_XL"/>
        <s v="AMXX0001_YDF3_M#"/>
        <s v="AMXX0001_YDF10_M#"/>
        <s v="AMXX0001_NB_S"/>
        <s v="AMXX0001_NB_XXL"/>
        <s v="AMXX0001_WR_XL"/>
        <s v="AMXX0001_PEB_XL"/>
        <s v="AMXX0001_YDF9_S#"/>
        <s v="AMXX0001_O_L"/>
        <s v="AMXX0001_PAT1_XL#"/>
        <s v="AMXX0001_PAT1_L#"/>
        <s v="AMXX0001_YDF10_S#"/>
        <s v="AMXX0001_YDF4_XL#"/>
        <s v="AMXX0001_PEB_L"/>
        <s v="AMXX0001_PAT9_XL"/>
        <s v="AMXX0001_LB_L"/>
        <s v="AMXX0001_PAT1_M#"/>
        <s v="AMXX0001_YDF9_XL#"/>
        <s v="AMXX0001_WR_S"/>
        <s v="AMXX0001_YDF9_M#"/>
        <s v="AMXX0001_YDF12_M#"/>
        <s v="AMXX0001_PU_XL"/>
        <s v="AMXX0001_YDF10_L#"/>
        <s v="AMXX0001_PAT9_M"/>
        <s v="AMXX0001_LB_S"/>
        <s v="AMXX0001_PAT3_XL#"/>
        <s v="AMXX0001_PEB_M"/>
        <s v="AMXX0001_PU_S"/>
        <s v="AMXX0001_LB_M"/>
        <s v="AMXX0001_PEB_S"/>
        <s v="AMXX0001_YDF4_M#"/>
        <s v="AMXX0001_WR_M"/>
        <s v="AMXX0001_PAT9_S"/>
        <s v="AMXX0001_PAT9_XXL"/>
        <s v="AMXX0001_LB_XL"/>
        <s v="AMXX0001_O_S"/>
        <s v="AMXX0001_YDF4_S#"/>
        <s v="AMXX0001_YDF4_L#"/>
        <s v="AMXX0001_O_XL"/>
        <s v="AMXX0001_O_M"/>
        <s v="AMXX0001_PAT1_S#"/>
        <s v="AMXX0001_O_XXL"/>
        <s v="AMXX0001_LB_XXL"/>
        <m/>
      </sharedItems>
    </cacheField>
    <cacheField name="Sessions" numFmtId="0">
      <sharedItems containsString="0" containsBlank="1" containsNumber="1" containsInteger="1" minValue="0" maxValue="2724" count="79">
        <n v="1429"/>
        <n v="775"/>
        <n v="614"/>
        <n v="764"/>
        <n v="2724"/>
        <n v="1028"/>
        <n v="1451"/>
        <n v="536"/>
        <n v="382"/>
        <n v="743"/>
        <n v="727"/>
        <n v="608"/>
        <n v="545"/>
        <n v="467"/>
        <n v="1041"/>
        <n v="416"/>
        <n v="684"/>
        <n v="1029"/>
        <n v="676"/>
        <n v="533"/>
        <n v="794"/>
        <n v="953"/>
        <n v="857"/>
        <n v="773"/>
        <n v="494"/>
        <n v="320"/>
        <n v="1185"/>
        <n v="296"/>
        <n v="582"/>
        <n v="683"/>
        <n v="557"/>
        <n v="283"/>
        <n v="451"/>
        <n v="499"/>
        <n v="215"/>
        <n v="503"/>
        <n v="357"/>
        <n v="501"/>
        <n v="234"/>
        <n v="88"/>
        <n v="669"/>
        <n v="470"/>
        <n v="532"/>
        <n v="178"/>
        <n v="312"/>
        <n v="425"/>
        <n v="440"/>
        <n v="221"/>
        <n v="309"/>
        <n v="495"/>
        <n v="469"/>
        <n v="301"/>
        <n v="422"/>
        <n v="280"/>
        <n v="326"/>
        <n v="718"/>
        <n v="286"/>
        <n v="465"/>
        <n v="374"/>
        <n v="640"/>
        <n v="180"/>
        <n v="68"/>
        <n v="436"/>
        <n v="341"/>
        <n v="742"/>
        <n v="385"/>
        <n v="318"/>
        <n v="383"/>
        <n v="355"/>
        <n v="391"/>
        <n v="290"/>
        <n v="190"/>
        <n v="36"/>
        <n v="225"/>
        <n v="311"/>
        <n v="50"/>
        <n v="295"/>
        <n v="33"/>
        <m/>
      </sharedItems>
    </cacheField>
    <cacheField name="Session Percentage" numFmtId="0">
      <sharedItems containsString="0" containsBlank="1" containsNumber="1" minValue="0" maxValue="0.0003" count="4">
        <n v="0.0001"/>
        <n v="0.0003"/>
        <n v="0"/>
        <m/>
      </sharedItems>
    </cacheField>
    <cacheField name="Page Views" numFmtId="0">
      <sharedItems containsString="0" containsBlank="1" containsNumber="1" containsInteger="1" minValue="0" maxValue="3521" count="78">
        <n v="1729"/>
        <n v="903"/>
        <n v="699"/>
        <n v="867"/>
        <n v="3521"/>
        <n v="1184"/>
        <n v="1742"/>
        <n v="589"/>
        <n v="430"/>
        <n v="829"/>
        <n v="790"/>
        <n v="676"/>
        <n v="591"/>
        <n v="518"/>
        <n v="1234"/>
        <n v="471"/>
        <n v="824"/>
        <n v="1219"/>
        <n v="863"/>
        <n v="640"/>
        <n v="924"/>
        <n v="1120"/>
        <n v="1012"/>
        <n v="933"/>
        <n v="547"/>
        <n v="358"/>
        <n v="1436"/>
        <n v="322"/>
        <n v="687"/>
        <n v="772"/>
        <n v="654"/>
        <n v="314"/>
        <n v="536"/>
        <n v="559"/>
        <n v="249"/>
        <n v="548"/>
        <n v="394"/>
        <n v="594"/>
        <n v="272"/>
        <n v="106"/>
        <n v="755"/>
        <n v="515"/>
        <n v="601"/>
        <n v="199"/>
        <n v="357"/>
        <n v="480"/>
        <n v="475"/>
        <n v="239"/>
        <n v="343"/>
        <n v="503"/>
        <n v="317"/>
        <n v="311"/>
        <n v="369"/>
        <n v="797"/>
        <n v="523"/>
        <n v="406"/>
        <n v="691"/>
        <n v="201"/>
        <n v="78"/>
        <n v="488"/>
        <n v="362"/>
        <n v="776"/>
        <n v="415"/>
        <n v="527"/>
        <n v="344"/>
        <n v="376"/>
        <n v="425"/>
        <n v="496"/>
        <n v="205"/>
        <n v="335"/>
        <n v="414"/>
        <n v="42"/>
        <n v="235"/>
        <n v="334"/>
        <n v="55"/>
        <n v="310"/>
        <n v="35"/>
        <m/>
      </sharedItems>
    </cacheField>
    <cacheField name="Page Views Percentage" numFmtId="0">
      <sharedItems containsString="0" containsBlank="1" containsNumber="1" minValue="0" maxValue="0.0003" count="5">
        <n v="0.0002"/>
        <n v="0.0001"/>
        <n v="0.0003"/>
        <n v="0"/>
        <m/>
      </sharedItems>
    </cacheField>
    <cacheField name="Buy Box Percentage" numFmtId="0">
      <sharedItems containsString="0" containsBlank="1" containsNumber="1" minValue="0" maxValue="1" count="81">
        <n v="0.978"/>
        <n v="0.8893"/>
        <n v="0.9557"/>
        <n v="0.9146"/>
        <n v="0.9838"/>
        <n v="0.9907"/>
        <n v="0.8858"/>
        <n v="0.9932"/>
        <n v="0.9744"/>
        <n v="0.6297"/>
        <n v="0.7089"/>
        <n v="0.8831"/>
        <n v="0.9695"/>
        <n v="0.888"/>
        <n v="0.9984"/>
        <n v="0.9809"/>
        <n v="0.9964"/>
        <n v="0.9467"/>
        <n v="0.993"/>
        <n v="0.8052"/>
        <n v="0.9429"/>
        <n v="0.8113"/>
        <n v="0.9989"/>
        <n v="0.8976"/>
        <n v="0.9832"/>
        <n v="0.9965"/>
        <n v="0.9876"/>
        <n v="0.9927"/>
        <n v="0.6062"/>
        <n v="0.8914"/>
        <n v="0.8917"/>
        <n v="0.6754"/>
        <n v="0.975"/>
        <n v="0.9639"/>
        <n v="0.8796"/>
        <n v="0.9746"/>
        <n v="0.9933"/>
        <n v="0.9632"/>
        <n v="0.8208"/>
        <n v="0.8821"/>
        <n v="0.8913"/>
        <n v="0.6739"/>
        <n v="0.9598"/>
        <n v="0.9916"/>
        <n v="0.9917"/>
        <n v="0.5811"/>
        <n v="0.954"/>
        <n v="0.9796"/>
        <n v="0.8563"/>
        <n v="0.4811"/>
        <n v="0.9874"/>
        <n v="0.8684"/>
        <n v="0.9968"/>
        <n v="0.8645"/>
        <n v="0.7252"/>
        <n v="0.6979"/>
        <n v="0.9926"/>
        <n v="0.4877"/>
        <n v="0.99"/>
        <n v="0.8077"/>
        <n v="0.998"/>
        <n v="0.5856"/>
        <n v="0.3982"/>
        <n v="0.9904"/>
        <n v="0.4156"/>
        <n v="0.9913"/>
        <n v="0.6133"/>
        <n v="0.8457"/>
        <n v="0.9741"/>
        <n v="0.6391"/>
        <n v="0.9658"/>
        <n v="0.9756"/>
        <n v="0.5791"/>
        <n v="0.5072"/>
        <n v="0.9286"/>
        <n v="0.9872"/>
        <n v="0.8593"/>
        <n v="0.6727"/>
        <n v="0.9903"/>
        <n v="1"/>
        <m/>
      </sharedItems>
    </cacheField>
    <cacheField name="Units Ordered" numFmtId="0">
      <sharedItems containsString="0" containsBlank="1" containsNumber="1" containsInteger="1" minValue="0" maxValue="51" count="31">
        <n v="51"/>
        <n v="49"/>
        <n v="38"/>
        <n v="22"/>
        <n v="30"/>
        <n v="17"/>
        <n v="29"/>
        <n v="16"/>
        <n v="23"/>
        <n v="14"/>
        <n v="18"/>
        <n v="24"/>
        <n v="31"/>
        <n v="20"/>
        <n v="19"/>
        <n v="12"/>
        <n v="13"/>
        <n v="21"/>
        <n v="15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Units Ordered - B2B" numFmtId="0">
      <sharedItems containsString="0" containsBlank="1" containsNumber="1" containsInteger="1" minValue="0" maxValue="1" count="3">
        <n v="0"/>
        <n v="1"/>
        <m/>
      </sharedItems>
    </cacheField>
    <cacheField name="Unit Session Percentage" numFmtId="0">
      <sharedItems containsString="0" containsBlank="1" containsNumber="1" minValue="0" maxValue="0.1364" count="79">
        <n v="0.0357"/>
        <n v="0.0632"/>
        <n v="0.0619"/>
        <n v="0.0288"/>
        <n v="0.011"/>
        <n v="0.0165"/>
        <n v="0.02"/>
        <n v="0.0317"/>
        <n v="0.0419"/>
        <n v="0.031"/>
        <n v="0.0193"/>
        <n v="0.0378"/>
        <n v="0.033"/>
        <n v="0.0514"/>
        <n v="0.0298"/>
        <n v="0.0481"/>
        <n v="0.0292"/>
        <n v="0.0281"/>
        <n v="0.0338"/>
        <n v="0.0176"/>
        <n v="0.0231"/>
        <n v="0.0257"/>
        <n v="0.0233"/>
        <n v="0.0344"/>
        <n v="0.05"/>
        <n v="0.0118"/>
        <n v="0.0541"/>
        <n v="0.0206"/>
        <n v="0.019"/>
        <n v="0.0395"/>
        <n v="0.0495"/>
        <n v="0.0466"/>
        <n v="0.0301"/>
        <n v="0.0605"/>
        <n v="0.0358"/>
        <n v="0.0336"/>
        <n v="0.024"/>
        <n v="0.0513"/>
        <n v="0.1364"/>
        <n v="0.0164"/>
        <n v="0.0234"/>
        <n v="0.0207"/>
        <n v="0.0618"/>
        <n v="0.0353"/>
        <n v="0.0259"/>
        <n v="0.0227"/>
        <n v="0.0452"/>
        <n v="0.0324"/>
        <n v="0.0202"/>
        <n v="0.0192"/>
        <n v="0.0299"/>
        <n v="0.0213"/>
        <n v="0.0321"/>
        <n v="0.0245"/>
        <n v="0.0139"/>
        <n v="0.028"/>
        <n v="0.0151"/>
        <n v="0.016"/>
        <n v="0.0094"/>
        <n v="0.0333"/>
        <n v="0.0882"/>
        <n v="0.0138"/>
        <n v="0.0067"/>
        <n v="0.013"/>
        <n v="0.0101"/>
        <n v="0.0157"/>
        <n v="0.0104"/>
        <n v="0.0085"/>
        <n v="0.0077"/>
        <n v="0.0065"/>
        <n v="0.0103"/>
        <n v="0.0158"/>
        <n v="0.0078"/>
        <n v="0.0556"/>
        <n v="0.0089"/>
        <n v="0.0064"/>
        <n v="0.0034"/>
        <n v="0.0303"/>
        <m/>
      </sharedItems>
    </cacheField>
    <cacheField name="Unit Session Percentage - B2B" numFmtId="0">
      <sharedItems containsString="0" containsBlank="1" containsNonDate="0" count="1">
        <m/>
      </sharedItems>
    </cacheField>
    <cacheField name="Ordered Product Sales" numFmtId="0">
      <sharedItems containsString="0" containsBlank="1" containsNumber="1" minValue="0" maxValue="1269.49" count="50">
        <n v="1269.49"/>
        <n v="1219.51"/>
        <n v="942.12"/>
        <n v="549.78"/>
        <n v="749.7"/>
        <n v="424.83"/>
        <n v="724.71"/>
        <n v="397.34"/>
        <n v="572.27"/>
        <n v="349.86"/>
        <n v="574.77"/>
        <n v="449.82"/>
        <n v="599.76"/>
        <n v="767.19"/>
        <n v="499.8"/>
        <n v="497.3"/>
        <n v="747.2"/>
        <n v="469.81"/>
        <n v="347.36"/>
        <n v="544.78"/>
        <n v="419.83"/>
        <n v="394.84"/>
        <n v="299.88"/>
        <n v="324.87"/>
        <n v="519.79"/>
        <n v="374.85"/>
        <n v="319.87"/>
        <n v="297.38"/>
        <n v="287.38"/>
        <n v="274.89"/>
        <n v="272.39"/>
        <n v="269.89"/>
        <n v="249.9"/>
        <n v="247.4"/>
        <n v="224.91"/>
        <n v="222.41"/>
        <n v="199.92"/>
        <n v="199.9"/>
        <n v="197.42"/>
        <n v="172.43"/>
        <n v="149.94"/>
        <n v="147.44"/>
        <n v="124.95"/>
        <n v="122.45"/>
        <n v="99.96"/>
        <n v="74.97"/>
        <n v="72.47"/>
        <n v="49.98"/>
        <n v="24.99"/>
        <m/>
      </sharedItems>
    </cacheField>
    <cacheField name="Ordered Product Sales - B2B" numFmtId="0">
      <sharedItems containsString="0" containsBlank="1" containsNumber="1" minValue="0" maxValue="24.99" count="4">
        <n v="0"/>
        <n v="24.99"/>
        <n v="19.99"/>
        <m/>
      </sharedItems>
    </cacheField>
    <cacheField name="Total Order Items" numFmtId="0">
      <sharedItems containsString="0" containsBlank="1" containsNumber="1" containsInteger="1" minValue="0" maxValue="51" count="31">
        <n v="51"/>
        <n v="48"/>
        <n v="37"/>
        <n v="21"/>
        <n v="30"/>
        <n v="17"/>
        <n v="29"/>
        <n v="16"/>
        <n v="23"/>
        <n v="14"/>
        <n v="18"/>
        <n v="24"/>
        <n v="31"/>
        <n v="20"/>
        <n v="19"/>
        <n v="22"/>
        <n v="12"/>
        <n v="13"/>
        <n v="15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Total Order Items - B2B" numFmtId="0">
      <sharedItems containsString="0" containsBlank="1" containsNumber="1" containsInteger="1" minValue="0" maxValue="1" count="3">
        <n v="0"/>
        <n v="1"/>
        <m/>
      </sharedItems>
    </cacheField>
    <cacheField name="总流量排名" numFmtId="0">
      <sharedItems containsString="0" containsBlank="1" containsNumber="1" containsInteger="1" minValue="0" maxValue="82" count="79">
        <n v="3"/>
        <n v="11"/>
        <n v="23"/>
        <n v="13"/>
        <n v="1"/>
        <n v="7"/>
        <n v="2"/>
        <n v="28"/>
        <n v="52"/>
        <n v="14"/>
        <n v="16"/>
        <n v="24"/>
        <n v="27"/>
        <n v="39"/>
        <n v="5"/>
        <n v="47"/>
        <n v="18"/>
        <n v="6"/>
        <n v="20"/>
        <n v="29"/>
        <n v="10"/>
        <n v="8"/>
        <n v="9"/>
        <n v="12"/>
        <n v="35"/>
        <n v="58"/>
        <n v="4"/>
        <n v="65"/>
        <n v="25"/>
        <n v="19"/>
        <n v="26"/>
        <n v="69"/>
        <n v="42"/>
        <n v="33"/>
        <n v="74"/>
        <n v="31"/>
        <n v="54"/>
        <n v="32"/>
        <n v="71"/>
        <n v="78"/>
        <n v="21"/>
        <n v="37"/>
        <n v="30"/>
        <n v="77"/>
        <n v="61"/>
        <n v="45"/>
        <n v="43"/>
        <n v="73"/>
        <n v="63"/>
        <n v="34"/>
        <n v="38"/>
        <n v="64"/>
        <n v="46"/>
        <n v="70"/>
        <n v="57"/>
        <n v="17"/>
        <n v="68"/>
        <n v="40"/>
        <n v="53"/>
        <n v="22"/>
        <n v="76"/>
        <n v="79"/>
        <n v="44"/>
        <n v="56"/>
        <n v="15"/>
        <n v="49"/>
        <n v="60"/>
        <n v="51"/>
        <n v="55"/>
        <n v="48"/>
        <n v="67"/>
        <n v="75"/>
        <n v="81"/>
        <n v="72"/>
        <n v="62"/>
        <n v="80"/>
        <n v="66"/>
        <n v="82"/>
        <m/>
      </sharedItems>
    </cacheField>
    <cacheField name="总销售额排名" numFmtId="0">
      <sharedItems containsString="0" containsBlank="1" containsNumber="1" containsInteger="1" minValue="0" maxValue="80" count="50">
        <n v="1"/>
        <n v="2"/>
        <n v="3"/>
        <n v="11"/>
        <n v="5"/>
        <n v="23"/>
        <n v="7"/>
        <n v="26"/>
        <n v="10"/>
        <n v="30"/>
        <n v="9"/>
        <n v="19"/>
        <n v="8"/>
        <n v="4"/>
        <n v="16"/>
        <n v="17"/>
        <n v="6"/>
        <n v="18"/>
        <n v="33"/>
        <n v="13"/>
        <n v="25"/>
        <n v="28"/>
        <n v="36"/>
        <n v="34"/>
        <n v="15"/>
        <n v="29"/>
        <n v="35"/>
        <n v="37"/>
        <n v="40"/>
        <n v="41"/>
        <n v="42"/>
        <n v="45"/>
        <n v="47"/>
        <n v="49"/>
        <n v="51"/>
        <n v="52"/>
        <n v="55"/>
        <n v="56"/>
        <n v="57"/>
        <n v="58"/>
        <n v="59"/>
        <n v="62"/>
        <n v="65"/>
        <n v="67"/>
        <n v="69"/>
        <n v="70"/>
        <n v="76"/>
        <n v="77"/>
        <n v="80"/>
        <m/>
      </sharedItems>
    </cacheField>
    <cacheField name="总转化率排名" numFmtId="0">
      <sharedItems containsString="0" containsBlank="1" containsNumber="1" containsInteger="1" minValue="0" maxValue="82" count="79">
        <n v="20"/>
        <n v="3"/>
        <n v="4"/>
        <n v="37"/>
        <n v="69"/>
        <n v="59"/>
        <n v="52"/>
        <n v="29"/>
        <n v="16"/>
        <n v="30"/>
        <n v="54"/>
        <n v="18"/>
        <n v="26"/>
        <n v="9"/>
        <n v="34"/>
        <n v="13"/>
        <n v="35"/>
        <n v="38"/>
        <n v="23"/>
        <n v="57"/>
        <n v="46"/>
        <n v="41"/>
        <n v="45"/>
        <n v="22"/>
        <n v="11"/>
        <n v="68"/>
        <n v="8"/>
        <n v="50"/>
        <n v="56"/>
        <n v="17"/>
        <n v="12"/>
        <n v="14"/>
        <n v="32"/>
        <n v="6"/>
        <n v="19"/>
        <n v="24"/>
        <n v="43"/>
        <n v="10"/>
        <n v="1"/>
        <n v="60"/>
        <n v="44"/>
        <n v="49"/>
        <n v="5"/>
        <n v="21"/>
        <n v="40"/>
        <n v="47"/>
        <n v="15"/>
        <n v="27"/>
        <n v="51"/>
        <n v="55"/>
        <n v="33"/>
        <n v="48"/>
        <n v="28"/>
        <n v="42"/>
        <n v="65"/>
        <n v="39"/>
        <n v="64"/>
        <n v="61"/>
        <n v="73"/>
        <n v="25"/>
        <n v="2"/>
        <n v="66"/>
        <n v="79"/>
        <n v="67"/>
        <n v="72"/>
        <n v="63"/>
        <n v="70"/>
        <n v="76"/>
        <n v="78"/>
        <n v="80"/>
        <n v="71"/>
        <n v="62"/>
        <n v="77"/>
        <n v="7"/>
        <n v="75"/>
        <n v="81"/>
        <n v="82"/>
        <n v="31"/>
        <m/>
      </sharedItems>
    </cacheField>
    <cacheField name="广告Impressions" numFmtId="0">
      <sharedItems containsString="0" containsBlank="1" containsNumber="1" containsInteger="1" minValue="0" maxValue="206487" count="74">
        <n v="971"/>
        <n v="18093"/>
        <n v="2970"/>
        <n v="6130"/>
        <n v="23218"/>
        <n v="1076"/>
        <n v="206487"/>
        <n v="1596"/>
        <n v="1709"/>
        <n v="10487"/>
        <n v="3133"/>
        <n v="2090"/>
        <n v="3030"/>
        <n v="4299"/>
        <n v="46030"/>
        <n v="2544"/>
        <n v="1278"/>
        <n v="2184"/>
        <n v="66276"/>
        <n v="6290"/>
        <n v="12705"/>
        <n v="62377"/>
        <n v="93456"/>
        <n v="32129"/>
        <n v="12373"/>
        <n v="4738"/>
        <n v="70529"/>
        <n v="36968"/>
        <n v="111026"/>
        <n v="59"/>
        <n v="10871"/>
        <n v="7813"/>
        <n v="22522"/>
        <n v="3802"/>
        <n v="1333"/>
        <n v="33"/>
        <n v="0"/>
        <n v="2994"/>
        <n v="174"/>
        <n v="3563"/>
        <n v="9208"/>
        <n v="323"/>
        <n v="3268"/>
        <n v="1297"/>
        <n v="5335"/>
        <n v="8426"/>
        <n v="2862"/>
        <n v="11523"/>
        <n v="22"/>
        <n v="2298"/>
        <n v="24973"/>
        <n v="44"/>
        <n v="113"/>
        <n v="27796"/>
        <n v="2037"/>
        <n v="74"/>
        <n v="4229"/>
        <n v="186"/>
        <n v="16148"/>
        <n v="1"/>
        <n v="5043"/>
        <n v="4461"/>
        <n v="4"/>
        <n v="3291"/>
        <n v="7619"/>
        <n v="9230"/>
        <n v="17411"/>
        <n v="5"/>
        <n v="195"/>
        <n v="413"/>
        <n v="3093"/>
        <n v="2031"/>
        <n v="10"/>
        <m/>
      </sharedItems>
    </cacheField>
    <cacheField name="广告Clicks" numFmtId="0">
      <sharedItems containsString="0" containsBlank="1" containsNumber="1" containsInteger="1" minValue="0" maxValue="378" count="33">
        <n v="3"/>
        <n v="34"/>
        <n v="5"/>
        <n v="7"/>
        <n v="130"/>
        <n v="4"/>
        <n v="378"/>
        <n v="25"/>
        <n v="1"/>
        <n v="6"/>
        <n v="70"/>
        <n v="24"/>
        <n v="78"/>
        <n v="19"/>
        <n v="96"/>
        <n v="136"/>
        <n v="49"/>
        <n v="21"/>
        <n v="8"/>
        <n v="240"/>
        <n v="31"/>
        <n v="190"/>
        <n v="0"/>
        <n v="2"/>
        <n v="10"/>
        <n v="16"/>
        <n v="14"/>
        <n v="18"/>
        <n v="17"/>
        <n v="22"/>
        <n v="12"/>
        <n v="50"/>
        <m/>
      </sharedItems>
    </cacheField>
    <cacheField name="广告CTR" numFmtId="0">
      <sharedItems containsString="0" containsBlank="1" containsNumber="1" minValue="0" maxValue="0.0227272727272727" count="64">
        <n v="0.00308959835221421"/>
        <n v="0.00187917979329022"/>
        <n v="0.00168350168350168"/>
        <n v="0.00114192495921697"/>
        <n v="0.00559910414333707"/>
        <n v="0.00371747211895911"/>
        <n v="0.00183062371965305"/>
        <n v="0.0018796992481203"/>
        <n v="0.00175541252194266"/>
        <n v="0.00238390388099552"/>
        <n v="0.000319182891797"/>
        <n v="0.00287081339712919"/>
        <n v="0.00099009900990099"/>
        <n v="0.00116306117701791"/>
        <n v="0.00152074733869216"/>
        <n v="0.00196540880503145"/>
        <n v="0.0187793427230047"/>
        <n v="0.000457875457875458"/>
        <n v="0.00117689661415897"/>
        <n v="0.00095389507154213"/>
        <n v="0.00149547422274695"/>
        <n v="0.00153902880869551"/>
        <n v="0.00145523026878959"/>
        <n v="0.00152510193283327"/>
        <n v="0.00169724399903015"/>
        <n v="0.00168847615027438"/>
        <n v="0.00340285556295992"/>
        <n v="0.000838563081584073"/>
        <n v="0.00171131086412192"/>
        <n v="0"/>
        <n v="0.000183975715205593"/>
        <n v="0.000511967234097018"/>
        <n v="0.000444010301038984"/>
        <n v="0.000789058390320884"/>
        <n v="0.00225056264066017"/>
        <n v="0.00534402137608551"/>
        <n v="0.0114942528735632"/>
        <n v="0.00196463654223969"/>
        <n v="0.000760208514335361"/>
        <n v="0.00428396572827417"/>
        <n v="0.00539707016191211"/>
        <n v="0.00056232427366448"/>
        <n v="0.000356040826014716"/>
        <n v="0.00244584206848358"/>
        <n v="0.00156209320489456"/>
        <n v="0.000435161009573542"/>
        <n v="0.00068073519400953"/>
        <n v="0.0227272727272727"/>
        <n v="0.00884955752212389"/>
        <n v="0.000791480788602677"/>
        <n v="0.00147275405007364"/>
        <n v="0.000743126083725539"/>
        <n v="0.00099147332936744"/>
        <n v="0.000896659941717104"/>
        <n v="0.000303859009419629"/>
        <n v="0.00185873605947955"/>
        <n v="0.000787504921905762"/>
        <n v="0.00335861321776815"/>
        <n v="0.00287174774567802"/>
        <n v="0.00512820512820513"/>
        <n v="0.00484261501210654"/>
        <n v="0.00161655350792111"/>
        <n v="0.00196947316592811"/>
        <m/>
      </sharedItems>
    </cacheField>
    <cacheField name="广告CR" numFmtId="180">
      <sharedItems containsString="0" containsBlank="1" containsNumber="1" minValue="0" maxValue="1" count="27">
        <n v="0"/>
        <n v="0.441176470588235"/>
        <n v="0.2"/>
        <n v="0.1"/>
        <n v="0.25"/>
        <n v="0.0925925925925926"/>
        <n v="0.333333333333333"/>
        <n v="0.166666666666667"/>
        <n v="0.0857142857142857"/>
        <n v="0.125"/>
        <n v="1"/>
        <n v="0.0769230769230769"/>
        <n v="0.0526315789473684"/>
        <n v="0.104166666666667"/>
        <n v="0.102941176470588"/>
        <n v="0.142857142857143"/>
        <n v="0.0967741935483871"/>
        <n v="0.0947368421052632"/>
        <n v="0.4"/>
        <n v="0.0625"/>
        <n v="0.428571428571429"/>
        <n v="0.285714285714286"/>
        <n v="0.0555555555555556"/>
        <n v="0.136363636363636"/>
        <n v="0.5"/>
        <n v="0.12"/>
        <m/>
      </sharedItems>
    </cacheField>
    <cacheField name="广告ROI" numFmtId="181">
      <sharedItems containsString="0" containsBlank="1" containsNumber="1" minValue="0" maxValue="34.6025641025641" count="34">
        <n v="0"/>
        <n v="21.6478622327791"/>
        <n v="22.1826484018265"/>
        <n v="5.1752343084351"/>
        <n v="16.5778894472362"/>
        <n v="5.03863508178229"/>
        <n v="15.3782051282051"/>
        <n v="8.87146136189748"/>
        <n v="4.74886731391586"/>
        <n v="9.57471264367816"/>
        <n v="5.20986796386379"/>
        <n v="34.6025641025641"/>
        <n v="3.52700270027003"/>
        <n v="1.42231075697211"/>
        <n v="4.9262477268135"/>
        <n v="5.08352810923853"/>
        <n v="3.94445683693955"/>
        <n v="11.7243107769424"/>
        <n v="3.94868117478331"/>
        <n v="5.0587044534413"/>
        <n v="3.26210254941278"/>
        <n v="19.4884696016772"/>
        <n v="3.30539609644087"/>
        <n v="23.4144385026738"/>
        <n v="13.0851581508516"/>
        <n v="8.95698924731183"/>
        <n v="1.9172131147541"/>
        <n v="5.50906453952139"/>
        <n v="13.5081081081081"/>
        <n v="23.6754385964912"/>
        <n v="8.22039473684211"/>
        <n v="5.41907400079145"/>
        <n v="11.5336538461538"/>
        <m/>
      </sharedItems>
    </cacheField>
    <cacheField name="广告orders" numFmtId="0">
      <sharedItems containsString="0" containsBlank="1" containsNumber="1" containsInteger="1" minValue="0" maxValue="35" count="16">
        <n v="0"/>
        <n v="15"/>
        <n v="2"/>
        <n v="14"/>
        <n v="1"/>
        <n v="35"/>
        <n v="5"/>
        <n v="6"/>
        <n v="3"/>
        <n v="10"/>
        <n v="16"/>
        <n v="7"/>
        <n v="25"/>
        <n v="18"/>
        <n v="4"/>
        <m/>
      </sharedItems>
    </cacheField>
    <cacheField name="广告点击排名" numFmtId="0">
      <sharedItems containsString="0" containsBlank="1" containsNumber="1" containsInteger="1" minValue="0" maxValue="63" count="34">
        <n v="43"/>
        <n v="11"/>
        <n v="34"/>
        <n v="26"/>
        <n v="5"/>
        <n v="39"/>
        <n v="1"/>
        <n v="14"/>
        <n v="56"/>
        <n v="31"/>
        <n v="8"/>
        <n v="15"/>
        <n v="7"/>
        <n v="18"/>
        <n v="6"/>
        <n v="4"/>
        <n v="10"/>
        <n v="17"/>
        <n v="25"/>
        <n v="2"/>
        <n v="12"/>
        <n v="3"/>
        <n v="63"/>
        <n v="52"/>
        <n v="24"/>
        <n v="0"/>
        <n v="21"/>
        <n v="22"/>
        <n v="19"/>
        <n v="20"/>
        <n v="16"/>
        <n v="23"/>
        <n v="9"/>
        <m/>
      </sharedItems>
    </cacheField>
    <cacheField name="广告点击率CTR排名" numFmtId="0">
      <sharedItems containsString="0" containsBlank="1" containsNumber="1" containsInteger="1" minValue="0" maxValue="63" count="65">
        <n v="14"/>
        <n v="24"/>
        <n v="31"/>
        <n v="42"/>
        <n v="5"/>
        <n v="11"/>
        <n v="26"/>
        <n v="23"/>
        <n v="27"/>
        <n v="18"/>
        <n v="60"/>
        <n v="16"/>
        <n v="44"/>
        <n v="41"/>
        <n v="36"/>
        <n v="21"/>
        <n v="2"/>
        <n v="56"/>
        <n v="40"/>
        <n v="45"/>
        <n v="37"/>
        <n v="34"/>
        <n v="39"/>
        <n v="35"/>
        <n v="29"/>
        <n v="30"/>
        <n v="12"/>
        <n v="47"/>
        <n v="28"/>
        <n v="63"/>
        <n v="62"/>
        <n v="55"/>
        <n v="57"/>
        <n v="49"/>
        <n v="19"/>
        <n v="0"/>
        <n v="7"/>
        <n v="3"/>
        <n v="22"/>
        <n v="51"/>
        <n v="10"/>
        <n v="6"/>
        <n v="54"/>
        <n v="59"/>
        <n v="17"/>
        <n v="33"/>
        <n v="58"/>
        <n v="53"/>
        <n v="1"/>
        <n v="4"/>
        <n v="48"/>
        <n v="38"/>
        <n v="52"/>
        <n v="43"/>
        <n v="46"/>
        <n v="61"/>
        <n v="25"/>
        <n v="50"/>
        <n v="13"/>
        <n v="15"/>
        <n v="8"/>
        <n v="9"/>
        <n v="32"/>
        <n v="20"/>
        <m/>
      </sharedItems>
    </cacheField>
    <cacheField name="广告转化率CR排名" numFmtId="0">
      <sharedItems containsString="0" containsBlank="1" containsNumber="1" containsInteger="1" minValue="0" maxValue="63" count="65">
        <n v="14"/>
        <n v="24"/>
        <n v="31"/>
        <n v="42"/>
        <n v="5"/>
        <n v="11"/>
        <n v="26"/>
        <n v="23"/>
        <n v="27"/>
        <n v="18"/>
        <n v="60"/>
        <n v="16"/>
        <n v="44"/>
        <n v="41"/>
        <n v="36"/>
        <n v="21"/>
        <n v="2"/>
        <n v="56"/>
        <n v="40"/>
        <n v="45"/>
        <n v="37"/>
        <n v="34"/>
        <n v="39"/>
        <n v="35"/>
        <n v="29"/>
        <n v="30"/>
        <n v="12"/>
        <n v="47"/>
        <n v="28"/>
        <n v="63"/>
        <n v="62"/>
        <n v="55"/>
        <n v="57"/>
        <n v="49"/>
        <n v="19"/>
        <n v="0"/>
        <n v="7"/>
        <n v="3"/>
        <n v="22"/>
        <n v="51"/>
        <n v="10"/>
        <n v="6"/>
        <n v="54"/>
        <n v="59"/>
        <n v="17"/>
        <n v="33"/>
        <n v="58"/>
        <n v="53"/>
        <n v="1"/>
        <n v="4"/>
        <n v="48"/>
        <n v="38"/>
        <n v="52"/>
        <n v="43"/>
        <n v="46"/>
        <n v="61"/>
        <n v="25"/>
        <n v="50"/>
        <n v="13"/>
        <n v="15"/>
        <n v="8"/>
        <n v="9"/>
        <n v="32"/>
        <n v="20"/>
        <m/>
      </sharedItems>
    </cacheField>
    <cacheField name="转化率" numFmtId="0" formula="'Units Ordered'/Sessions" databaseField="0"/>
    <cacheField name="CR" numFmtId="0" formula="广告orders/广告Clicks" databaseField="0"/>
    <cacheField name="CTR" numFmtId="0" formula="广告Clicks/广告Impressions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0"/>
    <x v="1"/>
    <x v="1"/>
    <x v="1"/>
    <x v="1"/>
    <x v="1"/>
    <x v="0"/>
    <x v="0"/>
    <x v="0"/>
    <x v="0"/>
    <x v="0"/>
    <x v="0"/>
    <x v="0"/>
    <x v="0"/>
    <x v="0"/>
    <x v="0"/>
  </r>
  <r>
    <x v="0"/>
    <x v="2"/>
    <x v="0"/>
    <x v="0"/>
    <x v="0"/>
    <x v="0"/>
    <x v="0"/>
    <x v="0"/>
    <x v="2"/>
    <x v="2"/>
    <x v="2"/>
    <x v="2"/>
    <x v="2"/>
    <x v="0"/>
    <x v="0"/>
    <x v="1"/>
    <x v="0"/>
    <x v="0"/>
    <x v="1"/>
    <x v="0"/>
    <x v="0"/>
    <x v="0"/>
    <x v="0"/>
  </r>
  <r>
    <x v="0"/>
    <x v="3"/>
    <x v="0"/>
    <x v="0"/>
    <x v="0"/>
    <x v="0"/>
    <x v="0"/>
    <x v="0"/>
    <x v="3"/>
    <x v="3"/>
    <x v="3"/>
    <x v="3"/>
    <x v="3"/>
    <x v="1"/>
    <x v="1"/>
    <x v="2"/>
    <x v="1"/>
    <x v="1"/>
    <x v="2"/>
    <x v="1"/>
    <x v="0"/>
    <x v="1"/>
    <x v="0"/>
  </r>
  <r>
    <x v="0"/>
    <x v="4"/>
    <x v="0"/>
    <x v="0"/>
    <x v="0"/>
    <x v="0"/>
    <x v="0"/>
    <x v="0"/>
    <x v="4"/>
    <x v="4"/>
    <x v="4"/>
    <x v="4"/>
    <x v="4"/>
    <x v="2"/>
    <x v="2"/>
    <x v="3"/>
    <x v="2"/>
    <x v="2"/>
    <x v="3"/>
    <x v="2"/>
    <x v="0"/>
    <x v="2"/>
    <x v="0"/>
  </r>
  <r>
    <x v="0"/>
    <x v="5"/>
    <x v="0"/>
    <x v="0"/>
    <x v="0"/>
    <x v="0"/>
    <x v="0"/>
    <x v="0"/>
    <x v="5"/>
    <x v="5"/>
    <x v="5"/>
    <x v="5"/>
    <x v="5"/>
    <x v="3"/>
    <x v="3"/>
    <x v="4"/>
    <x v="2"/>
    <x v="2"/>
    <x v="4"/>
    <x v="3"/>
    <x v="1"/>
    <x v="2"/>
    <x v="1"/>
  </r>
  <r>
    <x v="0"/>
    <x v="6"/>
    <x v="0"/>
    <x v="0"/>
    <x v="0"/>
    <x v="0"/>
    <x v="0"/>
    <x v="0"/>
    <x v="6"/>
    <x v="6"/>
    <x v="6"/>
    <x v="6"/>
    <x v="6"/>
    <x v="4"/>
    <x v="4"/>
    <x v="5"/>
    <x v="3"/>
    <x v="3"/>
    <x v="5"/>
    <x v="4"/>
    <x v="0"/>
    <x v="3"/>
    <x v="0"/>
  </r>
  <r>
    <x v="0"/>
    <x v="7"/>
    <x v="0"/>
    <x v="0"/>
    <x v="0"/>
    <x v="0"/>
    <x v="0"/>
    <x v="0"/>
    <x v="7"/>
    <x v="7"/>
    <x v="7"/>
    <x v="7"/>
    <x v="7"/>
    <x v="0"/>
    <x v="0"/>
    <x v="0"/>
    <x v="0"/>
    <x v="0"/>
    <x v="0"/>
    <x v="0"/>
    <x v="0"/>
    <x v="0"/>
    <x v="0"/>
  </r>
  <r>
    <x v="0"/>
    <x v="8"/>
    <x v="0"/>
    <x v="0"/>
    <x v="0"/>
    <x v="0"/>
    <x v="0"/>
    <x v="0"/>
    <x v="8"/>
    <x v="8"/>
    <x v="8"/>
    <x v="8"/>
    <x v="8"/>
    <x v="5"/>
    <x v="5"/>
    <x v="6"/>
    <x v="4"/>
    <x v="4"/>
    <x v="6"/>
    <x v="5"/>
    <x v="0"/>
    <x v="4"/>
    <x v="0"/>
  </r>
  <r>
    <x v="0"/>
    <x v="0"/>
    <x v="0"/>
    <x v="0"/>
    <x v="1"/>
    <x v="1"/>
    <x v="0"/>
    <x v="0"/>
    <x v="9"/>
    <x v="9"/>
    <x v="9"/>
    <x v="9"/>
    <x v="9"/>
    <x v="0"/>
    <x v="0"/>
    <x v="0"/>
    <x v="0"/>
    <x v="0"/>
    <x v="0"/>
    <x v="0"/>
    <x v="0"/>
    <x v="0"/>
    <x v="0"/>
  </r>
  <r>
    <x v="0"/>
    <x v="1"/>
    <x v="0"/>
    <x v="0"/>
    <x v="1"/>
    <x v="1"/>
    <x v="0"/>
    <x v="0"/>
    <x v="10"/>
    <x v="10"/>
    <x v="10"/>
    <x v="10"/>
    <x v="10"/>
    <x v="0"/>
    <x v="0"/>
    <x v="0"/>
    <x v="0"/>
    <x v="0"/>
    <x v="0"/>
    <x v="0"/>
    <x v="0"/>
    <x v="0"/>
    <x v="0"/>
  </r>
  <r>
    <x v="0"/>
    <x v="5"/>
    <x v="0"/>
    <x v="0"/>
    <x v="1"/>
    <x v="1"/>
    <x v="0"/>
    <x v="0"/>
    <x v="11"/>
    <x v="11"/>
    <x v="11"/>
    <x v="11"/>
    <x v="11"/>
    <x v="6"/>
    <x v="6"/>
    <x v="7"/>
    <x v="3"/>
    <x v="3"/>
    <x v="7"/>
    <x v="1"/>
    <x v="1"/>
    <x v="1"/>
    <x v="2"/>
  </r>
  <r>
    <x v="0"/>
    <x v="6"/>
    <x v="0"/>
    <x v="0"/>
    <x v="1"/>
    <x v="1"/>
    <x v="0"/>
    <x v="0"/>
    <x v="12"/>
    <x v="2"/>
    <x v="2"/>
    <x v="2"/>
    <x v="2"/>
    <x v="0"/>
    <x v="0"/>
    <x v="1"/>
    <x v="0"/>
    <x v="0"/>
    <x v="1"/>
    <x v="0"/>
    <x v="0"/>
    <x v="0"/>
    <x v="0"/>
  </r>
  <r>
    <x v="0"/>
    <x v="7"/>
    <x v="0"/>
    <x v="0"/>
    <x v="1"/>
    <x v="1"/>
    <x v="0"/>
    <x v="0"/>
    <x v="13"/>
    <x v="2"/>
    <x v="12"/>
    <x v="2"/>
    <x v="2"/>
    <x v="0"/>
    <x v="0"/>
    <x v="1"/>
    <x v="0"/>
    <x v="0"/>
    <x v="1"/>
    <x v="0"/>
    <x v="0"/>
    <x v="0"/>
    <x v="0"/>
  </r>
  <r>
    <x v="0"/>
    <x v="8"/>
    <x v="0"/>
    <x v="0"/>
    <x v="1"/>
    <x v="1"/>
    <x v="0"/>
    <x v="0"/>
    <x v="14"/>
    <x v="12"/>
    <x v="13"/>
    <x v="12"/>
    <x v="12"/>
    <x v="1"/>
    <x v="7"/>
    <x v="8"/>
    <x v="1"/>
    <x v="1"/>
    <x v="8"/>
    <x v="1"/>
    <x v="0"/>
    <x v="1"/>
    <x v="0"/>
  </r>
  <r>
    <x v="0"/>
    <x v="9"/>
    <x v="0"/>
    <x v="0"/>
    <x v="2"/>
    <x v="2"/>
    <x v="1"/>
    <x v="1"/>
    <x v="15"/>
    <x v="9"/>
    <x v="14"/>
    <x v="13"/>
    <x v="13"/>
    <x v="0"/>
    <x v="0"/>
    <x v="0"/>
    <x v="0"/>
    <x v="0"/>
    <x v="0"/>
    <x v="0"/>
    <x v="0"/>
    <x v="0"/>
    <x v="0"/>
  </r>
  <r>
    <x v="0"/>
    <x v="10"/>
    <x v="0"/>
    <x v="0"/>
    <x v="2"/>
    <x v="2"/>
    <x v="1"/>
    <x v="1"/>
    <x v="16"/>
    <x v="10"/>
    <x v="15"/>
    <x v="14"/>
    <x v="14"/>
    <x v="0"/>
    <x v="0"/>
    <x v="0"/>
    <x v="0"/>
    <x v="0"/>
    <x v="0"/>
    <x v="0"/>
    <x v="0"/>
    <x v="0"/>
    <x v="0"/>
  </r>
  <r>
    <x v="0"/>
    <x v="9"/>
    <x v="0"/>
    <x v="0"/>
    <x v="2"/>
    <x v="3"/>
    <x v="1"/>
    <x v="1"/>
    <x v="17"/>
    <x v="0"/>
    <x v="16"/>
    <x v="15"/>
    <x v="15"/>
    <x v="0"/>
    <x v="0"/>
    <x v="0"/>
    <x v="0"/>
    <x v="0"/>
    <x v="0"/>
    <x v="0"/>
    <x v="0"/>
    <x v="0"/>
    <x v="0"/>
  </r>
  <r>
    <x v="0"/>
    <x v="10"/>
    <x v="0"/>
    <x v="0"/>
    <x v="2"/>
    <x v="3"/>
    <x v="1"/>
    <x v="1"/>
    <x v="18"/>
    <x v="13"/>
    <x v="17"/>
    <x v="16"/>
    <x v="16"/>
    <x v="0"/>
    <x v="0"/>
    <x v="0"/>
    <x v="0"/>
    <x v="0"/>
    <x v="0"/>
    <x v="0"/>
    <x v="0"/>
    <x v="0"/>
    <x v="0"/>
  </r>
  <r>
    <x v="0"/>
    <x v="10"/>
    <x v="0"/>
    <x v="0"/>
    <x v="3"/>
    <x v="4"/>
    <x v="1"/>
    <x v="1"/>
    <x v="19"/>
    <x v="10"/>
    <x v="18"/>
    <x v="17"/>
    <x v="17"/>
    <x v="0"/>
    <x v="0"/>
    <x v="0"/>
    <x v="0"/>
    <x v="0"/>
    <x v="0"/>
    <x v="0"/>
    <x v="0"/>
    <x v="0"/>
    <x v="0"/>
  </r>
  <r>
    <x v="0"/>
    <x v="9"/>
    <x v="0"/>
    <x v="0"/>
    <x v="4"/>
    <x v="5"/>
    <x v="1"/>
    <x v="1"/>
    <x v="20"/>
    <x v="14"/>
    <x v="19"/>
    <x v="18"/>
    <x v="18"/>
    <x v="0"/>
    <x v="0"/>
    <x v="0"/>
    <x v="0"/>
    <x v="0"/>
    <x v="0"/>
    <x v="0"/>
    <x v="0"/>
    <x v="0"/>
    <x v="0"/>
  </r>
  <r>
    <x v="0"/>
    <x v="10"/>
    <x v="0"/>
    <x v="0"/>
    <x v="4"/>
    <x v="5"/>
    <x v="1"/>
    <x v="1"/>
    <x v="21"/>
    <x v="15"/>
    <x v="20"/>
    <x v="19"/>
    <x v="19"/>
    <x v="7"/>
    <x v="8"/>
    <x v="9"/>
    <x v="1"/>
    <x v="1"/>
    <x v="9"/>
    <x v="1"/>
    <x v="0"/>
    <x v="5"/>
    <x v="0"/>
  </r>
  <r>
    <x v="0"/>
    <x v="3"/>
    <x v="0"/>
    <x v="0"/>
    <x v="4"/>
    <x v="5"/>
    <x v="1"/>
    <x v="1"/>
    <x v="22"/>
    <x v="16"/>
    <x v="21"/>
    <x v="20"/>
    <x v="20"/>
    <x v="0"/>
    <x v="0"/>
    <x v="0"/>
    <x v="0"/>
    <x v="0"/>
    <x v="0"/>
    <x v="0"/>
    <x v="0"/>
    <x v="0"/>
    <x v="0"/>
  </r>
  <r>
    <x v="0"/>
    <x v="4"/>
    <x v="0"/>
    <x v="0"/>
    <x v="4"/>
    <x v="5"/>
    <x v="1"/>
    <x v="1"/>
    <x v="23"/>
    <x v="17"/>
    <x v="22"/>
    <x v="21"/>
    <x v="21"/>
    <x v="0"/>
    <x v="0"/>
    <x v="0"/>
    <x v="0"/>
    <x v="0"/>
    <x v="0"/>
    <x v="0"/>
    <x v="0"/>
    <x v="0"/>
    <x v="0"/>
  </r>
  <r>
    <x v="0"/>
    <x v="5"/>
    <x v="0"/>
    <x v="0"/>
    <x v="4"/>
    <x v="5"/>
    <x v="1"/>
    <x v="1"/>
    <x v="24"/>
    <x v="18"/>
    <x v="23"/>
    <x v="22"/>
    <x v="22"/>
    <x v="0"/>
    <x v="0"/>
    <x v="0"/>
    <x v="0"/>
    <x v="0"/>
    <x v="0"/>
    <x v="0"/>
    <x v="0"/>
    <x v="0"/>
    <x v="0"/>
  </r>
  <r>
    <x v="0"/>
    <x v="11"/>
    <x v="0"/>
    <x v="0"/>
    <x v="5"/>
    <x v="6"/>
    <x v="2"/>
    <x v="2"/>
    <x v="25"/>
    <x v="1"/>
    <x v="24"/>
    <x v="23"/>
    <x v="23"/>
    <x v="8"/>
    <x v="9"/>
    <x v="10"/>
    <x v="1"/>
    <x v="3"/>
    <x v="10"/>
    <x v="4"/>
    <x v="0"/>
    <x v="6"/>
    <x v="0"/>
  </r>
  <r>
    <x v="0"/>
    <x v="3"/>
    <x v="0"/>
    <x v="0"/>
    <x v="5"/>
    <x v="6"/>
    <x v="2"/>
    <x v="2"/>
    <x v="26"/>
    <x v="17"/>
    <x v="25"/>
    <x v="24"/>
    <x v="24"/>
    <x v="0"/>
    <x v="0"/>
    <x v="0"/>
    <x v="0"/>
    <x v="0"/>
    <x v="0"/>
    <x v="0"/>
    <x v="0"/>
    <x v="0"/>
    <x v="0"/>
  </r>
  <r>
    <x v="0"/>
    <x v="4"/>
    <x v="0"/>
    <x v="0"/>
    <x v="5"/>
    <x v="6"/>
    <x v="2"/>
    <x v="2"/>
    <x v="27"/>
    <x v="2"/>
    <x v="2"/>
    <x v="2"/>
    <x v="2"/>
    <x v="0"/>
    <x v="0"/>
    <x v="1"/>
    <x v="0"/>
    <x v="0"/>
    <x v="1"/>
    <x v="0"/>
    <x v="0"/>
    <x v="0"/>
    <x v="0"/>
  </r>
  <r>
    <x v="0"/>
    <x v="5"/>
    <x v="0"/>
    <x v="0"/>
    <x v="5"/>
    <x v="6"/>
    <x v="2"/>
    <x v="2"/>
    <x v="28"/>
    <x v="14"/>
    <x v="26"/>
    <x v="25"/>
    <x v="25"/>
    <x v="0"/>
    <x v="0"/>
    <x v="0"/>
    <x v="0"/>
    <x v="0"/>
    <x v="0"/>
    <x v="0"/>
    <x v="0"/>
    <x v="0"/>
    <x v="0"/>
  </r>
  <r>
    <x v="0"/>
    <x v="6"/>
    <x v="0"/>
    <x v="0"/>
    <x v="5"/>
    <x v="6"/>
    <x v="2"/>
    <x v="2"/>
    <x v="29"/>
    <x v="0"/>
    <x v="27"/>
    <x v="26"/>
    <x v="26"/>
    <x v="0"/>
    <x v="0"/>
    <x v="0"/>
    <x v="0"/>
    <x v="0"/>
    <x v="0"/>
    <x v="0"/>
    <x v="0"/>
    <x v="0"/>
    <x v="0"/>
  </r>
  <r>
    <x v="0"/>
    <x v="3"/>
    <x v="0"/>
    <x v="0"/>
    <x v="6"/>
    <x v="7"/>
    <x v="2"/>
    <x v="2"/>
    <x v="30"/>
    <x v="7"/>
    <x v="28"/>
    <x v="27"/>
    <x v="27"/>
    <x v="9"/>
    <x v="10"/>
    <x v="11"/>
    <x v="1"/>
    <x v="1"/>
    <x v="11"/>
    <x v="1"/>
    <x v="0"/>
    <x v="7"/>
    <x v="0"/>
  </r>
  <r>
    <x v="0"/>
    <x v="4"/>
    <x v="0"/>
    <x v="0"/>
    <x v="6"/>
    <x v="7"/>
    <x v="2"/>
    <x v="2"/>
    <x v="31"/>
    <x v="0"/>
    <x v="29"/>
    <x v="28"/>
    <x v="28"/>
    <x v="0"/>
    <x v="0"/>
    <x v="0"/>
    <x v="0"/>
    <x v="0"/>
    <x v="0"/>
    <x v="0"/>
    <x v="0"/>
    <x v="0"/>
    <x v="0"/>
  </r>
  <r>
    <x v="0"/>
    <x v="5"/>
    <x v="0"/>
    <x v="0"/>
    <x v="6"/>
    <x v="7"/>
    <x v="2"/>
    <x v="2"/>
    <x v="32"/>
    <x v="19"/>
    <x v="30"/>
    <x v="29"/>
    <x v="29"/>
    <x v="10"/>
    <x v="11"/>
    <x v="12"/>
    <x v="5"/>
    <x v="5"/>
    <x v="12"/>
    <x v="3"/>
    <x v="0"/>
    <x v="8"/>
    <x v="0"/>
  </r>
  <r>
    <x v="0"/>
    <x v="6"/>
    <x v="0"/>
    <x v="0"/>
    <x v="6"/>
    <x v="7"/>
    <x v="2"/>
    <x v="2"/>
    <x v="33"/>
    <x v="20"/>
    <x v="31"/>
    <x v="30"/>
    <x v="30"/>
    <x v="0"/>
    <x v="0"/>
    <x v="0"/>
    <x v="0"/>
    <x v="0"/>
    <x v="0"/>
    <x v="0"/>
    <x v="0"/>
    <x v="0"/>
    <x v="0"/>
  </r>
  <r>
    <x v="0"/>
    <x v="7"/>
    <x v="0"/>
    <x v="0"/>
    <x v="6"/>
    <x v="7"/>
    <x v="2"/>
    <x v="2"/>
    <x v="34"/>
    <x v="21"/>
    <x v="32"/>
    <x v="31"/>
    <x v="31"/>
    <x v="0"/>
    <x v="0"/>
    <x v="0"/>
    <x v="0"/>
    <x v="0"/>
    <x v="0"/>
    <x v="0"/>
    <x v="0"/>
    <x v="0"/>
    <x v="0"/>
  </r>
  <r>
    <x v="0"/>
    <x v="8"/>
    <x v="0"/>
    <x v="0"/>
    <x v="6"/>
    <x v="7"/>
    <x v="2"/>
    <x v="2"/>
    <x v="35"/>
    <x v="9"/>
    <x v="33"/>
    <x v="32"/>
    <x v="32"/>
    <x v="0"/>
    <x v="0"/>
    <x v="0"/>
    <x v="0"/>
    <x v="0"/>
    <x v="0"/>
    <x v="0"/>
    <x v="0"/>
    <x v="0"/>
    <x v="0"/>
  </r>
  <r>
    <x v="0"/>
    <x v="3"/>
    <x v="0"/>
    <x v="0"/>
    <x v="6"/>
    <x v="8"/>
    <x v="1"/>
    <x v="1"/>
    <x v="36"/>
    <x v="15"/>
    <x v="34"/>
    <x v="33"/>
    <x v="33"/>
    <x v="0"/>
    <x v="0"/>
    <x v="0"/>
    <x v="0"/>
    <x v="0"/>
    <x v="0"/>
    <x v="0"/>
    <x v="0"/>
    <x v="0"/>
    <x v="0"/>
  </r>
  <r>
    <x v="0"/>
    <x v="3"/>
    <x v="0"/>
    <x v="0"/>
    <x v="5"/>
    <x v="6"/>
    <x v="1"/>
    <x v="1"/>
    <x v="37"/>
    <x v="21"/>
    <x v="35"/>
    <x v="34"/>
    <x v="34"/>
    <x v="7"/>
    <x v="12"/>
    <x v="13"/>
    <x v="1"/>
    <x v="1"/>
    <x v="13"/>
    <x v="1"/>
    <x v="0"/>
    <x v="5"/>
    <x v="0"/>
  </r>
  <r>
    <x v="0"/>
    <x v="4"/>
    <x v="0"/>
    <x v="0"/>
    <x v="5"/>
    <x v="6"/>
    <x v="1"/>
    <x v="1"/>
    <x v="38"/>
    <x v="14"/>
    <x v="36"/>
    <x v="35"/>
    <x v="34"/>
    <x v="0"/>
    <x v="0"/>
    <x v="0"/>
    <x v="0"/>
    <x v="0"/>
    <x v="0"/>
    <x v="0"/>
    <x v="0"/>
    <x v="0"/>
    <x v="0"/>
  </r>
  <r>
    <x v="0"/>
    <x v="3"/>
    <x v="0"/>
    <x v="0"/>
    <x v="5"/>
    <x v="6"/>
    <x v="0"/>
    <x v="0"/>
    <x v="39"/>
    <x v="22"/>
    <x v="37"/>
    <x v="36"/>
    <x v="35"/>
    <x v="0"/>
    <x v="0"/>
    <x v="0"/>
    <x v="0"/>
    <x v="0"/>
    <x v="0"/>
    <x v="0"/>
    <x v="0"/>
    <x v="0"/>
    <x v="0"/>
  </r>
  <r>
    <x v="0"/>
    <x v="4"/>
    <x v="0"/>
    <x v="0"/>
    <x v="5"/>
    <x v="6"/>
    <x v="0"/>
    <x v="0"/>
    <x v="40"/>
    <x v="17"/>
    <x v="38"/>
    <x v="37"/>
    <x v="36"/>
    <x v="4"/>
    <x v="13"/>
    <x v="14"/>
    <x v="3"/>
    <x v="3"/>
    <x v="14"/>
    <x v="4"/>
    <x v="0"/>
    <x v="3"/>
    <x v="0"/>
  </r>
  <r>
    <x v="0"/>
    <x v="5"/>
    <x v="0"/>
    <x v="0"/>
    <x v="5"/>
    <x v="6"/>
    <x v="0"/>
    <x v="0"/>
    <x v="41"/>
    <x v="23"/>
    <x v="39"/>
    <x v="38"/>
    <x v="37"/>
    <x v="0"/>
    <x v="0"/>
    <x v="0"/>
    <x v="0"/>
    <x v="0"/>
    <x v="0"/>
    <x v="0"/>
    <x v="0"/>
    <x v="0"/>
    <x v="0"/>
  </r>
  <r>
    <x v="0"/>
    <x v="6"/>
    <x v="0"/>
    <x v="0"/>
    <x v="5"/>
    <x v="6"/>
    <x v="0"/>
    <x v="0"/>
    <x v="42"/>
    <x v="2"/>
    <x v="2"/>
    <x v="2"/>
    <x v="2"/>
    <x v="0"/>
    <x v="0"/>
    <x v="1"/>
    <x v="0"/>
    <x v="0"/>
    <x v="1"/>
    <x v="0"/>
    <x v="0"/>
    <x v="0"/>
    <x v="0"/>
  </r>
  <r>
    <x v="0"/>
    <x v="7"/>
    <x v="0"/>
    <x v="0"/>
    <x v="5"/>
    <x v="6"/>
    <x v="0"/>
    <x v="0"/>
    <x v="43"/>
    <x v="2"/>
    <x v="2"/>
    <x v="2"/>
    <x v="2"/>
    <x v="0"/>
    <x v="0"/>
    <x v="1"/>
    <x v="0"/>
    <x v="0"/>
    <x v="1"/>
    <x v="0"/>
    <x v="0"/>
    <x v="0"/>
    <x v="0"/>
  </r>
  <r>
    <x v="0"/>
    <x v="4"/>
    <x v="0"/>
    <x v="0"/>
    <x v="7"/>
    <x v="9"/>
    <x v="1"/>
    <x v="1"/>
    <x v="44"/>
    <x v="2"/>
    <x v="2"/>
    <x v="2"/>
    <x v="2"/>
    <x v="0"/>
    <x v="0"/>
    <x v="1"/>
    <x v="0"/>
    <x v="0"/>
    <x v="1"/>
    <x v="0"/>
    <x v="0"/>
    <x v="0"/>
    <x v="0"/>
  </r>
  <r>
    <x v="0"/>
    <x v="5"/>
    <x v="0"/>
    <x v="0"/>
    <x v="7"/>
    <x v="9"/>
    <x v="1"/>
    <x v="1"/>
    <x v="45"/>
    <x v="23"/>
    <x v="40"/>
    <x v="39"/>
    <x v="38"/>
    <x v="0"/>
    <x v="0"/>
    <x v="0"/>
    <x v="0"/>
    <x v="0"/>
    <x v="0"/>
    <x v="0"/>
    <x v="0"/>
    <x v="0"/>
    <x v="0"/>
  </r>
  <r>
    <x v="0"/>
    <x v="6"/>
    <x v="0"/>
    <x v="0"/>
    <x v="7"/>
    <x v="9"/>
    <x v="1"/>
    <x v="1"/>
    <x v="46"/>
    <x v="13"/>
    <x v="41"/>
    <x v="40"/>
    <x v="39"/>
    <x v="0"/>
    <x v="0"/>
    <x v="0"/>
    <x v="0"/>
    <x v="0"/>
    <x v="0"/>
    <x v="0"/>
    <x v="0"/>
    <x v="0"/>
    <x v="0"/>
  </r>
  <r>
    <x v="0"/>
    <x v="4"/>
    <x v="0"/>
    <x v="0"/>
    <x v="7"/>
    <x v="9"/>
    <x v="0"/>
    <x v="0"/>
    <x v="47"/>
    <x v="2"/>
    <x v="2"/>
    <x v="2"/>
    <x v="2"/>
    <x v="0"/>
    <x v="0"/>
    <x v="1"/>
    <x v="0"/>
    <x v="0"/>
    <x v="1"/>
    <x v="0"/>
    <x v="0"/>
    <x v="0"/>
    <x v="0"/>
  </r>
  <r>
    <x v="0"/>
    <x v="5"/>
    <x v="0"/>
    <x v="0"/>
    <x v="7"/>
    <x v="9"/>
    <x v="0"/>
    <x v="0"/>
    <x v="48"/>
    <x v="24"/>
    <x v="42"/>
    <x v="41"/>
    <x v="40"/>
    <x v="1"/>
    <x v="14"/>
    <x v="15"/>
    <x v="1"/>
    <x v="1"/>
    <x v="15"/>
    <x v="1"/>
    <x v="0"/>
    <x v="1"/>
    <x v="0"/>
  </r>
  <r>
    <x v="0"/>
    <x v="6"/>
    <x v="0"/>
    <x v="0"/>
    <x v="7"/>
    <x v="9"/>
    <x v="0"/>
    <x v="0"/>
    <x v="49"/>
    <x v="25"/>
    <x v="43"/>
    <x v="42"/>
    <x v="41"/>
    <x v="0"/>
    <x v="0"/>
    <x v="0"/>
    <x v="0"/>
    <x v="0"/>
    <x v="0"/>
    <x v="0"/>
    <x v="0"/>
    <x v="0"/>
    <x v="0"/>
  </r>
  <r>
    <x v="0"/>
    <x v="7"/>
    <x v="0"/>
    <x v="0"/>
    <x v="7"/>
    <x v="9"/>
    <x v="0"/>
    <x v="0"/>
    <x v="50"/>
    <x v="10"/>
    <x v="44"/>
    <x v="43"/>
    <x v="42"/>
    <x v="1"/>
    <x v="15"/>
    <x v="16"/>
    <x v="1"/>
    <x v="1"/>
    <x v="16"/>
    <x v="1"/>
    <x v="0"/>
    <x v="1"/>
    <x v="0"/>
  </r>
  <r>
    <x v="0"/>
    <x v="8"/>
    <x v="0"/>
    <x v="0"/>
    <x v="7"/>
    <x v="9"/>
    <x v="0"/>
    <x v="0"/>
    <x v="51"/>
    <x v="23"/>
    <x v="45"/>
    <x v="44"/>
    <x v="43"/>
    <x v="0"/>
    <x v="0"/>
    <x v="0"/>
    <x v="0"/>
    <x v="0"/>
    <x v="0"/>
    <x v="0"/>
    <x v="0"/>
    <x v="0"/>
    <x v="0"/>
  </r>
  <r>
    <x v="0"/>
    <x v="4"/>
    <x v="0"/>
    <x v="0"/>
    <x v="7"/>
    <x v="9"/>
    <x v="2"/>
    <x v="2"/>
    <x v="13"/>
    <x v="2"/>
    <x v="12"/>
    <x v="2"/>
    <x v="2"/>
    <x v="0"/>
    <x v="0"/>
    <x v="1"/>
    <x v="0"/>
    <x v="0"/>
    <x v="1"/>
    <x v="0"/>
    <x v="0"/>
    <x v="0"/>
    <x v="0"/>
  </r>
  <r>
    <x v="0"/>
    <x v="5"/>
    <x v="0"/>
    <x v="0"/>
    <x v="7"/>
    <x v="9"/>
    <x v="2"/>
    <x v="2"/>
    <x v="52"/>
    <x v="10"/>
    <x v="46"/>
    <x v="45"/>
    <x v="44"/>
    <x v="0"/>
    <x v="0"/>
    <x v="0"/>
    <x v="0"/>
    <x v="0"/>
    <x v="0"/>
    <x v="0"/>
    <x v="0"/>
    <x v="0"/>
    <x v="0"/>
  </r>
  <r>
    <x v="0"/>
    <x v="6"/>
    <x v="0"/>
    <x v="0"/>
    <x v="7"/>
    <x v="9"/>
    <x v="2"/>
    <x v="2"/>
    <x v="53"/>
    <x v="23"/>
    <x v="47"/>
    <x v="46"/>
    <x v="45"/>
    <x v="0"/>
    <x v="0"/>
    <x v="0"/>
    <x v="0"/>
    <x v="0"/>
    <x v="0"/>
    <x v="0"/>
    <x v="0"/>
    <x v="0"/>
    <x v="0"/>
  </r>
  <r>
    <x v="0"/>
    <x v="7"/>
    <x v="0"/>
    <x v="0"/>
    <x v="7"/>
    <x v="9"/>
    <x v="2"/>
    <x v="2"/>
    <x v="54"/>
    <x v="10"/>
    <x v="48"/>
    <x v="47"/>
    <x v="46"/>
    <x v="0"/>
    <x v="0"/>
    <x v="0"/>
    <x v="0"/>
    <x v="0"/>
    <x v="0"/>
    <x v="0"/>
    <x v="0"/>
    <x v="0"/>
    <x v="0"/>
  </r>
  <r>
    <x v="0"/>
    <x v="8"/>
    <x v="0"/>
    <x v="0"/>
    <x v="7"/>
    <x v="9"/>
    <x v="2"/>
    <x v="2"/>
    <x v="55"/>
    <x v="2"/>
    <x v="2"/>
    <x v="2"/>
    <x v="2"/>
    <x v="0"/>
    <x v="0"/>
    <x v="1"/>
    <x v="0"/>
    <x v="0"/>
    <x v="1"/>
    <x v="0"/>
    <x v="0"/>
    <x v="0"/>
    <x v="0"/>
  </r>
  <r>
    <x v="0"/>
    <x v="4"/>
    <x v="0"/>
    <x v="0"/>
    <x v="8"/>
    <x v="10"/>
    <x v="0"/>
    <x v="0"/>
    <x v="56"/>
    <x v="2"/>
    <x v="2"/>
    <x v="2"/>
    <x v="2"/>
    <x v="0"/>
    <x v="0"/>
    <x v="1"/>
    <x v="0"/>
    <x v="0"/>
    <x v="1"/>
    <x v="0"/>
    <x v="0"/>
    <x v="0"/>
    <x v="0"/>
  </r>
  <r>
    <x v="0"/>
    <x v="5"/>
    <x v="0"/>
    <x v="0"/>
    <x v="8"/>
    <x v="10"/>
    <x v="0"/>
    <x v="0"/>
    <x v="57"/>
    <x v="13"/>
    <x v="49"/>
    <x v="48"/>
    <x v="47"/>
    <x v="1"/>
    <x v="16"/>
    <x v="17"/>
    <x v="1"/>
    <x v="1"/>
    <x v="17"/>
    <x v="1"/>
    <x v="0"/>
    <x v="1"/>
    <x v="0"/>
  </r>
  <r>
    <x v="0"/>
    <x v="6"/>
    <x v="0"/>
    <x v="0"/>
    <x v="8"/>
    <x v="10"/>
    <x v="0"/>
    <x v="0"/>
    <x v="58"/>
    <x v="26"/>
    <x v="50"/>
    <x v="49"/>
    <x v="48"/>
    <x v="4"/>
    <x v="17"/>
    <x v="18"/>
    <x v="3"/>
    <x v="3"/>
    <x v="18"/>
    <x v="4"/>
    <x v="0"/>
    <x v="3"/>
    <x v="0"/>
  </r>
  <r>
    <x v="0"/>
    <x v="7"/>
    <x v="0"/>
    <x v="0"/>
    <x v="8"/>
    <x v="10"/>
    <x v="0"/>
    <x v="0"/>
    <x v="59"/>
    <x v="14"/>
    <x v="51"/>
    <x v="50"/>
    <x v="49"/>
    <x v="0"/>
    <x v="0"/>
    <x v="0"/>
    <x v="0"/>
    <x v="0"/>
    <x v="0"/>
    <x v="0"/>
    <x v="0"/>
    <x v="0"/>
    <x v="0"/>
  </r>
  <r>
    <x v="0"/>
    <x v="8"/>
    <x v="0"/>
    <x v="0"/>
    <x v="8"/>
    <x v="10"/>
    <x v="0"/>
    <x v="0"/>
    <x v="60"/>
    <x v="9"/>
    <x v="52"/>
    <x v="51"/>
    <x v="50"/>
    <x v="0"/>
    <x v="0"/>
    <x v="0"/>
    <x v="0"/>
    <x v="0"/>
    <x v="0"/>
    <x v="0"/>
    <x v="0"/>
    <x v="0"/>
    <x v="0"/>
  </r>
  <r>
    <x v="0"/>
    <x v="5"/>
    <x v="0"/>
    <x v="0"/>
    <x v="9"/>
    <x v="11"/>
    <x v="1"/>
    <x v="1"/>
    <x v="61"/>
    <x v="23"/>
    <x v="53"/>
    <x v="52"/>
    <x v="51"/>
    <x v="0"/>
    <x v="0"/>
    <x v="0"/>
    <x v="0"/>
    <x v="0"/>
    <x v="0"/>
    <x v="0"/>
    <x v="0"/>
    <x v="0"/>
    <x v="0"/>
  </r>
  <r>
    <x v="0"/>
    <x v="6"/>
    <x v="0"/>
    <x v="0"/>
    <x v="9"/>
    <x v="11"/>
    <x v="1"/>
    <x v="1"/>
    <x v="62"/>
    <x v="13"/>
    <x v="54"/>
    <x v="53"/>
    <x v="52"/>
    <x v="0"/>
    <x v="0"/>
    <x v="0"/>
    <x v="0"/>
    <x v="0"/>
    <x v="0"/>
    <x v="0"/>
    <x v="0"/>
    <x v="0"/>
    <x v="0"/>
  </r>
  <r>
    <x v="0"/>
    <x v="7"/>
    <x v="0"/>
    <x v="0"/>
    <x v="9"/>
    <x v="11"/>
    <x v="1"/>
    <x v="1"/>
    <x v="63"/>
    <x v="9"/>
    <x v="55"/>
    <x v="54"/>
    <x v="53"/>
    <x v="11"/>
    <x v="18"/>
    <x v="19"/>
    <x v="1"/>
    <x v="1"/>
    <x v="19"/>
    <x v="1"/>
    <x v="0"/>
    <x v="9"/>
    <x v="0"/>
  </r>
  <r>
    <x v="0"/>
    <x v="8"/>
    <x v="0"/>
    <x v="0"/>
    <x v="9"/>
    <x v="11"/>
    <x v="1"/>
    <x v="1"/>
    <x v="64"/>
    <x v="27"/>
    <x v="56"/>
    <x v="55"/>
    <x v="54"/>
    <x v="0"/>
    <x v="0"/>
    <x v="0"/>
    <x v="0"/>
    <x v="0"/>
    <x v="0"/>
    <x v="0"/>
    <x v="0"/>
    <x v="0"/>
    <x v="0"/>
  </r>
  <r>
    <x v="0"/>
    <x v="5"/>
    <x v="0"/>
    <x v="0"/>
    <x v="5"/>
    <x v="12"/>
    <x v="0"/>
    <x v="0"/>
    <x v="65"/>
    <x v="2"/>
    <x v="2"/>
    <x v="2"/>
    <x v="2"/>
    <x v="0"/>
    <x v="0"/>
    <x v="1"/>
    <x v="0"/>
    <x v="0"/>
    <x v="1"/>
    <x v="0"/>
    <x v="0"/>
    <x v="0"/>
    <x v="0"/>
  </r>
  <r>
    <x v="0"/>
    <x v="5"/>
    <x v="0"/>
    <x v="0"/>
    <x v="10"/>
    <x v="13"/>
    <x v="2"/>
    <x v="2"/>
    <x v="66"/>
    <x v="28"/>
    <x v="57"/>
    <x v="56"/>
    <x v="55"/>
    <x v="12"/>
    <x v="19"/>
    <x v="20"/>
    <x v="5"/>
    <x v="5"/>
    <x v="20"/>
    <x v="4"/>
    <x v="2"/>
    <x v="6"/>
    <x v="3"/>
  </r>
  <r>
    <x v="0"/>
    <x v="6"/>
    <x v="0"/>
    <x v="0"/>
    <x v="10"/>
    <x v="13"/>
    <x v="2"/>
    <x v="2"/>
    <x v="67"/>
    <x v="29"/>
    <x v="58"/>
    <x v="46"/>
    <x v="56"/>
    <x v="8"/>
    <x v="20"/>
    <x v="21"/>
    <x v="3"/>
    <x v="3"/>
    <x v="21"/>
    <x v="4"/>
    <x v="0"/>
    <x v="6"/>
    <x v="0"/>
  </r>
  <r>
    <x v="0"/>
    <x v="7"/>
    <x v="0"/>
    <x v="0"/>
    <x v="10"/>
    <x v="13"/>
    <x v="2"/>
    <x v="2"/>
    <x v="68"/>
    <x v="29"/>
    <x v="59"/>
    <x v="57"/>
    <x v="57"/>
    <x v="13"/>
    <x v="21"/>
    <x v="22"/>
    <x v="4"/>
    <x v="6"/>
    <x v="22"/>
    <x v="6"/>
    <x v="2"/>
    <x v="10"/>
    <x v="4"/>
  </r>
  <r>
    <x v="0"/>
    <x v="8"/>
    <x v="0"/>
    <x v="0"/>
    <x v="10"/>
    <x v="13"/>
    <x v="2"/>
    <x v="2"/>
    <x v="69"/>
    <x v="11"/>
    <x v="60"/>
    <x v="58"/>
    <x v="58"/>
    <x v="0"/>
    <x v="0"/>
    <x v="0"/>
    <x v="0"/>
    <x v="0"/>
    <x v="0"/>
    <x v="0"/>
    <x v="0"/>
    <x v="0"/>
    <x v="0"/>
  </r>
  <r>
    <x v="0"/>
    <x v="5"/>
    <x v="0"/>
    <x v="0"/>
    <x v="11"/>
    <x v="14"/>
    <x v="0"/>
    <x v="0"/>
    <x v="70"/>
    <x v="2"/>
    <x v="2"/>
    <x v="2"/>
    <x v="2"/>
    <x v="0"/>
    <x v="0"/>
    <x v="1"/>
    <x v="0"/>
    <x v="0"/>
    <x v="1"/>
    <x v="0"/>
    <x v="0"/>
    <x v="0"/>
    <x v="0"/>
  </r>
  <r>
    <x v="0"/>
    <x v="6"/>
    <x v="0"/>
    <x v="0"/>
    <x v="11"/>
    <x v="14"/>
    <x v="0"/>
    <x v="0"/>
    <x v="71"/>
    <x v="30"/>
    <x v="61"/>
    <x v="59"/>
    <x v="59"/>
    <x v="11"/>
    <x v="22"/>
    <x v="23"/>
    <x v="1"/>
    <x v="1"/>
    <x v="23"/>
    <x v="0"/>
    <x v="1"/>
    <x v="0"/>
    <x v="5"/>
  </r>
  <r>
    <x v="0"/>
    <x v="7"/>
    <x v="0"/>
    <x v="0"/>
    <x v="11"/>
    <x v="14"/>
    <x v="0"/>
    <x v="0"/>
    <x v="72"/>
    <x v="15"/>
    <x v="62"/>
    <x v="60"/>
    <x v="60"/>
    <x v="4"/>
    <x v="23"/>
    <x v="24"/>
    <x v="3"/>
    <x v="3"/>
    <x v="19"/>
    <x v="4"/>
    <x v="0"/>
    <x v="3"/>
    <x v="0"/>
  </r>
  <r>
    <x v="0"/>
    <x v="8"/>
    <x v="0"/>
    <x v="0"/>
    <x v="11"/>
    <x v="14"/>
    <x v="0"/>
    <x v="0"/>
    <x v="73"/>
    <x v="24"/>
    <x v="63"/>
    <x v="61"/>
    <x v="61"/>
    <x v="0"/>
    <x v="0"/>
    <x v="0"/>
    <x v="0"/>
    <x v="0"/>
    <x v="0"/>
    <x v="0"/>
    <x v="0"/>
    <x v="0"/>
    <x v="0"/>
  </r>
  <r>
    <x v="0"/>
    <x v="5"/>
    <x v="0"/>
    <x v="0"/>
    <x v="11"/>
    <x v="15"/>
    <x v="0"/>
    <x v="0"/>
    <x v="74"/>
    <x v="2"/>
    <x v="2"/>
    <x v="2"/>
    <x v="2"/>
    <x v="0"/>
    <x v="0"/>
    <x v="1"/>
    <x v="0"/>
    <x v="0"/>
    <x v="1"/>
    <x v="0"/>
    <x v="0"/>
    <x v="0"/>
    <x v="0"/>
  </r>
  <r>
    <x v="0"/>
    <x v="6"/>
    <x v="0"/>
    <x v="0"/>
    <x v="11"/>
    <x v="15"/>
    <x v="0"/>
    <x v="0"/>
    <x v="75"/>
    <x v="24"/>
    <x v="64"/>
    <x v="62"/>
    <x v="62"/>
    <x v="0"/>
    <x v="0"/>
    <x v="0"/>
    <x v="0"/>
    <x v="0"/>
    <x v="0"/>
    <x v="0"/>
    <x v="0"/>
    <x v="0"/>
    <x v="0"/>
  </r>
  <r>
    <x v="0"/>
    <x v="7"/>
    <x v="0"/>
    <x v="0"/>
    <x v="11"/>
    <x v="15"/>
    <x v="0"/>
    <x v="0"/>
    <x v="76"/>
    <x v="24"/>
    <x v="65"/>
    <x v="62"/>
    <x v="62"/>
    <x v="0"/>
    <x v="0"/>
    <x v="0"/>
    <x v="0"/>
    <x v="0"/>
    <x v="0"/>
    <x v="0"/>
    <x v="0"/>
    <x v="0"/>
    <x v="0"/>
  </r>
  <r>
    <x v="0"/>
    <x v="8"/>
    <x v="0"/>
    <x v="0"/>
    <x v="11"/>
    <x v="15"/>
    <x v="0"/>
    <x v="0"/>
    <x v="77"/>
    <x v="0"/>
    <x v="66"/>
    <x v="63"/>
    <x v="63"/>
    <x v="0"/>
    <x v="0"/>
    <x v="0"/>
    <x v="0"/>
    <x v="0"/>
    <x v="0"/>
    <x v="0"/>
    <x v="0"/>
    <x v="0"/>
    <x v="0"/>
  </r>
  <r>
    <x v="0"/>
    <x v="6"/>
    <x v="0"/>
    <x v="0"/>
    <x v="12"/>
    <x v="16"/>
    <x v="1"/>
    <x v="1"/>
    <x v="78"/>
    <x v="2"/>
    <x v="2"/>
    <x v="2"/>
    <x v="2"/>
    <x v="0"/>
    <x v="0"/>
    <x v="1"/>
    <x v="0"/>
    <x v="0"/>
    <x v="1"/>
    <x v="0"/>
    <x v="0"/>
    <x v="0"/>
    <x v="0"/>
  </r>
  <r>
    <x v="0"/>
    <x v="7"/>
    <x v="0"/>
    <x v="0"/>
    <x v="12"/>
    <x v="16"/>
    <x v="1"/>
    <x v="1"/>
    <x v="79"/>
    <x v="22"/>
    <x v="67"/>
    <x v="64"/>
    <x v="64"/>
    <x v="0"/>
    <x v="0"/>
    <x v="0"/>
    <x v="0"/>
    <x v="0"/>
    <x v="0"/>
    <x v="0"/>
    <x v="0"/>
    <x v="0"/>
    <x v="0"/>
  </r>
  <r>
    <x v="0"/>
    <x v="6"/>
    <x v="0"/>
    <x v="0"/>
    <x v="12"/>
    <x v="16"/>
    <x v="2"/>
    <x v="2"/>
    <x v="2"/>
    <x v="2"/>
    <x v="2"/>
    <x v="2"/>
    <x v="2"/>
    <x v="0"/>
    <x v="0"/>
    <x v="1"/>
    <x v="0"/>
    <x v="0"/>
    <x v="1"/>
    <x v="0"/>
    <x v="0"/>
    <x v="0"/>
    <x v="0"/>
  </r>
  <r>
    <x v="0"/>
    <x v="7"/>
    <x v="0"/>
    <x v="0"/>
    <x v="12"/>
    <x v="16"/>
    <x v="2"/>
    <x v="2"/>
    <x v="80"/>
    <x v="2"/>
    <x v="2"/>
    <x v="2"/>
    <x v="2"/>
    <x v="0"/>
    <x v="0"/>
    <x v="1"/>
    <x v="0"/>
    <x v="0"/>
    <x v="1"/>
    <x v="0"/>
    <x v="0"/>
    <x v="0"/>
    <x v="0"/>
  </r>
  <r>
    <x v="0"/>
    <x v="6"/>
    <x v="0"/>
    <x v="0"/>
    <x v="12"/>
    <x v="16"/>
    <x v="0"/>
    <x v="0"/>
    <x v="81"/>
    <x v="2"/>
    <x v="2"/>
    <x v="2"/>
    <x v="2"/>
    <x v="0"/>
    <x v="0"/>
    <x v="1"/>
    <x v="0"/>
    <x v="0"/>
    <x v="1"/>
    <x v="0"/>
    <x v="0"/>
    <x v="0"/>
    <x v="0"/>
  </r>
  <r>
    <x v="0"/>
    <x v="7"/>
    <x v="0"/>
    <x v="0"/>
    <x v="12"/>
    <x v="16"/>
    <x v="0"/>
    <x v="0"/>
    <x v="82"/>
    <x v="17"/>
    <x v="68"/>
    <x v="65"/>
    <x v="65"/>
    <x v="0"/>
    <x v="0"/>
    <x v="0"/>
    <x v="0"/>
    <x v="0"/>
    <x v="0"/>
    <x v="0"/>
    <x v="0"/>
    <x v="0"/>
    <x v="0"/>
  </r>
  <r>
    <x v="0"/>
    <x v="6"/>
    <x v="1"/>
    <x v="0"/>
    <x v="13"/>
    <x v="17"/>
    <x v="0"/>
    <x v="0"/>
    <x v="83"/>
    <x v="2"/>
    <x v="2"/>
    <x v="2"/>
    <x v="2"/>
    <x v="0"/>
    <x v="0"/>
    <x v="1"/>
    <x v="0"/>
    <x v="0"/>
    <x v="1"/>
    <x v="0"/>
    <x v="0"/>
    <x v="0"/>
    <x v="0"/>
  </r>
  <r>
    <x v="0"/>
    <x v="7"/>
    <x v="1"/>
    <x v="0"/>
    <x v="13"/>
    <x v="17"/>
    <x v="0"/>
    <x v="0"/>
    <x v="84"/>
    <x v="21"/>
    <x v="69"/>
    <x v="66"/>
    <x v="66"/>
    <x v="14"/>
    <x v="24"/>
    <x v="25"/>
    <x v="5"/>
    <x v="2"/>
    <x v="14"/>
    <x v="5"/>
    <x v="2"/>
    <x v="4"/>
    <x v="6"/>
  </r>
  <r>
    <x v="0"/>
    <x v="8"/>
    <x v="1"/>
    <x v="0"/>
    <x v="13"/>
    <x v="17"/>
    <x v="0"/>
    <x v="0"/>
    <x v="85"/>
    <x v="9"/>
    <x v="70"/>
    <x v="67"/>
    <x v="67"/>
    <x v="0"/>
    <x v="0"/>
    <x v="0"/>
    <x v="0"/>
    <x v="0"/>
    <x v="0"/>
    <x v="0"/>
    <x v="0"/>
    <x v="0"/>
    <x v="0"/>
  </r>
  <r>
    <x v="0"/>
    <x v="7"/>
    <x v="1"/>
    <x v="0"/>
    <x v="14"/>
    <x v="18"/>
    <x v="0"/>
    <x v="0"/>
    <x v="86"/>
    <x v="31"/>
    <x v="71"/>
    <x v="68"/>
    <x v="68"/>
    <x v="1"/>
    <x v="25"/>
    <x v="26"/>
    <x v="1"/>
    <x v="1"/>
    <x v="24"/>
    <x v="1"/>
    <x v="0"/>
    <x v="1"/>
    <x v="0"/>
  </r>
  <r>
    <x v="0"/>
    <x v="8"/>
    <x v="1"/>
    <x v="0"/>
    <x v="14"/>
    <x v="18"/>
    <x v="0"/>
    <x v="0"/>
    <x v="87"/>
    <x v="24"/>
    <x v="72"/>
    <x v="69"/>
    <x v="69"/>
    <x v="0"/>
    <x v="0"/>
    <x v="0"/>
    <x v="0"/>
    <x v="0"/>
    <x v="0"/>
    <x v="0"/>
    <x v="0"/>
    <x v="0"/>
    <x v="0"/>
  </r>
  <r>
    <x v="0"/>
    <x v="7"/>
    <x v="1"/>
    <x v="0"/>
    <x v="15"/>
    <x v="19"/>
    <x v="0"/>
    <x v="0"/>
    <x v="88"/>
    <x v="32"/>
    <x v="73"/>
    <x v="70"/>
    <x v="70"/>
    <x v="0"/>
    <x v="0"/>
    <x v="0"/>
    <x v="0"/>
    <x v="0"/>
    <x v="0"/>
    <x v="0"/>
    <x v="0"/>
    <x v="0"/>
    <x v="0"/>
  </r>
  <r>
    <x v="0"/>
    <x v="8"/>
    <x v="1"/>
    <x v="0"/>
    <x v="15"/>
    <x v="19"/>
    <x v="0"/>
    <x v="0"/>
    <x v="89"/>
    <x v="17"/>
    <x v="74"/>
    <x v="71"/>
    <x v="71"/>
    <x v="1"/>
    <x v="26"/>
    <x v="27"/>
    <x v="1"/>
    <x v="1"/>
    <x v="3"/>
    <x v="1"/>
    <x v="0"/>
    <x v="1"/>
    <x v="0"/>
  </r>
  <r>
    <x v="0"/>
    <x v="8"/>
    <x v="1"/>
    <x v="0"/>
    <x v="16"/>
    <x v="20"/>
    <x v="0"/>
    <x v="0"/>
    <x v="90"/>
    <x v="25"/>
    <x v="75"/>
    <x v="72"/>
    <x v="72"/>
    <x v="0"/>
    <x v="0"/>
    <x v="0"/>
    <x v="0"/>
    <x v="0"/>
    <x v="0"/>
    <x v="0"/>
    <x v="0"/>
    <x v="0"/>
    <x v="0"/>
  </r>
  <r>
    <x v="0"/>
    <x v="8"/>
    <x v="0"/>
    <x v="0"/>
    <x v="17"/>
    <x v="21"/>
    <x v="1"/>
    <x v="1"/>
    <x v="91"/>
    <x v="16"/>
    <x v="76"/>
    <x v="73"/>
    <x v="73"/>
    <x v="0"/>
    <x v="0"/>
    <x v="0"/>
    <x v="0"/>
    <x v="0"/>
    <x v="0"/>
    <x v="0"/>
    <x v="0"/>
    <x v="0"/>
    <x v="0"/>
  </r>
  <r>
    <x v="0"/>
    <x v="8"/>
    <x v="1"/>
    <x v="0"/>
    <x v="18"/>
    <x v="22"/>
    <x v="1"/>
    <x v="1"/>
    <x v="92"/>
    <x v="18"/>
    <x v="77"/>
    <x v="74"/>
    <x v="74"/>
    <x v="11"/>
    <x v="27"/>
    <x v="28"/>
    <x v="1"/>
    <x v="1"/>
    <x v="25"/>
    <x v="1"/>
    <x v="0"/>
    <x v="9"/>
    <x v="0"/>
  </r>
  <r>
    <x v="0"/>
    <x v="8"/>
    <x v="0"/>
    <x v="0"/>
    <x v="19"/>
    <x v="23"/>
    <x v="1"/>
    <x v="1"/>
    <x v="93"/>
    <x v="3"/>
    <x v="78"/>
    <x v="75"/>
    <x v="75"/>
    <x v="15"/>
    <x v="28"/>
    <x v="29"/>
    <x v="3"/>
    <x v="3"/>
    <x v="17"/>
    <x v="1"/>
    <x v="1"/>
    <x v="9"/>
    <x v="7"/>
  </r>
  <r>
    <x v="0"/>
    <x v="8"/>
    <x v="2"/>
    <x v="0"/>
    <x v="20"/>
    <x v="24"/>
    <x v="0"/>
    <x v="0"/>
    <x v="94"/>
    <x v="2"/>
    <x v="2"/>
    <x v="2"/>
    <x v="2"/>
    <x v="0"/>
    <x v="0"/>
    <x v="1"/>
    <x v="0"/>
    <x v="0"/>
    <x v="1"/>
    <x v="0"/>
    <x v="0"/>
    <x v="0"/>
    <x v="0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1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  <r>
    <x v="2"/>
    <x v="12"/>
    <x v="3"/>
    <x v="1"/>
    <x v="21"/>
    <x v="25"/>
    <x v="3"/>
    <x v="3"/>
    <x v="95"/>
    <x v="33"/>
    <x v="12"/>
    <x v="2"/>
    <x v="76"/>
    <x v="16"/>
    <x v="0"/>
    <x v="1"/>
    <x v="6"/>
    <x v="7"/>
    <x v="1"/>
    <x v="7"/>
    <x v="3"/>
    <x v="11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0"/>
    <x v="1"/>
    <x v="1"/>
    <x v="1"/>
    <x v="1"/>
    <x v="0"/>
    <x v="1"/>
    <x v="0"/>
    <x v="1"/>
    <x v="0"/>
    <x v="1"/>
    <x v="0"/>
    <x v="1"/>
    <x v="1"/>
    <x v="1"/>
    <x v="1"/>
    <x v="1"/>
    <x v="1"/>
    <x v="1"/>
    <x v="1"/>
    <x v="1"/>
    <x v="1"/>
    <x v="1"/>
    <x v="1"/>
  </r>
  <r>
    <x v="1"/>
    <x v="0"/>
    <x v="2"/>
    <x v="2"/>
    <x v="2"/>
    <x v="2"/>
    <x v="0"/>
    <x v="2"/>
    <x v="1"/>
    <x v="2"/>
    <x v="2"/>
    <x v="0"/>
    <x v="2"/>
    <x v="0"/>
    <x v="2"/>
    <x v="0"/>
    <x v="2"/>
    <x v="0"/>
    <x v="2"/>
    <x v="2"/>
    <x v="2"/>
    <x v="2"/>
    <x v="2"/>
    <x v="2"/>
    <x v="2"/>
    <x v="2"/>
    <x v="2"/>
    <x v="2"/>
    <x v="2"/>
    <x v="2"/>
  </r>
  <r>
    <x v="2"/>
    <x v="0"/>
    <x v="3"/>
    <x v="3"/>
    <x v="3"/>
    <x v="3"/>
    <x v="0"/>
    <x v="3"/>
    <x v="1"/>
    <x v="3"/>
    <x v="3"/>
    <x v="0"/>
    <x v="3"/>
    <x v="0"/>
    <x v="3"/>
    <x v="0"/>
    <x v="3"/>
    <x v="0"/>
    <x v="3"/>
    <x v="3"/>
    <x v="3"/>
    <x v="3"/>
    <x v="3"/>
    <x v="3"/>
    <x v="0"/>
    <x v="0"/>
    <x v="0"/>
    <x v="3"/>
    <x v="3"/>
    <x v="3"/>
  </r>
  <r>
    <x v="0"/>
    <x v="0"/>
    <x v="4"/>
    <x v="4"/>
    <x v="4"/>
    <x v="4"/>
    <x v="1"/>
    <x v="4"/>
    <x v="2"/>
    <x v="4"/>
    <x v="4"/>
    <x v="1"/>
    <x v="4"/>
    <x v="0"/>
    <x v="4"/>
    <x v="1"/>
    <x v="4"/>
    <x v="1"/>
    <x v="4"/>
    <x v="4"/>
    <x v="4"/>
    <x v="4"/>
    <x v="4"/>
    <x v="4"/>
    <x v="3"/>
    <x v="3"/>
    <x v="3"/>
    <x v="4"/>
    <x v="4"/>
    <x v="4"/>
  </r>
  <r>
    <x v="2"/>
    <x v="0"/>
    <x v="5"/>
    <x v="5"/>
    <x v="5"/>
    <x v="5"/>
    <x v="0"/>
    <x v="5"/>
    <x v="1"/>
    <x v="5"/>
    <x v="5"/>
    <x v="0"/>
    <x v="5"/>
    <x v="0"/>
    <x v="5"/>
    <x v="0"/>
    <x v="5"/>
    <x v="0"/>
    <x v="5"/>
    <x v="5"/>
    <x v="5"/>
    <x v="5"/>
    <x v="5"/>
    <x v="5"/>
    <x v="4"/>
    <x v="4"/>
    <x v="4"/>
    <x v="5"/>
    <x v="5"/>
    <x v="5"/>
  </r>
  <r>
    <x v="0"/>
    <x v="0"/>
    <x v="6"/>
    <x v="6"/>
    <x v="6"/>
    <x v="6"/>
    <x v="0"/>
    <x v="6"/>
    <x v="0"/>
    <x v="6"/>
    <x v="6"/>
    <x v="0"/>
    <x v="6"/>
    <x v="0"/>
    <x v="6"/>
    <x v="0"/>
    <x v="6"/>
    <x v="0"/>
    <x v="6"/>
    <x v="6"/>
    <x v="6"/>
    <x v="6"/>
    <x v="6"/>
    <x v="6"/>
    <x v="5"/>
    <x v="5"/>
    <x v="5"/>
    <x v="6"/>
    <x v="6"/>
    <x v="6"/>
  </r>
  <r>
    <x v="2"/>
    <x v="0"/>
    <x v="7"/>
    <x v="7"/>
    <x v="7"/>
    <x v="7"/>
    <x v="0"/>
    <x v="7"/>
    <x v="1"/>
    <x v="7"/>
    <x v="5"/>
    <x v="0"/>
    <x v="7"/>
    <x v="0"/>
    <x v="5"/>
    <x v="0"/>
    <x v="5"/>
    <x v="0"/>
    <x v="7"/>
    <x v="5"/>
    <x v="7"/>
    <x v="7"/>
    <x v="0"/>
    <x v="7"/>
    <x v="0"/>
    <x v="0"/>
    <x v="0"/>
    <x v="0"/>
    <x v="7"/>
    <x v="7"/>
  </r>
  <r>
    <x v="2"/>
    <x v="0"/>
    <x v="8"/>
    <x v="8"/>
    <x v="8"/>
    <x v="8"/>
    <x v="2"/>
    <x v="8"/>
    <x v="3"/>
    <x v="8"/>
    <x v="7"/>
    <x v="0"/>
    <x v="8"/>
    <x v="0"/>
    <x v="7"/>
    <x v="0"/>
    <x v="7"/>
    <x v="0"/>
    <x v="8"/>
    <x v="7"/>
    <x v="8"/>
    <x v="8"/>
    <x v="0"/>
    <x v="8"/>
    <x v="6"/>
    <x v="6"/>
    <x v="4"/>
    <x v="0"/>
    <x v="8"/>
    <x v="8"/>
  </r>
  <r>
    <x v="1"/>
    <x v="0"/>
    <x v="9"/>
    <x v="9"/>
    <x v="9"/>
    <x v="9"/>
    <x v="0"/>
    <x v="9"/>
    <x v="1"/>
    <x v="9"/>
    <x v="8"/>
    <x v="1"/>
    <x v="9"/>
    <x v="0"/>
    <x v="8"/>
    <x v="1"/>
    <x v="8"/>
    <x v="1"/>
    <x v="9"/>
    <x v="8"/>
    <x v="9"/>
    <x v="9"/>
    <x v="7"/>
    <x v="9"/>
    <x v="2"/>
    <x v="7"/>
    <x v="6"/>
    <x v="7"/>
    <x v="9"/>
    <x v="9"/>
  </r>
  <r>
    <x v="2"/>
    <x v="0"/>
    <x v="10"/>
    <x v="10"/>
    <x v="10"/>
    <x v="10"/>
    <x v="0"/>
    <x v="10"/>
    <x v="1"/>
    <x v="10"/>
    <x v="9"/>
    <x v="0"/>
    <x v="10"/>
    <x v="0"/>
    <x v="9"/>
    <x v="0"/>
    <x v="9"/>
    <x v="0"/>
    <x v="10"/>
    <x v="9"/>
    <x v="10"/>
    <x v="10"/>
    <x v="8"/>
    <x v="10"/>
    <x v="0"/>
    <x v="0"/>
    <x v="0"/>
    <x v="8"/>
    <x v="10"/>
    <x v="10"/>
  </r>
  <r>
    <x v="3"/>
    <x v="0"/>
    <x v="11"/>
    <x v="11"/>
    <x v="11"/>
    <x v="11"/>
    <x v="0"/>
    <x v="11"/>
    <x v="1"/>
    <x v="11"/>
    <x v="8"/>
    <x v="0"/>
    <x v="11"/>
    <x v="0"/>
    <x v="10"/>
    <x v="0"/>
    <x v="8"/>
    <x v="0"/>
    <x v="11"/>
    <x v="10"/>
    <x v="11"/>
    <x v="11"/>
    <x v="9"/>
    <x v="11"/>
    <x v="7"/>
    <x v="0"/>
    <x v="4"/>
    <x v="9"/>
    <x v="11"/>
    <x v="11"/>
  </r>
  <r>
    <x v="3"/>
    <x v="0"/>
    <x v="12"/>
    <x v="12"/>
    <x v="12"/>
    <x v="12"/>
    <x v="0"/>
    <x v="12"/>
    <x v="1"/>
    <x v="12"/>
    <x v="10"/>
    <x v="0"/>
    <x v="12"/>
    <x v="0"/>
    <x v="11"/>
    <x v="0"/>
    <x v="10"/>
    <x v="0"/>
    <x v="12"/>
    <x v="11"/>
    <x v="12"/>
    <x v="12"/>
    <x v="0"/>
    <x v="12"/>
    <x v="0"/>
    <x v="0"/>
    <x v="0"/>
    <x v="0"/>
    <x v="12"/>
    <x v="12"/>
  </r>
  <r>
    <x v="4"/>
    <x v="0"/>
    <x v="13"/>
    <x v="13"/>
    <x v="13"/>
    <x v="13"/>
    <x v="2"/>
    <x v="13"/>
    <x v="3"/>
    <x v="13"/>
    <x v="11"/>
    <x v="0"/>
    <x v="13"/>
    <x v="0"/>
    <x v="12"/>
    <x v="0"/>
    <x v="11"/>
    <x v="0"/>
    <x v="13"/>
    <x v="12"/>
    <x v="13"/>
    <x v="13"/>
    <x v="2"/>
    <x v="13"/>
    <x v="0"/>
    <x v="0"/>
    <x v="0"/>
    <x v="2"/>
    <x v="13"/>
    <x v="13"/>
  </r>
  <r>
    <x v="5"/>
    <x v="0"/>
    <x v="14"/>
    <x v="14"/>
    <x v="14"/>
    <x v="14"/>
    <x v="0"/>
    <x v="14"/>
    <x v="1"/>
    <x v="14"/>
    <x v="12"/>
    <x v="0"/>
    <x v="14"/>
    <x v="0"/>
    <x v="13"/>
    <x v="0"/>
    <x v="12"/>
    <x v="0"/>
    <x v="14"/>
    <x v="13"/>
    <x v="14"/>
    <x v="14"/>
    <x v="10"/>
    <x v="14"/>
    <x v="8"/>
    <x v="8"/>
    <x v="7"/>
    <x v="10"/>
    <x v="14"/>
    <x v="14"/>
  </r>
  <r>
    <x v="3"/>
    <x v="0"/>
    <x v="15"/>
    <x v="15"/>
    <x v="15"/>
    <x v="15"/>
    <x v="2"/>
    <x v="15"/>
    <x v="3"/>
    <x v="15"/>
    <x v="13"/>
    <x v="0"/>
    <x v="15"/>
    <x v="0"/>
    <x v="14"/>
    <x v="0"/>
    <x v="13"/>
    <x v="0"/>
    <x v="15"/>
    <x v="14"/>
    <x v="15"/>
    <x v="15"/>
    <x v="2"/>
    <x v="15"/>
    <x v="2"/>
    <x v="9"/>
    <x v="4"/>
    <x v="2"/>
    <x v="15"/>
    <x v="15"/>
  </r>
  <r>
    <x v="0"/>
    <x v="0"/>
    <x v="16"/>
    <x v="16"/>
    <x v="16"/>
    <x v="16"/>
    <x v="0"/>
    <x v="16"/>
    <x v="1"/>
    <x v="16"/>
    <x v="13"/>
    <x v="0"/>
    <x v="16"/>
    <x v="0"/>
    <x v="15"/>
    <x v="0"/>
    <x v="13"/>
    <x v="0"/>
    <x v="16"/>
    <x v="15"/>
    <x v="16"/>
    <x v="16"/>
    <x v="11"/>
    <x v="16"/>
    <x v="9"/>
    <x v="10"/>
    <x v="8"/>
    <x v="11"/>
    <x v="16"/>
    <x v="16"/>
  </r>
  <r>
    <x v="5"/>
    <x v="0"/>
    <x v="17"/>
    <x v="17"/>
    <x v="17"/>
    <x v="17"/>
    <x v="0"/>
    <x v="17"/>
    <x v="1"/>
    <x v="17"/>
    <x v="4"/>
    <x v="1"/>
    <x v="16"/>
    <x v="0"/>
    <x v="16"/>
    <x v="1"/>
    <x v="6"/>
    <x v="1"/>
    <x v="17"/>
    <x v="16"/>
    <x v="16"/>
    <x v="17"/>
    <x v="8"/>
    <x v="17"/>
    <x v="10"/>
    <x v="11"/>
    <x v="4"/>
    <x v="8"/>
    <x v="17"/>
    <x v="17"/>
  </r>
  <r>
    <x v="5"/>
    <x v="0"/>
    <x v="18"/>
    <x v="18"/>
    <x v="18"/>
    <x v="18"/>
    <x v="0"/>
    <x v="18"/>
    <x v="1"/>
    <x v="18"/>
    <x v="14"/>
    <x v="1"/>
    <x v="17"/>
    <x v="0"/>
    <x v="17"/>
    <x v="1"/>
    <x v="14"/>
    <x v="1"/>
    <x v="18"/>
    <x v="17"/>
    <x v="17"/>
    <x v="18"/>
    <x v="12"/>
    <x v="18"/>
    <x v="11"/>
    <x v="12"/>
    <x v="7"/>
    <x v="12"/>
    <x v="18"/>
    <x v="18"/>
  </r>
  <r>
    <x v="5"/>
    <x v="0"/>
    <x v="19"/>
    <x v="19"/>
    <x v="19"/>
    <x v="19"/>
    <x v="0"/>
    <x v="19"/>
    <x v="1"/>
    <x v="14"/>
    <x v="10"/>
    <x v="0"/>
    <x v="18"/>
    <x v="0"/>
    <x v="11"/>
    <x v="0"/>
    <x v="10"/>
    <x v="0"/>
    <x v="19"/>
    <x v="11"/>
    <x v="18"/>
    <x v="19"/>
    <x v="9"/>
    <x v="19"/>
    <x v="0"/>
    <x v="0"/>
    <x v="0"/>
    <x v="9"/>
    <x v="19"/>
    <x v="19"/>
  </r>
  <r>
    <x v="5"/>
    <x v="0"/>
    <x v="20"/>
    <x v="20"/>
    <x v="20"/>
    <x v="20"/>
    <x v="0"/>
    <x v="20"/>
    <x v="1"/>
    <x v="19"/>
    <x v="9"/>
    <x v="0"/>
    <x v="19"/>
    <x v="0"/>
    <x v="18"/>
    <x v="0"/>
    <x v="9"/>
    <x v="0"/>
    <x v="20"/>
    <x v="18"/>
    <x v="19"/>
    <x v="20"/>
    <x v="13"/>
    <x v="20"/>
    <x v="12"/>
    <x v="13"/>
    <x v="4"/>
    <x v="13"/>
    <x v="20"/>
    <x v="20"/>
  </r>
  <r>
    <x v="6"/>
    <x v="0"/>
    <x v="21"/>
    <x v="21"/>
    <x v="21"/>
    <x v="21"/>
    <x v="0"/>
    <x v="21"/>
    <x v="1"/>
    <x v="20"/>
    <x v="3"/>
    <x v="1"/>
    <x v="20"/>
    <x v="0"/>
    <x v="3"/>
    <x v="1"/>
    <x v="15"/>
    <x v="1"/>
    <x v="21"/>
    <x v="3"/>
    <x v="20"/>
    <x v="21"/>
    <x v="14"/>
    <x v="21"/>
    <x v="13"/>
    <x v="14"/>
    <x v="9"/>
    <x v="14"/>
    <x v="21"/>
    <x v="21"/>
  </r>
  <r>
    <x v="6"/>
    <x v="0"/>
    <x v="22"/>
    <x v="22"/>
    <x v="22"/>
    <x v="22"/>
    <x v="0"/>
    <x v="22"/>
    <x v="1"/>
    <x v="21"/>
    <x v="3"/>
    <x v="0"/>
    <x v="21"/>
    <x v="0"/>
    <x v="19"/>
    <x v="0"/>
    <x v="15"/>
    <x v="0"/>
    <x v="22"/>
    <x v="19"/>
    <x v="21"/>
    <x v="22"/>
    <x v="15"/>
    <x v="22"/>
    <x v="14"/>
    <x v="15"/>
    <x v="10"/>
    <x v="15"/>
    <x v="22"/>
    <x v="22"/>
  </r>
  <r>
    <x v="6"/>
    <x v="0"/>
    <x v="23"/>
    <x v="23"/>
    <x v="23"/>
    <x v="23"/>
    <x v="0"/>
    <x v="23"/>
    <x v="1"/>
    <x v="22"/>
    <x v="10"/>
    <x v="0"/>
    <x v="22"/>
    <x v="0"/>
    <x v="11"/>
    <x v="0"/>
    <x v="10"/>
    <x v="0"/>
    <x v="23"/>
    <x v="11"/>
    <x v="22"/>
    <x v="23"/>
    <x v="16"/>
    <x v="23"/>
    <x v="15"/>
    <x v="16"/>
    <x v="11"/>
    <x v="16"/>
    <x v="23"/>
    <x v="23"/>
  </r>
  <r>
    <x v="7"/>
    <x v="0"/>
    <x v="24"/>
    <x v="24"/>
    <x v="24"/>
    <x v="24"/>
    <x v="0"/>
    <x v="24"/>
    <x v="3"/>
    <x v="23"/>
    <x v="5"/>
    <x v="0"/>
    <x v="23"/>
    <x v="0"/>
    <x v="20"/>
    <x v="0"/>
    <x v="5"/>
    <x v="0"/>
    <x v="24"/>
    <x v="20"/>
    <x v="23"/>
    <x v="24"/>
    <x v="17"/>
    <x v="24"/>
    <x v="0"/>
    <x v="0"/>
    <x v="0"/>
    <x v="17"/>
    <x v="24"/>
    <x v="24"/>
  </r>
  <r>
    <x v="8"/>
    <x v="0"/>
    <x v="25"/>
    <x v="25"/>
    <x v="25"/>
    <x v="25"/>
    <x v="2"/>
    <x v="25"/>
    <x v="3"/>
    <x v="24"/>
    <x v="7"/>
    <x v="0"/>
    <x v="24"/>
    <x v="0"/>
    <x v="7"/>
    <x v="0"/>
    <x v="7"/>
    <x v="0"/>
    <x v="25"/>
    <x v="7"/>
    <x v="24"/>
    <x v="25"/>
    <x v="18"/>
    <x v="25"/>
    <x v="4"/>
    <x v="17"/>
    <x v="2"/>
    <x v="18"/>
    <x v="25"/>
    <x v="25"/>
  </r>
  <r>
    <x v="6"/>
    <x v="0"/>
    <x v="26"/>
    <x v="26"/>
    <x v="26"/>
    <x v="26"/>
    <x v="0"/>
    <x v="26"/>
    <x v="1"/>
    <x v="25"/>
    <x v="9"/>
    <x v="0"/>
    <x v="25"/>
    <x v="0"/>
    <x v="9"/>
    <x v="0"/>
    <x v="9"/>
    <x v="0"/>
    <x v="26"/>
    <x v="9"/>
    <x v="25"/>
    <x v="26"/>
    <x v="19"/>
    <x v="26"/>
    <x v="13"/>
    <x v="18"/>
    <x v="12"/>
    <x v="19"/>
    <x v="26"/>
    <x v="26"/>
  </r>
  <r>
    <x v="9"/>
    <x v="0"/>
    <x v="27"/>
    <x v="27"/>
    <x v="27"/>
    <x v="27"/>
    <x v="2"/>
    <x v="27"/>
    <x v="3"/>
    <x v="26"/>
    <x v="7"/>
    <x v="1"/>
    <x v="26"/>
    <x v="0"/>
    <x v="21"/>
    <x v="1"/>
    <x v="7"/>
    <x v="1"/>
    <x v="27"/>
    <x v="21"/>
    <x v="26"/>
    <x v="27"/>
    <x v="20"/>
    <x v="27"/>
    <x v="16"/>
    <x v="19"/>
    <x v="8"/>
    <x v="20"/>
    <x v="27"/>
    <x v="27"/>
  </r>
  <r>
    <x v="6"/>
    <x v="0"/>
    <x v="28"/>
    <x v="28"/>
    <x v="28"/>
    <x v="28"/>
    <x v="0"/>
    <x v="28"/>
    <x v="1"/>
    <x v="27"/>
    <x v="15"/>
    <x v="0"/>
    <x v="27"/>
    <x v="0"/>
    <x v="22"/>
    <x v="0"/>
    <x v="16"/>
    <x v="0"/>
    <x v="28"/>
    <x v="22"/>
    <x v="27"/>
    <x v="28"/>
    <x v="21"/>
    <x v="28"/>
    <x v="17"/>
    <x v="20"/>
    <x v="13"/>
    <x v="21"/>
    <x v="28"/>
    <x v="28"/>
  </r>
  <r>
    <x v="10"/>
    <x v="0"/>
    <x v="29"/>
    <x v="29"/>
    <x v="29"/>
    <x v="29"/>
    <x v="0"/>
    <x v="29"/>
    <x v="1"/>
    <x v="28"/>
    <x v="16"/>
    <x v="0"/>
    <x v="28"/>
    <x v="0"/>
    <x v="23"/>
    <x v="0"/>
    <x v="17"/>
    <x v="0"/>
    <x v="29"/>
    <x v="23"/>
    <x v="28"/>
    <x v="29"/>
    <x v="22"/>
    <x v="29"/>
    <x v="0"/>
    <x v="0"/>
    <x v="0"/>
    <x v="22"/>
    <x v="29"/>
    <x v="29"/>
  </r>
  <r>
    <x v="8"/>
    <x v="0"/>
    <x v="30"/>
    <x v="30"/>
    <x v="30"/>
    <x v="30"/>
    <x v="0"/>
    <x v="30"/>
    <x v="1"/>
    <x v="29"/>
    <x v="3"/>
    <x v="0"/>
    <x v="29"/>
    <x v="0"/>
    <x v="19"/>
    <x v="0"/>
    <x v="15"/>
    <x v="0"/>
    <x v="30"/>
    <x v="19"/>
    <x v="29"/>
    <x v="30"/>
    <x v="23"/>
    <x v="30"/>
    <x v="0"/>
    <x v="0"/>
    <x v="0"/>
    <x v="23"/>
    <x v="30"/>
    <x v="30"/>
  </r>
  <r>
    <x v="11"/>
    <x v="0"/>
    <x v="31"/>
    <x v="31"/>
    <x v="31"/>
    <x v="31"/>
    <x v="2"/>
    <x v="31"/>
    <x v="3"/>
    <x v="30"/>
    <x v="9"/>
    <x v="0"/>
    <x v="30"/>
    <x v="0"/>
    <x v="9"/>
    <x v="0"/>
    <x v="9"/>
    <x v="0"/>
    <x v="31"/>
    <x v="9"/>
    <x v="30"/>
    <x v="31"/>
    <x v="5"/>
    <x v="31"/>
    <x v="0"/>
    <x v="0"/>
    <x v="0"/>
    <x v="5"/>
    <x v="31"/>
    <x v="31"/>
  </r>
  <r>
    <x v="8"/>
    <x v="0"/>
    <x v="32"/>
    <x v="32"/>
    <x v="32"/>
    <x v="32"/>
    <x v="2"/>
    <x v="32"/>
    <x v="3"/>
    <x v="31"/>
    <x v="17"/>
    <x v="0"/>
    <x v="31"/>
    <x v="0"/>
    <x v="24"/>
    <x v="0"/>
    <x v="13"/>
    <x v="0"/>
    <x v="32"/>
    <x v="24"/>
    <x v="31"/>
    <x v="32"/>
    <x v="24"/>
    <x v="32"/>
    <x v="18"/>
    <x v="21"/>
    <x v="14"/>
    <x v="24"/>
    <x v="32"/>
    <x v="32"/>
  </r>
  <r>
    <x v="8"/>
    <x v="0"/>
    <x v="33"/>
    <x v="33"/>
    <x v="33"/>
    <x v="33"/>
    <x v="0"/>
    <x v="33"/>
    <x v="3"/>
    <x v="32"/>
    <x v="18"/>
    <x v="0"/>
    <x v="32"/>
    <x v="0"/>
    <x v="25"/>
    <x v="0"/>
    <x v="18"/>
    <x v="0"/>
    <x v="33"/>
    <x v="25"/>
    <x v="32"/>
    <x v="33"/>
    <x v="0"/>
    <x v="33"/>
    <x v="0"/>
    <x v="0"/>
    <x v="0"/>
    <x v="0"/>
    <x v="33"/>
    <x v="33"/>
  </r>
  <r>
    <x v="1"/>
    <x v="0"/>
    <x v="34"/>
    <x v="34"/>
    <x v="34"/>
    <x v="34"/>
    <x v="2"/>
    <x v="34"/>
    <x v="3"/>
    <x v="33"/>
    <x v="16"/>
    <x v="0"/>
    <x v="33"/>
    <x v="0"/>
    <x v="26"/>
    <x v="0"/>
    <x v="17"/>
    <x v="0"/>
    <x v="34"/>
    <x v="26"/>
    <x v="33"/>
    <x v="34"/>
    <x v="0"/>
    <x v="34"/>
    <x v="0"/>
    <x v="0"/>
    <x v="0"/>
    <x v="0"/>
    <x v="34"/>
    <x v="34"/>
  </r>
  <r>
    <x v="12"/>
    <x v="0"/>
    <x v="35"/>
    <x v="35"/>
    <x v="35"/>
    <x v="35"/>
    <x v="0"/>
    <x v="35"/>
    <x v="3"/>
    <x v="34"/>
    <x v="10"/>
    <x v="1"/>
    <x v="34"/>
    <x v="0"/>
    <x v="11"/>
    <x v="1"/>
    <x v="10"/>
    <x v="1"/>
    <x v="35"/>
    <x v="11"/>
    <x v="34"/>
    <x v="35"/>
    <x v="22"/>
    <x v="29"/>
    <x v="0"/>
    <x v="0"/>
    <x v="0"/>
    <x v="22"/>
    <x v="29"/>
    <x v="29"/>
  </r>
  <r>
    <x v="8"/>
    <x v="0"/>
    <x v="36"/>
    <x v="36"/>
    <x v="36"/>
    <x v="36"/>
    <x v="2"/>
    <x v="36"/>
    <x v="3"/>
    <x v="35"/>
    <x v="15"/>
    <x v="0"/>
    <x v="35"/>
    <x v="0"/>
    <x v="27"/>
    <x v="0"/>
    <x v="16"/>
    <x v="0"/>
    <x v="36"/>
    <x v="27"/>
    <x v="35"/>
    <x v="36"/>
    <x v="22"/>
    <x v="29"/>
    <x v="0"/>
    <x v="0"/>
    <x v="0"/>
    <x v="25"/>
    <x v="35"/>
    <x v="35"/>
  </r>
  <r>
    <x v="0"/>
    <x v="0"/>
    <x v="37"/>
    <x v="37"/>
    <x v="37"/>
    <x v="37"/>
    <x v="0"/>
    <x v="37"/>
    <x v="1"/>
    <x v="36"/>
    <x v="15"/>
    <x v="0"/>
    <x v="36"/>
    <x v="0"/>
    <x v="27"/>
    <x v="0"/>
    <x v="16"/>
    <x v="0"/>
    <x v="37"/>
    <x v="27"/>
    <x v="36"/>
    <x v="37"/>
    <x v="25"/>
    <x v="35"/>
    <x v="19"/>
    <x v="22"/>
    <x v="4"/>
    <x v="26"/>
    <x v="36"/>
    <x v="36"/>
  </r>
  <r>
    <x v="4"/>
    <x v="0"/>
    <x v="38"/>
    <x v="38"/>
    <x v="38"/>
    <x v="38"/>
    <x v="2"/>
    <x v="38"/>
    <x v="3"/>
    <x v="37"/>
    <x v="15"/>
    <x v="0"/>
    <x v="37"/>
    <x v="0"/>
    <x v="27"/>
    <x v="0"/>
    <x v="16"/>
    <x v="0"/>
    <x v="38"/>
    <x v="27"/>
    <x v="37"/>
    <x v="38"/>
    <x v="23"/>
    <x v="36"/>
    <x v="0"/>
    <x v="0"/>
    <x v="0"/>
    <x v="23"/>
    <x v="37"/>
    <x v="37"/>
  </r>
  <r>
    <x v="1"/>
    <x v="0"/>
    <x v="39"/>
    <x v="39"/>
    <x v="39"/>
    <x v="39"/>
    <x v="2"/>
    <x v="39"/>
    <x v="3"/>
    <x v="38"/>
    <x v="15"/>
    <x v="0"/>
    <x v="38"/>
    <x v="0"/>
    <x v="28"/>
    <x v="0"/>
    <x v="16"/>
    <x v="0"/>
    <x v="39"/>
    <x v="28"/>
    <x v="38"/>
    <x v="39"/>
    <x v="3"/>
    <x v="37"/>
    <x v="20"/>
    <x v="23"/>
    <x v="8"/>
    <x v="3"/>
    <x v="38"/>
    <x v="38"/>
  </r>
  <r>
    <x v="10"/>
    <x v="0"/>
    <x v="40"/>
    <x v="40"/>
    <x v="40"/>
    <x v="40"/>
    <x v="0"/>
    <x v="40"/>
    <x v="1"/>
    <x v="39"/>
    <x v="19"/>
    <x v="0"/>
    <x v="39"/>
    <x v="0"/>
    <x v="29"/>
    <x v="0"/>
    <x v="19"/>
    <x v="0"/>
    <x v="40"/>
    <x v="29"/>
    <x v="39"/>
    <x v="40"/>
    <x v="3"/>
    <x v="38"/>
    <x v="21"/>
    <x v="24"/>
    <x v="2"/>
    <x v="3"/>
    <x v="39"/>
    <x v="39"/>
  </r>
  <r>
    <x v="9"/>
    <x v="0"/>
    <x v="41"/>
    <x v="41"/>
    <x v="41"/>
    <x v="41"/>
    <x v="2"/>
    <x v="41"/>
    <x v="3"/>
    <x v="40"/>
    <x v="19"/>
    <x v="0"/>
    <x v="40"/>
    <x v="0"/>
    <x v="30"/>
    <x v="0"/>
    <x v="19"/>
    <x v="0"/>
    <x v="41"/>
    <x v="30"/>
    <x v="40"/>
    <x v="41"/>
    <x v="22"/>
    <x v="29"/>
    <x v="0"/>
    <x v="0"/>
    <x v="0"/>
    <x v="22"/>
    <x v="29"/>
    <x v="29"/>
  </r>
  <r>
    <x v="3"/>
    <x v="0"/>
    <x v="42"/>
    <x v="42"/>
    <x v="42"/>
    <x v="42"/>
    <x v="0"/>
    <x v="42"/>
    <x v="1"/>
    <x v="41"/>
    <x v="19"/>
    <x v="0"/>
    <x v="41"/>
    <x v="0"/>
    <x v="30"/>
    <x v="0"/>
    <x v="19"/>
    <x v="0"/>
    <x v="42"/>
    <x v="30"/>
    <x v="41"/>
    <x v="42"/>
    <x v="26"/>
    <x v="39"/>
    <x v="0"/>
    <x v="0"/>
    <x v="0"/>
    <x v="27"/>
    <x v="40"/>
    <x v="40"/>
  </r>
  <r>
    <x v="3"/>
    <x v="0"/>
    <x v="43"/>
    <x v="43"/>
    <x v="43"/>
    <x v="43"/>
    <x v="2"/>
    <x v="43"/>
    <x v="3"/>
    <x v="42"/>
    <x v="19"/>
    <x v="0"/>
    <x v="42"/>
    <x v="0"/>
    <x v="30"/>
    <x v="0"/>
    <x v="19"/>
    <x v="0"/>
    <x v="43"/>
    <x v="30"/>
    <x v="42"/>
    <x v="43"/>
    <x v="3"/>
    <x v="40"/>
    <x v="15"/>
    <x v="25"/>
    <x v="4"/>
    <x v="3"/>
    <x v="41"/>
    <x v="41"/>
  </r>
  <r>
    <x v="4"/>
    <x v="0"/>
    <x v="44"/>
    <x v="44"/>
    <x v="44"/>
    <x v="44"/>
    <x v="2"/>
    <x v="44"/>
    <x v="3"/>
    <x v="43"/>
    <x v="19"/>
    <x v="0"/>
    <x v="43"/>
    <x v="0"/>
    <x v="31"/>
    <x v="0"/>
    <x v="19"/>
    <x v="0"/>
    <x v="44"/>
    <x v="31"/>
    <x v="43"/>
    <x v="44"/>
    <x v="0"/>
    <x v="41"/>
    <x v="0"/>
    <x v="0"/>
    <x v="0"/>
    <x v="0"/>
    <x v="42"/>
    <x v="42"/>
  </r>
  <r>
    <x v="11"/>
    <x v="0"/>
    <x v="45"/>
    <x v="45"/>
    <x v="45"/>
    <x v="45"/>
    <x v="2"/>
    <x v="45"/>
    <x v="3"/>
    <x v="44"/>
    <x v="19"/>
    <x v="0"/>
    <x v="44"/>
    <x v="0"/>
    <x v="31"/>
    <x v="0"/>
    <x v="19"/>
    <x v="0"/>
    <x v="45"/>
    <x v="31"/>
    <x v="44"/>
    <x v="45"/>
    <x v="0"/>
    <x v="42"/>
    <x v="0"/>
    <x v="0"/>
    <x v="0"/>
    <x v="0"/>
    <x v="43"/>
    <x v="43"/>
  </r>
  <r>
    <x v="12"/>
    <x v="0"/>
    <x v="46"/>
    <x v="46"/>
    <x v="46"/>
    <x v="46"/>
    <x v="2"/>
    <x v="46"/>
    <x v="3"/>
    <x v="45"/>
    <x v="20"/>
    <x v="0"/>
    <x v="45"/>
    <x v="0"/>
    <x v="32"/>
    <x v="0"/>
    <x v="20"/>
    <x v="0"/>
    <x v="46"/>
    <x v="32"/>
    <x v="45"/>
    <x v="46"/>
    <x v="3"/>
    <x v="43"/>
    <x v="0"/>
    <x v="0"/>
    <x v="0"/>
    <x v="3"/>
    <x v="44"/>
    <x v="44"/>
  </r>
  <r>
    <x v="13"/>
    <x v="0"/>
    <x v="47"/>
    <x v="47"/>
    <x v="47"/>
    <x v="47"/>
    <x v="2"/>
    <x v="47"/>
    <x v="3"/>
    <x v="46"/>
    <x v="20"/>
    <x v="0"/>
    <x v="46"/>
    <x v="0"/>
    <x v="32"/>
    <x v="0"/>
    <x v="20"/>
    <x v="0"/>
    <x v="47"/>
    <x v="32"/>
    <x v="46"/>
    <x v="36"/>
    <x v="22"/>
    <x v="29"/>
    <x v="0"/>
    <x v="0"/>
    <x v="0"/>
    <x v="25"/>
    <x v="35"/>
    <x v="35"/>
  </r>
  <r>
    <x v="14"/>
    <x v="0"/>
    <x v="48"/>
    <x v="48"/>
    <x v="48"/>
    <x v="48"/>
    <x v="2"/>
    <x v="48"/>
    <x v="3"/>
    <x v="47"/>
    <x v="20"/>
    <x v="0"/>
    <x v="47"/>
    <x v="0"/>
    <x v="33"/>
    <x v="0"/>
    <x v="20"/>
    <x v="0"/>
    <x v="48"/>
    <x v="33"/>
    <x v="47"/>
    <x v="47"/>
    <x v="27"/>
    <x v="44"/>
    <x v="22"/>
    <x v="26"/>
    <x v="4"/>
    <x v="28"/>
    <x v="45"/>
    <x v="45"/>
  </r>
  <r>
    <x v="14"/>
    <x v="0"/>
    <x v="49"/>
    <x v="49"/>
    <x v="49"/>
    <x v="49"/>
    <x v="0"/>
    <x v="32"/>
    <x v="3"/>
    <x v="48"/>
    <x v="20"/>
    <x v="0"/>
    <x v="48"/>
    <x v="0"/>
    <x v="33"/>
    <x v="0"/>
    <x v="20"/>
    <x v="0"/>
    <x v="49"/>
    <x v="33"/>
    <x v="48"/>
    <x v="48"/>
    <x v="22"/>
    <x v="29"/>
    <x v="0"/>
    <x v="0"/>
    <x v="0"/>
    <x v="22"/>
    <x v="29"/>
    <x v="29"/>
  </r>
  <r>
    <x v="9"/>
    <x v="0"/>
    <x v="50"/>
    <x v="50"/>
    <x v="50"/>
    <x v="50"/>
    <x v="2"/>
    <x v="49"/>
    <x v="3"/>
    <x v="49"/>
    <x v="21"/>
    <x v="0"/>
    <x v="49"/>
    <x v="0"/>
    <x v="34"/>
    <x v="0"/>
    <x v="21"/>
    <x v="0"/>
    <x v="50"/>
    <x v="34"/>
    <x v="49"/>
    <x v="49"/>
    <x v="8"/>
    <x v="45"/>
    <x v="0"/>
    <x v="0"/>
    <x v="0"/>
    <x v="8"/>
    <x v="46"/>
    <x v="46"/>
  </r>
  <r>
    <x v="15"/>
    <x v="0"/>
    <x v="51"/>
    <x v="51"/>
    <x v="51"/>
    <x v="51"/>
    <x v="2"/>
    <x v="50"/>
    <x v="3"/>
    <x v="50"/>
    <x v="21"/>
    <x v="0"/>
    <x v="50"/>
    <x v="0"/>
    <x v="35"/>
    <x v="0"/>
    <x v="21"/>
    <x v="0"/>
    <x v="51"/>
    <x v="35"/>
    <x v="50"/>
    <x v="50"/>
    <x v="28"/>
    <x v="46"/>
    <x v="0"/>
    <x v="0"/>
    <x v="0"/>
    <x v="29"/>
    <x v="47"/>
    <x v="47"/>
  </r>
  <r>
    <x v="11"/>
    <x v="0"/>
    <x v="52"/>
    <x v="52"/>
    <x v="52"/>
    <x v="52"/>
    <x v="2"/>
    <x v="15"/>
    <x v="3"/>
    <x v="51"/>
    <x v="21"/>
    <x v="0"/>
    <x v="51"/>
    <x v="0"/>
    <x v="35"/>
    <x v="0"/>
    <x v="21"/>
    <x v="0"/>
    <x v="52"/>
    <x v="35"/>
    <x v="51"/>
    <x v="51"/>
    <x v="8"/>
    <x v="47"/>
    <x v="0"/>
    <x v="0"/>
    <x v="0"/>
    <x v="8"/>
    <x v="48"/>
    <x v="48"/>
  </r>
  <r>
    <x v="7"/>
    <x v="0"/>
    <x v="53"/>
    <x v="53"/>
    <x v="53"/>
    <x v="53"/>
    <x v="2"/>
    <x v="51"/>
    <x v="3"/>
    <x v="52"/>
    <x v="21"/>
    <x v="0"/>
    <x v="52"/>
    <x v="0"/>
    <x v="35"/>
    <x v="0"/>
    <x v="21"/>
    <x v="0"/>
    <x v="53"/>
    <x v="35"/>
    <x v="52"/>
    <x v="36"/>
    <x v="22"/>
    <x v="29"/>
    <x v="0"/>
    <x v="0"/>
    <x v="0"/>
    <x v="25"/>
    <x v="35"/>
    <x v="35"/>
  </r>
  <r>
    <x v="16"/>
    <x v="0"/>
    <x v="54"/>
    <x v="54"/>
    <x v="54"/>
    <x v="54"/>
    <x v="2"/>
    <x v="52"/>
    <x v="3"/>
    <x v="53"/>
    <x v="22"/>
    <x v="0"/>
    <x v="53"/>
    <x v="0"/>
    <x v="36"/>
    <x v="0"/>
    <x v="22"/>
    <x v="0"/>
    <x v="54"/>
    <x v="36"/>
    <x v="53"/>
    <x v="52"/>
    <x v="8"/>
    <x v="48"/>
    <x v="0"/>
    <x v="0"/>
    <x v="0"/>
    <x v="8"/>
    <x v="49"/>
    <x v="49"/>
  </r>
  <r>
    <x v="14"/>
    <x v="0"/>
    <x v="55"/>
    <x v="55"/>
    <x v="55"/>
    <x v="55"/>
    <x v="0"/>
    <x v="53"/>
    <x v="1"/>
    <x v="54"/>
    <x v="20"/>
    <x v="1"/>
    <x v="54"/>
    <x v="0"/>
    <x v="37"/>
    <x v="2"/>
    <x v="20"/>
    <x v="1"/>
    <x v="55"/>
    <x v="37"/>
    <x v="54"/>
    <x v="36"/>
    <x v="22"/>
    <x v="29"/>
    <x v="0"/>
    <x v="0"/>
    <x v="0"/>
    <x v="25"/>
    <x v="35"/>
    <x v="35"/>
  </r>
  <r>
    <x v="12"/>
    <x v="0"/>
    <x v="56"/>
    <x v="56"/>
    <x v="56"/>
    <x v="56"/>
    <x v="2"/>
    <x v="31"/>
    <x v="3"/>
    <x v="15"/>
    <x v="22"/>
    <x v="0"/>
    <x v="55"/>
    <x v="0"/>
    <x v="38"/>
    <x v="0"/>
    <x v="22"/>
    <x v="0"/>
    <x v="56"/>
    <x v="38"/>
    <x v="55"/>
    <x v="53"/>
    <x v="29"/>
    <x v="49"/>
    <x v="23"/>
    <x v="27"/>
    <x v="8"/>
    <x v="30"/>
    <x v="50"/>
    <x v="50"/>
  </r>
  <r>
    <x v="4"/>
    <x v="0"/>
    <x v="57"/>
    <x v="57"/>
    <x v="57"/>
    <x v="57"/>
    <x v="2"/>
    <x v="54"/>
    <x v="3"/>
    <x v="55"/>
    <x v="23"/>
    <x v="0"/>
    <x v="56"/>
    <x v="0"/>
    <x v="39"/>
    <x v="0"/>
    <x v="23"/>
    <x v="0"/>
    <x v="57"/>
    <x v="39"/>
    <x v="56"/>
    <x v="54"/>
    <x v="0"/>
    <x v="50"/>
    <x v="0"/>
    <x v="0"/>
    <x v="0"/>
    <x v="0"/>
    <x v="51"/>
    <x v="51"/>
  </r>
  <r>
    <x v="12"/>
    <x v="0"/>
    <x v="58"/>
    <x v="58"/>
    <x v="58"/>
    <x v="58"/>
    <x v="2"/>
    <x v="55"/>
    <x v="3"/>
    <x v="56"/>
    <x v="24"/>
    <x v="0"/>
    <x v="57"/>
    <x v="0"/>
    <x v="40"/>
    <x v="0"/>
    <x v="24"/>
    <x v="0"/>
    <x v="58"/>
    <x v="40"/>
    <x v="57"/>
    <x v="36"/>
    <x v="22"/>
    <x v="29"/>
    <x v="0"/>
    <x v="0"/>
    <x v="0"/>
    <x v="25"/>
    <x v="35"/>
    <x v="35"/>
  </r>
  <r>
    <x v="17"/>
    <x v="0"/>
    <x v="59"/>
    <x v="59"/>
    <x v="59"/>
    <x v="59"/>
    <x v="0"/>
    <x v="56"/>
    <x v="1"/>
    <x v="57"/>
    <x v="24"/>
    <x v="0"/>
    <x v="58"/>
    <x v="0"/>
    <x v="40"/>
    <x v="0"/>
    <x v="24"/>
    <x v="0"/>
    <x v="59"/>
    <x v="40"/>
    <x v="58"/>
    <x v="55"/>
    <x v="22"/>
    <x v="29"/>
    <x v="0"/>
    <x v="0"/>
    <x v="0"/>
    <x v="22"/>
    <x v="29"/>
    <x v="29"/>
  </r>
  <r>
    <x v="18"/>
    <x v="0"/>
    <x v="60"/>
    <x v="60"/>
    <x v="60"/>
    <x v="60"/>
    <x v="2"/>
    <x v="57"/>
    <x v="3"/>
    <x v="58"/>
    <x v="24"/>
    <x v="0"/>
    <x v="59"/>
    <x v="0"/>
    <x v="40"/>
    <x v="0"/>
    <x v="24"/>
    <x v="0"/>
    <x v="60"/>
    <x v="40"/>
    <x v="59"/>
    <x v="56"/>
    <x v="22"/>
    <x v="29"/>
    <x v="0"/>
    <x v="0"/>
    <x v="0"/>
    <x v="22"/>
    <x v="29"/>
    <x v="29"/>
  </r>
  <r>
    <x v="9"/>
    <x v="0"/>
    <x v="61"/>
    <x v="61"/>
    <x v="61"/>
    <x v="61"/>
    <x v="2"/>
    <x v="58"/>
    <x v="3"/>
    <x v="59"/>
    <x v="24"/>
    <x v="0"/>
    <x v="60"/>
    <x v="0"/>
    <x v="41"/>
    <x v="0"/>
    <x v="24"/>
    <x v="0"/>
    <x v="61"/>
    <x v="41"/>
    <x v="60"/>
    <x v="57"/>
    <x v="22"/>
    <x v="29"/>
    <x v="0"/>
    <x v="0"/>
    <x v="0"/>
    <x v="22"/>
    <x v="29"/>
    <x v="29"/>
  </r>
  <r>
    <x v="7"/>
    <x v="0"/>
    <x v="62"/>
    <x v="62"/>
    <x v="62"/>
    <x v="62"/>
    <x v="2"/>
    <x v="59"/>
    <x v="3"/>
    <x v="60"/>
    <x v="24"/>
    <x v="0"/>
    <x v="61"/>
    <x v="0"/>
    <x v="41"/>
    <x v="0"/>
    <x v="24"/>
    <x v="0"/>
    <x v="62"/>
    <x v="41"/>
    <x v="61"/>
    <x v="58"/>
    <x v="30"/>
    <x v="51"/>
    <x v="0"/>
    <x v="0"/>
    <x v="0"/>
    <x v="31"/>
    <x v="52"/>
    <x v="52"/>
  </r>
  <r>
    <x v="16"/>
    <x v="0"/>
    <x v="63"/>
    <x v="63"/>
    <x v="63"/>
    <x v="63"/>
    <x v="2"/>
    <x v="60"/>
    <x v="3"/>
    <x v="61"/>
    <x v="24"/>
    <x v="0"/>
    <x v="19"/>
    <x v="0"/>
    <x v="41"/>
    <x v="0"/>
    <x v="24"/>
    <x v="0"/>
    <x v="63"/>
    <x v="41"/>
    <x v="19"/>
    <x v="59"/>
    <x v="22"/>
    <x v="29"/>
    <x v="0"/>
    <x v="0"/>
    <x v="0"/>
    <x v="22"/>
    <x v="29"/>
    <x v="29"/>
  </r>
  <r>
    <x v="19"/>
    <x v="0"/>
    <x v="64"/>
    <x v="64"/>
    <x v="64"/>
    <x v="64"/>
    <x v="0"/>
    <x v="61"/>
    <x v="1"/>
    <x v="62"/>
    <x v="25"/>
    <x v="0"/>
    <x v="62"/>
    <x v="0"/>
    <x v="42"/>
    <x v="0"/>
    <x v="25"/>
    <x v="0"/>
    <x v="64"/>
    <x v="42"/>
    <x v="62"/>
    <x v="36"/>
    <x v="22"/>
    <x v="29"/>
    <x v="0"/>
    <x v="0"/>
    <x v="0"/>
    <x v="25"/>
    <x v="35"/>
    <x v="35"/>
  </r>
  <r>
    <x v="11"/>
    <x v="0"/>
    <x v="65"/>
    <x v="65"/>
    <x v="65"/>
    <x v="65"/>
    <x v="2"/>
    <x v="62"/>
    <x v="3"/>
    <x v="63"/>
    <x v="25"/>
    <x v="0"/>
    <x v="63"/>
    <x v="0"/>
    <x v="42"/>
    <x v="0"/>
    <x v="25"/>
    <x v="0"/>
    <x v="65"/>
    <x v="42"/>
    <x v="63"/>
    <x v="60"/>
    <x v="2"/>
    <x v="52"/>
    <x v="0"/>
    <x v="0"/>
    <x v="0"/>
    <x v="2"/>
    <x v="53"/>
    <x v="53"/>
  </r>
  <r>
    <x v="18"/>
    <x v="0"/>
    <x v="66"/>
    <x v="66"/>
    <x v="66"/>
    <x v="24"/>
    <x v="0"/>
    <x v="63"/>
    <x v="3"/>
    <x v="64"/>
    <x v="25"/>
    <x v="0"/>
    <x v="64"/>
    <x v="0"/>
    <x v="43"/>
    <x v="0"/>
    <x v="25"/>
    <x v="0"/>
    <x v="24"/>
    <x v="43"/>
    <x v="64"/>
    <x v="61"/>
    <x v="5"/>
    <x v="53"/>
    <x v="4"/>
    <x v="28"/>
    <x v="4"/>
    <x v="5"/>
    <x v="54"/>
    <x v="54"/>
  </r>
  <r>
    <x v="16"/>
    <x v="0"/>
    <x v="67"/>
    <x v="67"/>
    <x v="67"/>
    <x v="66"/>
    <x v="2"/>
    <x v="64"/>
    <x v="3"/>
    <x v="65"/>
    <x v="25"/>
    <x v="0"/>
    <x v="65"/>
    <x v="0"/>
    <x v="43"/>
    <x v="0"/>
    <x v="25"/>
    <x v="0"/>
    <x v="66"/>
    <x v="43"/>
    <x v="65"/>
    <x v="62"/>
    <x v="22"/>
    <x v="29"/>
    <x v="0"/>
    <x v="0"/>
    <x v="0"/>
    <x v="22"/>
    <x v="29"/>
    <x v="29"/>
  </r>
  <r>
    <x v="11"/>
    <x v="0"/>
    <x v="68"/>
    <x v="68"/>
    <x v="68"/>
    <x v="67"/>
    <x v="2"/>
    <x v="55"/>
    <x v="3"/>
    <x v="66"/>
    <x v="26"/>
    <x v="0"/>
    <x v="66"/>
    <x v="0"/>
    <x v="44"/>
    <x v="0"/>
    <x v="26"/>
    <x v="0"/>
    <x v="67"/>
    <x v="44"/>
    <x v="66"/>
    <x v="63"/>
    <x v="8"/>
    <x v="54"/>
    <x v="0"/>
    <x v="0"/>
    <x v="0"/>
    <x v="8"/>
    <x v="55"/>
    <x v="55"/>
  </r>
  <r>
    <x v="15"/>
    <x v="0"/>
    <x v="69"/>
    <x v="69"/>
    <x v="69"/>
    <x v="68"/>
    <x v="2"/>
    <x v="65"/>
    <x v="3"/>
    <x v="67"/>
    <x v="27"/>
    <x v="0"/>
    <x v="67"/>
    <x v="0"/>
    <x v="45"/>
    <x v="0"/>
    <x v="27"/>
    <x v="0"/>
    <x v="68"/>
    <x v="45"/>
    <x v="67"/>
    <x v="5"/>
    <x v="23"/>
    <x v="55"/>
    <x v="24"/>
    <x v="29"/>
    <x v="4"/>
    <x v="23"/>
    <x v="56"/>
    <x v="56"/>
  </r>
  <r>
    <x v="4"/>
    <x v="0"/>
    <x v="70"/>
    <x v="70"/>
    <x v="70"/>
    <x v="69"/>
    <x v="2"/>
    <x v="66"/>
    <x v="3"/>
    <x v="68"/>
    <x v="27"/>
    <x v="0"/>
    <x v="68"/>
    <x v="0"/>
    <x v="45"/>
    <x v="0"/>
    <x v="27"/>
    <x v="0"/>
    <x v="69"/>
    <x v="45"/>
    <x v="68"/>
    <x v="64"/>
    <x v="9"/>
    <x v="56"/>
    <x v="7"/>
    <x v="30"/>
    <x v="4"/>
    <x v="9"/>
    <x v="57"/>
    <x v="57"/>
  </r>
  <r>
    <x v="7"/>
    <x v="0"/>
    <x v="71"/>
    <x v="71"/>
    <x v="71"/>
    <x v="57"/>
    <x v="2"/>
    <x v="67"/>
    <x v="3"/>
    <x v="69"/>
    <x v="27"/>
    <x v="0"/>
    <x v="69"/>
    <x v="0"/>
    <x v="45"/>
    <x v="0"/>
    <x v="27"/>
    <x v="0"/>
    <x v="57"/>
    <x v="45"/>
    <x v="69"/>
    <x v="65"/>
    <x v="20"/>
    <x v="57"/>
    <x v="0"/>
    <x v="0"/>
    <x v="0"/>
    <x v="20"/>
    <x v="58"/>
    <x v="58"/>
  </r>
  <r>
    <x v="7"/>
    <x v="0"/>
    <x v="72"/>
    <x v="72"/>
    <x v="72"/>
    <x v="70"/>
    <x v="2"/>
    <x v="27"/>
    <x v="3"/>
    <x v="70"/>
    <x v="27"/>
    <x v="0"/>
    <x v="70"/>
    <x v="0"/>
    <x v="45"/>
    <x v="0"/>
    <x v="27"/>
    <x v="0"/>
    <x v="70"/>
    <x v="45"/>
    <x v="70"/>
    <x v="66"/>
    <x v="31"/>
    <x v="58"/>
    <x v="25"/>
    <x v="31"/>
    <x v="7"/>
    <x v="32"/>
    <x v="59"/>
    <x v="59"/>
  </r>
  <r>
    <x v="16"/>
    <x v="0"/>
    <x v="73"/>
    <x v="73"/>
    <x v="73"/>
    <x v="71"/>
    <x v="2"/>
    <x v="68"/>
    <x v="3"/>
    <x v="71"/>
    <x v="27"/>
    <x v="0"/>
    <x v="71"/>
    <x v="0"/>
    <x v="45"/>
    <x v="0"/>
    <x v="27"/>
    <x v="0"/>
    <x v="71"/>
    <x v="45"/>
    <x v="71"/>
    <x v="67"/>
    <x v="22"/>
    <x v="29"/>
    <x v="0"/>
    <x v="0"/>
    <x v="0"/>
    <x v="22"/>
    <x v="29"/>
    <x v="29"/>
  </r>
  <r>
    <x v="13"/>
    <x v="0"/>
    <x v="74"/>
    <x v="74"/>
    <x v="74"/>
    <x v="25"/>
    <x v="2"/>
    <x v="69"/>
    <x v="3"/>
    <x v="72"/>
    <x v="27"/>
    <x v="0"/>
    <x v="58"/>
    <x v="0"/>
    <x v="45"/>
    <x v="0"/>
    <x v="27"/>
    <x v="0"/>
    <x v="25"/>
    <x v="45"/>
    <x v="58"/>
    <x v="68"/>
    <x v="8"/>
    <x v="59"/>
    <x v="0"/>
    <x v="0"/>
    <x v="0"/>
    <x v="8"/>
    <x v="60"/>
    <x v="60"/>
  </r>
  <r>
    <x v="15"/>
    <x v="0"/>
    <x v="75"/>
    <x v="75"/>
    <x v="75"/>
    <x v="65"/>
    <x v="2"/>
    <x v="70"/>
    <x v="3"/>
    <x v="73"/>
    <x v="27"/>
    <x v="0"/>
    <x v="72"/>
    <x v="0"/>
    <x v="46"/>
    <x v="0"/>
    <x v="27"/>
    <x v="0"/>
    <x v="65"/>
    <x v="46"/>
    <x v="72"/>
    <x v="69"/>
    <x v="23"/>
    <x v="60"/>
    <x v="0"/>
    <x v="0"/>
    <x v="0"/>
    <x v="23"/>
    <x v="61"/>
    <x v="61"/>
  </r>
  <r>
    <x v="15"/>
    <x v="0"/>
    <x v="76"/>
    <x v="76"/>
    <x v="76"/>
    <x v="72"/>
    <x v="2"/>
    <x v="71"/>
    <x v="3"/>
    <x v="74"/>
    <x v="28"/>
    <x v="0"/>
    <x v="73"/>
    <x v="0"/>
    <x v="47"/>
    <x v="0"/>
    <x v="28"/>
    <x v="0"/>
    <x v="72"/>
    <x v="47"/>
    <x v="73"/>
    <x v="70"/>
    <x v="2"/>
    <x v="61"/>
    <x v="0"/>
    <x v="0"/>
    <x v="0"/>
    <x v="2"/>
    <x v="62"/>
    <x v="62"/>
  </r>
  <r>
    <x v="13"/>
    <x v="0"/>
    <x v="77"/>
    <x v="77"/>
    <x v="77"/>
    <x v="73"/>
    <x v="2"/>
    <x v="72"/>
    <x v="3"/>
    <x v="75"/>
    <x v="28"/>
    <x v="0"/>
    <x v="74"/>
    <x v="0"/>
    <x v="47"/>
    <x v="0"/>
    <x v="28"/>
    <x v="0"/>
    <x v="73"/>
    <x v="47"/>
    <x v="74"/>
    <x v="71"/>
    <x v="5"/>
    <x v="62"/>
    <x v="4"/>
    <x v="32"/>
    <x v="4"/>
    <x v="5"/>
    <x v="63"/>
    <x v="63"/>
  </r>
  <r>
    <x v="13"/>
    <x v="0"/>
    <x v="78"/>
    <x v="78"/>
    <x v="78"/>
    <x v="74"/>
    <x v="2"/>
    <x v="73"/>
    <x v="3"/>
    <x v="76"/>
    <x v="28"/>
    <x v="0"/>
    <x v="75"/>
    <x v="0"/>
    <x v="47"/>
    <x v="0"/>
    <x v="28"/>
    <x v="0"/>
    <x v="74"/>
    <x v="47"/>
    <x v="75"/>
    <x v="36"/>
    <x v="22"/>
    <x v="29"/>
    <x v="0"/>
    <x v="0"/>
    <x v="0"/>
    <x v="25"/>
    <x v="35"/>
    <x v="35"/>
  </r>
  <r>
    <x v="14"/>
    <x v="0"/>
    <x v="79"/>
    <x v="79"/>
    <x v="79"/>
    <x v="75"/>
    <x v="2"/>
    <x v="74"/>
    <x v="3"/>
    <x v="77"/>
    <x v="29"/>
    <x v="0"/>
    <x v="6"/>
    <x v="0"/>
    <x v="48"/>
    <x v="0"/>
    <x v="29"/>
    <x v="0"/>
    <x v="75"/>
    <x v="48"/>
    <x v="6"/>
    <x v="36"/>
    <x v="22"/>
    <x v="29"/>
    <x v="0"/>
    <x v="0"/>
    <x v="0"/>
    <x v="25"/>
    <x v="35"/>
    <x v="35"/>
  </r>
  <r>
    <x v="13"/>
    <x v="0"/>
    <x v="80"/>
    <x v="80"/>
    <x v="80"/>
    <x v="76"/>
    <x v="2"/>
    <x v="75"/>
    <x v="3"/>
    <x v="78"/>
    <x v="29"/>
    <x v="0"/>
    <x v="76"/>
    <x v="0"/>
    <x v="48"/>
    <x v="0"/>
    <x v="29"/>
    <x v="0"/>
    <x v="76"/>
    <x v="48"/>
    <x v="76"/>
    <x v="72"/>
    <x v="22"/>
    <x v="29"/>
    <x v="0"/>
    <x v="0"/>
    <x v="0"/>
    <x v="22"/>
    <x v="29"/>
    <x v="29"/>
  </r>
  <r>
    <x v="16"/>
    <x v="0"/>
    <x v="81"/>
    <x v="81"/>
    <x v="81"/>
    <x v="77"/>
    <x v="2"/>
    <x v="76"/>
    <x v="3"/>
    <x v="79"/>
    <x v="29"/>
    <x v="0"/>
    <x v="77"/>
    <x v="0"/>
    <x v="48"/>
    <x v="0"/>
    <x v="29"/>
    <x v="0"/>
    <x v="77"/>
    <x v="48"/>
    <x v="77"/>
    <x v="36"/>
    <x v="22"/>
    <x v="29"/>
    <x v="0"/>
    <x v="0"/>
    <x v="0"/>
    <x v="25"/>
    <x v="35"/>
    <x v="35"/>
  </r>
  <r>
    <x v="20"/>
    <x v="1"/>
    <x v="82"/>
    <x v="82"/>
    <x v="82"/>
    <x v="78"/>
    <x v="3"/>
    <x v="77"/>
    <x v="4"/>
    <x v="80"/>
    <x v="30"/>
    <x v="2"/>
    <x v="78"/>
    <x v="0"/>
    <x v="49"/>
    <x v="3"/>
    <x v="30"/>
    <x v="2"/>
    <x v="78"/>
    <x v="49"/>
    <x v="78"/>
    <x v="73"/>
    <x v="32"/>
    <x v="63"/>
    <x v="26"/>
    <x v="33"/>
    <x v="15"/>
    <x v="33"/>
    <x v="64"/>
    <x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" autoFormatId="1" applyNumberFormats="0" applyBorderFormats="0" applyFontFormats="0" applyPatternFormats="0" applyAlignmentFormats="0" applyWidthHeightFormats="1" dataCaption="值" updatedVersion="5" minRefreshableVersion="3" createdVersion="4" indent="0" outline="1" outlineData="1" showDrill="1" multipleFieldFilters="0">
  <location ref="A3:I25" firstHeaderRow="0" firstDataRow="1" firstDataCol="1"/>
  <pivotFields count="33">
    <pivotField axis="axisRow" sortType="descending" showAll="0">
      <items count="116">
        <item m="1" x="99"/>
        <item m="1" x="103"/>
        <item m="1" x="109"/>
        <item m="1" x="74"/>
        <item m="1" x="66"/>
        <item m="1" x="104"/>
        <item x="20"/>
        <item m="1" x="78"/>
        <item m="1" x="95"/>
        <item m="1" x="70"/>
        <item m="1" x="112"/>
        <item m="1" x="89"/>
        <item m="1" x="67"/>
        <item m="1" x="81"/>
        <item m="1" x="88"/>
        <item m="1" x="92"/>
        <item m="1" x="85"/>
        <item m="1" x="93"/>
        <item m="1" x="86"/>
        <item m="1" x="71"/>
        <item m="1" x="94"/>
        <item m="1" x="76"/>
        <item m="1" x="101"/>
        <item m="1" x="102"/>
        <item m="1" x="106"/>
        <item m="1" x="110"/>
        <item m="1" x="113"/>
        <item m="1" x="96"/>
        <item m="1" x="72"/>
        <item m="1" x="108"/>
        <item m="1" x="80"/>
        <item m="1" x="107"/>
        <item m="1" x="73"/>
        <item m="1" x="91"/>
        <item m="1" x="82"/>
        <item m="1" x="105"/>
        <item m="1" x="79"/>
        <item m="1" x="98"/>
        <item m="1" x="97"/>
        <item m="1" x="83"/>
        <item m="1" x="111"/>
        <item m="1" x="90"/>
        <item m="1" x="75"/>
        <item m="1" x="69"/>
        <item m="1" x="68"/>
        <item m="1" x="87"/>
        <item m="1" x="84"/>
        <item m="1" x="77"/>
        <item m="1" x="100"/>
        <item m="1" x="114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>
      <items count="84">
        <item x="23"/>
        <item x="26"/>
        <item x="21"/>
        <item x="19"/>
        <item x="22"/>
        <item x="14"/>
        <item x="75"/>
        <item x="69"/>
        <item x="76"/>
        <item x="32"/>
        <item x="25"/>
        <item x="33"/>
        <item x="36"/>
        <item x="30"/>
        <item x="40"/>
        <item x="50"/>
        <item x="61"/>
        <item x="27"/>
        <item x="58"/>
        <item x="41"/>
        <item x="35"/>
        <item x="29"/>
        <item x="15"/>
        <item x="1"/>
        <item x="66"/>
        <item x="10"/>
        <item x="60"/>
        <item x="2"/>
        <item x="11"/>
        <item x="39"/>
        <item x="42"/>
        <item x="3"/>
        <item x="12"/>
        <item x="43"/>
        <item x="8"/>
        <item x="38"/>
        <item x="44"/>
        <item x="52"/>
        <item x="70"/>
        <item x="53"/>
        <item x="65"/>
        <item x="62"/>
        <item x="68"/>
        <item x="45"/>
        <item x="73"/>
        <item x="63"/>
        <item x="67"/>
        <item x="78"/>
        <item x="80"/>
        <item x="74"/>
        <item x="81"/>
        <item x="82"/>
        <item x="0"/>
        <item x="4"/>
        <item x="5"/>
        <item x="6"/>
        <item x="7"/>
        <item x="9"/>
        <item x="13"/>
        <item x="16"/>
        <item x="17"/>
        <item x="18"/>
        <item x="20"/>
        <item x="24"/>
        <item x="28"/>
        <item x="31"/>
        <item x="34"/>
        <item x="37"/>
        <item x="46"/>
        <item x="47"/>
        <item x="48"/>
        <item x="49"/>
        <item x="51"/>
        <item x="54"/>
        <item x="55"/>
        <item x="56"/>
        <item x="57"/>
        <item x="59"/>
        <item x="64"/>
        <item x="71"/>
        <item x="72"/>
        <item x="77"/>
        <item x="79"/>
        <item t="default"/>
      </items>
    </pivotField>
    <pivotField showAll="0">
      <items count="84">
        <item x="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showAll="0">
      <items count="84">
        <item x="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1" showAll="0">
      <items count="80">
        <item x="0"/>
        <item x="78"/>
        <item x="1"/>
        <item x="2"/>
        <item x="14"/>
        <item x="4"/>
        <item x="17"/>
        <item x="6"/>
        <item x="13"/>
        <item x="9"/>
        <item x="11"/>
        <item x="21"/>
        <item x="22"/>
        <item x="30"/>
        <item x="3"/>
        <item x="32"/>
        <item x="16"/>
        <item x="15"/>
        <item x="18"/>
        <item x="23"/>
        <item x="19"/>
        <item x="35"/>
        <item x="12"/>
        <item x="5"/>
        <item x="7"/>
        <item x="24"/>
        <item x="25"/>
        <item x="27"/>
        <item x="8"/>
        <item x="33"/>
        <item x="26"/>
        <item x="20"/>
        <item x="10"/>
        <item x="31"/>
        <item x="29"/>
        <item x="34"/>
        <item x="28"/>
        <item x="36"/>
        <item x="37"/>
        <item x="39"/>
        <item x="38"/>
        <item x="40"/>
        <item x="41"/>
        <item x="42"/>
        <item x="43"/>
        <item x="44"/>
        <item x="45"/>
        <item x="46"/>
        <item x="55"/>
        <item x="48"/>
        <item x="49"/>
        <item x="47"/>
        <item x="51"/>
        <item x="50"/>
        <item x="52"/>
        <item x="53"/>
        <item x="56"/>
        <item x="54"/>
        <item x="57"/>
        <item x="61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79">
        <item x="76"/>
        <item x="71"/>
        <item x="74"/>
        <item x="58"/>
        <item x="39"/>
        <item x="43"/>
        <item x="57"/>
        <item x="68"/>
        <item x="72"/>
        <item x="47"/>
        <item x="34"/>
        <item x="38"/>
        <item x="75"/>
        <item x="51"/>
        <item x="31"/>
        <item x="50"/>
        <item x="27"/>
        <item x="73"/>
        <item x="69"/>
        <item x="48"/>
        <item x="64"/>
        <item x="44"/>
        <item x="25"/>
        <item x="60"/>
        <item x="52"/>
        <item x="65"/>
        <item x="36"/>
        <item x="55"/>
        <item x="70"/>
        <item x="62"/>
        <item x="66"/>
        <item x="8"/>
        <item x="15"/>
        <item x="46"/>
        <item x="45"/>
        <item x="59"/>
        <item x="67"/>
        <item x="49"/>
        <item x="41"/>
        <item x="13"/>
        <item x="54"/>
        <item x="63"/>
        <item x="32"/>
        <item x="24"/>
        <item x="35"/>
        <item x="33"/>
        <item x="7"/>
        <item x="12"/>
        <item x="37"/>
        <item x="42"/>
        <item x="19"/>
        <item x="30"/>
        <item x="11"/>
        <item x="28"/>
        <item x="56"/>
        <item x="2"/>
        <item x="40"/>
        <item x="29"/>
        <item x="61"/>
        <item x="10"/>
        <item x="53"/>
        <item x="16"/>
        <item x="9"/>
        <item x="18"/>
        <item x="3"/>
        <item x="1"/>
        <item x="20"/>
        <item x="23"/>
        <item x="22"/>
        <item x="21"/>
        <item x="5"/>
        <item x="17"/>
        <item x="14"/>
        <item x="26"/>
        <item x="0"/>
        <item x="6"/>
        <item x="4"/>
        <item x="77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>
      <items count="82">
        <item x="62"/>
        <item x="64"/>
        <item x="49"/>
        <item x="57"/>
        <item x="73"/>
        <item x="72"/>
        <item x="45"/>
        <item x="61"/>
        <item x="28"/>
        <item x="66"/>
        <item x="9"/>
        <item x="69"/>
        <item x="77"/>
        <item x="41"/>
        <item x="31"/>
        <item x="55"/>
        <item x="10"/>
        <item x="54"/>
        <item x="19"/>
        <item x="59"/>
        <item x="21"/>
        <item x="38"/>
        <item x="67"/>
        <item x="48"/>
        <item x="76"/>
        <item x="53"/>
        <item x="51"/>
        <item x="34"/>
        <item x="39"/>
        <item x="11"/>
        <item x="6"/>
        <item x="13"/>
        <item x="1"/>
        <item x="40"/>
        <item x="29"/>
        <item x="30"/>
        <item x="23"/>
        <item x="3"/>
        <item x="74"/>
        <item x="20"/>
        <item x="17"/>
        <item x="46"/>
        <item x="2"/>
        <item x="42"/>
        <item x="37"/>
        <item x="33"/>
        <item x="70"/>
        <item x="12"/>
        <item x="68"/>
        <item x="8"/>
        <item x="35"/>
        <item x="32"/>
        <item x="71"/>
        <item x="0"/>
        <item x="47"/>
        <item x="15"/>
        <item x="24"/>
        <item x="4"/>
        <item x="75"/>
        <item x="50"/>
        <item x="26"/>
        <item x="58"/>
        <item x="78"/>
        <item x="63"/>
        <item x="5"/>
        <item x="65"/>
        <item x="43"/>
        <item x="44"/>
        <item x="56"/>
        <item x="27"/>
        <item x="18"/>
        <item x="7"/>
        <item x="36"/>
        <item x="16"/>
        <item x="25"/>
        <item x="52"/>
        <item x="60"/>
        <item x="14"/>
        <item x="22"/>
        <item x="79"/>
        <item x="80"/>
        <item t="default"/>
      </items>
    </pivotField>
    <pivotField dataField="1" showAll="0">
      <items count="32">
        <item x="29"/>
        <item x="28"/>
        <item x="27"/>
        <item x="24"/>
        <item x="23"/>
        <item x="22"/>
        <item x="20"/>
        <item x="19"/>
        <item x="15"/>
        <item x="16"/>
        <item x="9"/>
        <item x="18"/>
        <item x="7"/>
        <item x="5"/>
        <item x="10"/>
        <item x="14"/>
        <item x="17"/>
        <item x="3"/>
        <item x="8"/>
        <item x="11"/>
        <item x="6"/>
        <item x="4"/>
        <item x="12"/>
        <item x="2"/>
        <item x="30"/>
        <item x="0"/>
        <item x="1"/>
        <item x="13"/>
        <item x="21"/>
        <item x="25"/>
        <item x="26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0">
        <item x="76"/>
        <item x="75"/>
        <item x="69"/>
        <item x="62"/>
        <item x="68"/>
        <item x="72"/>
        <item x="67"/>
        <item x="74"/>
        <item x="58"/>
        <item x="64"/>
        <item x="70"/>
        <item x="66"/>
        <item x="4"/>
        <item x="25"/>
        <item x="63"/>
        <item x="61"/>
        <item x="54"/>
        <item x="56"/>
        <item x="65"/>
        <item x="71"/>
        <item x="57"/>
        <item x="39"/>
        <item x="5"/>
        <item x="19"/>
        <item x="28"/>
        <item x="49"/>
        <item x="10"/>
        <item x="6"/>
        <item x="48"/>
        <item x="27"/>
        <item x="41"/>
        <item x="51"/>
        <item x="45"/>
        <item x="20"/>
        <item x="22"/>
        <item x="40"/>
        <item x="36"/>
        <item x="53"/>
        <item x="21"/>
        <item x="44"/>
        <item x="55"/>
        <item x="17"/>
        <item x="3"/>
        <item x="16"/>
        <item x="14"/>
        <item x="50"/>
        <item x="32"/>
        <item x="77"/>
        <item x="9"/>
        <item x="7"/>
        <item x="52"/>
        <item x="47"/>
        <item x="12"/>
        <item x="59"/>
        <item x="35"/>
        <item x="18"/>
        <item x="23"/>
        <item x="43"/>
        <item x="0"/>
        <item x="34"/>
        <item x="11"/>
        <item x="29"/>
        <item x="8"/>
        <item x="46"/>
        <item x="31"/>
        <item x="15"/>
        <item x="30"/>
        <item x="24"/>
        <item x="37"/>
        <item x="13"/>
        <item x="26"/>
        <item x="73"/>
        <item x="33"/>
        <item x="42"/>
        <item x="2"/>
        <item x="1"/>
        <item x="60"/>
        <item x="38"/>
        <item x="78"/>
        <item t="default"/>
      </items>
    </pivotField>
    <pivotField showAll="0">
      <items count="2">
        <item x="0"/>
        <item t="default"/>
      </items>
    </pivotField>
    <pivotField showAll="0">
      <items count="51"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2"/>
        <item x="26"/>
        <item x="23"/>
        <item x="18"/>
        <item x="9"/>
        <item x="25"/>
        <item x="21"/>
        <item x="7"/>
        <item x="20"/>
        <item x="5"/>
        <item x="11"/>
        <item x="17"/>
        <item x="15"/>
        <item x="14"/>
        <item x="24"/>
        <item x="19"/>
        <item x="3"/>
        <item x="8"/>
        <item x="10"/>
        <item x="12"/>
        <item x="6"/>
        <item x="16"/>
        <item x="4"/>
        <item x="13"/>
        <item x="2"/>
        <item x="1"/>
        <item x="0"/>
        <item x="49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32">
        <item x="29"/>
        <item x="28"/>
        <item x="27"/>
        <item x="26"/>
        <item x="25"/>
        <item x="24"/>
        <item x="23"/>
        <item x="22"/>
        <item x="21"/>
        <item x="20"/>
        <item x="19"/>
        <item x="16"/>
        <item x="17"/>
        <item x="9"/>
        <item x="18"/>
        <item x="7"/>
        <item x="5"/>
        <item x="10"/>
        <item x="14"/>
        <item x="13"/>
        <item x="3"/>
        <item x="15"/>
        <item x="8"/>
        <item x="11"/>
        <item x="6"/>
        <item x="4"/>
        <item x="12"/>
        <item x="2"/>
        <item x="1"/>
        <item x="0"/>
        <item x="3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0">
        <item x="4"/>
        <item x="6"/>
        <item x="0"/>
        <item x="26"/>
        <item x="14"/>
        <item x="17"/>
        <item x="5"/>
        <item x="21"/>
        <item x="22"/>
        <item x="20"/>
        <item x="1"/>
        <item x="23"/>
        <item x="3"/>
        <item x="9"/>
        <item x="64"/>
        <item x="10"/>
        <item x="55"/>
        <item x="16"/>
        <item x="29"/>
        <item x="18"/>
        <item x="40"/>
        <item x="59"/>
        <item x="2"/>
        <item x="11"/>
        <item x="28"/>
        <item x="30"/>
        <item x="12"/>
        <item x="7"/>
        <item x="19"/>
        <item x="42"/>
        <item x="35"/>
        <item x="37"/>
        <item x="33"/>
        <item x="49"/>
        <item x="24"/>
        <item x="41"/>
        <item x="50"/>
        <item x="13"/>
        <item x="57"/>
        <item x="32"/>
        <item x="46"/>
        <item x="62"/>
        <item x="45"/>
        <item x="52"/>
        <item x="15"/>
        <item x="69"/>
        <item x="65"/>
        <item x="67"/>
        <item x="8"/>
        <item x="58"/>
        <item x="36"/>
        <item x="68"/>
        <item x="63"/>
        <item x="54"/>
        <item x="25"/>
        <item x="66"/>
        <item x="44"/>
        <item x="74"/>
        <item x="48"/>
        <item x="51"/>
        <item x="27"/>
        <item x="76"/>
        <item x="70"/>
        <item x="56"/>
        <item x="31"/>
        <item x="53"/>
        <item x="38"/>
        <item x="73"/>
        <item x="47"/>
        <item x="34"/>
        <item x="71"/>
        <item x="60"/>
        <item x="43"/>
        <item x="39"/>
        <item x="61"/>
        <item x="75"/>
        <item x="72"/>
        <item x="77"/>
        <item x="78"/>
        <item t="default"/>
      </items>
    </pivotField>
    <pivotField showAll="0">
      <items count="51">
        <item x="0"/>
        <item x="1"/>
        <item x="2"/>
        <item x="13"/>
        <item x="4"/>
        <item x="16"/>
        <item x="6"/>
        <item x="12"/>
        <item x="10"/>
        <item x="8"/>
        <item x="3"/>
        <item x="19"/>
        <item x="24"/>
        <item x="14"/>
        <item x="15"/>
        <item x="17"/>
        <item x="11"/>
        <item x="5"/>
        <item x="20"/>
        <item x="7"/>
        <item x="21"/>
        <item x="25"/>
        <item x="9"/>
        <item x="18"/>
        <item x="23"/>
        <item x="26"/>
        <item x="22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80">
        <item x="38"/>
        <item x="60"/>
        <item x="1"/>
        <item x="2"/>
        <item x="42"/>
        <item x="33"/>
        <item x="73"/>
        <item x="26"/>
        <item x="13"/>
        <item x="37"/>
        <item x="24"/>
        <item x="30"/>
        <item x="15"/>
        <item x="31"/>
        <item x="46"/>
        <item x="8"/>
        <item x="29"/>
        <item x="11"/>
        <item x="34"/>
        <item x="0"/>
        <item x="43"/>
        <item x="23"/>
        <item x="18"/>
        <item x="35"/>
        <item x="59"/>
        <item x="12"/>
        <item x="47"/>
        <item x="52"/>
        <item x="7"/>
        <item x="9"/>
        <item x="77"/>
        <item x="32"/>
        <item x="50"/>
        <item x="14"/>
        <item x="16"/>
        <item x="3"/>
        <item x="17"/>
        <item x="55"/>
        <item x="44"/>
        <item x="21"/>
        <item x="53"/>
        <item x="36"/>
        <item x="40"/>
        <item x="22"/>
        <item x="20"/>
        <item x="45"/>
        <item x="51"/>
        <item x="41"/>
        <item x="27"/>
        <item x="48"/>
        <item x="6"/>
        <item x="10"/>
        <item x="49"/>
        <item x="28"/>
        <item x="19"/>
        <item x="5"/>
        <item x="39"/>
        <item x="57"/>
        <item x="71"/>
        <item x="65"/>
        <item x="56"/>
        <item x="54"/>
        <item x="61"/>
        <item x="63"/>
        <item x="25"/>
        <item x="4"/>
        <item x="66"/>
        <item x="70"/>
        <item x="64"/>
        <item x="58"/>
        <item x="74"/>
        <item x="67"/>
        <item x="72"/>
        <item x="68"/>
        <item x="62"/>
        <item x="69"/>
        <item x="75"/>
        <item x="76"/>
        <item x="78"/>
        <item t="default"/>
      </items>
    </pivotField>
    <pivotField dataField="1" showAll="0">
      <items count="75">
        <item x="36"/>
        <item x="73"/>
        <item x="0"/>
        <item x="1"/>
        <item x="2"/>
        <item x="14"/>
        <item x="4"/>
        <item x="17"/>
        <item x="6"/>
        <item x="13"/>
        <item x="9"/>
        <item x="11"/>
        <item x="21"/>
        <item x="22"/>
        <item x="30"/>
        <item x="3"/>
        <item x="32"/>
        <item x="16"/>
        <item x="15"/>
        <item x="18"/>
        <item x="23"/>
        <item x="19"/>
        <item x="35"/>
        <item x="12"/>
        <item x="5"/>
        <item x="7"/>
        <item x="24"/>
        <item x="25"/>
        <item x="27"/>
        <item x="8"/>
        <item x="33"/>
        <item x="26"/>
        <item x="20"/>
        <item x="10"/>
        <item x="31"/>
        <item x="29"/>
        <item x="34"/>
        <item x="28"/>
        <item x="37"/>
        <item x="39"/>
        <item x="38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53"/>
        <item x="52"/>
        <item x="54"/>
        <item x="57"/>
        <item x="55"/>
        <item x="56"/>
        <item x="58"/>
        <item x="59"/>
        <item x="61"/>
        <item x="60"/>
        <item x="62"/>
        <item x="63"/>
        <item x="69"/>
        <item x="64"/>
        <item x="65"/>
        <item x="66"/>
        <item x="67"/>
        <item x="68"/>
        <item x="70"/>
        <item x="71"/>
        <item x="72"/>
        <item t="default"/>
      </items>
    </pivotField>
    <pivotField dataField="1" showAll="0">
      <items count="34">
        <item x="22"/>
        <item x="5"/>
        <item x="9"/>
        <item x="3"/>
        <item x="18"/>
        <item x="24"/>
        <item x="26"/>
        <item x="25"/>
        <item x="17"/>
        <item x="11"/>
        <item x="20"/>
        <item x="32"/>
        <item x="0"/>
        <item x="1"/>
        <item x="2"/>
        <item x="10"/>
        <item x="4"/>
        <item x="8"/>
        <item x="6"/>
        <item x="7"/>
        <item x="14"/>
        <item x="15"/>
        <item x="23"/>
        <item x="12"/>
        <item x="16"/>
        <item x="19"/>
        <item x="13"/>
        <item x="21"/>
        <item x="27"/>
        <item x="28"/>
        <item x="29"/>
        <item x="30"/>
        <item x="31"/>
        <item t="default"/>
      </items>
    </pivotField>
    <pivotField showAll="0">
      <items count="65">
        <item x="29"/>
        <item x="30"/>
        <item x="54"/>
        <item x="10"/>
        <item x="42"/>
        <item x="45"/>
        <item x="32"/>
        <item x="17"/>
        <item x="31"/>
        <item x="41"/>
        <item x="46"/>
        <item x="51"/>
        <item x="38"/>
        <item x="56"/>
        <item x="33"/>
        <item x="49"/>
        <item x="27"/>
        <item x="53"/>
        <item x="19"/>
        <item x="12"/>
        <item x="52"/>
        <item x="3"/>
        <item x="13"/>
        <item x="18"/>
        <item x="22"/>
        <item x="50"/>
        <item x="20"/>
        <item x="14"/>
        <item x="23"/>
        <item x="21"/>
        <item x="44"/>
        <item x="61"/>
        <item x="2"/>
        <item x="25"/>
        <item x="24"/>
        <item x="28"/>
        <item x="8"/>
        <item x="6"/>
        <item x="55"/>
        <item x="1"/>
        <item x="7"/>
        <item x="37"/>
        <item x="15"/>
        <item x="62"/>
        <item x="34"/>
        <item x="9"/>
        <item x="43"/>
        <item x="11"/>
        <item x="58"/>
        <item x="0"/>
        <item x="57"/>
        <item x="26"/>
        <item x="5"/>
        <item x="39"/>
        <item x="60"/>
        <item x="59"/>
        <item x="35"/>
        <item x="40"/>
        <item x="4"/>
        <item x="48"/>
        <item x="36"/>
        <item x="16"/>
        <item x="47"/>
        <item x="63"/>
        <item t="default"/>
      </items>
    </pivotField>
    <pivotField showAll="0">
      <items count="28">
        <item x="0"/>
        <item x="12"/>
        <item x="22"/>
        <item x="19"/>
        <item x="11"/>
        <item x="8"/>
        <item x="5"/>
        <item x="17"/>
        <item x="16"/>
        <item x="3"/>
        <item x="14"/>
        <item x="13"/>
        <item x="25"/>
        <item x="9"/>
        <item x="23"/>
        <item x="15"/>
        <item x="7"/>
        <item x="2"/>
        <item x="4"/>
        <item x="21"/>
        <item x="6"/>
        <item x="18"/>
        <item x="20"/>
        <item x="1"/>
        <item x="24"/>
        <item x="10"/>
        <item x="26"/>
        <item t="default"/>
      </items>
    </pivotField>
    <pivotField showAll="0">
      <items count="35">
        <item x="0"/>
        <item x="13"/>
        <item x="26"/>
        <item x="20"/>
        <item x="22"/>
        <item x="12"/>
        <item x="16"/>
        <item x="18"/>
        <item x="8"/>
        <item x="14"/>
        <item x="5"/>
        <item x="19"/>
        <item x="15"/>
        <item x="3"/>
        <item x="10"/>
        <item x="31"/>
        <item x="27"/>
        <item x="30"/>
        <item x="7"/>
        <item x="25"/>
        <item x="9"/>
        <item x="32"/>
        <item x="17"/>
        <item x="24"/>
        <item x="28"/>
        <item x="6"/>
        <item x="4"/>
        <item x="21"/>
        <item x="1"/>
        <item x="2"/>
        <item x="23"/>
        <item x="29"/>
        <item x="11"/>
        <item x="33"/>
        <item t="default"/>
      </items>
    </pivotField>
    <pivotField dataField="1" defaultSubtotal="0" showAll="0">
      <items count="16">
        <item x="0"/>
        <item x="4"/>
        <item x="2"/>
        <item x="8"/>
        <item x="14"/>
        <item x="6"/>
        <item x="7"/>
        <item x="11"/>
        <item x="9"/>
        <item x="3"/>
        <item x="1"/>
        <item x="10"/>
        <item x="13"/>
        <item x="12"/>
        <item x="5"/>
        <item x="15"/>
      </items>
    </pivotField>
    <pivotField showAll="0">
      <items count="35">
        <item x="25"/>
        <item x="6"/>
        <item x="19"/>
        <item x="21"/>
        <item x="15"/>
        <item x="4"/>
        <item x="14"/>
        <item x="12"/>
        <item x="10"/>
        <item x="32"/>
        <item x="16"/>
        <item x="1"/>
        <item x="20"/>
        <item x="7"/>
        <item x="11"/>
        <item x="30"/>
        <item x="17"/>
        <item x="13"/>
        <item x="28"/>
        <item x="29"/>
        <item x="26"/>
        <item x="27"/>
        <item x="31"/>
        <item x="24"/>
        <item x="18"/>
        <item x="3"/>
        <item x="9"/>
        <item x="2"/>
        <item x="5"/>
        <item x="0"/>
        <item x="23"/>
        <item x="8"/>
        <item x="22"/>
        <item x="33"/>
        <item t="default"/>
      </items>
    </pivotField>
    <pivotField showAll="0">
      <items count="66">
        <item x="35"/>
        <item x="48"/>
        <item x="16"/>
        <item x="37"/>
        <item x="49"/>
        <item x="4"/>
        <item x="41"/>
        <item x="36"/>
        <item x="60"/>
        <item x="61"/>
        <item x="40"/>
        <item x="5"/>
        <item x="26"/>
        <item x="58"/>
        <item x="0"/>
        <item x="59"/>
        <item x="11"/>
        <item x="44"/>
        <item x="9"/>
        <item x="34"/>
        <item x="63"/>
        <item x="15"/>
        <item x="38"/>
        <item x="7"/>
        <item x="1"/>
        <item x="56"/>
        <item x="6"/>
        <item x="8"/>
        <item x="28"/>
        <item x="24"/>
        <item x="25"/>
        <item x="2"/>
        <item x="62"/>
        <item x="45"/>
        <item x="21"/>
        <item x="23"/>
        <item x="14"/>
        <item x="20"/>
        <item x="51"/>
        <item x="22"/>
        <item x="18"/>
        <item x="13"/>
        <item x="3"/>
        <item x="53"/>
        <item x="12"/>
        <item x="19"/>
        <item x="54"/>
        <item x="27"/>
        <item x="50"/>
        <item x="33"/>
        <item x="57"/>
        <item x="39"/>
        <item x="52"/>
        <item x="47"/>
        <item x="42"/>
        <item x="31"/>
        <item x="17"/>
        <item x="32"/>
        <item x="46"/>
        <item x="43"/>
        <item x="10"/>
        <item x="55"/>
        <item x="30"/>
        <item x="29"/>
        <item x="64"/>
        <item t="default"/>
      </items>
    </pivotField>
    <pivotField showAll="0">
      <items count="66">
        <item x="35"/>
        <item x="48"/>
        <item x="16"/>
        <item x="37"/>
        <item x="49"/>
        <item x="4"/>
        <item x="41"/>
        <item x="36"/>
        <item x="60"/>
        <item x="61"/>
        <item x="40"/>
        <item x="5"/>
        <item x="26"/>
        <item x="58"/>
        <item x="0"/>
        <item x="59"/>
        <item x="11"/>
        <item x="44"/>
        <item x="9"/>
        <item x="34"/>
        <item x="63"/>
        <item x="15"/>
        <item x="38"/>
        <item x="7"/>
        <item x="1"/>
        <item x="56"/>
        <item x="6"/>
        <item x="8"/>
        <item x="28"/>
        <item x="24"/>
        <item x="25"/>
        <item x="2"/>
        <item x="62"/>
        <item x="45"/>
        <item x="21"/>
        <item x="23"/>
        <item x="14"/>
        <item x="20"/>
        <item x="51"/>
        <item x="22"/>
        <item x="18"/>
        <item x="13"/>
        <item x="3"/>
        <item x="53"/>
        <item x="12"/>
        <item x="19"/>
        <item x="54"/>
        <item x="27"/>
        <item x="50"/>
        <item x="33"/>
        <item x="57"/>
        <item x="39"/>
        <item x="52"/>
        <item x="47"/>
        <item x="42"/>
        <item x="31"/>
        <item x="17"/>
        <item x="32"/>
        <item x="46"/>
        <item x="43"/>
        <item x="10"/>
        <item x="55"/>
        <item x="30"/>
        <item x="29"/>
        <item x="64"/>
        <item t="default"/>
      </items>
    </pivotField>
    <pivotField dataField="1" dragToCol="0" dragToPage="0" dragToRow="0" defaultSubtotal="0" showAll="0"/>
    <pivotField dataField="1" dragToCol="0" dragToPage="0" dragToRow="0" defaultSubtotal="0" showAll="0"/>
    <pivotField dataField="1" dragToCol="0" dragToPage="0" dragToRow="0" showAll="0"/>
  </pivotFields>
  <rowFields count="1">
    <field x="0"/>
  </rowFields>
  <rowItems count="22">
    <i>
      <x v="95"/>
    </i>
    <i>
      <x v="101"/>
    </i>
    <i>
      <x v="100"/>
    </i>
    <i>
      <x v="97"/>
    </i>
    <i>
      <x v="96"/>
    </i>
    <i>
      <x v="98"/>
    </i>
    <i>
      <x v="103"/>
    </i>
    <i>
      <x v="102"/>
    </i>
    <i>
      <x v="106"/>
    </i>
    <i>
      <x v="99"/>
    </i>
    <i>
      <x v="107"/>
    </i>
    <i>
      <x v="109"/>
    </i>
    <i>
      <x v="108"/>
    </i>
    <i>
      <x v="105"/>
    </i>
    <i>
      <x v="104"/>
    </i>
    <i>
      <x v="111"/>
    </i>
    <i>
      <x v="110"/>
    </i>
    <i>
      <x v="114"/>
    </i>
    <i>
      <x v="113"/>
    </i>
    <i>
      <x v="112"/>
    </i>
    <i>
      <x v="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求和项:Sessions" fld="5" baseField="0" baseItem="0"/>
    <dataField name="求和项:Units Ordered" fld="10" baseField="0" baseItem="16"/>
    <dataField name="求和项:转化率" fld="30" baseField="0" baseItem="0" numFmtId="10"/>
    <dataField name="求和项:广告Impressions" fld="21" baseField="0" baseItem="0"/>
    <dataField name="求和项:广告Clicks" fld="22" baseField="0" baseItem="0"/>
    <dataField name="求和项:广告orders" fld="26" baseField="0" baseItem="0"/>
    <dataField name="求和项:CTR" fld="32" baseField="0" baseItem="0"/>
    <dataField name="求和项:CR" fld="31" baseField="0" baseItem="0" numFmtId="10"/>
  </dataFields>
  <formats count="12"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2">
      <pivotArea field="0" type="button" dataOnly="0" labelOnly="1" outline="0" fieldPosition="0"/>
    </format>
    <format dxfId="3">
      <pivotArea dataOnly="0" labelOnly="1" outline="0" fieldPosition="0">
        <references count="1">
          <reference field="4294967294" count="5">
            <x v="0"/>
            <x v="1"/>
            <x v="2"/>
            <x v="4"/>
            <x v="7"/>
          </reference>
        </references>
      </pivotArea>
    </format>
    <format dxfId="4">
      <pivotArea field="0" type="button" dataOnly="0" labelOnly="1" outline="0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4"/>
            <x v="7"/>
          </reference>
        </references>
      </pivotArea>
    </format>
    <format dxfId="6">
      <pivotArea field="0" type="button" dataOnly="0" labelOnly="1" outline="0" fieldPosition="0"/>
    </format>
    <format dxfId="7">
      <pivotArea dataOnly="0" labelOnly="1" outline="0" fieldPosition="0">
        <references count="1">
          <reference field="4294967294" count="5">
            <x v="0"/>
            <x v="1"/>
            <x v="2"/>
            <x v="4"/>
            <x v="7"/>
          </reference>
        </references>
      </pivotArea>
    </format>
    <format dxfId="8">
      <pivotArea dataOnly="0" labelOnly="1" fieldPosition="0">
        <references count="1">
          <reference field="4294967294" count="1">
            <x v="3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0">
      <pivotArea dataOnly="0" labelOnly="1" fieldPosition="0">
        <references count="1">
          <reference field="4294967294" count="1">
            <x v="6"/>
          </reference>
        </references>
      </pivotArea>
    </format>
    <format dxfId="11">
      <pivotArea dataOnly="0" labelOnly="1" fieldPosition="0">
        <references count="1">
          <reference field="4294967294" count="1">
            <x v="5"/>
          </reference>
        </references>
      </pivotArea>
    </format>
  </format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4" indent="0" outline="1" outlineData="1" showDrill="1" multipleFieldFilters="0" rowHeaderCaption="SKU-需筛选">
  <location ref="A1:G6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axis="axisRow" sortType="descending" multipleItemSelectionAllowed="1" showAll="0">
      <items count="8001">
        <item x="3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9"/>
        <item m="1" x="161"/>
        <item m="1" x="163"/>
        <item m="1" x="164"/>
        <item m="1" x="165"/>
        <item m="1" x="166"/>
        <item m="1" x="167"/>
        <item m="1" x="168"/>
        <item m="1" x="173"/>
        <item m="1" x="174"/>
        <item m="1" x="175"/>
        <item m="1" x="176"/>
        <item m="1" x="177"/>
        <item m="1" x="178"/>
        <item m="1" x="179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70"/>
        <item m="1" x="271"/>
        <item m="1" x="274"/>
        <item m="1" x="275"/>
        <item m="1" x="276"/>
        <item m="1" x="277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40"/>
        <item m="1" x="341"/>
        <item m="1" x="342"/>
        <item m="1" x="343"/>
        <item m="1" x="344"/>
        <item m="1" x="345"/>
        <item m="1" x="346"/>
        <item m="1" x="347"/>
        <item m="1" x="363"/>
        <item m="1" x="364"/>
        <item m="1" x="365"/>
        <item m="1" x="366"/>
        <item m="1" x="367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50"/>
        <item m="1" x="451"/>
        <item m="1" x="452"/>
        <item m="1" x="453"/>
        <item m="1" x="454"/>
        <item m="1" x="455"/>
        <item m="1" x="456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358"/>
        <item m="1" x="349"/>
        <item m="1" x="357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360"/>
        <item m="1" x="351"/>
        <item m="1" x="623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15"/>
        <item m="1" x="716"/>
        <item m="1" x="717"/>
        <item m="1" x="718"/>
        <item m="1" x="725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26"/>
        <item m="1" x="748"/>
        <item m="1" x="749"/>
        <item m="1" x="750"/>
        <item m="1" x="751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82"/>
        <item m="1" x="783"/>
        <item m="1" x="784"/>
        <item m="1" x="798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52"/>
        <item m="1" x="953"/>
        <item m="1" x="954"/>
        <item m="1" x="955"/>
        <item m="1" x="956"/>
        <item m="1" x="957"/>
        <item m="1" x="958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2"/>
        <item m="1" x="1233"/>
        <item m="1" x="1234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342"/>
        <item m="1" x="1343"/>
        <item m="1" x="1344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5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75"/>
        <item m="1" x="1776"/>
        <item m="1" x="1777"/>
        <item m="1" x="1778"/>
        <item m="1" x="1071"/>
        <item m="1" x="1779"/>
        <item m="1" x="1780"/>
        <item m="1" x="1073"/>
        <item m="1" x="1781"/>
        <item m="1" x="1782"/>
        <item m="1" x="1783"/>
        <item m="1" x="1784"/>
        <item m="1" x="1785"/>
        <item m="1" x="1786"/>
        <item m="1" x="1787"/>
        <item m="1" x="1841"/>
        <item m="1" x="1842"/>
        <item m="1" x="1843"/>
        <item m="1" x="1844"/>
        <item m="1" x="1845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101"/>
        <item m="1" x="2098"/>
        <item m="1" x="2102"/>
        <item m="1" x="2103"/>
        <item m="1" x="2109"/>
        <item m="1" x="2110"/>
        <item m="1" x="2111"/>
        <item m="1" x="2112"/>
        <item m="1" x="2113"/>
        <item m="1" x="2114"/>
        <item m="1" x="2115"/>
        <item m="1" x="2116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10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8"/>
        <item m="1" x="2319"/>
        <item m="1" x="2320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7"/>
        <item m="1" x="2340"/>
        <item m="1" x="2341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8"/>
        <item m="1" x="2359"/>
        <item m="1" x="2360"/>
        <item m="1" x="2361"/>
        <item m="1" x="2364"/>
        <item m="1" x="2365"/>
        <item m="1" x="2367"/>
        <item m="1" x="2371"/>
        <item m="1" x="2373"/>
        <item m="1" x="2374"/>
        <item m="1" x="2378"/>
        <item m="1" x="2379"/>
        <item m="1" x="2380"/>
        <item m="1" x="2381"/>
        <item m="1" x="2382"/>
        <item m="1" x="2383"/>
        <item m="1" x="2384"/>
        <item m="1" x="2385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37"/>
        <item m="1" x="2438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702"/>
        <item m="1" x="2703"/>
        <item m="1" x="2704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6"/>
        <item m="1" x="2847"/>
        <item m="1" x="2848"/>
        <item m="1" x="2849"/>
        <item m="1" x="2850"/>
        <item m="1" x="2851"/>
        <item m="1" x="2852"/>
        <item m="1" x="2853"/>
        <item m="1" x="2845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8"/>
        <item m="1" x="2869"/>
        <item m="1" x="2870"/>
        <item m="1" x="2871"/>
        <item m="1" x="2872"/>
        <item m="1" x="2873"/>
        <item m="1" x="2874"/>
        <item m="1" x="2875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67"/>
        <item m="1" x="2866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9"/>
        <item m="1" x="3020"/>
        <item m="1" x="3021"/>
        <item m="1" x="3022"/>
        <item m="1" x="3024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33"/>
        <item m="1" x="3334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12"/>
        <item m="1" x="3413"/>
        <item m="1" x="3414"/>
        <item m="1" x="3411"/>
        <item m="1" x="3415"/>
        <item m="1" x="3416"/>
        <item m="1" x="3417"/>
        <item m="1" x="3493"/>
        <item m="1" x="3494"/>
        <item m="1" x="3495"/>
        <item m="1" x="3496"/>
        <item m="1" x="3497"/>
        <item m="1" x="3498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4"/>
        <item m="1" x="3615"/>
        <item m="1" x="3616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50"/>
        <item m="1" x="3651"/>
        <item m="1" x="3652"/>
        <item m="1" x="3653"/>
        <item m="1" x="3654"/>
        <item m="1" x="3655"/>
        <item m="1" x="3658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1"/>
        <item m="1" x="3702"/>
        <item m="1" x="370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41"/>
        <item m="1" x="4042"/>
        <item m="1" x="4043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3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21"/>
        <item m="1" x="4222"/>
        <item m="1" x="4223"/>
        <item m="1" x="4224"/>
        <item m="1" x="4226"/>
        <item m="1" x="4227"/>
        <item m="1" x="4228"/>
        <item m="1" x="4229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2"/>
        <item m="1" x="4263"/>
        <item m="1" x="4264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2214"/>
        <item m="1" x="4292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9"/>
        <item m="1" x="4320"/>
        <item m="1" x="4321"/>
        <item m="1" x="4322"/>
        <item m="1" x="4323"/>
        <item m="1" x="4326"/>
        <item m="1" x="4327"/>
        <item m="1" x="4328"/>
        <item m="1" x="2212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52"/>
        <item m="1" x="4353"/>
        <item m="1" x="4354"/>
        <item m="1" x="4355"/>
        <item m="1" x="4356"/>
        <item m="1" x="4357"/>
        <item m="1" x="4358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45"/>
        <item m="1" x="4454"/>
        <item m="1" x="4455"/>
        <item m="1" x="4456"/>
        <item m="1" x="4457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72"/>
        <item m="1" x="4573"/>
        <item m="1" x="4574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30"/>
        <item m="1" x="4631"/>
        <item m="1" x="4647"/>
        <item m="1" x="4648"/>
        <item m="1" x="4649"/>
        <item m="1" x="4650"/>
        <item m="1" x="4651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25"/>
        <item m="1" x="4726"/>
        <item m="1" x="4727"/>
        <item m="1" x="4728"/>
        <item m="1" x="4729"/>
        <item m="1" x="4730"/>
        <item m="1" x="4731"/>
        <item m="1" x="4733"/>
        <item m="1" x="4734"/>
        <item m="1" x="4735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3"/>
        <item m="1" x="4751"/>
        <item m="1" x="4754"/>
        <item m="1" x="4755"/>
        <item m="1" x="4769"/>
        <item m="1" x="4770"/>
        <item m="1" x="4771"/>
        <item m="1" x="4772"/>
        <item m="1" x="4773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8"/>
        <item m="1" x="4799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60"/>
        <item m="1" x="4861"/>
        <item m="1" x="4862"/>
        <item m="1" x="4864"/>
        <item m="1" x="4865"/>
        <item m="1" x="4866"/>
        <item m="1" x="4909"/>
        <item m="1" x="4910"/>
        <item m="1" x="4938"/>
        <item m="1" x="4939"/>
        <item m="1" x="4940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3"/>
        <item m="1" x="5074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6"/>
        <item m="1" x="5165"/>
        <item m="1" x="5168"/>
        <item m="1" x="5169"/>
        <item m="1" x="5170"/>
        <item m="1" x="5171"/>
        <item m="1" x="5172"/>
        <item m="1" x="5174"/>
        <item m="1" x="5175"/>
        <item m="1" x="5173"/>
        <item m="1" x="5176"/>
        <item m="1" x="5177"/>
        <item m="1" x="5178"/>
        <item m="1" x="5179"/>
        <item m="1" x="5167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5"/>
        <item m="1" x="5256"/>
        <item m="1" x="5257"/>
        <item m="1" x="5258"/>
        <item m="1" x="5260"/>
        <item m="1" x="5261"/>
        <item m="1" x="5262"/>
        <item m="1" x="5263"/>
        <item m="1" x="5264"/>
        <item m="1" x="5265"/>
        <item m="1" x="5266"/>
        <item m="1" x="5267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82"/>
        <item m="1" x="5483"/>
        <item m="1" x="5484"/>
        <item m="1" x="2100"/>
        <item m="1" x="2099"/>
        <item m="1" x="2048"/>
        <item m="1" x="5490"/>
        <item m="1" x="549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268"/>
        <item m="1" x="5327"/>
        <item m="1" x="5259"/>
        <item m="1" x="5254"/>
        <item m="1" x="5328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6"/>
        <item m="1" x="5627"/>
        <item m="1" x="5628"/>
        <item m="1" x="5629"/>
        <item m="1" x="5630"/>
        <item m="1" x="5631"/>
        <item m="1" x="5632"/>
        <item m="1" x="5633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21"/>
        <item m="1" x="5722"/>
        <item m="1" x="5723"/>
        <item m="1" x="5724"/>
        <item m="1" x="5725"/>
        <item m="1" x="5726"/>
        <item m="1" x="5728"/>
        <item m="1" x="5729"/>
        <item m="1" x="5730"/>
        <item m="1" x="5731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5"/>
        <item m="1" x="5746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6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28"/>
        <item m="1" x="5829"/>
        <item m="1" x="5830"/>
        <item m="1" x="5727"/>
        <item m="1" x="5831"/>
        <item m="1" x="5832"/>
        <item m="1" x="5835"/>
        <item m="1" x="5836"/>
        <item m="1" x="5837"/>
        <item m="1" x="5838"/>
        <item m="1" x="5839"/>
        <item m="1" x="5840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19"/>
        <item m="1" x="6120"/>
        <item m="1" x="6121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9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1"/>
        <item m="1" x="6160"/>
        <item m="1" x="6162"/>
        <item m="1" x="6163"/>
        <item m="1" x="6164"/>
        <item m="1" x="6165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8"/>
        <item m="1" x="6220"/>
        <item m="1" x="6221"/>
        <item m="1" x="6222"/>
        <item m="1" x="6223"/>
        <item m="1" x="6225"/>
        <item m="1" x="6226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86"/>
        <item m="1" x="6598"/>
        <item m="1" x="6599"/>
        <item m="1" x="6600"/>
        <item m="1" x="6601"/>
        <item m="1" x="6602"/>
        <item m="1" x="6603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73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45"/>
        <item m="1" x="6846"/>
        <item m="1" x="6847"/>
        <item m="1" x="6848"/>
        <item m="1" x="6849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3"/>
        <item m="1" x="6874"/>
        <item m="1" x="6875"/>
        <item m="1" x="6876"/>
        <item m="1" x="6877"/>
        <item m="1" x="6878"/>
        <item m="1" x="6879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6"/>
        <item m="1" x="6957"/>
        <item m="1" x="6958"/>
        <item m="1" x="6959"/>
        <item m="1" x="6960"/>
        <item m="1" x="6955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5"/>
        <item m="1" x="7096"/>
        <item m="1" x="7101"/>
        <item m="1" x="710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36"/>
        <item m="1" x="7249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3246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6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4"/>
        <item m="1" x="7575"/>
        <item m="1" x="7576"/>
        <item m="1" x="7577"/>
        <item m="1" x="7578"/>
        <item m="1" x="7579"/>
        <item m="1" x="7580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22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4318"/>
        <item m="1" x="4325"/>
        <item m="1" x="7736"/>
        <item m="1" x="4324"/>
        <item m="1" x="7737"/>
        <item m="1" x="7738"/>
        <item m="1" x="7739"/>
        <item m="1" x="7740"/>
        <item m="1" x="7741"/>
        <item m="1" x="7742"/>
        <item m="1" x="7743"/>
        <item m="1" x="7745"/>
        <item m="1" x="7746"/>
        <item m="1" x="7753"/>
        <item m="1" x="7754"/>
        <item m="1" x="7755"/>
        <item m="1" x="7756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4"/>
        <item m="1" x="7785"/>
        <item m="1" x="7787"/>
        <item m="1" x="7786"/>
        <item m="1" x="7788"/>
        <item m="1" x="7783"/>
        <item m="1" x="7789"/>
        <item m="1" x="7790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14"/>
        <item m="1" x="7915"/>
        <item m="1" x="7916"/>
        <item m="1" x="7917"/>
        <item m="1" x="7918"/>
        <item m="1" x="7919"/>
        <item m="1" x="7920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78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4752"/>
        <item m="1" x="1947"/>
        <item m="1" x="1942"/>
        <item m="1" x="1944"/>
        <item m="1" x="1946"/>
        <item m="1" x="1948"/>
        <item m="1" x="6370"/>
        <item m="1" x="6374"/>
        <item m="1" x="6405"/>
        <item m="1" x="6407"/>
        <item m="1" x="6380"/>
        <item m="1" x="2605"/>
        <item m="1" x="3006"/>
        <item m="1" x="3023"/>
        <item m="1" x="3005"/>
        <item m="1" x="3025"/>
        <item m="1" x="3018"/>
        <item m="1" x="93"/>
        <item m="1" x="158"/>
        <item m="1" x="160"/>
        <item m="1" x="162"/>
        <item m="1" x="169"/>
        <item m="1" x="170"/>
        <item m="1" x="171"/>
        <item m="1" x="172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228"/>
        <item m="1" x="229"/>
        <item m="1" x="230"/>
        <item m="1" x="231"/>
        <item m="1" x="232"/>
        <item m="1" x="269"/>
        <item m="1" x="272"/>
        <item m="1" x="273"/>
        <item m="1" x="278"/>
        <item m="1" x="280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37"/>
        <item m="1" x="338"/>
        <item m="1" x="339"/>
        <item m="1" x="348"/>
        <item m="1" x="350"/>
        <item m="1" x="352"/>
        <item m="1" x="353"/>
        <item m="1" x="354"/>
        <item m="1" x="355"/>
        <item m="1" x="356"/>
        <item m="1" x="359"/>
        <item m="1" x="361"/>
        <item m="1" x="362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70"/>
        <item m="1" x="571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624"/>
        <item m="1" x="625"/>
        <item m="1" x="626"/>
        <item m="1" x="627"/>
        <item m="1" x="628"/>
        <item m="1" x="629"/>
        <item m="1" x="630"/>
        <item m="1" x="631"/>
        <item m="1" x="648"/>
        <item m="1" x="649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708"/>
        <item m="1" x="709"/>
        <item m="1" x="710"/>
        <item m="1" x="711"/>
        <item m="1" x="712"/>
        <item m="1" x="713"/>
        <item m="1" x="714"/>
        <item m="1" x="719"/>
        <item m="1" x="720"/>
        <item m="1" x="721"/>
        <item m="1" x="722"/>
        <item m="1" x="723"/>
        <item m="1" x="724"/>
        <item m="1" x="752"/>
        <item m="1" x="753"/>
        <item m="1" x="754"/>
        <item m="1" x="755"/>
        <item m="1" x="756"/>
        <item m="1" x="757"/>
        <item m="1" x="777"/>
        <item m="1" x="778"/>
        <item m="1" x="779"/>
        <item m="1" x="780"/>
        <item m="1" x="781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9"/>
        <item m="1" x="960"/>
        <item m="1" x="961"/>
        <item m="1" x="962"/>
        <item m="1" x="963"/>
        <item m="1" x="1024"/>
        <item m="1" x="1025"/>
        <item m="1" x="1072"/>
        <item m="1" x="1083"/>
        <item m="1" x="1084"/>
        <item m="1" x="1085"/>
        <item m="1" x="1086"/>
        <item m="1" x="1087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201"/>
        <item m="1" x="1202"/>
        <item m="1" x="1231"/>
        <item m="1" x="1235"/>
        <item m="1" x="1236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5"/>
        <item m="1" x="1346"/>
        <item m="1" x="1347"/>
        <item m="1" x="1348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684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32"/>
        <item m="1" x="1733"/>
        <item m="1" x="1734"/>
        <item m="1" x="1736"/>
        <item m="1" x="1737"/>
        <item m="1" x="1738"/>
        <item m="1" x="1739"/>
        <item m="1" x="174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6"/>
        <item m="1" x="1847"/>
        <item m="1" x="1876"/>
        <item m="1" x="1877"/>
        <item m="1" x="1878"/>
        <item m="1" x="1940"/>
        <item m="1" x="1941"/>
        <item m="1" x="1943"/>
        <item m="1" x="1945"/>
        <item m="1" x="2104"/>
        <item m="1" x="2105"/>
        <item m="1" x="2106"/>
        <item m="1" x="2107"/>
        <item m="1" x="2108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1"/>
        <item m="1" x="2213"/>
        <item m="1" x="2287"/>
        <item m="1" x="2317"/>
        <item m="1" x="2321"/>
        <item m="1" x="2335"/>
        <item m="1" x="2336"/>
        <item m="1" x="2338"/>
        <item m="1" x="2339"/>
        <item m="1" x="2342"/>
        <item m="1" x="2357"/>
        <item m="1" x="2362"/>
        <item m="1" x="2363"/>
        <item m="1" x="2366"/>
        <item m="1" x="2368"/>
        <item m="1" x="2369"/>
        <item m="1" x="2370"/>
        <item m="1" x="2372"/>
        <item m="1" x="2375"/>
        <item m="1" x="2376"/>
        <item m="1" x="2377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91"/>
        <item m="1" x="2492"/>
        <item m="1" x="2493"/>
        <item m="1" x="2494"/>
        <item m="1" x="2495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5"/>
        <item m="1" x="2833"/>
        <item m="1" x="2876"/>
        <item m="1" x="2917"/>
        <item m="1" x="2918"/>
        <item m="1" x="2919"/>
        <item m="1" x="2920"/>
        <item m="1" x="2921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3053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45"/>
        <item m="1" x="3247"/>
        <item m="1" x="3287"/>
        <item m="1" x="3288"/>
        <item m="1" x="3289"/>
        <item m="1" x="3327"/>
        <item m="1" x="3328"/>
        <item m="1" x="3329"/>
        <item m="1" x="3330"/>
        <item m="1" x="3331"/>
        <item m="1" x="3332"/>
        <item m="1" x="3335"/>
        <item m="1" x="3336"/>
        <item m="1" x="3337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405"/>
        <item m="1" x="3406"/>
        <item m="1" x="3407"/>
        <item m="1" x="3408"/>
        <item m="1" x="3409"/>
        <item m="1" x="3410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86"/>
        <item m="1" x="3587"/>
        <item m="1" x="3588"/>
        <item m="1" x="3589"/>
        <item m="1" x="3590"/>
        <item m="1" x="3591"/>
        <item m="1" x="3592"/>
        <item m="1" x="3593"/>
        <item m="1" x="3613"/>
        <item m="1" x="3617"/>
        <item m="1" x="3633"/>
        <item m="1" x="3634"/>
        <item m="1" x="3635"/>
        <item m="1" x="3636"/>
        <item m="1" x="3637"/>
        <item m="1" x="3638"/>
        <item m="1" x="3639"/>
        <item m="1" x="3649"/>
        <item m="1" x="3656"/>
        <item m="1" x="3657"/>
        <item m="1" x="3659"/>
        <item m="1" x="3660"/>
        <item m="1" x="3700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114"/>
        <item m="1" x="4115"/>
        <item m="1" x="4116"/>
        <item m="1" x="4117"/>
        <item m="1" x="4118"/>
        <item m="1" x="4119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82"/>
        <item m="1" x="4184"/>
        <item m="1" x="4185"/>
        <item m="1" x="4186"/>
        <item m="1" x="4187"/>
        <item m="1" x="4188"/>
        <item m="1" x="4218"/>
        <item m="1" x="4219"/>
        <item m="1" x="4220"/>
        <item m="1" x="4225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60"/>
        <item m="1" x="4261"/>
        <item m="1" x="4265"/>
        <item m="1" x="4266"/>
        <item m="1" x="4267"/>
        <item m="1" x="4293"/>
        <item m="1" x="4294"/>
        <item m="1" x="4295"/>
        <item m="1" x="4296"/>
        <item m="1" x="4329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39"/>
        <item m="1" x="4440"/>
        <item m="1" x="4441"/>
        <item m="1" x="4442"/>
        <item m="1" x="4443"/>
        <item m="1" x="4444"/>
        <item m="1" x="4446"/>
        <item m="1" x="4447"/>
        <item m="1" x="4448"/>
        <item m="1" x="4449"/>
        <item m="1" x="4450"/>
        <item m="1" x="4451"/>
        <item m="1" x="4452"/>
        <item m="1" x="4453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46"/>
        <item m="1" x="4547"/>
        <item m="1" x="4564"/>
        <item m="1" x="4565"/>
        <item m="1" x="4566"/>
        <item m="1" x="4567"/>
        <item m="1" x="4568"/>
        <item m="1" x="4569"/>
        <item m="1" x="4570"/>
        <item m="1" x="4571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627"/>
        <item m="1" x="4628"/>
        <item m="1" x="4629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32"/>
        <item m="1" x="4736"/>
        <item m="1" x="4737"/>
        <item m="1" x="4738"/>
        <item m="1" x="4739"/>
        <item m="1" x="4740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74"/>
        <item m="1" x="4797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3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41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72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111"/>
        <item m="1" x="5112"/>
        <item m="1" x="5113"/>
        <item m="1" x="5114"/>
        <item m="1" x="5115"/>
        <item m="1" x="5116"/>
        <item m="1" x="5117"/>
        <item m="1" x="5146"/>
        <item m="1" x="5419"/>
        <item m="1" x="5420"/>
        <item m="1" x="5451"/>
        <item m="1" x="5452"/>
        <item m="1" x="5479"/>
        <item m="1" x="5480"/>
        <item m="1" x="5481"/>
        <item m="1" x="5485"/>
        <item m="1" x="5486"/>
        <item m="1" x="5487"/>
        <item m="1" x="5488"/>
        <item m="1" x="5489"/>
        <item m="1" x="5491"/>
        <item m="1" x="5492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625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77"/>
        <item m="1" x="5678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32"/>
        <item m="1" x="5733"/>
        <item m="1" x="5744"/>
        <item m="1" x="5747"/>
        <item m="1" x="5785"/>
        <item m="1" x="5787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33"/>
        <item m="1" x="5834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22"/>
        <item m="1" x="6123"/>
        <item m="1" x="6124"/>
        <item m="1" x="6125"/>
        <item m="1" x="6126"/>
        <item m="1" x="6127"/>
        <item m="1" x="6128"/>
        <item m="1" x="6146"/>
        <item m="1" x="6147"/>
        <item m="1" x="6148"/>
        <item m="1" x="6150"/>
        <item m="1" x="6166"/>
        <item m="1" x="6181"/>
        <item m="1" x="6217"/>
        <item m="1" x="6219"/>
        <item m="1" x="6224"/>
        <item m="1" x="6227"/>
        <item m="1" x="6255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318"/>
        <item m="1" x="6339"/>
        <item m="1" x="6363"/>
        <item m="1" x="6364"/>
        <item m="1" x="6365"/>
        <item m="1" x="6366"/>
        <item m="1" x="6367"/>
        <item m="1" x="6368"/>
        <item m="1" x="6369"/>
        <item m="1" x="6371"/>
        <item m="1" x="6372"/>
        <item m="1" x="6373"/>
        <item m="1" x="6375"/>
        <item m="1" x="6376"/>
        <item m="1" x="6377"/>
        <item m="1" x="6378"/>
        <item m="1" x="6379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6"/>
        <item m="1" x="6408"/>
        <item m="1" x="6409"/>
        <item m="1" x="6410"/>
        <item m="1" x="6411"/>
        <item m="1" x="6412"/>
        <item m="1" x="6413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604"/>
        <item m="1" x="6605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704"/>
        <item m="1" x="6705"/>
        <item m="1" x="6706"/>
        <item m="1" x="6707"/>
        <item m="1" x="6708"/>
        <item m="1" x="670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37"/>
        <item m="1" x="6838"/>
        <item m="1" x="6839"/>
        <item m="1" x="6840"/>
        <item m="1" x="6841"/>
        <item m="1" x="6842"/>
        <item m="1" x="6843"/>
        <item m="1" x="6844"/>
        <item m="1" x="6850"/>
        <item m="1" x="6851"/>
        <item m="1" x="6852"/>
        <item m="1" x="6853"/>
        <item m="1" x="6870"/>
        <item m="1" x="6871"/>
        <item m="1" x="6872"/>
        <item m="1" x="6880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7000"/>
        <item m="1" x="7001"/>
        <item m="1" x="7002"/>
        <item m="1" x="7003"/>
        <item m="1" x="7004"/>
        <item m="1" x="7005"/>
        <item m="1" x="7006"/>
        <item m="1" x="7007"/>
        <item m="1" x="7094"/>
        <item m="1" x="7097"/>
        <item m="1" x="7098"/>
        <item m="1" x="7099"/>
        <item m="1" x="7100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73"/>
        <item m="1" x="7174"/>
        <item m="1" x="7175"/>
        <item m="1" x="7176"/>
        <item m="1" x="7177"/>
        <item m="1" x="7178"/>
        <item m="1" x="7179"/>
        <item m="1" x="7180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50"/>
        <item m="1" x="7251"/>
        <item m="1" x="7252"/>
        <item m="1" x="7253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335"/>
        <item m="1" x="7337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435"/>
        <item m="1" x="7436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73"/>
        <item m="1" x="7581"/>
        <item m="1" x="7582"/>
        <item m="1" x="7594"/>
        <item m="1" x="7630"/>
        <item m="1" x="7642"/>
        <item m="1" x="7690"/>
        <item m="1" x="7715"/>
        <item m="1" x="7716"/>
        <item m="1" x="7717"/>
        <item m="1" x="7718"/>
        <item m="1" x="7719"/>
        <item m="1" x="7720"/>
        <item m="1" x="7721"/>
        <item m="1" x="7723"/>
        <item m="1" x="7724"/>
        <item m="1" x="7744"/>
        <item m="1" x="7747"/>
        <item m="1" x="7748"/>
        <item m="1" x="7749"/>
        <item m="1" x="7750"/>
        <item m="1" x="7751"/>
        <item m="1" x="7752"/>
        <item m="1" x="7757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21"/>
        <item m="1" x="7922"/>
        <item m="1" x="7923"/>
        <item m="1" x="7924"/>
        <item m="1" x="7925"/>
        <item m="1" x="7926"/>
        <item m="1" x="7949"/>
        <item m="1" x="7950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97">
        <item x="13"/>
        <item x="94"/>
        <item x="2"/>
        <item x="44"/>
        <item x="43"/>
        <item x="56"/>
        <item x="81"/>
        <item x="95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dataField="1" showAll="0">
      <items count="35">
        <item x="2"/>
        <item x="22"/>
        <item x="25"/>
        <item x="24"/>
        <item x="1"/>
        <item x="10"/>
        <item x="23"/>
        <item x="31"/>
        <item x="16"/>
        <item x="9"/>
        <item x="13"/>
        <item x="0"/>
        <item x="32"/>
        <item x="27"/>
        <item x="14"/>
        <item x="12"/>
        <item x="21"/>
        <item x="15"/>
        <item x="3"/>
        <item x="28"/>
        <item x="6"/>
        <item x="33"/>
        <item x="4"/>
        <item x="5"/>
        <item x="7"/>
        <item x="8"/>
        <item x="11"/>
        <item x="17"/>
        <item x="18"/>
        <item x="19"/>
        <item x="20"/>
        <item x="26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9">
        <item x="0"/>
        <item x="1"/>
        <item x="3"/>
        <item x="4"/>
        <item x="5"/>
        <item x="2"/>
        <item x="7"/>
        <item x="6"/>
        <item t="default"/>
      </items>
    </pivotField>
    <pivotField showAll="0"/>
    <pivotField showAll="0"/>
    <pivotField showAll="0"/>
    <pivotField showAll="0"/>
    <pivotField showAll="0"/>
    <pivotField dataField="1" dragToCol="0" dragToPage="0" dragToRow="0" defaultSubtotal="0" showAll="0"/>
    <pivotField dataField="1" dragToCol="0" dragToPage="0" dragToRow="0" defaultSubtotal="0" showAll="0"/>
    <pivotField dataField="1" dragToCol="0" dragToPage="0" dragToRow="0" showAll="0"/>
  </pivotFields>
  <rowFields count="1">
    <field x="6"/>
  </rowFields>
  <rowItems count="5">
    <i>
      <x v="7997"/>
    </i>
    <i>
      <x v="7999"/>
    </i>
    <i>
      <x v="7998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求和项:Impressions" fld="8" baseField="0" baseItem="0"/>
    <dataField name="求和项:Clicks" fld="9" baseField="0" baseItem="0"/>
    <dataField name="求和项:CTR" fld="25" baseField="0" baseItem="0" numFmtId="10"/>
    <dataField name="求和项:CR" fld="23" baseField="0" baseItem="0" numFmtId="180"/>
    <dataField name="求和项:ROI" fld="24" baseField="0" baseItem="0" numFmtId="181"/>
    <dataField name="求和项:7 Day Total Units" fld="17" baseField="0" baseItem="0"/>
  </dataFields>
  <formats count="41">
    <format dxfId="1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8">
      <pivotArea field="6" type="button" dataOnly="0" labelOnly="1" outline="0" fieldPosition="0"/>
    </format>
    <format dxfId="19">
      <pivotArea dataOnly="0" labelOnly="1" fieldPosition="0">
        <references count="1">
          <reference field="4294967294" count="1">
            <x v="0"/>
          </reference>
        </references>
      </pivotArea>
    </format>
    <format dxfId="20">
      <pivotArea dataOnly="0" labelOnly="1" fieldPosition="0">
        <references count="1">
          <reference field="4294967294" count="1">
            <x v="1"/>
          </reference>
        </references>
      </pivotArea>
    </format>
    <format dxfId="21">
      <pivotArea dataOnly="0" labelOnly="1" fieldPosition="0">
        <references count="1">
          <reference field="4294967294" count="1">
            <x v="3"/>
          </reference>
        </references>
      </pivotArea>
    </format>
    <format dxfId="22">
      <pivotArea dataOnly="0" labelOnly="1" fieldPosition="0">
        <references count="1">
          <reference field="4294967294" count="1">
            <x v="4"/>
          </reference>
        </references>
      </pivotArea>
    </format>
    <format dxfId="23">
      <pivotArea dataOnly="0" labelOnly="1" fieldPosition="0">
        <references count="1">
          <reference field="4294967294" count="1">
            <x v="5"/>
          </reference>
        </references>
      </pivotArea>
    </format>
    <format dxfId="24">
      <pivotArea field="6" type="button" dataOnly="0" labelOnly="1" outline="0" fieldPosition="0"/>
    </format>
    <format dxfId="25">
      <pivotArea dataOnly="0" labelOnly="1" fieldPosition="0">
        <references count="1">
          <reference field="4294967294" count="1">
            <x v="0"/>
          </reference>
        </references>
      </pivotArea>
    </format>
    <format dxfId="26">
      <pivotArea dataOnly="0" labelOnly="1" fieldPosition="0">
        <references count="1">
          <reference field="4294967294" count="1">
            <x v="1"/>
          </reference>
        </references>
      </pivotArea>
    </format>
    <format dxfId="27">
      <pivotArea dataOnly="0" labelOnly="1" fieldPosition="0">
        <references count="1">
          <reference field="4294967294" count="1">
            <x v="3"/>
          </reference>
        </references>
      </pivotArea>
    </format>
    <format dxfId="28">
      <pivotArea dataOnly="0" labelOnly="1" fieldPosition="0">
        <references count="1">
          <reference field="4294967294" count="1">
            <x v="4"/>
          </reference>
        </references>
      </pivotArea>
    </format>
    <format dxfId="29">
      <pivotArea dataOnly="0" labelOnly="1" fieldPosition="0">
        <references count="1">
          <reference field="4294967294" count="1">
            <x v="5"/>
          </reference>
        </references>
      </pivotArea>
    </format>
    <format dxfId="30">
      <pivotArea field="6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dataOnly="0" labelOnly="1" fieldPosition="0">
        <references count="1">
          <reference field="4294967294" count="1">
            <x v="1"/>
          </reference>
        </references>
      </pivotArea>
    </format>
    <format dxfId="33">
      <pivotArea dataOnly="0" labelOnly="1" fieldPosition="0">
        <references count="1">
          <reference field="4294967294" count="1">
            <x v="3"/>
          </reference>
        </references>
      </pivotArea>
    </format>
    <format dxfId="34">
      <pivotArea dataOnly="0" labelOnly="1" fieldPosition="0">
        <references count="1">
          <reference field="4294967294" count="1">
            <x v="4"/>
          </reference>
        </references>
      </pivotArea>
    </format>
    <format dxfId="35">
      <pivotArea dataOnly="0" labelOnly="1" fieldPosition="0">
        <references count="1">
          <reference field="4294967294" count="1">
            <x v="5"/>
          </reference>
        </references>
      </pivotArea>
    </format>
    <format dxfId="36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7">
      <pivotArea field="6" type="button" dataOnly="0" labelOnly="1" outline="0" fieldPosition="0"/>
    </format>
    <format dxfId="38">
      <pivotArea dataOnly="0" labelOnly="1" fieldPosition="0">
        <references count="1">
          <reference field="4294967294" count="1">
            <x v="0"/>
          </reference>
        </references>
      </pivotArea>
    </format>
    <format dxfId="39">
      <pivotArea dataOnly="0" labelOnly="1" fieldPosition="0">
        <references count="1">
          <reference field="4294967294" count="1">
            <x v="1"/>
          </reference>
        </references>
      </pivotArea>
    </format>
    <format dxfId="40">
      <pivotArea dataOnly="0" labelOnly="1" fieldPosition="0">
        <references count="1">
          <reference field="4294967294" count="1">
            <x v="2"/>
          </reference>
        </references>
      </pivotArea>
    </format>
    <format dxfId="41">
      <pivotArea dataOnly="0" labelOnly="1" fieldPosition="0">
        <references count="1">
          <reference field="4294967294" count="1">
            <x v="3"/>
          </reference>
        </references>
      </pivotArea>
    </format>
    <format dxfId="42">
      <pivotArea dataOnly="0" labelOnly="1" fieldPosition="0">
        <references count="1">
          <reference field="4294967294" count="1">
            <x v="4"/>
          </reference>
        </references>
      </pivotArea>
    </format>
    <format dxfId="43">
      <pivotArea dataOnly="0" labelOnly="1" fieldPosition="0">
        <references count="1">
          <reference field="4294967294" count="1">
            <x v="5"/>
          </reference>
        </references>
      </pivotArea>
    </format>
    <format dxfId="44">
      <pivotArea field="6" type="button" dataOnly="0" labelOnly="1" outline="0" fieldPosition="0"/>
    </format>
    <format dxfId="45">
      <pivotArea dataOnly="0" labelOnly="1" fieldPosition="0">
        <references count="1">
          <reference field="4294967294" count="1">
            <x v="0"/>
          </reference>
        </references>
      </pivotArea>
    </format>
    <format dxfId="46">
      <pivotArea dataOnly="0" labelOnly="1" fieldPosition="0">
        <references count="1">
          <reference field="4294967294" count="1">
            <x v="1"/>
          </reference>
        </references>
      </pivotArea>
    </format>
    <format dxfId="47">
      <pivotArea dataOnly="0" labelOnly="1" fieldPosition="0">
        <references count="1">
          <reference field="4294967294" count="1">
            <x v="2"/>
          </reference>
        </references>
      </pivotArea>
    </format>
    <format dxfId="48">
      <pivotArea dataOnly="0" labelOnly="1" fieldPosition="0">
        <references count="1">
          <reference field="4294967294" count="1">
            <x v="3"/>
          </reference>
        </references>
      </pivotArea>
    </format>
    <format dxfId="49">
      <pivotArea dataOnly="0" labelOnly="1" fieldPosition="0">
        <references count="1">
          <reference field="4294967294" count="1">
            <x v="4"/>
          </reference>
        </references>
      </pivotArea>
    </format>
    <format dxfId="50">
      <pivotArea dataOnly="0" labelOnly="1" fieldPosition="0">
        <references count="1">
          <reference field="4294967294" count="1">
            <x v="5"/>
          </reference>
        </references>
      </pivotArea>
    </format>
    <format dxfId="51">
      <pivotArea dataOnly="0" labelOnly="1" fieldPosition="0">
        <references count="1">
          <reference field="4294967294" count="1">
            <x v="2"/>
          </reference>
        </references>
      </pivotArea>
    </format>
    <format dxfId="52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K30"/>
  <sheetViews>
    <sheetView topLeftCell="A4" workbookViewId="0">
      <selection activeCell="I7" sqref="I7"/>
    </sheetView>
  </sheetViews>
  <sheetFormatPr defaultColWidth="9" defaultRowHeight="16.5"/>
  <cols>
    <col min="1" max="16384" width="9" style="88"/>
  </cols>
  <sheetData>
    <row r="2" ht="18" spans="1:1">
      <c r="A2" s="89" t="s">
        <v>0</v>
      </c>
    </row>
    <row r="3" spans="1:1">
      <c r="A3" s="88" t="s">
        <v>1</v>
      </c>
    </row>
    <row r="4" spans="1:1">
      <c r="A4" s="88" t="s">
        <v>2</v>
      </c>
    </row>
    <row r="22" spans="1:1">
      <c r="A22" s="88" t="s">
        <v>3</v>
      </c>
    </row>
    <row r="23" spans="1:6">
      <c r="A23" s="90" t="s">
        <v>4</v>
      </c>
      <c r="B23" s="90"/>
      <c r="C23" s="90"/>
      <c r="D23" s="90"/>
      <c r="E23" s="90"/>
      <c r="F23" s="90"/>
    </row>
    <row r="24" spans="1:6">
      <c r="A24" s="90" t="s">
        <v>5</v>
      </c>
      <c r="B24" s="90"/>
      <c r="C24" s="90"/>
      <c r="D24" s="90"/>
      <c r="E24" s="90"/>
      <c r="F24" s="90"/>
    </row>
    <row r="25" spans="1:6">
      <c r="A25" s="90" t="s">
        <v>6</v>
      </c>
      <c r="B25" s="90"/>
      <c r="C25" s="90"/>
      <c r="D25" s="90"/>
      <c r="E25" s="90"/>
      <c r="F25" s="90"/>
    </row>
    <row r="27" spans="1:1">
      <c r="A27" s="91" t="s">
        <v>7</v>
      </c>
    </row>
    <row r="29" spans="1:11">
      <c r="A29" s="90" t="s">
        <v>8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</row>
    <row r="30" spans="1:11">
      <c r="A30" s="90" t="s">
        <v>9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B4"/>
  <sheetViews>
    <sheetView workbookViewId="0">
      <selection activeCell="H12" sqref="H12"/>
    </sheetView>
  </sheetViews>
  <sheetFormatPr defaultColWidth="8.72727272727273" defaultRowHeight="14" outlineLevelRow="3" outlineLevelCol="1"/>
  <cols>
    <col min="2" max="2" width="26.6363636363636" customWidth="1"/>
  </cols>
  <sheetData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8" tint="0.399975585192419"/>
  </sheetPr>
  <dimension ref="A1:R25"/>
  <sheetViews>
    <sheetView workbookViewId="0">
      <selection activeCell="Q12" sqref="Q12"/>
    </sheetView>
  </sheetViews>
  <sheetFormatPr defaultColWidth="9" defaultRowHeight="14"/>
  <cols>
    <col min="1" max="1" width="15.5454545454545" customWidth="1"/>
    <col min="4" max="4" width="8.72727272727273" style="70"/>
    <col min="5" max="5" width="8.72727272727273" style="71" customWidth="1"/>
    <col min="6" max="9" width="8.72727272727273" style="70" customWidth="1"/>
    <col min="10" max="15" width="7.18181818181818" customWidth="1"/>
    <col min="16" max="16" width="12.8181818181818"/>
    <col min="17" max="17" width="12.6363636363636" customWidth="1"/>
    <col min="18" max="18" width="7.90909090909091" hidden="1" customWidth="1"/>
  </cols>
  <sheetData>
    <row r="1" ht="16.5" spans="1:1">
      <c r="A1" s="25" t="s">
        <v>16</v>
      </c>
    </row>
    <row r="2" ht="16.5" spans="1:1">
      <c r="A2" s="25" t="s">
        <v>5</v>
      </c>
    </row>
    <row r="3" ht="17.25" spans="1:1">
      <c r="A3" s="25" t="s">
        <v>17</v>
      </c>
    </row>
    <row r="4" ht="55.5" customHeight="1" spans="1:18">
      <c r="A4" s="72" t="s">
        <v>18</v>
      </c>
      <c r="B4" s="73" t="s">
        <v>19</v>
      </c>
      <c r="C4" s="73" t="s">
        <v>20</v>
      </c>
      <c r="D4" s="73" t="s">
        <v>21</v>
      </c>
      <c r="E4" s="60" t="s">
        <v>22</v>
      </c>
      <c r="F4" s="60" t="s">
        <v>23</v>
      </c>
      <c r="G4" s="60" t="s">
        <v>24</v>
      </c>
      <c r="H4" s="60" t="s">
        <v>25</v>
      </c>
      <c r="I4" s="60" t="s">
        <v>26</v>
      </c>
      <c r="J4" s="59" t="s">
        <v>27</v>
      </c>
      <c r="K4" s="59" t="s">
        <v>28</v>
      </c>
      <c r="L4" s="59" t="s">
        <v>29</v>
      </c>
      <c r="M4" s="66" t="s">
        <v>30</v>
      </c>
      <c r="N4" s="66" t="s">
        <v>31</v>
      </c>
      <c r="O4" s="66" t="s">
        <v>32</v>
      </c>
      <c r="P4" s="82" t="s">
        <v>33</v>
      </c>
      <c r="Q4" t="s">
        <v>34</v>
      </c>
      <c r="R4" s="86" t="s">
        <v>35</v>
      </c>
    </row>
    <row r="5" spans="1:18">
      <c r="A5" s="74" t="s">
        <v>36</v>
      </c>
      <c r="B5" s="75">
        <v>6789</v>
      </c>
      <c r="C5" s="75">
        <v>142</v>
      </c>
      <c r="D5" s="76">
        <v>0.0209161879510974</v>
      </c>
      <c r="E5" s="75">
        <v>234948</v>
      </c>
      <c r="F5" s="75">
        <v>551</v>
      </c>
      <c r="G5" s="75">
        <v>53</v>
      </c>
      <c r="H5" s="77">
        <v>0.00234519978888946</v>
      </c>
      <c r="I5" s="77">
        <v>0.0961887477313975</v>
      </c>
      <c r="J5">
        <f>RANK(B5,B:B,0)</f>
        <v>1</v>
      </c>
      <c r="K5">
        <f>RANK(C5,C:C,0)</f>
        <v>1</v>
      </c>
      <c r="L5" s="83">
        <f>RANK(D5,D:D,0)</f>
        <v>10</v>
      </c>
      <c r="M5">
        <f t="shared" ref="M5:O5" si="0">RANK(F5,F:F,0)</f>
        <v>2</v>
      </c>
      <c r="N5">
        <f t="shared" si="0"/>
        <v>2</v>
      </c>
      <c r="O5">
        <f t="shared" si="0"/>
        <v>3</v>
      </c>
      <c r="P5" s="84">
        <f>G5/C5</f>
        <v>0.373239436619718</v>
      </c>
      <c r="R5" s="87">
        <v>83.3880328227538</v>
      </c>
    </row>
    <row r="6" spans="1:18">
      <c r="A6" s="74" t="s">
        <v>37</v>
      </c>
      <c r="B6" s="75">
        <v>2435</v>
      </c>
      <c r="C6" s="75">
        <v>135</v>
      </c>
      <c r="D6" s="77">
        <v>0.0554414784394251</v>
      </c>
      <c r="E6" s="75">
        <v>36446</v>
      </c>
      <c r="F6" s="78">
        <v>74</v>
      </c>
      <c r="G6" s="75">
        <v>25</v>
      </c>
      <c r="H6" s="77">
        <v>0.0020304011414147</v>
      </c>
      <c r="I6" s="77">
        <v>0.337837837837838</v>
      </c>
      <c r="J6" s="83">
        <f>RANK(B6,B:B,0)</f>
        <v>5</v>
      </c>
      <c r="K6">
        <f>RANK(C6,C:C,0)</f>
        <v>2</v>
      </c>
      <c r="L6">
        <f>RANK(D6,D:D,0)</f>
        <v>1</v>
      </c>
      <c r="M6" s="83">
        <f>RANK(F6,F:F,0)</f>
        <v>5</v>
      </c>
      <c r="N6">
        <f>RANK(G6,G:G,0)</f>
        <v>3</v>
      </c>
      <c r="O6">
        <f>RANK(H6,H:H,0)</f>
        <v>6</v>
      </c>
      <c r="P6" s="85">
        <f t="shared" ref="P6:P24" si="1">G6/C6</f>
        <v>0.185185185185185</v>
      </c>
      <c r="R6" s="68">
        <v>17.7777777777778</v>
      </c>
    </row>
    <row r="7" spans="1:18">
      <c r="A7" s="74" t="s">
        <v>38</v>
      </c>
      <c r="B7" s="75">
        <v>4073</v>
      </c>
      <c r="C7" s="75">
        <v>112</v>
      </c>
      <c r="D7" s="77">
        <v>0.0274981586054505</v>
      </c>
      <c r="E7" s="75">
        <v>133485</v>
      </c>
      <c r="F7" s="75">
        <v>174</v>
      </c>
      <c r="G7" s="75">
        <v>14</v>
      </c>
      <c r="H7" s="77">
        <v>0.00130351724912912</v>
      </c>
      <c r="I7" s="77">
        <v>0.0804597701149425</v>
      </c>
      <c r="J7">
        <f>RANK(B7,B:B,0)</f>
        <v>3</v>
      </c>
      <c r="K7">
        <f>RANK(C7,C:C,0)</f>
        <v>3</v>
      </c>
      <c r="L7">
        <f>RANK(D7,D:D,0)</f>
        <v>6</v>
      </c>
      <c r="M7">
        <f>RANK(F7,F:F,0)</f>
        <v>3</v>
      </c>
      <c r="N7">
        <f>RANK(G7,G:G,0)</f>
        <v>4</v>
      </c>
      <c r="O7">
        <f>RANK(H7,H:H,0)</f>
        <v>10</v>
      </c>
      <c r="P7" s="85">
        <f t="shared" si="1"/>
        <v>0.125</v>
      </c>
      <c r="R7" s="68">
        <v>54.2127797990076</v>
      </c>
    </row>
    <row r="8" spans="1:18">
      <c r="A8" s="74" t="s">
        <v>39</v>
      </c>
      <c r="B8" s="75">
        <v>4350</v>
      </c>
      <c r="C8" s="75">
        <v>88</v>
      </c>
      <c r="D8" s="76">
        <v>0.0202298850574713</v>
      </c>
      <c r="E8" s="75">
        <v>369517</v>
      </c>
      <c r="F8" s="75">
        <v>711</v>
      </c>
      <c r="G8" s="75">
        <v>76</v>
      </c>
      <c r="H8" s="77">
        <v>0.00192413339575716</v>
      </c>
      <c r="I8" s="77">
        <v>0.106891701828411</v>
      </c>
      <c r="J8">
        <f>RANK(B8,B:B,0)</f>
        <v>2</v>
      </c>
      <c r="K8">
        <f>RANK(C8,C:C,0)</f>
        <v>4</v>
      </c>
      <c r="L8" s="83">
        <f>RANK(D8,D:D,0)</f>
        <v>11</v>
      </c>
      <c r="M8">
        <f>RANK(F8,F:F,0)</f>
        <v>1</v>
      </c>
      <c r="N8">
        <f>RANK(G8,G:G,0)</f>
        <v>1</v>
      </c>
      <c r="O8">
        <f>RANK(H8,H:H,0)</f>
        <v>7</v>
      </c>
      <c r="P8" s="84">
        <f t="shared" si="1"/>
        <v>0.863636363636364</v>
      </c>
      <c r="R8" s="68">
        <v>169.056571876119</v>
      </c>
    </row>
    <row r="9" customFormat="1" spans="1:18">
      <c r="A9" s="74" t="s">
        <v>40</v>
      </c>
      <c r="B9" s="75">
        <v>3437</v>
      </c>
      <c r="C9" s="75">
        <v>86</v>
      </c>
      <c r="D9" s="77">
        <v>0.0250218213558336</v>
      </c>
      <c r="E9" s="75">
        <v>13644</v>
      </c>
      <c r="F9" s="75">
        <v>18</v>
      </c>
      <c r="G9" s="75">
        <v>2</v>
      </c>
      <c r="H9" s="77">
        <v>0.00131926121372032</v>
      </c>
      <c r="I9" s="77">
        <v>0.111111111111111</v>
      </c>
      <c r="J9">
        <f>RANK(B9,B:B,0)</f>
        <v>4</v>
      </c>
      <c r="K9">
        <f>RANK(C9,C:C,0)</f>
        <v>5</v>
      </c>
      <c r="L9">
        <f>RANK(D9,D:D,0)</f>
        <v>8</v>
      </c>
      <c r="M9" s="83">
        <f>RANK(F9,F:F,0)</f>
        <v>12</v>
      </c>
      <c r="N9">
        <f>RANK(G9,G:G,0)</f>
        <v>10</v>
      </c>
      <c r="O9">
        <f>RANK(H9,H:H,0)</f>
        <v>9</v>
      </c>
      <c r="P9" s="85">
        <f t="shared" si="1"/>
        <v>0.0232558139534884</v>
      </c>
      <c r="R9" s="68">
        <v>57.7981598350312</v>
      </c>
    </row>
    <row r="10" spans="1:18">
      <c r="A10" s="74" t="s">
        <v>41</v>
      </c>
      <c r="B10" s="75">
        <v>2184</v>
      </c>
      <c r="C10" s="75">
        <v>86</v>
      </c>
      <c r="D10" s="77">
        <v>0.0393772893772894</v>
      </c>
      <c r="E10" s="75">
        <v>41933</v>
      </c>
      <c r="F10" s="75">
        <v>23</v>
      </c>
      <c r="G10" s="75">
        <v>6</v>
      </c>
      <c r="H10" s="77">
        <v>0.000548494026184628</v>
      </c>
      <c r="I10" s="77">
        <v>0.260869565217391</v>
      </c>
      <c r="J10">
        <f>RANK(B10,B:B,0)</f>
        <v>7</v>
      </c>
      <c r="K10">
        <f>RANK(C10,C:C,0)</f>
        <v>5</v>
      </c>
      <c r="L10">
        <f>RANK(D10,D:D,0)</f>
        <v>2</v>
      </c>
      <c r="M10" s="83">
        <f>RANK(F10,F:F,0)</f>
        <v>10</v>
      </c>
      <c r="N10">
        <f>RANK(G10,G:G,0)</f>
        <v>5</v>
      </c>
      <c r="O10">
        <f>RANK(H10,H:H,0)</f>
        <v>17</v>
      </c>
      <c r="P10" s="85">
        <f t="shared" si="1"/>
        <v>0.0697674418604651</v>
      </c>
      <c r="R10" s="68">
        <v>45.4545454545455</v>
      </c>
    </row>
    <row r="11" customFormat="1" spans="1:18">
      <c r="A11" s="74" t="s">
        <v>42</v>
      </c>
      <c r="B11" s="75">
        <v>2279</v>
      </c>
      <c r="C11" s="75">
        <v>83</v>
      </c>
      <c r="D11" s="77">
        <v>0.0364194822290478</v>
      </c>
      <c r="E11" s="75">
        <v>12229</v>
      </c>
      <c r="F11" s="75">
        <v>35</v>
      </c>
      <c r="G11" s="75">
        <v>3</v>
      </c>
      <c r="H11" s="77">
        <v>0.00286204922724671</v>
      </c>
      <c r="I11" s="77">
        <v>0.0857142857142857</v>
      </c>
      <c r="J11">
        <f>RANK(B11,B:B,0)</f>
        <v>6</v>
      </c>
      <c r="K11">
        <f>RANK(C11,C:C,0)</f>
        <v>7</v>
      </c>
      <c r="L11">
        <f>RANK(D11,D:D,0)</f>
        <v>3</v>
      </c>
      <c r="M11">
        <f>RANK(F11,F:F,0)</f>
        <v>6</v>
      </c>
      <c r="N11">
        <f>RANK(G11,G:G,0)</f>
        <v>7</v>
      </c>
      <c r="O11">
        <f>RANK(H11,H:H,0)</f>
        <v>2</v>
      </c>
      <c r="P11" s="85">
        <f t="shared" si="1"/>
        <v>0.036144578313253</v>
      </c>
      <c r="R11" s="68">
        <v>40.6451744016692</v>
      </c>
    </row>
    <row r="12" spans="1:18">
      <c r="A12" s="74" t="s">
        <v>43</v>
      </c>
      <c r="B12" s="75">
        <v>1869</v>
      </c>
      <c r="C12" s="75">
        <v>57</v>
      </c>
      <c r="D12" s="77">
        <v>0.0304975922953451</v>
      </c>
      <c r="E12" s="75">
        <v>19464</v>
      </c>
      <c r="F12" s="75">
        <v>19</v>
      </c>
      <c r="G12" s="75">
        <v>1</v>
      </c>
      <c r="H12" s="77">
        <v>0.000976161117961365</v>
      </c>
      <c r="I12" s="76">
        <v>0.0526315789473684</v>
      </c>
      <c r="J12">
        <f>RANK(B12,B:B,0)</f>
        <v>10</v>
      </c>
      <c r="K12">
        <f>RANK(C12,C:C,0)</f>
        <v>8</v>
      </c>
      <c r="L12">
        <f>RANK(D12,D:D,0)</f>
        <v>5</v>
      </c>
      <c r="M12" s="83">
        <f>RANK(F12,F:F,0)</f>
        <v>11</v>
      </c>
      <c r="N12">
        <f>RANK(G12,G:G,0)</f>
        <v>12</v>
      </c>
      <c r="O12">
        <f>RANK(H12,H:H,0)</f>
        <v>11</v>
      </c>
      <c r="P12" s="85">
        <f t="shared" si="1"/>
        <v>0.0175438596491228</v>
      </c>
      <c r="R12" s="68">
        <v>110.833314861114</v>
      </c>
    </row>
    <row r="13" spans="1:18">
      <c r="A13" s="74" t="s">
        <v>44</v>
      </c>
      <c r="B13" s="75">
        <v>1898</v>
      </c>
      <c r="C13" s="75">
        <v>43</v>
      </c>
      <c r="D13" s="77">
        <v>0.0226554267650158</v>
      </c>
      <c r="E13" s="75">
        <v>24617</v>
      </c>
      <c r="F13" s="75">
        <v>14</v>
      </c>
      <c r="G13" s="75">
        <v>0</v>
      </c>
      <c r="H13" s="77">
        <v>0.000568712678230491</v>
      </c>
      <c r="I13" s="76">
        <v>0</v>
      </c>
      <c r="J13">
        <f>RANK(B13,B:B,0)</f>
        <v>9</v>
      </c>
      <c r="K13">
        <f>RANK(C13,C:C,0)</f>
        <v>9</v>
      </c>
      <c r="L13">
        <f>RANK(D13,D:D,0)</f>
        <v>9</v>
      </c>
      <c r="M13" s="83">
        <f>RANK(F13,F:F,0)</f>
        <v>14</v>
      </c>
      <c r="N13">
        <f>RANK(G13,G:G,0)</f>
        <v>17</v>
      </c>
      <c r="O13">
        <f>RANK(H13,H:H,0)</f>
        <v>16</v>
      </c>
      <c r="P13" s="85">
        <f t="shared" si="1"/>
        <v>0</v>
      </c>
      <c r="R13" s="68">
        <v>90.1250901250901</v>
      </c>
    </row>
    <row r="14" spans="1:18">
      <c r="A14" s="74" t="s">
        <v>45</v>
      </c>
      <c r="B14" s="75">
        <v>1603</v>
      </c>
      <c r="C14" s="75">
        <v>42</v>
      </c>
      <c r="D14" s="77">
        <v>0.0262008733624454</v>
      </c>
      <c r="E14" s="75">
        <v>30691</v>
      </c>
      <c r="F14" s="75">
        <v>29</v>
      </c>
      <c r="G14" s="75">
        <v>3</v>
      </c>
      <c r="H14" s="77">
        <v>0.000944902414388583</v>
      </c>
      <c r="I14" s="77">
        <v>0.103448275862069</v>
      </c>
      <c r="J14">
        <f>RANK(B14,B:B,0)</f>
        <v>11</v>
      </c>
      <c r="K14">
        <f>RANK(C14,C:C,0)</f>
        <v>10</v>
      </c>
      <c r="L14">
        <f>RANK(D14,D:D,0)</f>
        <v>7</v>
      </c>
      <c r="M14">
        <f>RANK(F14,F:F,0)</f>
        <v>8</v>
      </c>
      <c r="N14">
        <f>RANK(G14,G:G,0)</f>
        <v>7</v>
      </c>
      <c r="O14">
        <f>RANK(H14,H:H,0)</f>
        <v>12</v>
      </c>
      <c r="P14" s="85">
        <f t="shared" si="1"/>
        <v>0.0714285714285714</v>
      </c>
      <c r="R14" s="68">
        <v>120.399951840019</v>
      </c>
    </row>
    <row r="15" spans="1:18">
      <c r="A15" s="74" t="s">
        <v>46</v>
      </c>
      <c r="B15" s="75">
        <v>1303</v>
      </c>
      <c r="C15" s="75">
        <v>42</v>
      </c>
      <c r="D15" s="77">
        <v>0.0322333077513431</v>
      </c>
      <c r="E15" s="75">
        <v>39775</v>
      </c>
      <c r="F15" s="75">
        <v>32</v>
      </c>
      <c r="G15" s="75">
        <v>3</v>
      </c>
      <c r="H15" s="77">
        <v>0.000804525455688246</v>
      </c>
      <c r="I15" s="77">
        <v>0.09375</v>
      </c>
      <c r="J15">
        <f>RANK(B15,B:B,0)</f>
        <v>15</v>
      </c>
      <c r="K15">
        <f>RANK(C15,C:C,0)</f>
        <v>10</v>
      </c>
      <c r="L15">
        <f>RANK(D15,D:D,0)</f>
        <v>4</v>
      </c>
      <c r="M15">
        <f>RANK(F15,F:F,0)</f>
        <v>7</v>
      </c>
      <c r="N15">
        <f>RANK(G15,G:G,0)</f>
        <v>7</v>
      </c>
      <c r="O15">
        <f>RANK(H15,H:H,0)</f>
        <v>14</v>
      </c>
      <c r="P15" s="85">
        <f t="shared" si="1"/>
        <v>0.0714285714285714</v>
      </c>
      <c r="R15" s="68">
        <v>75.9573983250649</v>
      </c>
    </row>
    <row r="16" spans="1:18">
      <c r="A16" s="74" t="s">
        <v>47</v>
      </c>
      <c r="B16" s="75">
        <v>1965</v>
      </c>
      <c r="C16" s="75">
        <v>38</v>
      </c>
      <c r="D16" s="77">
        <v>0.0193384223918575</v>
      </c>
      <c r="E16" s="75">
        <v>55162</v>
      </c>
      <c r="F16" s="75">
        <v>114</v>
      </c>
      <c r="G16" s="75">
        <v>6</v>
      </c>
      <c r="H16" s="77">
        <v>0.00206664007831478</v>
      </c>
      <c r="I16" s="76">
        <v>0.0526315789473684</v>
      </c>
      <c r="J16">
        <f>RANK(B16,B:B,0)</f>
        <v>8</v>
      </c>
      <c r="K16">
        <f>RANK(C16,C:C,0)</f>
        <v>12</v>
      </c>
      <c r="L16">
        <f>RANK(D16,D:D,0)</f>
        <v>13</v>
      </c>
      <c r="M16">
        <f>RANK(F16,F:F,0)</f>
        <v>4</v>
      </c>
      <c r="N16">
        <f>RANK(G16,G:G,0)</f>
        <v>5</v>
      </c>
      <c r="O16">
        <f>RANK(H16,H:H,0)</f>
        <v>5</v>
      </c>
      <c r="P16" s="85">
        <f t="shared" si="1"/>
        <v>0.157894736842105</v>
      </c>
      <c r="R16" s="68">
        <v>126.212140335173</v>
      </c>
    </row>
    <row r="17" spans="1:18">
      <c r="A17" s="74" t="s">
        <v>48</v>
      </c>
      <c r="B17" s="75">
        <v>1572</v>
      </c>
      <c r="C17" s="75">
        <v>31</v>
      </c>
      <c r="D17" s="77">
        <v>0.0197201017811705</v>
      </c>
      <c r="E17" s="75">
        <v>11545</v>
      </c>
      <c r="F17" s="75">
        <v>18</v>
      </c>
      <c r="G17" s="75">
        <v>1</v>
      </c>
      <c r="H17" s="77">
        <v>0.00155911650064963</v>
      </c>
      <c r="I17" s="76">
        <v>0.0555555555555556</v>
      </c>
      <c r="J17">
        <f>RANK(B17,B:B,0)</f>
        <v>12</v>
      </c>
      <c r="K17">
        <f>RANK(C17,C:C,0)</f>
        <v>13</v>
      </c>
      <c r="L17">
        <f>RANK(D17,D:D,0)</f>
        <v>12</v>
      </c>
      <c r="M17">
        <f>RANK(F17,F:F,0)</f>
        <v>12</v>
      </c>
      <c r="N17">
        <f>RANK(G17,G:G,0)</f>
        <v>12</v>
      </c>
      <c r="O17">
        <f>RANK(H17,H:H,0)</f>
        <v>8</v>
      </c>
      <c r="P17" s="85">
        <f t="shared" si="1"/>
        <v>0.032258064516129</v>
      </c>
      <c r="R17" s="68">
        <v>38.4313424067903</v>
      </c>
    </row>
    <row r="18" spans="1:18">
      <c r="A18" s="74" t="s">
        <v>49</v>
      </c>
      <c r="B18" s="75">
        <v>1352</v>
      </c>
      <c r="C18" s="75">
        <v>24</v>
      </c>
      <c r="D18" s="77">
        <v>0.0177514792899408</v>
      </c>
      <c r="E18" s="75">
        <v>9267</v>
      </c>
      <c r="F18" s="75">
        <v>7</v>
      </c>
      <c r="G18" s="75">
        <v>2</v>
      </c>
      <c r="H18" s="77">
        <v>0.000755368511924032</v>
      </c>
      <c r="I18" s="77">
        <v>0.285714285714286</v>
      </c>
      <c r="J18">
        <f>RANK(B18,B:B,0)</f>
        <v>14</v>
      </c>
      <c r="K18">
        <f>RANK(C18,C:C,0)</f>
        <v>14</v>
      </c>
      <c r="L18">
        <f>RANK(D18,D:D,0)</f>
        <v>15</v>
      </c>
      <c r="M18">
        <f>RANK(F18,F:F,0)</f>
        <v>15</v>
      </c>
      <c r="N18">
        <f>RANK(G18,G:G,0)</f>
        <v>10</v>
      </c>
      <c r="O18">
        <f>RANK(H18,H:H,0)</f>
        <v>15</v>
      </c>
      <c r="P18" s="85">
        <f t="shared" si="1"/>
        <v>0.0833333333333333</v>
      </c>
      <c r="R18" s="68">
        <v>78.9535159140172</v>
      </c>
    </row>
    <row r="19" spans="1:18">
      <c r="A19" s="74" t="s">
        <v>50</v>
      </c>
      <c r="B19" s="75">
        <v>1208</v>
      </c>
      <c r="C19" s="75">
        <v>23</v>
      </c>
      <c r="D19" s="77">
        <v>0.0190397350993377</v>
      </c>
      <c r="E19" s="75">
        <v>123</v>
      </c>
      <c r="F19" s="75">
        <v>1</v>
      </c>
      <c r="G19" s="75">
        <v>0</v>
      </c>
      <c r="H19" s="77">
        <v>0.00813008130081301</v>
      </c>
      <c r="I19" s="76">
        <v>0</v>
      </c>
      <c r="J19">
        <f>RANK(B19,B:B,0)</f>
        <v>16</v>
      </c>
      <c r="K19">
        <f>RANK(C19,C:C,0)</f>
        <v>15</v>
      </c>
      <c r="L19">
        <f>RANK(D19,D:D,0)</f>
        <v>14</v>
      </c>
      <c r="M19">
        <f>RANK(F19,F:F,0)</f>
        <v>18</v>
      </c>
      <c r="N19">
        <f>RANK(G19,G:G,0)</f>
        <v>17</v>
      </c>
      <c r="O19">
        <f>RANK(H19,H:H,0)</f>
        <v>1</v>
      </c>
      <c r="P19" s="85">
        <f t="shared" si="1"/>
        <v>0</v>
      </c>
      <c r="R19" s="68">
        <v>59.5745187868245</v>
      </c>
    </row>
    <row r="20" spans="1:18">
      <c r="A20" s="74" t="s">
        <v>51</v>
      </c>
      <c r="B20" s="75">
        <v>1372</v>
      </c>
      <c r="C20" s="75">
        <v>18</v>
      </c>
      <c r="D20" s="77">
        <v>0.0131195335276968</v>
      </c>
      <c r="E20" s="75">
        <v>2236</v>
      </c>
      <c r="F20" s="75">
        <v>5</v>
      </c>
      <c r="G20" s="75">
        <v>1</v>
      </c>
      <c r="H20" s="77">
        <v>0.00223613595706619</v>
      </c>
      <c r="I20" s="77">
        <v>0.2</v>
      </c>
      <c r="J20">
        <f>RANK(B20,B:B,0)</f>
        <v>13</v>
      </c>
      <c r="K20">
        <f>RANK(C20,C:C,0)</f>
        <v>16</v>
      </c>
      <c r="L20">
        <f>RANK(D20,D:D,0)</f>
        <v>18</v>
      </c>
      <c r="M20">
        <f>RANK(F20,F:F,0)</f>
        <v>16</v>
      </c>
      <c r="N20">
        <f>RANK(G20,G:G,0)</f>
        <v>12</v>
      </c>
      <c r="O20">
        <f>RANK(H20,H:H,0)</f>
        <v>4</v>
      </c>
      <c r="P20" s="85">
        <f t="shared" si="1"/>
        <v>0.0555555555555556</v>
      </c>
      <c r="R20" s="68">
        <v>154.736597784319</v>
      </c>
    </row>
    <row r="21" spans="1:18">
      <c r="A21" s="74" t="s">
        <v>52</v>
      </c>
      <c r="B21" s="75">
        <v>1077</v>
      </c>
      <c r="C21" s="75">
        <v>17</v>
      </c>
      <c r="D21" s="77">
        <v>0.0157845868152275</v>
      </c>
      <c r="E21" s="75">
        <v>29555</v>
      </c>
      <c r="F21" s="75">
        <v>26</v>
      </c>
      <c r="G21" s="75">
        <v>1</v>
      </c>
      <c r="H21" s="77">
        <v>0.000879715784131281</v>
      </c>
      <c r="I21" s="77">
        <v>0.0384615384615385</v>
      </c>
      <c r="J21">
        <f>RANK(B21,B:B,0)</f>
        <v>17</v>
      </c>
      <c r="K21">
        <f>RANK(C21,C:C,0)</f>
        <v>17</v>
      </c>
      <c r="L21">
        <f>RANK(D21,D:D,0)</f>
        <v>17</v>
      </c>
      <c r="M21">
        <f>RANK(F21,F:F,0)</f>
        <v>9</v>
      </c>
      <c r="N21">
        <f>RANK(G21,G:G,0)</f>
        <v>12</v>
      </c>
      <c r="O21">
        <f>RANK(H21,H:H,0)</f>
        <v>13</v>
      </c>
      <c r="P21" s="85">
        <f t="shared" si="1"/>
        <v>0.0588235294117647</v>
      </c>
      <c r="R21" s="68">
        <v>262.5</v>
      </c>
    </row>
    <row r="22" spans="1:18">
      <c r="A22" s="74" t="s">
        <v>53</v>
      </c>
      <c r="B22" s="75">
        <v>674</v>
      </c>
      <c r="C22" s="75">
        <v>11</v>
      </c>
      <c r="D22" s="77">
        <v>0.0163204747774481</v>
      </c>
      <c r="E22" s="75">
        <v>8690</v>
      </c>
      <c r="F22" s="75">
        <v>4</v>
      </c>
      <c r="G22" s="75">
        <v>1</v>
      </c>
      <c r="H22" s="77">
        <v>0.00046029919447641</v>
      </c>
      <c r="I22" s="77">
        <v>0.25</v>
      </c>
      <c r="J22">
        <f>RANK(B22,B:B,0)</f>
        <v>19</v>
      </c>
      <c r="K22">
        <f>RANK(C22,C:C,0)</f>
        <v>18</v>
      </c>
      <c r="L22">
        <f>RANK(D22,D:D,0)</f>
        <v>16</v>
      </c>
      <c r="M22">
        <f>RANK(F22,F:F,0)</f>
        <v>17</v>
      </c>
      <c r="N22">
        <f>RANK(G22,G:G,0)</f>
        <v>12</v>
      </c>
      <c r="O22">
        <f>RANK(H22,H:H,0)</f>
        <v>18</v>
      </c>
      <c r="P22" s="85">
        <f t="shared" si="1"/>
        <v>0.0909090909090909</v>
      </c>
      <c r="R22" s="68" t="e">
        <v>#N/A</v>
      </c>
    </row>
    <row r="23" spans="1:18">
      <c r="A23" s="74" t="s">
        <v>54</v>
      </c>
      <c r="B23" s="75">
        <v>640</v>
      </c>
      <c r="C23" s="75">
        <v>6</v>
      </c>
      <c r="D23" s="77">
        <v>0.009375</v>
      </c>
      <c r="E23" s="75">
        <v>74</v>
      </c>
      <c r="F23" s="75">
        <v>0</v>
      </c>
      <c r="G23" s="75">
        <v>0</v>
      </c>
      <c r="H23" s="77">
        <v>0</v>
      </c>
      <c r="I23" s="77">
        <v>0</v>
      </c>
      <c r="J23">
        <f>RANK(B23,B:B,0)</f>
        <v>20</v>
      </c>
      <c r="K23">
        <f>RANK(C23,C:C,0)</f>
        <v>19</v>
      </c>
      <c r="L23">
        <f>RANK(D23,D:D,0)</f>
        <v>19</v>
      </c>
      <c r="M23">
        <f>RANK(F23,F:F,0)</f>
        <v>19</v>
      </c>
      <c r="N23">
        <f>RANK(G23,G:G,0)</f>
        <v>17</v>
      </c>
      <c r="O23">
        <f>RANK(H23,H:H,0)</f>
        <v>19</v>
      </c>
      <c r="P23" s="85">
        <f t="shared" si="1"/>
        <v>0</v>
      </c>
      <c r="R23" s="68">
        <v>107.692473373036</v>
      </c>
    </row>
    <row r="24" spans="1:18">
      <c r="A24" s="74" t="s">
        <v>55</v>
      </c>
      <c r="B24" s="75">
        <v>742</v>
      </c>
      <c r="C24" s="75">
        <v>5</v>
      </c>
      <c r="D24" s="77">
        <v>0.00673854447439353</v>
      </c>
      <c r="E24" s="75">
        <v>0</v>
      </c>
      <c r="F24" s="75">
        <v>0</v>
      </c>
      <c r="G24" s="75">
        <v>0</v>
      </c>
      <c r="H24" s="77">
        <v>0</v>
      </c>
      <c r="I24" s="77">
        <v>0</v>
      </c>
      <c r="J24">
        <f>RANK(B24,B:B,0)</f>
        <v>18</v>
      </c>
      <c r="K24">
        <f>RANK(C24,C:C,0)</f>
        <v>20</v>
      </c>
      <c r="L24">
        <f>RANK(D24,D:D,0)</f>
        <v>20</v>
      </c>
      <c r="M24">
        <f>RANK(F24,F:F,0)</f>
        <v>19</v>
      </c>
      <c r="N24">
        <f>RANK(G24,G:G,0)</f>
        <v>17</v>
      </c>
      <c r="O24">
        <f>RANK(H24,H:H,0)</f>
        <v>19</v>
      </c>
      <c r="P24" s="85">
        <f t="shared" si="1"/>
        <v>0</v>
      </c>
      <c r="R24" s="68">
        <v>402.498993752516</v>
      </c>
    </row>
    <row r="25" spans="1:9">
      <c r="A25" s="79"/>
      <c r="B25" s="80"/>
      <c r="C25" s="80"/>
      <c r="D25" s="81"/>
      <c r="E25" s="80"/>
      <c r="F25" s="80"/>
      <c r="G25" s="80"/>
      <c r="H25" s="81"/>
      <c r="I25" s="81"/>
    </row>
  </sheetData>
  <autoFilter ref="A4:Q24">
    <extLst/>
  </autoFilter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 tint="0.399975585192419"/>
  </sheetPr>
  <dimension ref="A3:I25"/>
  <sheetViews>
    <sheetView topLeftCell="A2" workbookViewId="0">
      <selection activeCell="C10" sqref="C10"/>
    </sheetView>
  </sheetViews>
  <sheetFormatPr defaultColWidth="9" defaultRowHeight="14"/>
  <cols>
    <col min="1" max="1" width="15.7272727272727" customWidth="1"/>
    <col min="2" max="8" width="8.90909090909091" customWidth="1"/>
  </cols>
  <sheetData>
    <row r="3" s="17" customFormat="1" ht="60" customHeight="1" spans="1:9">
      <c r="A3" s="17" t="s">
        <v>56</v>
      </c>
      <c r="B3" s="17" t="s">
        <v>57</v>
      </c>
      <c r="C3" s="17" t="s">
        <v>58</v>
      </c>
      <c r="D3" s="17" t="s">
        <v>59</v>
      </c>
      <c r="E3" s="17" t="s">
        <v>60</v>
      </c>
      <c r="F3" s="17" t="s">
        <v>61</v>
      </c>
      <c r="G3" s="42" t="s">
        <v>62</v>
      </c>
      <c r="H3" s="17" t="s">
        <v>63</v>
      </c>
      <c r="I3" s="17" t="s">
        <v>64</v>
      </c>
    </row>
    <row r="4" spans="1:9">
      <c r="A4" s="69" t="s">
        <v>36</v>
      </c>
      <c r="B4">
        <v>6789</v>
      </c>
      <c r="C4">
        <v>142</v>
      </c>
      <c r="D4" s="23">
        <v>0.0209161879510974</v>
      </c>
      <c r="E4">
        <v>234948</v>
      </c>
      <c r="F4">
        <v>551</v>
      </c>
      <c r="G4">
        <v>53</v>
      </c>
      <c r="H4" s="23">
        <v>0.00234519978888946</v>
      </c>
      <c r="I4" s="23">
        <v>0.0961887477313975</v>
      </c>
    </row>
    <row r="5" spans="1:9">
      <c r="A5" s="69" t="s">
        <v>39</v>
      </c>
      <c r="B5">
        <v>4350</v>
      </c>
      <c r="C5">
        <v>88</v>
      </c>
      <c r="D5" s="23">
        <v>0.0202298850574713</v>
      </c>
      <c r="E5">
        <v>369517</v>
      </c>
      <c r="F5">
        <v>711</v>
      </c>
      <c r="G5">
        <v>76</v>
      </c>
      <c r="H5" s="23">
        <v>0.00192413339575716</v>
      </c>
      <c r="I5" s="23">
        <v>0.106891701828411</v>
      </c>
    </row>
    <row r="6" spans="1:9">
      <c r="A6" s="69" t="s">
        <v>38</v>
      </c>
      <c r="B6">
        <v>4073</v>
      </c>
      <c r="C6">
        <v>112</v>
      </c>
      <c r="D6" s="23">
        <v>0.0274981586054505</v>
      </c>
      <c r="E6">
        <v>133485</v>
      </c>
      <c r="F6">
        <v>174</v>
      </c>
      <c r="G6">
        <v>14</v>
      </c>
      <c r="H6" s="23">
        <v>0.00130351724912912</v>
      </c>
      <c r="I6" s="23">
        <v>0.0804597701149425</v>
      </c>
    </row>
    <row r="7" spans="1:9">
      <c r="A7" s="69" t="s">
        <v>40</v>
      </c>
      <c r="B7">
        <v>3437</v>
      </c>
      <c r="C7">
        <v>86</v>
      </c>
      <c r="D7" s="23">
        <v>0.0250218213558336</v>
      </c>
      <c r="E7">
        <v>13644</v>
      </c>
      <c r="F7">
        <v>18</v>
      </c>
      <c r="G7">
        <v>2</v>
      </c>
      <c r="H7" s="23">
        <v>0.00131926121372032</v>
      </c>
      <c r="I7" s="23">
        <v>0.111111111111111</v>
      </c>
    </row>
    <row r="8" spans="1:9">
      <c r="A8" s="69" t="s">
        <v>37</v>
      </c>
      <c r="B8">
        <v>2435</v>
      </c>
      <c r="C8">
        <v>135</v>
      </c>
      <c r="D8" s="23">
        <v>0.0554414784394251</v>
      </c>
      <c r="E8">
        <v>36446</v>
      </c>
      <c r="F8">
        <v>74</v>
      </c>
      <c r="G8">
        <v>25</v>
      </c>
      <c r="H8" s="23">
        <v>0.0020304011414147</v>
      </c>
      <c r="I8" s="23">
        <v>0.337837837837838</v>
      </c>
    </row>
    <row r="9" spans="1:9">
      <c r="A9" s="69" t="s">
        <v>42</v>
      </c>
      <c r="B9">
        <v>2279</v>
      </c>
      <c r="C9">
        <v>83</v>
      </c>
      <c r="D9" s="23">
        <v>0.0364194822290478</v>
      </c>
      <c r="E9">
        <v>12229</v>
      </c>
      <c r="F9">
        <v>35</v>
      </c>
      <c r="G9">
        <v>3</v>
      </c>
      <c r="H9" s="23">
        <v>0.00286204922724671</v>
      </c>
      <c r="I9" s="23">
        <v>0.0857142857142857</v>
      </c>
    </row>
    <row r="10" spans="1:9">
      <c r="A10" s="69" t="s">
        <v>41</v>
      </c>
      <c r="B10">
        <v>2184</v>
      </c>
      <c r="C10">
        <v>86</v>
      </c>
      <c r="D10" s="23">
        <v>0.0393772893772894</v>
      </c>
      <c r="E10">
        <v>41933</v>
      </c>
      <c r="F10">
        <v>23</v>
      </c>
      <c r="G10">
        <v>6</v>
      </c>
      <c r="H10" s="23">
        <v>0.000548494026184628</v>
      </c>
      <c r="I10" s="23">
        <v>0.260869565217391</v>
      </c>
    </row>
    <row r="11" spans="1:9">
      <c r="A11" s="69" t="s">
        <v>47</v>
      </c>
      <c r="B11">
        <v>1965</v>
      </c>
      <c r="C11">
        <v>38</v>
      </c>
      <c r="D11" s="23">
        <v>0.0193384223918575</v>
      </c>
      <c r="E11">
        <v>55162</v>
      </c>
      <c r="F11">
        <v>114</v>
      </c>
      <c r="G11">
        <v>6</v>
      </c>
      <c r="H11" s="23">
        <v>0.00206664007831478</v>
      </c>
      <c r="I11" s="23">
        <v>0.0526315789473684</v>
      </c>
    </row>
    <row r="12" spans="1:9">
      <c r="A12" s="69" t="s">
        <v>44</v>
      </c>
      <c r="B12">
        <v>1898</v>
      </c>
      <c r="C12">
        <v>43</v>
      </c>
      <c r="D12" s="23">
        <v>0.0226554267650158</v>
      </c>
      <c r="E12">
        <v>24617</v>
      </c>
      <c r="F12">
        <v>14</v>
      </c>
      <c r="G12">
        <v>0</v>
      </c>
      <c r="H12" s="23">
        <v>0.000568712678230491</v>
      </c>
      <c r="I12" s="23">
        <v>0</v>
      </c>
    </row>
    <row r="13" spans="1:9">
      <c r="A13" s="69" t="s">
        <v>43</v>
      </c>
      <c r="B13">
        <v>1869</v>
      </c>
      <c r="C13">
        <v>57</v>
      </c>
      <c r="D13" s="23">
        <v>0.0304975922953451</v>
      </c>
      <c r="E13">
        <v>19464</v>
      </c>
      <c r="F13">
        <v>19</v>
      </c>
      <c r="G13">
        <v>1</v>
      </c>
      <c r="H13" s="23">
        <v>0.000976161117961365</v>
      </c>
      <c r="I13" s="23">
        <v>0.0526315789473684</v>
      </c>
    </row>
    <row r="14" spans="1:9">
      <c r="A14" s="69" t="s">
        <v>45</v>
      </c>
      <c r="B14">
        <v>1603</v>
      </c>
      <c r="C14">
        <v>42</v>
      </c>
      <c r="D14" s="23">
        <v>0.0262008733624454</v>
      </c>
      <c r="E14">
        <v>30691</v>
      </c>
      <c r="F14">
        <v>29</v>
      </c>
      <c r="G14">
        <v>3</v>
      </c>
      <c r="H14" s="23">
        <v>0.000944902414388583</v>
      </c>
      <c r="I14" s="23">
        <v>0.103448275862069</v>
      </c>
    </row>
    <row r="15" spans="1:9">
      <c r="A15" s="69" t="s">
        <v>48</v>
      </c>
      <c r="B15">
        <v>1572</v>
      </c>
      <c r="C15">
        <v>31</v>
      </c>
      <c r="D15" s="23">
        <v>0.0197201017811705</v>
      </c>
      <c r="E15">
        <v>11545</v>
      </c>
      <c r="F15">
        <v>18</v>
      </c>
      <c r="G15">
        <v>1</v>
      </c>
      <c r="H15" s="23">
        <v>0.00155911650064963</v>
      </c>
      <c r="I15" s="23">
        <v>0.0555555555555556</v>
      </c>
    </row>
    <row r="16" spans="1:9">
      <c r="A16" s="69" t="s">
        <v>51</v>
      </c>
      <c r="B16">
        <v>1372</v>
      </c>
      <c r="C16">
        <v>18</v>
      </c>
      <c r="D16" s="23">
        <v>0.0131195335276968</v>
      </c>
      <c r="E16">
        <v>2236</v>
      </c>
      <c r="F16">
        <v>5</v>
      </c>
      <c r="G16">
        <v>1</v>
      </c>
      <c r="H16" s="23">
        <v>0.00223613595706619</v>
      </c>
      <c r="I16" s="23">
        <v>0.2</v>
      </c>
    </row>
    <row r="17" spans="1:9">
      <c r="A17" s="69" t="s">
        <v>49</v>
      </c>
      <c r="B17">
        <v>1352</v>
      </c>
      <c r="C17">
        <v>24</v>
      </c>
      <c r="D17" s="23">
        <v>0.0177514792899408</v>
      </c>
      <c r="E17">
        <v>9267</v>
      </c>
      <c r="F17">
        <v>7</v>
      </c>
      <c r="G17">
        <v>2</v>
      </c>
      <c r="H17" s="23">
        <v>0.000755368511924032</v>
      </c>
      <c r="I17" s="23">
        <v>0.285714285714286</v>
      </c>
    </row>
    <row r="18" spans="1:9">
      <c r="A18" s="69" t="s">
        <v>46</v>
      </c>
      <c r="B18">
        <v>1303</v>
      </c>
      <c r="C18">
        <v>42</v>
      </c>
      <c r="D18" s="23">
        <v>0.0322333077513431</v>
      </c>
      <c r="E18">
        <v>39775</v>
      </c>
      <c r="F18">
        <v>32</v>
      </c>
      <c r="G18">
        <v>3</v>
      </c>
      <c r="H18" s="23">
        <v>0.000804525455688246</v>
      </c>
      <c r="I18" s="23">
        <v>0.09375</v>
      </c>
    </row>
    <row r="19" spans="1:9">
      <c r="A19" s="69" t="s">
        <v>50</v>
      </c>
      <c r="B19">
        <v>1208</v>
      </c>
      <c r="C19">
        <v>23</v>
      </c>
      <c r="D19" s="23">
        <v>0.0190397350993377</v>
      </c>
      <c r="E19">
        <v>123</v>
      </c>
      <c r="F19">
        <v>1</v>
      </c>
      <c r="G19">
        <v>0</v>
      </c>
      <c r="H19" s="23">
        <v>0.00813008130081301</v>
      </c>
      <c r="I19" s="23">
        <v>0</v>
      </c>
    </row>
    <row r="20" spans="1:9">
      <c r="A20" s="69" t="s">
        <v>52</v>
      </c>
      <c r="B20">
        <v>1077</v>
      </c>
      <c r="C20">
        <v>17</v>
      </c>
      <c r="D20" s="23">
        <v>0.0157845868152275</v>
      </c>
      <c r="E20">
        <v>29555</v>
      </c>
      <c r="F20">
        <v>26</v>
      </c>
      <c r="G20">
        <v>1</v>
      </c>
      <c r="H20" s="23">
        <v>0.000879715784131281</v>
      </c>
      <c r="I20" s="23">
        <v>0.0384615384615385</v>
      </c>
    </row>
    <row r="21" spans="1:9">
      <c r="A21" s="69" t="s">
        <v>55</v>
      </c>
      <c r="B21">
        <v>742</v>
      </c>
      <c r="C21">
        <v>5</v>
      </c>
      <c r="D21" s="23">
        <v>0.00673854447439353</v>
      </c>
      <c r="E21">
        <v>0</v>
      </c>
      <c r="F21">
        <v>0</v>
      </c>
      <c r="G21">
        <v>0</v>
      </c>
      <c r="H21" s="23" t="e">
        <v>#DIV/0!</v>
      </c>
      <c r="I21" s="23" t="e">
        <v>#DIV/0!</v>
      </c>
    </row>
    <row r="22" spans="1:9">
      <c r="A22" s="69" t="s">
        <v>53</v>
      </c>
      <c r="B22">
        <v>674</v>
      </c>
      <c r="C22">
        <v>11</v>
      </c>
      <c r="D22" s="23">
        <v>0.0163204747774481</v>
      </c>
      <c r="E22">
        <v>8690</v>
      </c>
      <c r="F22">
        <v>4</v>
      </c>
      <c r="G22">
        <v>1</v>
      </c>
      <c r="H22" s="23">
        <v>0.00046029919447641</v>
      </c>
      <c r="I22" s="23">
        <v>0.25</v>
      </c>
    </row>
    <row r="23" spans="1:9">
      <c r="A23" s="69" t="s">
        <v>54</v>
      </c>
      <c r="B23">
        <v>640</v>
      </c>
      <c r="C23">
        <v>6</v>
      </c>
      <c r="D23" s="23">
        <v>0.009375</v>
      </c>
      <c r="E23">
        <v>74</v>
      </c>
      <c r="F23">
        <v>0</v>
      </c>
      <c r="G23">
        <v>0</v>
      </c>
      <c r="H23" s="23">
        <v>0</v>
      </c>
      <c r="I23" s="23" t="e">
        <v>#DIV/0!</v>
      </c>
    </row>
    <row r="24" spans="1:9">
      <c r="A24" s="69" t="s">
        <v>65</v>
      </c>
      <c r="D24" s="23" t="e">
        <v>#DIV/0!</v>
      </c>
      <c r="H24" s="23" t="e">
        <v>#DIV/0!</v>
      </c>
      <c r="I24" s="23" t="e">
        <v>#DIV/0!</v>
      </c>
    </row>
    <row r="25" spans="1:9">
      <c r="A25" s="69" t="s">
        <v>66</v>
      </c>
      <c r="B25">
        <v>42822</v>
      </c>
      <c r="C25">
        <v>1089</v>
      </c>
      <c r="D25" s="23">
        <v>0.0254308532997058</v>
      </c>
      <c r="E25">
        <v>1073401</v>
      </c>
      <c r="F25">
        <v>1855</v>
      </c>
      <c r="G25">
        <v>198</v>
      </c>
      <c r="H25" s="23">
        <v>0.00172815192085716</v>
      </c>
      <c r="I25" s="23">
        <v>0.106738544474394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0000"/>
  </sheetPr>
  <dimension ref="A1:AE6"/>
  <sheetViews>
    <sheetView tabSelected="1" zoomScale="85" zoomScaleNormal="85" workbookViewId="0">
      <pane xSplit="5" ySplit="3" topLeftCell="F4" activePane="bottomRight" state="frozen"/>
      <selection/>
      <selection pane="topRight"/>
      <selection pane="bottomLeft"/>
      <selection pane="bottomRight" activeCell="H13" sqref="H13"/>
    </sheetView>
  </sheetViews>
  <sheetFormatPr defaultColWidth="9" defaultRowHeight="14" outlineLevelRow="5"/>
  <cols>
    <col min="1" max="1" width="15.7272727272727" hidden="1" customWidth="1"/>
    <col min="2" max="4" width="11.2727272727273" customWidth="1"/>
    <col min="5" max="5" width="18.7454545454545" customWidth="1"/>
    <col min="9" max="10" width="9" customWidth="1"/>
    <col min="14" max="14" width="9" customWidth="1"/>
    <col min="15" max="15" width="15.5454545454545" customWidth="1"/>
    <col min="16" max="16" width="11.1818181818182" customWidth="1"/>
    <col min="17" max="18" width="9" customWidth="1"/>
    <col min="24" max="24" width="8.29090909090909" customWidth="1"/>
    <col min="25" max="25" width="9" style="18"/>
    <col min="26" max="26" width="9" style="19"/>
    <col min="27" max="27" width="8.72727272727273" style="19"/>
  </cols>
  <sheetData>
    <row r="1" s="53" customFormat="1" spans="2:27">
      <c r="B1" s="55" t="s">
        <v>8</v>
      </c>
      <c r="Y1" s="63"/>
      <c r="Z1" s="64"/>
      <c r="AA1" s="64"/>
    </row>
    <row r="2" s="53" customFormat="1" ht="14.75" spans="2:27">
      <c r="B2" s="55" t="s">
        <v>9</v>
      </c>
      <c r="Y2" s="63"/>
      <c r="Z2" s="64"/>
      <c r="AA2" s="64"/>
    </row>
    <row r="3" s="54" customFormat="1" ht="70" spans="1:31">
      <c r="A3" s="56" t="s">
        <v>18</v>
      </c>
      <c r="B3" s="57" t="s">
        <v>67</v>
      </c>
      <c r="C3" s="57" t="s">
        <v>68</v>
      </c>
      <c r="D3" s="57" t="s">
        <v>69</v>
      </c>
      <c r="E3" s="57" t="s">
        <v>70</v>
      </c>
      <c r="F3" s="57" t="s">
        <v>19</v>
      </c>
      <c r="G3" s="57" t="s">
        <v>71</v>
      </c>
      <c r="H3" s="57" t="s">
        <v>72</v>
      </c>
      <c r="I3" s="57" t="s">
        <v>73</v>
      </c>
      <c r="J3" s="57" t="s">
        <v>74</v>
      </c>
      <c r="K3" s="57" t="s">
        <v>20</v>
      </c>
      <c r="L3" s="57" t="s">
        <v>75</v>
      </c>
      <c r="M3" s="58" t="s">
        <v>76</v>
      </c>
      <c r="N3" s="57" t="s">
        <v>77</v>
      </c>
      <c r="O3" s="57" t="s">
        <v>78</v>
      </c>
      <c r="P3" s="57" t="s">
        <v>79</v>
      </c>
      <c r="Q3" s="57" t="s">
        <v>80</v>
      </c>
      <c r="R3" s="57" t="s">
        <v>81</v>
      </c>
      <c r="S3" s="59" t="s">
        <v>27</v>
      </c>
      <c r="T3" s="59" t="s">
        <v>82</v>
      </c>
      <c r="U3" s="59" t="s">
        <v>29</v>
      </c>
      <c r="V3" s="60" t="s">
        <v>22</v>
      </c>
      <c r="W3" s="60" t="s">
        <v>23</v>
      </c>
      <c r="X3" s="61" t="s">
        <v>83</v>
      </c>
      <c r="Y3" s="61" t="s">
        <v>84</v>
      </c>
      <c r="Z3" s="65" t="s">
        <v>85</v>
      </c>
      <c r="AA3" s="65" t="s">
        <v>24</v>
      </c>
      <c r="AB3" s="66" t="s">
        <v>30</v>
      </c>
      <c r="AC3" s="66" t="s">
        <v>86</v>
      </c>
      <c r="AD3" s="66" t="s">
        <v>32</v>
      </c>
      <c r="AE3" s="67" t="s">
        <v>87</v>
      </c>
    </row>
    <row r="4" spans="1:31">
      <c r="A4" t="e">
        <f>LEFT(E4,FIND("_",E4,11)-1)</f>
        <v>#VALUE!</v>
      </c>
      <c r="B4" s="43" t="s">
        <v>88</v>
      </c>
      <c r="C4" s="43" t="s">
        <v>89</v>
      </c>
      <c r="D4" s="43" t="s">
        <v>90</v>
      </c>
      <c r="E4" s="43" t="s">
        <v>91</v>
      </c>
      <c r="F4" s="45">
        <v>1003</v>
      </c>
      <c r="G4" s="46">
        <v>0.297</v>
      </c>
      <c r="H4" s="45">
        <v>1298</v>
      </c>
      <c r="I4" s="46">
        <v>0.3119</v>
      </c>
      <c r="J4" s="46">
        <v>1</v>
      </c>
      <c r="K4" s="43">
        <v>44</v>
      </c>
      <c r="L4" s="43">
        <v>1</v>
      </c>
      <c r="M4" s="46">
        <v>0.0439</v>
      </c>
      <c r="N4" s="46">
        <v>0.0588</v>
      </c>
      <c r="O4" s="50">
        <v>1289.57</v>
      </c>
      <c r="P4" s="50">
        <v>29.99</v>
      </c>
      <c r="Q4" s="43">
        <v>43</v>
      </c>
      <c r="R4" s="43">
        <v>1</v>
      </c>
      <c r="S4">
        <f>RANK(F4,F:F,0)</f>
        <v>2</v>
      </c>
      <c r="T4">
        <f>RANK(O4,O:O,0)</f>
        <v>1</v>
      </c>
      <c r="U4">
        <f>RANK(M4,M:M,0)</f>
        <v>1</v>
      </c>
      <c r="V4">
        <f>IFERROR(VLOOKUP(E4,'3.SKU处理-排名'!A:B,2,0),0)</f>
        <v>284886</v>
      </c>
      <c r="W4">
        <f>IFERROR(VLOOKUP(E4,'3.SKU处理-排名'!A:J,3,0),0)</f>
        <v>542</v>
      </c>
      <c r="X4" s="62">
        <f>IFERROR(VLOOKUP(E4,'3.SKU处理-排名'!A:D,4,0),0)</f>
        <v>0.00190251539212176</v>
      </c>
      <c r="Y4" s="18">
        <f>IFERROR(VLOOKUP(E4,'3.SKU处理-排名'!A:J,5,0),0)</f>
        <v>0.0645756457564576</v>
      </c>
      <c r="Z4" s="19">
        <f>IFERROR(VLOOKUP(E4,'3.SKU处理-排名'!A:J,6,0),0)</f>
        <v>1.89068151262095</v>
      </c>
      <c r="AA4" s="68">
        <f>IFERROR(VLOOKUP(E4,'3.SKU处理-排名'!A:G,7,0),0)</f>
        <v>36</v>
      </c>
      <c r="AB4">
        <f>IFERROR(VLOOKUP(E4,'3.SKU处理-排名'!A:J,8,0),0)</f>
        <v>1</v>
      </c>
      <c r="AC4">
        <f>IFERROR(VLOOKUP(E4,'3.SKU处理-排名'!A:I,9,0),0)</f>
        <v>3</v>
      </c>
      <c r="AD4">
        <f>IFERROR(VLOOKUP(E4,'3.SKU处理-排名'!A:J,9,0),0)</f>
        <v>3</v>
      </c>
      <c r="AE4" t="s">
        <v>92</v>
      </c>
    </row>
    <row r="5" spans="1:31">
      <c r="A5" t="e">
        <f>LEFT(E5,FIND("_",E5,11)-1)</f>
        <v>#VALUE!</v>
      </c>
      <c r="B5" s="43" t="s">
        <v>88</v>
      </c>
      <c r="C5" s="43" t="s">
        <v>93</v>
      </c>
      <c r="D5" s="43" t="s">
        <v>94</v>
      </c>
      <c r="E5" s="43" t="s">
        <v>95</v>
      </c>
      <c r="F5" s="45">
        <v>1473</v>
      </c>
      <c r="G5" s="46">
        <v>0.4362</v>
      </c>
      <c r="H5" s="45">
        <v>1797</v>
      </c>
      <c r="I5" s="46">
        <v>0.4319</v>
      </c>
      <c r="J5" s="46">
        <v>1</v>
      </c>
      <c r="K5" s="43">
        <v>35</v>
      </c>
      <c r="L5" s="43">
        <v>0</v>
      </c>
      <c r="M5" s="46">
        <v>0.0238</v>
      </c>
      <c r="N5" s="46">
        <v>0</v>
      </c>
      <c r="O5" s="50">
        <v>883.65</v>
      </c>
      <c r="P5" s="50">
        <v>0</v>
      </c>
      <c r="Q5" s="43">
        <v>34</v>
      </c>
      <c r="R5" s="43">
        <v>0</v>
      </c>
      <c r="S5">
        <f>RANK(F5,F:F,0)</f>
        <v>1</v>
      </c>
      <c r="T5">
        <f>RANK(O5,O:O,0)</f>
        <v>2</v>
      </c>
      <c r="U5">
        <f>RANK(M5,M:M,0)</f>
        <v>3</v>
      </c>
      <c r="V5">
        <f>IFERROR(VLOOKUP(E5,'3.SKU处理-排名'!A:B,2,0),0)</f>
        <v>64123</v>
      </c>
      <c r="W5">
        <f>IFERROR(VLOOKUP(E5,'3.SKU处理-排名'!A:J,3,0),0)</f>
        <v>278</v>
      </c>
      <c r="X5" s="62">
        <f>IFERROR(VLOOKUP(E5,'3.SKU处理-排名'!A:D,4,0),0)</f>
        <v>0.00433541786878343</v>
      </c>
      <c r="Y5" s="18">
        <f>IFERROR(VLOOKUP(E5,'3.SKU处理-排名'!A:J,5,0),0)</f>
        <v>0.0215827338129496</v>
      </c>
      <c r="Z5" s="19">
        <f>IFERROR(VLOOKUP(E5,'3.SKU处理-排名'!A:J,6,0),0)</f>
        <v>0.547208489087182</v>
      </c>
      <c r="AA5" s="68">
        <f>IFERROR(VLOOKUP(E5,'3.SKU处理-排名'!A:G,7,0),0)</f>
        <v>6</v>
      </c>
      <c r="AB5">
        <f>IFERROR(VLOOKUP(E5,'3.SKU处理-排名'!A:J,8,0),0)</f>
        <v>3</v>
      </c>
      <c r="AC5">
        <f>IFERROR(VLOOKUP(E5,'3.SKU处理-排名'!A:I,9,0),0)</f>
        <v>1</v>
      </c>
      <c r="AD5">
        <f>IFERROR(VLOOKUP(E5,'3.SKU处理-排名'!A:J,9,0),0)</f>
        <v>1</v>
      </c>
      <c r="AE5" t="s">
        <v>96</v>
      </c>
    </row>
    <row r="6" spans="1:31">
      <c r="A6" t="e">
        <f>LEFT(E6,FIND("_",E6,11)-1)</f>
        <v>#VALUE!</v>
      </c>
      <c r="B6" s="43" t="s">
        <v>88</v>
      </c>
      <c r="C6" s="43" t="s">
        <v>97</v>
      </c>
      <c r="D6" s="43" t="s">
        <v>98</v>
      </c>
      <c r="E6" s="43" t="s">
        <v>99</v>
      </c>
      <c r="F6" s="43">
        <v>611</v>
      </c>
      <c r="G6" s="46">
        <v>0.1809</v>
      </c>
      <c r="H6" s="43">
        <v>747</v>
      </c>
      <c r="I6" s="46">
        <v>0.1795</v>
      </c>
      <c r="J6" s="46">
        <v>1</v>
      </c>
      <c r="K6" s="43">
        <v>23</v>
      </c>
      <c r="L6" s="43">
        <v>0</v>
      </c>
      <c r="M6" s="46">
        <v>0.0376</v>
      </c>
      <c r="N6" s="46">
        <v>0</v>
      </c>
      <c r="O6" s="50">
        <v>301.77</v>
      </c>
      <c r="P6" s="50">
        <v>0</v>
      </c>
      <c r="Q6" s="43">
        <v>18</v>
      </c>
      <c r="R6" s="43">
        <v>0</v>
      </c>
      <c r="S6">
        <f>RANK(F6,F:F,0)</f>
        <v>3</v>
      </c>
      <c r="T6">
        <f>RANK(O6,O:O,0)</f>
        <v>3</v>
      </c>
      <c r="U6">
        <f>RANK(M6,M:M,0)</f>
        <v>2</v>
      </c>
      <c r="V6">
        <f>IFERROR(VLOOKUP(E6,'3.SKU处理-排名'!A:B,2,0),0)</f>
        <v>94170</v>
      </c>
      <c r="W6">
        <f>IFERROR(VLOOKUP(E6,'3.SKU处理-排名'!A:J,3,0),0)</f>
        <v>333</v>
      </c>
      <c r="X6" s="62">
        <f>IFERROR(VLOOKUP(E6,'3.SKU处理-排名'!A:D,4,0),0)</f>
        <v>0.00353615801210577</v>
      </c>
      <c r="Y6" s="18">
        <f>IFERROR(VLOOKUP(E6,'3.SKU处理-排名'!A:J,5,0),0)</f>
        <v>0.045045045045045</v>
      </c>
      <c r="Z6" s="19">
        <f>IFERROR(VLOOKUP(E6,'3.SKU处理-排名'!A:J,6,0),0)</f>
        <v>1.0893751917374</v>
      </c>
      <c r="AA6" s="68">
        <f>IFERROR(VLOOKUP(E6,'3.SKU处理-排名'!A:G,7,0),0)</f>
        <v>21</v>
      </c>
      <c r="AB6">
        <f>IFERROR(VLOOKUP(E6,'3.SKU处理-排名'!A:J,8,0),0)</f>
        <v>2</v>
      </c>
      <c r="AC6">
        <f>IFERROR(VLOOKUP(E6,'3.SKU处理-排名'!A:I,9,0),0)</f>
        <v>2</v>
      </c>
      <c r="AD6">
        <f>IFERROR(VLOOKUP(E6,'3.SKU处理-排名'!A:J,9,0),0)</f>
        <v>2</v>
      </c>
      <c r="AE6" t="s">
        <v>100</v>
      </c>
    </row>
  </sheetData>
  <autoFilter ref="A3:AE6">
    <sortState ref="A3:AE6">
      <sortCondition ref="A3"/>
    </sortState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7030A0"/>
  </sheetPr>
  <dimension ref="A1:R83"/>
  <sheetViews>
    <sheetView zoomScale="83" zoomScaleNormal="83" workbookViewId="0">
      <selection activeCell="J16" sqref="J16"/>
    </sheetView>
  </sheetViews>
  <sheetFormatPr defaultColWidth="9" defaultRowHeight="14"/>
  <cols>
    <col min="1" max="1" width="13" customWidth="1"/>
    <col min="2" max="2" width="13.7272727272727" customWidth="1"/>
    <col min="3" max="3" width="13.2727272727273" customWidth="1"/>
    <col min="4" max="4" width="16.4545454545455" customWidth="1"/>
    <col min="7" max="7" width="10.7181818181818" customWidth="1"/>
    <col min="14" max="14" width="13.8181818181818" customWidth="1"/>
    <col min="15" max="15" width="10.9090909090909" customWidth="1"/>
  </cols>
  <sheetData>
    <row r="1" s="42" customFormat="1" ht="56" spans="1:18">
      <c r="A1" s="44" t="s">
        <v>67</v>
      </c>
      <c r="B1" s="44" t="s">
        <v>68</v>
      </c>
      <c r="C1" s="44" t="s">
        <v>69</v>
      </c>
      <c r="D1" s="44" t="s">
        <v>70</v>
      </c>
      <c r="E1" s="44" t="s">
        <v>19</v>
      </c>
      <c r="F1" s="44" t="s">
        <v>71</v>
      </c>
      <c r="G1" s="44" t="s">
        <v>72</v>
      </c>
      <c r="H1" s="44" t="s">
        <v>73</v>
      </c>
      <c r="I1" s="44" t="s">
        <v>74</v>
      </c>
      <c r="J1" s="44" t="s">
        <v>20</v>
      </c>
      <c r="K1" s="44" t="s">
        <v>75</v>
      </c>
      <c r="L1" s="44" t="s">
        <v>76</v>
      </c>
      <c r="M1" s="44" t="s">
        <v>77</v>
      </c>
      <c r="N1" s="44" t="s">
        <v>78</v>
      </c>
      <c r="O1" s="44" t="s">
        <v>79</v>
      </c>
      <c r="P1" s="44" t="s">
        <v>80</v>
      </c>
      <c r="Q1" s="44" t="s">
        <v>81</v>
      </c>
      <c r="R1" s="52"/>
    </row>
    <row r="2" s="43" customFormat="1" spans="1:17">
      <c r="A2" s="43" t="s">
        <v>88</v>
      </c>
      <c r="B2" s="43" t="s">
        <v>89</v>
      </c>
      <c r="C2" s="43" t="s">
        <v>90</v>
      </c>
      <c r="D2" s="43" t="s">
        <v>91</v>
      </c>
      <c r="E2" s="45">
        <v>1003</v>
      </c>
      <c r="F2" s="46">
        <v>0.297</v>
      </c>
      <c r="G2" s="45">
        <v>1298</v>
      </c>
      <c r="H2" s="46">
        <v>0.3119</v>
      </c>
      <c r="I2" s="46">
        <v>1</v>
      </c>
      <c r="J2" s="43">
        <v>44</v>
      </c>
      <c r="K2" s="43">
        <v>1</v>
      </c>
      <c r="L2" s="46">
        <v>0.0439</v>
      </c>
      <c r="M2" s="46">
        <v>0.0588</v>
      </c>
      <c r="N2" s="50">
        <v>1289.57</v>
      </c>
      <c r="O2" s="50">
        <v>29.99</v>
      </c>
      <c r="P2" s="43">
        <v>43</v>
      </c>
      <c r="Q2" s="43">
        <v>1</v>
      </c>
    </row>
    <row r="3" s="43" customFormat="1" spans="1:17">
      <c r="A3" s="43" t="s">
        <v>88</v>
      </c>
      <c r="B3" s="43" t="s">
        <v>93</v>
      </c>
      <c r="C3" s="43" t="s">
        <v>94</v>
      </c>
      <c r="D3" s="43" t="s">
        <v>95</v>
      </c>
      <c r="E3" s="45">
        <v>1473</v>
      </c>
      <c r="F3" s="46">
        <v>0.4362</v>
      </c>
      <c r="G3" s="45">
        <v>1797</v>
      </c>
      <c r="H3" s="46">
        <v>0.4319</v>
      </c>
      <c r="I3" s="46">
        <v>1</v>
      </c>
      <c r="J3" s="43">
        <v>35</v>
      </c>
      <c r="K3" s="43">
        <v>0</v>
      </c>
      <c r="L3" s="46">
        <v>0.0238</v>
      </c>
      <c r="M3" s="46">
        <v>0</v>
      </c>
      <c r="N3" s="50">
        <v>883.65</v>
      </c>
      <c r="O3" s="50">
        <v>0</v>
      </c>
      <c r="P3" s="43">
        <v>34</v>
      </c>
      <c r="Q3" s="43">
        <v>0</v>
      </c>
    </row>
    <row r="4" s="43" customFormat="1" spans="1:17">
      <c r="A4" s="43" t="s">
        <v>88</v>
      </c>
      <c r="B4" s="43" t="s">
        <v>97</v>
      </c>
      <c r="C4" s="43" t="s">
        <v>98</v>
      </c>
      <c r="D4" s="43" t="s">
        <v>99</v>
      </c>
      <c r="E4" s="43">
        <v>611</v>
      </c>
      <c r="F4" s="46">
        <v>0.1809</v>
      </c>
      <c r="G4" s="43">
        <v>747</v>
      </c>
      <c r="H4" s="46">
        <v>0.1795</v>
      </c>
      <c r="I4" s="46">
        <v>1</v>
      </c>
      <c r="J4" s="43">
        <v>23</v>
      </c>
      <c r="K4" s="43">
        <v>0</v>
      </c>
      <c r="L4" s="46">
        <v>0.0376</v>
      </c>
      <c r="M4" s="46">
        <v>0</v>
      </c>
      <c r="N4" s="50">
        <v>301.77</v>
      </c>
      <c r="O4" s="50">
        <v>0</v>
      </c>
      <c r="P4" s="43">
        <v>18</v>
      </c>
      <c r="Q4" s="43">
        <v>0</v>
      </c>
    </row>
    <row r="5" s="43" customFormat="1" spans="1:17">
      <c r="A5" s="43" t="s">
        <v>101</v>
      </c>
      <c r="B5" s="43" t="s">
        <v>101</v>
      </c>
      <c r="C5" s="43" t="s">
        <v>102</v>
      </c>
      <c r="D5" s="43" t="s">
        <v>103</v>
      </c>
      <c r="E5" s="43">
        <v>181</v>
      </c>
      <c r="F5" s="46">
        <v>0.0536</v>
      </c>
      <c r="G5" s="43">
        <v>197</v>
      </c>
      <c r="H5" s="46">
        <v>0.0473</v>
      </c>
      <c r="I5" s="46">
        <v>0.9492</v>
      </c>
      <c r="J5" s="43">
        <v>9</v>
      </c>
      <c r="K5" s="43">
        <v>0</v>
      </c>
      <c r="L5" s="46">
        <v>0.0497</v>
      </c>
      <c r="M5" s="46">
        <v>0</v>
      </c>
      <c r="N5" s="50">
        <v>0</v>
      </c>
      <c r="O5" s="50">
        <v>0</v>
      </c>
      <c r="P5" s="43">
        <v>9</v>
      </c>
      <c r="Q5" s="43">
        <v>0</v>
      </c>
    </row>
    <row r="6" s="43" customFormat="1" spans="1:17">
      <c r="A6" s="43" t="s">
        <v>104</v>
      </c>
      <c r="B6" s="43" t="s">
        <v>104</v>
      </c>
      <c r="C6" s="43" t="s">
        <v>105</v>
      </c>
      <c r="D6" s="43" t="s">
        <v>106</v>
      </c>
      <c r="E6" s="43">
        <v>61</v>
      </c>
      <c r="F6" s="46">
        <v>0.0181</v>
      </c>
      <c r="G6" s="43">
        <v>66</v>
      </c>
      <c r="H6" s="46">
        <v>0.0159</v>
      </c>
      <c r="I6" s="46">
        <v>0.9545</v>
      </c>
      <c r="J6" s="43">
        <v>8</v>
      </c>
      <c r="K6" s="43">
        <v>0</v>
      </c>
      <c r="L6" s="46">
        <v>0.1311</v>
      </c>
      <c r="M6" s="46">
        <v>0</v>
      </c>
      <c r="N6" s="50">
        <v>0</v>
      </c>
      <c r="O6" s="50">
        <v>0</v>
      </c>
      <c r="P6" s="43">
        <v>8</v>
      </c>
      <c r="Q6" s="43">
        <v>0</v>
      </c>
    </row>
    <row r="7" s="43" customFormat="1" spans="1:17">
      <c r="A7" s="43" t="s">
        <v>97</v>
      </c>
      <c r="B7" s="43" t="s">
        <v>97</v>
      </c>
      <c r="C7" s="43" t="s">
        <v>98</v>
      </c>
      <c r="D7" s="43" t="s">
        <v>99</v>
      </c>
      <c r="E7" s="43">
        <v>48</v>
      </c>
      <c r="F7" s="46">
        <v>0.0142</v>
      </c>
      <c r="G7" s="43">
        <v>56</v>
      </c>
      <c r="H7" s="46">
        <v>0.0135</v>
      </c>
      <c r="I7" s="46">
        <v>1</v>
      </c>
      <c r="J7" s="43">
        <v>8</v>
      </c>
      <c r="K7" s="43">
        <v>0</v>
      </c>
      <c r="L7" s="46">
        <v>0.1667</v>
      </c>
      <c r="M7" s="46">
        <v>0</v>
      </c>
      <c r="N7" s="50">
        <v>0</v>
      </c>
      <c r="O7" s="50">
        <v>0</v>
      </c>
      <c r="P7" s="43">
        <v>8</v>
      </c>
      <c r="Q7" s="43">
        <v>0</v>
      </c>
    </row>
    <row r="8" spans="1:17">
      <c r="A8" s="47"/>
      <c r="B8" s="47"/>
      <c r="C8" s="47"/>
      <c r="D8" s="47"/>
      <c r="E8" s="48"/>
      <c r="F8" s="49"/>
      <c r="G8" s="48"/>
      <c r="H8" s="49"/>
      <c r="I8" s="49"/>
      <c r="J8" s="47"/>
      <c r="K8" s="47"/>
      <c r="L8" s="49"/>
      <c r="M8" s="49"/>
      <c r="N8" s="51"/>
      <c r="O8" s="51"/>
      <c r="P8" s="47"/>
      <c r="Q8" s="47"/>
    </row>
    <row r="9" spans="1:17">
      <c r="A9" s="47"/>
      <c r="B9" s="47"/>
      <c r="C9" s="47"/>
      <c r="D9" s="47"/>
      <c r="E9" s="47"/>
      <c r="F9" s="49"/>
      <c r="G9" s="47"/>
      <c r="H9" s="49"/>
      <c r="I9" s="49"/>
      <c r="J9" s="47"/>
      <c r="K9" s="47"/>
      <c r="L9" s="49"/>
      <c r="M9" s="49"/>
      <c r="N9" s="51"/>
      <c r="O9" s="51"/>
      <c r="P9" s="47"/>
      <c r="Q9" s="47"/>
    </row>
    <row r="10" spans="1:17">
      <c r="A10" s="47"/>
      <c r="B10" s="47"/>
      <c r="C10" s="47"/>
      <c r="D10" s="47"/>
      <c r="E10" s="47"/>
      <c r="F10" s="49"/>
      <c r="G10" s="47"/>
      <c r="H10" s="49"/>
      <c r="I10" s="49"/>
      <c r="J10" s="47"/>
      <c r="K10" s="47"/>
      <c r="L10" s="49"/>
      <c r="M10" s="49"/>
      <c r="N10" s="51"/>
      <c r="O10" s="51"/>
      <c r="P10" s="47"/>
      <c r="Q10" s="47"/>
    </row>
    <row r="11" spans="1:17">
      <c r="A11" s="47"/>
      <c r="B11" s="47"/>
      <c r="C11" s="47"/>
      <c r="D11" s="47"/>
      <c r="E11" s="47"/>
      <c r="F11" s="49"/>
      <c r="G11" s="47"/>
      <c r="H11" s="49"/>
      <c r="I11" s="49"/>
      <c r="J11" s="47"/>
      <c r="K11" s="47"/>
      <c r="L11" s="49"/>
      <c r="M11" s="49"/>
      <c r="N11" s="51"/>
      <c r="O11" s="51"/>
      <c r="P11" s="47"/>
      <c r="Q11" s="47"/>
    </row>
    <row r="12" spans="1:17">
      <c r="A12" s="47"/>
      <c r="B12" s="47"/>
      <c r="C12" s="47"/>
      <c r="D12" s="47"/>
      <c r="E12" s="47"/>
      <c r="F12" s="49"/>
      <c r="G12" s="48"/>
      <c r="H12" s="49"/>
      <c r="I12" s="49"/>
      <c r="J12" s="47"/>
      <c r="K12" s="47"/>
      <c r="L12" s="49"/>
      <c r="M12" s="49"/>
      <c r="N12" s="51"/>
      <c r="O12" s="51"/>
      <c r="P12" s="47"/>
      <c r="Q12" s="47"/>
    </row>
    <row r="13" spans="1:17">
      <c r="A13" s="47"/>
      <c r="B13" s="47"/>
      <c r="C13" s="47"/>
      <c r="D13" s="47"/>
      <c r="E13" s="47"/>
      <c r="F13" s="49"/>
      <c r="G13" s="48"/>
      <c r="H13" s="49"/>
      <c r="I13" s="49"/>
      <c r="J13" s="47"/>
      <c r="K13" s="47"/>
      <c r="L13" s="49"/>
      <c r="M13" s="49"/>
      <c r="N13" s="51"/>
      <c r="O13" s="51"/>
      <c r="P13" s="47"/>
      <c r="Q13" s="47"/>
    </row>
    <row r="14" spans="1:17">
      <c r="A14" s="47"/>
      <c r="B14" s="47"/>
      <c r="C14" s="47"/>
      <c r="D14" s="47"/>
      <c r="E14" s="47"/>
      <c r="F14" s="49"/>
      <c r="G14" s="47"/>
      <c r="H14" s="49"/>
      <c r="I14" s="49"/>
      <c r="J14" s="47"/>
      <c r="K14" s="47"/>
      <c r="L14" s="49"/>
      <c r="M14" s="49"/>
      <c r="N14" s="51"/>
      <c r="O14" s="51"/>
      <c r="P14" s="47"/>
      <c r="Q14" s="47"/>
    </row>
    <row r="15" spans="1:17">
      <c r="A15" s="47"/>
      <c r="B15" s="47"/>
      <c r="C15" s="47"/>
      <c r="D15" s="47"/>
      <c r="E15" s="47"/>
      <c r="F15" s="49"/>
      <c r="G15" s="47"/>
      <c r="H15" s="49"/>
      <c r="I15" s="49"/>
      <c r="J15" s="47"/>
      <c r="K15" s="47"/>
      <c r="L15" s="49"/>
      <c r="M15" s="49"/>
      <c r="N15" s="51"/>
      <c r="O15" s="51"/>
      <c r="P15" s="47"/>
      <c r="Q15" s="47"/>
    </row>
    <row r="16" spans="1:17">
      <c r="A16" s="47"/>
      <c r="B16" s="47"/>
      <c r="C16" s="47"/>
      <c r="D16" s="47"/>
      <c r="E16" s="47"/>
      <c r="F16" s="49"/>
      <c r="G16" s="47"/>
      <c r="H16" s="49"/>
      <c r="I16" s="49"/>
      <c r="J16" s="47"/>
      <c r="K16" s="47"/>
      <c r="L16" s="49"/>
      <c r="M16" s="49"/>
      <c r="N16" s="51"/>
      <c r="O16" s="51"/>
      <c r="P16" s="47"/>
      <c r="Q16" s="47"/>
    </row>
    <row r="17" spans="1:17">
      <c r="A17" s="47"/>
      <c r="B17" s="47"/>
      <c r="C17" s="47"/>
      <c r="D17" s="47"/>
      <c r="E17" s="47"/>
      <c r="F17" s="49"/>
      <c r="G17" s="47"/>
      <c r="H17" s="49"/>
      <c r="I17" s="49"/>
      <c r="J17" s="47"/>
      <c r="K17" s="47"/>
      <c r="L17" s="49"/>
      <c r="M17" s="49"/>
      <c r="N17" s="51"/>
      <c r="O17" s="51"/>
      <c r="P17" s="47"/>
      <c r="Q17" s="47"/>
    </row>
    <row r="18" spans="1:17">
      <c r="A18" s="47"/>
      <c r="B18" s="47"/>
      <c r="C18" s="47"/>
      <c r="D18" s="47"/>
      <c r="E18" s="47"/>
      <c r="F18" s="49"/>
      <c r="G18" s="47"/>
      <c r="H18" s="49"/>
      <c r="I18" s="49"/>
      <c r="J18" s="47"/>
      <c r="K18" s="47"/>
      <c r="L18" s="49"/>
      <c r="M18" s="49"/>
      <c r="N18" s="51"/>
      <c r="O18" s="51"/>
      <c r="P18" s="47"/>
      <c r="Q18" s="47"/>
    </row>
    <row r="19" spans="1:17">
      <c r="A19" s="47"/>
      <c r="B19" s="47"/>
      <c r="C19" s="47"/>
      <c r="D19" s="47"/>
      <c r="E19" s="47"/>
      <c r="F19" s="49"/>
      <c r="G19" s="47"/>
      <c r="H19" s="49"/>
      <c r="I19" s="49"/>
      <c r="J19" s="47"/>
      <c r="K19" s="47"/>
      <c r="L19" s="49"/>
      <c r="M19" s="49"/>
      <c r="N19" s="51"/>
      <c r="O19" s="51"/>
      <c r="P19" s="47"/>
      <c r="Q19" s="47"/>
    </row>
    <row r="20" spans="1:17">
      <c r="A20" s="47"/>
      <c r="B20" s="47"/>
      <c r="C20" s="47"/>
      <c r="D20" s="47"/>
      <c r="E20" s="47"/>
      <c r="F20" s="49"/>
      <c r="G20" s="47"/>
      <c r="H20" s="49"/>
      <c r="I20" s="49"/>
      <c r="J20" s="47"/>
      <c r="K20" s="47"/>
      <c r="L20" s="49"/>
      <c r="M20" s="49"/>
      <c r="N20" s="51"/>
      <c r="O20" s="51"/>
      <c r="P20" s="47"/>
      <c r="Q20" s="47"/>
    </row>
    <row r="21" spans="1:17">
      <c r="A21" s="47"/>
      <c r="B21" s="47"/>
      <c r="C21" s="47"/>
      <c r="D21" s="47"/>
      <c r="E21" s="47"/>
      <c r="F21" s="49"/>
      <c r="G21" s="47"/>
      <c r="H21" s="49"/>
      <c r="I21" s="49"/>
      <c r="J21" s="47"/>
      <c r="K21" s="47"/>
      <c r="L21" s="49"/>
      <c r="M21" s="49"/>
      <c r="N21" s="51"/>
      <c r="O21" s="51"/>
      <c r="P21" s="47"/>
      <c r="Q21" s="47"/>
    </row>
    <row r="22" spans="1:17">
      <c r="A22" s="47"/>
      <c r="B22" s="47"/>
      <c r="C22" s="47"/>
      <c r="D22" s="47"/>
      <c r="E22" s="47"/>
      <c r="F22" s="49"/>
      <c r="G22" s="47"/>
      <c r="H22" s="49"/>
      <c r="I22" s="49"/>
      <c r="J22" s="47"/>
      <c r="K22" s="47"/>
      <c r="L22" s="49"/>
      <c r="M22" s="49"/>
      <c r="N22" s="51"/>
      <c r="O22" s="51"/>
      <c r="P22" s="47"/>
      <c r="Q22" s="47"/>
    </row>
    <row r="23" spans="1:17">
      <c r="A23" s="47"/>
      <c r="B23" s="47"/>
      <c r="C23" s="47"/>
      <c r="D23" s="47"/>
      <c r="E23" s="47"/>
      <c r="F23" s="49"/>
      <c r="G23" s="47"/>
      <c r="H23" s="49"/>
      <c r="I23" s="49"/>
      <c r="J23" s="47"/>
      <c r="K23" s="47"/>
      <c r="L23" s="49"/>
      <c r="M23" s="49"/>
      <c r="N23" s="51"/>
      <c r="O23" s="51"/>
      <c r="P23" s="47"/>
      <c r="Q23" s="47"/>
    </row>
    <row r="24" spans="1:17">
      <c r="A24" s="47"/>
      <c r="B24" s="47"/>
      <c r="C24" s="47"/>
      <c r="D24" s="47"/>
      <c r="E24" s="48"/>
      <c r="F24" s="49"/>
      <c r="G24" s="48"/>
      <c r="H24" s="49"/>
      <c r="I24" s="49"/>
      <c r="J24" s="47"/>
      <c r="K24" s="47"/>
      <c r="L24" s="49"/>
      <c r="M24" s="49"/>
      <c r="N24" s="51"/>
      <c r="O24" s="51"/>
      <c r="P24" s="47"/>
      <c r="Q24" s="47"/>
    </row>
    <row r="25" spans="1:17">
      <c r="A25" s="47"/>
      <c r="B25" s="47"/>
      <c r="C25" s="47"/>
      <c r="D25" s="47"/>
      <c r="E25" s="47"/>
      <c r="F25" s="49"/>
      <c r="G25" s="47"/>
      <c r="H25" s="49"/>
      <c r="I25" s="49"/>
      <c r="J25" s="47"/>
      <c r="K25" s="47"/>
      <c r="L25" s="49"/>
      <c r="M25" s="49"/>
      <c r="N25" s="51"/>
      <c r="O25" s="51"/>
      <c r="P25" s="47"/>
      <c r="Q25" s="47"/>
    </row>
    <row r="26" spans="1:17">
      <c r="A26" s="47"/>
      <c r="B26" s="47"/>
      <c r="C26" s="47"/>
      <c r="D26" s="47"/>
      <c r="E26" s="47"/>
      <c r="F26" s="49"/>
      <c r="G26" s="47"/>
      <c r="H26" s="49"/>
      <c r="I26" s="49"/>
      <c r="J26" s="47"/>
      <c r="K26" s="47"/>
      <c r="L26" s="49"/>
      <c r="M26" s="49"/>
      <c r="N26" s="51"/>
      <c r="O26" s="51"/>
      <c r="P26" s="47"/>
      <c r="Q26" s="47"/>
    </row>
    <row r="27" spans="1:17">
      <c r="A27" s="47"/>
      <c r="B27" s="47"/>
      <c r="C27" s="47"/>
      <c r="D27" s="47"/>
      <c r="E27" s="47"/>
      <c r="F27" s="49"/>
      <c r="G27" s="47"/>
      <c r="H27" s="49"/>
      <c r="I27" s="49"/>
      <c r="J27" s="47"/>
      <c r="K27" s="47"/>
      <c r="L27" s="49"/>
      <c r="M27" s="49"/>
      <c r="N27" s="51"/>
      <c r="O27" s="51"/>
      <c r="P27" s="47"/>
      <c r="Q27" s="47"/>
    </row>
    <row r="28" spans="1:17">
      <c r="A28" s="47"/>
      <c r="B28" s="47"/>
      <c r="C28" s="47"/>
      <c r="D28" s="47"/>
      <c r="E28" s="47"/>
      <c r="F28" s="49"/>
      <c r="G28" s="47"/>
      <c r="H28" s="49"/>
      <c r="I28" s="49"/>
      <c r="J28" s="47"/>
      <c r="K28" s="47"/>
      <c r="L28" s="49"/>
      <c r="M28" s="49"/>
      <c r="N28" s="51"/>
      <c r="O28" s="51"/>
      <c r="P28" s="47"/>
      <c r="Q28" s="47"/>
    </row>
    <row r="29" spans="1:17">
      <c r="A29" s="47"/>
      <c r="B29" s="47"/>
      <c r="C29" s="47"/>
      <c r="D29" s="47"/>
      <c r="E29" s="47"/>
      <c r="F29" s="49"/>
      <c r="G29" s="47"/>
      <c r="H29" s="49"/>
      <c r="I29" s="49"/>
      <c r="J29" s="47"/>
      <c r="K29" s="47"/>
      <c r="L29" s="49"/>
      <c r="M29" s="49"/>
      <c r="N29" s="51"/>
      <c r="O29" s="51"/>
      <c r="P29" s="47"/>
      <c r="Q29" s="47"/>
    </row>
    <row r="30" spans="1:17">
      <c r="A30" s="47"/>
      <c r="B30" s="47"/>
      <c r="C30" s="47"/>
      <c r="D30" s="47"/>
      <c r="E30" s="47"/>
      <c r="F30" s="49"/>
      <c r="G30" s="47"/>
      <c r="H30" s="49"/>
      <c r="I30" s="49"/>
      <c r="J30" s="47"/>
      <c r="K30" s="47"/>
      <c r="L30" s="49"/>
      <c r="M30" s="49"/>
      <c r="N30" s="51"/>
      <c r="O30" s="51"/>
      <c r="P30" s="47"/>
      <c r="Q30" s="47"/>
    </row>
    <row r="31" spans="1:17">
      <c r="A31" s="47"/>
      <c r="B31" s="47"/>
      <c r="C31" s="47"/>
      <c r="D31" s="47"/>
      <c r="E31" s="48"/>
      <c r="F31" s="49"/>
      <c r="G31" s="48"/>
      <c r="H31" s="49"/>
      <c r="I31" s="49"/>
      <c r="J31" s="47"/>
      <c r="K31" s="47"/>
      <c r="L31" s="49"/>
      <c r="M31" s="49"/>
      <c r="N31" s="51"/>
      <c r="O31" s="51"/>
      <c r="P31" s="47"/>
      <c r="Q31" s="47"/>
    </row>
    <row r="32" spans="1:17">
      <c r="A32" s="47"/>
      <c r="B32" s="47"/>
      <c r="C32" s="47"/>
      <c r="D32" s="47"/>
      <c r="E32" s="47"/>
      <c r="F32" s="49"/>
      <c r="G32" s="47"/>
      <c r="H32" s="49"/>
      <c r="I32" s="49"/>
      <c r="J32" s="47"/>
      <c r="K32" s="47"/>
      <c r="L32" s="49"/>
      <c r="M32" s="49"/>
      <c r="N32" s="51"/>
      <c r="O32" s="51"/>
      <c r="P32" s="47"/>
      <c r="Q32" s="47"/>
    </row>
    <row r="33" spans="1:17">
      <c r="A33" s="47"/>
      <c r="B33" s="47"/>
      <c r="C33" s="47"/>
      <c r="D33" s="47"/>
      <c r="E33" s="47"/>
      <c r="F33" s="49"/>
      <c r="G33" s="47"/>
      <c r="H33" s="49"/>
      <c r="I33" s="49"/>
      <c r="J33" s="47"/>
      <c r="K33" s="47"/>
      <c r="L33" s="49"/>
      <c r="M33" s="49"/>
      <c r="N33" s="51"/>
      <c r="O33" s="51"/>
      <c r="P33" s="47"/>
      <c r="Q33" s="47"/>
    </row>
    <row r="34" spans="1:17">
      <c r="A34" s="47"/>
      <c r="B34" s="47"/>
      <c r="C34" s="47"/>
      <c r="D34" s="47"/>
      <c r="E34" s="47"/>
      <c r="F34" s="49"/>
      <c r="G34" s="47"/>
      <c r="H34" s="49"/>
      <c r="I34" s="49"/>
      <c r="J34" s="47"/>
      <c r="K34" s="47"/>
      <c r="L34" s="49"/>
      <c r="M34" s="49"/>
      <c r="N34" s="51"/>
      <c r="O34" s="51"/>
      <c r="P34" s="47"/>
      <c r="Q34" s="47"/>
    </row>
    <row r="35" spans="1:17">
      <c r="A35" s="47"/>
      <c r="B35" s="47"/>
      <c r="C35" s="47"/>
      <c r="D35" s="47"/>
      <c r="E35" s="47"/>
      <c r="F35" s="49"/>
      <c r="G35" s="47"/>
      <c r="H35" s="49"/>
      <c r="I35" s="49"/>
      <c r="J35" s="47"/>
      <c r="K35" s="47"/>
      <c r="L35" s="49"/>
      <c r="M35" s="49"/>
      <c r="N35" s="51"/>
      <c r="O35" s="51"/>
      <c r="P35" s="47"/>
      <c r="Q35" s="47"/>
    </row>
    <row r="36" spans="1:17">
      <c r="A36" s="47"/>
      <c r="B36" s="47"/>
      <c r="C36" s="47"/>
      <c r="D36" s="47"/>
      <c r="E36" s="47"/>
      <c r="F36" s="49"/>
      <c r="G36" s="47"/>
      <c r="H36" s="49"/>
      <c r="I36" s="49"/>
      <c r="J36" s="47"/>
      <c r="K36" s="47"/>
      <c r="L36" s="49"/>
      <c r="M36" s="49"/>
      <c r="N36" s="51"/>
      <c r="O36" s="51"/>
      <c r="P36" s="47"/>
      <c r="Q36" s="47"/>
    </row>
    <row r="37" spans="1:17">
      <c r="A37" s="47"/>
      <c r="B37" s="47"/>
      <c r="C37" s="47"/>
      <c r="D37" s="47"/>
      <c r="E37" s="47"/>
      <c r="F37" s="49"/>
      <c r="G37" s="47"/>
      <c r="H37" s="49"/>
      <c r="I37" s="49"/>
      <c r="J37" s="47"/>
      <c r="K37" s="47"/>
      <c r="L37" s="49"/>
      <c r="M37" s="49"/>
      <c r="N37" s="51"/>
      <c r="O37" s="51"/>
      <c r="P37" s="47"/>
      <c r="Q37" s="47"/>
    </row>
    <row r="38" spans="1:17">
      <c r="A38" s="47"/>
      <c r="B38" s="47"/>
      <c r="C38" s="47"/>
      <c r="D38" s="47"/>
      <c r="E38" s="47"/>
      <c r="F38" s="49"/>
      <c r="G38" s="47"/>
      <c r="H38" s="49"/>
      <c r="I38" s="49"/>
      <c r="J38" s="47"/>
      <c r="K38" s="47"/>
      <c r="L38" s="49"/>
      <c r="M38" s="49"/>
      <c r="N38" s="51"/>
      <c r="O38" s="51"/>
      <c r="P38" s="47"/>
      <c r="Q38" s="47"/>
    </row>
    <row r="39" spans="1:17">
      <c r="A39" s="47"/>
      <c r="B39" s="47"/>
      <c r="C39" s="47"/>
      <c r="D39" s="47"/>
      <c r="E39" s="47"/>
      <c r="F39" s="49"/>
      <c r="G39" s="47"/>
      <c r="H39" s="49"/>
      <c r="I39" s="49"/>
      <c r="J39" s="47"/>
      <c r="K39" s="47"/>
      <c r="L39" s="49"/>
      <c r="M39" s="49"/>
      <c r="N39" s="51"/>
      <c r="O39" s="51"/>
      <c r="P39" s="47"/>
      <c r="Q39" s="47"/>
    </row>
    <row r="40" spans="1:17">
      <c r="A40" s="47"/>
      <c r="B40" s="47"/>
      <c r="C40" s="47"/>
      <c r="D40" s="47"/>
      <c r="E40" s="47"/>
      <c r="F40" s="49"/>
      <c r="G40" s="47"/>
      <c r="H40" s="49"/>
      <c r="I40" s="49"/>
      <c r="J40" s="47"/>
      <c r="K40" s="47"/>
      <c r="L40" s="49"/>
      <c r="M40" s="49"/>
      <c r="N40" s="51"/>
      <c r="O40" s="51"/>
      <c r="P40" s="47"/>
      <c r="Q40" s="47"/>
    </row>
    <row r="41" spans="1:17">
      <c r="A41" s="47"/>
      <c r="B41" s="47"/>
      <c r="C41" s="47"/>
      <c r="D41" s="47"/>
      <c r="E41" s="47"/>
      <c r="F41" s="49"/>
      <c r="G41" s="47"/>
      <c r="H41" s="49"/>
      <c r="I41" s="49"/>
      <c r="J41" s="47"/>
      <c r="K41" s="47"/>
      <c r="L41" s="49"/>
      <c r="M41" s="49"/>
      <c r="N41" s="51"/>
      <c r="O41" s="51"/>
      <c r="P41" s="47"/>
      <c r="Q41" s="47"/>
    </row>
    <row r="42" spans="1:17">
      <c r="A42" s="47"/>
      <c r="B42" s="47"/>
      <c r="C42" s="47"/>
      <c r="D42" s="47"/>
      <c r="E42" s="47"/>
      <c r="F42" s="49"/>
      <c r="G42" s="47"/>
      <c r="H42" s="49"/>
      <c r="I42" s="49"/>
      <c r="J42" s="47"/>
      <c r="K42" s="47"/>
      <c r="L42" s="49"/>
      <c r="M42" s="49"/>
      <c r="N42" s="51"/>
      <c r="O42" s="51"/>
      <c r="P42" s="47"/>
      <c r="Q42" s="47"/>
    </row>
    <row r="43" spans="1:17">
      <c r="A43" s="47"/>
      <c r="B43" s="47"/>
      <c r="C43" s="47"/>
      <c r="D43" s="47"/>
      <c r="E43" s="47"/>
      <c r="F43" s="49"/>
      <c r="G43" s="47"/>
      <c r="H43" s="49"/>
      <c r="I43" s="49"/>
      <c r="J43" s="47"/>
      <c r="K43" s="47"/>
      <c r="L43" s="49"/>
      <c r="M43" s="49"/>
      <c r="N43" s="51"/>
      <c r="O43" s="51"/>
      <c r="P43" s="47"/>
      <c r="Q43" s="47"/>
    </row>
    <row r="44" spans="1:17">
      <c r="A44" s="47"/>
      <c r="B44" s="47"/>
      <c r="C44" s="47"/>
      <c r="D44" s="47"/>
      <c r="E44" s="47"/>
      <c r="F44" s="49"/>
      <c r="G44" s="47"/>
      <c r="H44" s="49"/>
      <c r="I44" s="49"/>
      <c r="J44" s="47"/>
      <c r="K44" s="47"/>
      <c r="L44" s="49"/>
      <c r="M44" s="49"/>
      <c r="N44" s="51"/>
      <c r="O44" s="51"/>
      <c r="P44" s="47"/>
      <c r="Q44" s="47"/>
    </row>
    <row r="45" spans="1:17">
      <c r="A45" s="47"/>
      <c r="B45" s="47"/>
      <c r="C45" s="47"/>
      <c r="D45" s="47"/>
      <c r="E45" s="47"/>
      <c r="F45" s="49"/>
      <c r="G45" s="47"/>
      <c r="H45" s="49"/>
      <c r="I45" s="49"/>
      <c r="J45" s="47"/>
      <c r="K45" s="47"/>
      <c r="L45" s="49"/>
      <c r="M45" s="49"/>
      <c r="N45" s="51"/>
      <c r="O45" s="51"/>
      <c r="P45" s="47"/>
      <c r="Q45" s="47"/>
    </row>
    <row r="46" spans="1:17">
      <c r="A46" s="47"/>
      <c r="B46" s="47"/>
      <c r="C46" s="47"/>
      <c r="D46" s="47"/>
      <c r="E46" s="47"/>
      <c r="F46" s="49"/>
      <c r="G46" s="47"/>
      <c r="H46" s="49"/>
      <c r="I46" s="49"/>
      <c r="J46" s="47"/>
      <c r="K46" s="47"/>
      <c r="L46" s="49"/>
      <c r="M46" s="49"/>
      <c r="N46" s="51"/>
      <c r="O46" s="51"/>
      <c r="P46" s="47"/>
      <c r="Q46" s="47"/>
    </row>
    <row r="47" spans="1:17">
      <c r="A47" s="47"/>
      <c r="B47" s="47"/>
      <c r="C47" s="47"/>
      <c r="D47" s="47"/>
      <c r="E47" s="47"/>
      <c r="F47" s="49"/>
      <c r="G47" s="47"/>
      <c r="H47" s="49"/>
      <c r="I47" s="49"/>
      <c r="J47" s="47"/>
      <c r="K47" s="47"/>
      <c r="L47" s="49"/>
      <c r="M47" s="49"/>
      <c r="N47" s="51"/>
      <c r="O47" s="51"/>
      <c r="P47" s="47"/>
      <c r="Q47" s="47"/>
    </row>
    <row r="48" spans="1:17">
      <c r="A48" s="47"/>
      <c r="B48" s="47"/>
      <c r="C48" s="47"/>
      <c r="D48" s="47"/>
      <c r="E48" s="47"/>
      <c r="F48" s="49"/>
      <c r="G48" s="47"/>
      <c r="H48" s="49"/>
      <c r="I48" s="49"/>
      <c r="J48" s="47"/>
      <c r="K48" s="47"/>
      <c r="L48" s="49"/>
      <c r="M48" s="49"/>
      <c r="N48" s="51"/>
      <c r="O48" s="51"/>
      <c r="P48" s="47"/>
      <c r="Q48" s="47"/>
    </row>
    <row r="49" spans="1:17">
      <c r="A49" s="47"/>
      <c r="B49" s="47"/>
      <c r="C49" s="47"/>
      <c r="D49" s="47"/>
      <c r="E49" s="47"/>
      <c r="F49" s="49"/>
      <c r="G49" s="47"/>
      <c r="H49" s="49"/>
      <c r="I49" s="49"/>
      <c r="J49" s="47"/>
      <c r="K49" s="47"/>
      <c r="L49" s="49"/>
      <c r="M49" s="49"/>
      <c r="N49" s="51"/>
      <c r="O49" s="51"/>
      <c r="P49" s="47"/>
      <c r="Q49" s="47"/>
    </row>
    <row r="50" spans="1:17">
      <c r="A50" s="47"/>
      <c r="B50" s="47"/>
      <c r="C50" s="47"/>
      <c r="D50" s="47"/>
      <c r="E50" s="47"/>
      <c r="F50" s="49"/>
      <c r="G50" s="47"/>
      <c r="H50" s="49"/>
      <c r="I50" s="49"/>
      <c r="J50" s="47"/>
      <c r="K50" s="47"/>
      <c r="L50" s="49"/>
      <c r="M50" s="49"/>
      <c r="N50" s="51"/>
      <c r="O50" s="51"/>
      <c r="P50" s="47"/>
      <c r="Q50" s="47"/>
    </row>
    <row r="51" spans="1:17">
      <c r="A51" s="47"/>
      <c r="B51" s="47"/>
      <c r="C51" s="47"/>
      <c r="D51" s="47"/>
      <c r="E51" s="47"/>
      <c r="F51" s="49"/>
      <c r="G51" s="47"/>
      <c r="H51" s="49"/>
      <c r="I51" s="49"/>
      <c r="J51" s="47"/>
      <c r="K51" s="47"/>
      <c r="L51" s="49"/>
      <c r="M51" s="49"/>
      <c r="N51" s="51"/>
      <c r="O51" s="51"/>
      <c r="P51" s="47"/>
      <c r="Q51" s="47"/>
    </row>
    <row r="52" spans="1:17">
      <c r="A52" s="47"/>
      <c r="B52" s="47"/>
      <c r="C52" s="47"/>
      <c r="D52" s="47"/>
      <c r="E52" s="47"/>
      <c r="F52" s="49"/>
      <c r="G52" s="47"/>
      <c r="H52" s="49"/>
      <c r="I52" s="49"/>
      <c r="J52" s="47"/>
      <c r="K52" s="47"/>
      <c r="L52" s="49"/>
      <c r="M52" s="49"/>
      <c r="N52" s="51"/>
      <c r="O52" s="51"/>
      <c r="P52" s="47"/>
      <c r="Q52" s="47"/>
    </row>
    <row r="53" spans="1:17">
      <c r="A53" s="47"/>
      <c r="B53" s="47"/>
      <c r="C53" s="47"/>
      <c r="D53" s="47"/>
      <c r="E53" s="47"/>
      <c r="F53" s="49"/>
      <c r="G53" s="47"/>
      <c r="H53" s="49"/>
      <c r="I53" s="49"/>
      <c r="J53" s="47"/>
      <c r="K53" s="47"/>
      <c r="L53" s="49"/>
      <c r="M53" s="49"/>
      <c r="N53" s="51"/>
      <c r="O53" s="51"/>
      <c r="P53" s="47"/>
      <c r="Q53" s="47"/>
    </row>
    <row r="54" spans="1:17">
      <c r="A54" s="47"/>
      <c r="B54" s="47"/>
      <c r="C54" s="47"/>
      <c r="D54" s="47"/>
      <c r="E54" s="47"/>
      <c r="F54" s="49"/>
      <c r="G54" s="47"/>
      <c r="H54" s="49"/>
      <c r="I54" s="49"/>
      <c r="J54" s="47"/>
      <c r="K54" s="47"/>
      <c r="L54" s="49"/>
      <c r="M54" s="49"/>
      <c r="N54" s="51"/>
      <c r="O54" s="51"/>
      <c r="P54" s="47"/>
      <c r="Q54" s="47"/>
    </row>
    <row r="55" spans="1:17">
      <c r="A55" s="47"/>
      <c r="B55" s="47"/>
      <c r="C55" s="47"/>
      <c r="D55" s="47"/>
      <c r="E55" s="47"/>
      <c r="F55" s="49"/>
      <c r="G55" s="47"/>
      <c r="H55" s="49"/>
      <c r="I55" s="49"/>
      <c r="J55" s="47"/>
      <c r="K55" s="47"/>
      <c r="L55" s="49"/>
      <c r="M55" s="49"/>
      <c r="N55" s="51"/>
      <c r="O55" s="51"/>
      <c r="P55" s="47"/>
      <c r="Q55" s="47"/>
    </row>
    <row r="56" spans="1:17">
      <c r="A56" s="47"/>
      <c r="B56" s="47"/>
      <c r="C56" s="47"/>
      <c r="D56" s="47"/>
      <c r="E56" s="47"/>
      <c r="F56" s="49"/>
      <c r="G56" s="47"/>
      <c r="H56" s="49"/>
      <c r="I56" s="49"/>
      <c r="J56" s="47"/>
      <c r="K56" s="47"/>
      <c r="L56" s="49"/>
      <c r="M56" s="49"/>
      <c r="N56" s="51"/>
      <c r="O56" s="51"/>
      <c r="P56" s="47"/>
      <c r="Q56" s="47"/>
    </row>
    <row r="57" spans="1:17">
      <c r="A57" s="47"/>
      <c r="B57" s="47"/>
      <c r="C57" s="47"/>
      <c r="D57" s="47"/>
      <c r="E57" s="47"/>
      <c r="F57" s="49"/>
      <c r="G57" s="47"/>
      <c r="H57" s="49"/>
      <c r="I57" s="49"/>
      <c r="J57" s="47"/>
      <c r="K57" s="47"/>
      <c r="L57" s="49"/>
      <c r="M57" s="49"/>
      <c r="N57" s="51"/>
      <c r="O57" s="51"/>
      <c r="P57" s="47"/>
      <c r="Q57" s="47"/>
    </row>
    <row r="58" spans="1:17">
      <c r="A58" s="47"/>
      <c r="B58" s="47"/>
      <c r="C58" s="47"/>
      <c r="D58" s="47"/>
      <c r="E58" s="47"/>
      <c r="F58" s="49"/>
      <c r="G58" s="47"/>
      <c r="H58" s="49"/>
      <c r="I58" s="49"/>
      <c r="J58" s="47"/>
      <c r="K58" s="47"/>
      <c r="L58" s="49"/>
      <c r="M58" s="49"/>
      <c r="N58" s="51"/>
      <c r="O58" s="51"/>
      <c r="P58" s="47"/>
      <c r="Q58" s="47"/>
    </row>
    <row r="59" spans="1:17">
      <c r="A59" s="47"/>
      <c r="B59" s="47"/>
      <c r="C59" s="47"/>
      <c r="D59" s="47"/>
      <c r="E59" s="47"/>
      <c r="F59" s="49"/>
      <c r="G59" s="47"/>
      <c r="H59" s="49"/>
      <c r="I59" s="49"/>
      <c r="J59" s="47"/>
      <c r="K59" s="47"/>
      <c r="L59" s="49"/>
      <c r="M59" s="49"/>
      <c r="N59" s="51"/>
      <c r="O59" s="51"/>
      <c r="P59" s="47"/>
      <c r="Q59" s="47"/>
    </row>
    <row r="60" spans="1:17">
      <c r="A60" s="47"/>
      <c r="B60" s="47"/>
      <c r="C60" s="47"/>
      <c r="D60" s="47"/>
      <c r="E60" s="47"/>
      <c r="F60" s="49"/>
      <c r="G60" s="47"/>
      <c r="H60" s="49"/>
      <c r="I60" s="49"/>
      <c r="J60" s="47"/>
      <c r="K60" s="47"/>
      <c r="L60" s="49"/>
      <c r="M60" s="49"/>
      <c r="N60" s="51"/>
      <c r="O60" s="51"/>
      <c r="P60" s="47"/>
      <c r="Q60" s="47"/>
    </row>
    <row r="61" spans="1:17">
      <c r="A61" s="47"/>
      <c r="B61" s="47"/>
      <c r="C61" s="47"/>
      <c r="D61" s="47"/>
      <c r="E61" s="47"/>
      <c r="F61" s="49"/>
      <c r="G61" s="47"/>
      <c r="H61" s="49"/>
      <c r="I61" s="49"/>
      <c r="J61" s="47"/>
      <c r="K61" s="47"/>
      <c r="L61" s="49"/>
      <c r="M61" s="49"/>
      <c r="N61" s="51"/>
      <c r="O61" s="51"/>
      <c r="P61" s="47"/>
      <c r="Q61" s="47"/>
    </row>
    <row r="62" spans="1:17">
      <c r="A62" s="47"/>
      <c r="B62" s="47"/>
      <c r="C62" s="47"/>
      <c r="D62" s="47"/>
      <c r="E62" s="47"/>
      <c r="F62" s="49"/>
      <c r="G62" s="47"/>
      <c r="H62" s="49"/>
      <c r="I62" s="49"/>
      <c r="J62" s="47"/>
      <c r="K62" s="47"/>
      <c r="L62" s="49"/>
      <c r="M62" s="49"/>
      <c r="N62" s="51"/>
      <c r="O62" s="51"/>
      <c r="P62" s="47"/>
      <c r="Q62" s="47"/>
    </row>
    <row r="63" spans="1:17">
      <c r="A63" s="47"/>
      <c r="B63" s="47"/>
      <c r="C63" s="47"/>
      <c r="D63" s="47"/>
      <c r="E63" s="47"/>
      <c r="F63" s="49"/>
      <c r="G63" s="47"/>
      <c r="H63" s="49"/>
      <c r="I63" s="49"/>
      <c r="J63" s="47"/>
      <c r="K63" s="47"/>
      <c r="L63" s="49"/>
      <c r="M63" s="49"/>
      <c r="N63" s="51"/>
      <c r="O63" s="51"/>
      <c r="P63" s="47"/>
      <c r="Q63" s="47"/>
    </row>
    <row r="64" spans="1:17">
      <c r="A64" s="47"/>
      <c r="B64" s="47"/>
      <c r="C64" s="47"/>
      <c r="D64" s="47"/>
      <c r="E64" s="47"/>
      <c r="F64" s="49"/>
      <c r="G64" s="47"/>
      <c r="H64" s="49"/>
      <c r="I64" s="49"/>
      <c r="J64" s="47"/>
      <c r="K64" s="47"/>
      <c r="L64" s="49"/>
      <c r="M64" s="49"/>
      <c r="N64" s="51"/>
      <c r="O64" s="51"/>
      <c r="P64" s="47"/>
      <c r="Q64" s="47"/>
    </row>
    <row r="65" spans="1:17">
      <c r="A65" s="47"/>
      <c r="B65" s="47"/>
      <c r="C65" s="47"/>
      <c r="D65" s="47"/>
      <c r="E65" s="47"/>
      <c r="F65" s="49"/>
      <c r="G65" s="47"/>
      <c r="H65" s="49"/>
      <c r="I65" s="49"/>
      <c r="J65" s="47"/>
      <c r="K65" s="47"/>
      <c r="L65" s="49"/>
      <c r="M65" s="49"/>
      <c r="N65" s="51"/>
      <c r="O65" s="51"/>
      <c r="P65" s="47"/>
      <c r="Q65" s="47"/>
    </row>
    <row r="66" spans="1:17">
      <c r="A66" s="47"/>
      <c r="B66" s="47"/>
      <c r="C66" s="47"/>
      <c r="D66" s="47"/>
      <c r="E66" s="47"/>
      <c r="F66" s="49"/>
      <c r="G66" s="47"/>
      <c r="H66" s="49"/>
      <c r="I66" s="49"/>
      <c r="J66" s="47"/>
      <c r="K66" s="47"/>
      <c r="L66" s="49"/>
      <c r="M66" s="49"/>
      <c r="N66" s="51"/>
      <c r="O66" s="51"/>
      <c r="P66" s="47"/>
      <c r="Q66" s="47"/>
    </row>
    <row r="67" spans="1:17">
      <c r="A67" s="47"/>
      <c r="B67" s="47"/>
      <c r="C67" s="47"/>
      <c r="D67" s="47"/>
      <c r="E67" s="47"/>
      <c r="F67" s="49"/>
      <c r="G67" s="47"/>
      <c r="H67" s="49"/>
      <c r="I67" s="49"/>
      <c r="J67" s="47"/>
      <c r="K67" s="47"/>
      <c r="L67" s="49"/>
      <c r="M67" s="49"/>
      <c r="N67" s="51"/>
      <c r="O67" s="51"/>
      <c r="P67" s="47"/>
      <c r="Q67" s="47"/>
    </row>
    <row r="68" spans="1:17">
      <c r="A68" s="47"/>
      <c r="B68" s="47"/>
      <c r="C68" s="47"/>
      <c r="D68" s="47"/>
      <c r="E68" s="47"/>
      <c r="F68" s="49"/>
      <c r="G68" s="47"/>
      <c r="H68" s="49"/>
      <c r="I68" s="49"/>
      <c r="J68" s="47"/>
      <c r="K68" s="47"/>
      <c r="L68" s="49"/>
      <c r="M68" s="49"/>
      <c r="N68" s="51"/>
      <c r="O68" s="51"/>
      <c r="P68" s="47"/>
      <c r="Q68" s="47"/>
    </row>
    <row r="69" spans="1:17">
      <c r="A69" s="47"/>
      <c r="B69" s="47"/>
      <c r="C69" s="47"/>
      <c r="D69" s="47"/>
      <c r="E69" s="47"/>
      <c r="F69" s="49"/>
      <c r="G69" s="47"/>
      <c r="H69" s="49"/>
      <c r="I69" s="49"/>
      <c r="J69" s="47"/>
      <c r="K69" s="47"/>
      <c r="L69" s="49"/>
      <c r="M69" s="49"/>
      <c r="N69" s="51"/>
      <c r="O69" s="51"/>
      <c r="P69" s="47"/>
      <c r="Q69" s="47"/>
    </row>
    <row r="70" spans="1:17">
      <c r="A70" s="47"/>
      <c r="B70" s="47"/>
      <c r="C70" s="47"/>
      <c r="D70" s="47"/>
      <c r="E70" s="47"/>
      <c r="F70" s="49"/>
      <c r="G70" s="47"/>
      <c r="H70" s="49"/>
      <c r="I70" s="49"/>
      <c r="J70" s="47"/>
      <c r="K70" s="47"/>
      <c r="L70" s="49"/>
      <c r="M70" s="49"/>
      <c r="N70" s="51"/>
      <c r="O70" s="51"/>
      <c r="P70" s="47"/>
      <c r="Q70" s="47"/>
    </row>
    <row r="71" spans="1:17">
      <c r="A71" s="47"/>
      <c r="B71" s="47"/>
      <c r="C71" s="47"/>
      <c r="D71" s="47"/>
      <c r="E71" s="47"/>
      <c r="F71" s="49"/>
      <c r="G71" s="47"/>
      <c r="H71" s="49"/>
      <c r="I71" s="49"/>
      <c r="J71" s="47"/>
      <c r="K71" s="47"/>
      <c r="L71" s="49"/>
      <c r="M71" s="49"/>
      <c r="N71" s="51"/>
      <c r="O71" s="51"/>
      <c r="P71" s="47"/>
      <c r="Q71" s="47"/>
    </row>
    <row r="72" spans="1:17">
      <c r="A72" s="47"/>
      <c r="B72" s="47"/>
      <c r="C72" s="47"/>
      <c r="D72" s="47"/>
      <c r="E72" s="47"/>
      <c r="F72" s="49"/>
      <c r="G72" s="47"/>
      <c r="H72" s="49"/>
      <c r="I72" s="49"/>
      <c r="J72" s="47"/>
      <c r="K72" s="47"/>
      <c r="L72" s="49"/>
      <c r="M72" s="49"/>
      <c r="N72" s="51"/>
      <c r="O72" s="51"/>
      <c r="P72" s="47"/>
      <c r="Q72" s="47"/>
    </row>
    <row r="73" spans="1:17">
      <c r="A73" s="47"/>
      <c r="B73" s="47"/>
      <c r="C73" s="47"/>
      <c r="D73" s="47"/>
      <c r="E73" s="47"/>
      <c r="F73" s="49"/>
      <c r="G73" s="47"/>
      <c r="H73" s="49"/>
      <c r="I73" s="49"/>
      <c r="J73" s="47"/>
      <c r="K73" s="47"/>
      <c r="L73" s="49"/>
      <c r="M73" s="49"/>
      <c r="N73" s="51"/>
      <c r="O73" s="51"/>
      <c r="P73" s="47"/>
      <c r="Q73" s="47"/>
    </row>
    <row r="74" spans="1:17">
      <c r="A74" s="47"/>
      <c r="B74" s="47"/>
      <c r="C74" s="47"/>
      <c r="D74" s="47"/>
      <c r="E74" s="47"/>
      <c r="F74" s="49"/>
      <c r="G74" s="47"/>
      <c r="H74" s="49"/>
      <c r="I74" s="49"/>
      <c r="J74" s="47"/>
      <c r="K74" s="47"/>
      <c r="L74" s="49"/>
      <c r="M74" s="49"/>
      <c r="N74" s="51"/>
      <c r="O74" s="51"/>
      <c r="P74" s="47"/>
      <c r="Q74" s="47"/>
    </row>
    <row r="75" spans="1:17">
      <c r="A75" s="47"/>
      <c r="B75" s="47"/>
      <c r="C75" s="47"/>
      <c r="D75" s="47"/>
      <c r="E75" s="47"/>
      <c r="F75" s="49"/>
      <c r="G75" s="47"/>
      <c r="H75" s="49"/>
      <c r="I75" s="49"/>
      <c r="J75" s="47"/>
      <c r="K75" s="47"/>
      <c r="L75" s="49"/>
      <c r="M75" s="49"/>
      <c r="N75" s="51"/>
      <c r="O75" s="51"/>
      <c r="P75" s="47"/>
      <c r="Q75" s="47"/>
    </row>
    <row r="76" spans="1:17">
      <c r="A76" s="47"/>
      <c r="B76" s="47"/>
      <c r="C76" s="47"/>
      <c r="D76" s="47"/>
      <c r="E76" s="47"/>
      <c r="F76" s="49"/>
      <c r="G76" s="47"/>
      <c r="H76" s="49"/>
      <c r="I76" s="49"/>
      <c r="J76" s="47"/>
      <c r="K76" s="47"/>
      <c r="L76" s="49"/>
      <c r="M76" s="49"/>
      <c r="N76" s="51"/>
      <c r="O76" s="51"/>
      <c r="P76" s="47"/>
      <c r="Q76" s="47"/>
    </row>
    <row r="77" spans="1:17">
      <c r="A77" s="47"/>
      <c r="B77" s="47"/>
      <c r="C77" s="47"/>
      <c r="D77" s="47"/>
      <c r="E77" s="47"/>
      <c r="F77" s="49"/>
      <c r="G77" s="47"/>
      <c r="H77" s="49"/>
      <c r="I77" s="49"/>
      <c r="J77" s="47"/>
      <c r="K77" s="47"/>
      <c r="L77" s="49"/>
      <c r="M77" s="49"/>
      <c r="N77" s="51"/>
      <c r="O77" s="51"/>
      <c r="P77" s="47"/>
      <c r="Q77" s="47"/>
    </row>
    <row r="78" spans="1:17">
      <c r="A78" s="47"/>
      <c r="B78" s="47"/>
      <c r="C78" s="47"/>
      <c r="D78" s="47"/>
      <c r="E78" s="47"/>
      <c r="F78" s="49"/>
      <c r="G78" s="47"/>
      <c r="H78" s="49"/>
      <c r="I78" s="49"/>
      <c r="J78" s="47"/>
      <c r="K78" s="47"/>
      <c r="L78" s="49"/>
      <c r="M78" s="49"/>
      <c r="N78" s="51"/>
      <c r="O78" s="51"/>
      <c r="P78" s="47"/>
      <c r="Q78" s="47"/>
    </row>
    <row r="79" spans="1:17">
      <c r="A79" s="47"/>
      <c r="B79" s="47"/>
      <c r="C79" s="47"/>
      <c r="D79" s="47"/>
      <c r="E79" s="47"/>
      <c r="F79" s="49"/>
      <c r="G79" s="47"/>
      <c r="H79" s="49"/>
      <c r="I79" s="49"/>
      <c r="J79" s="47"/>
      <c r="K79" s="47"/>
      <c r="L79" s="49"/>
      <c r="M79" s="49"/>
      <c r="N79" s="51"/>
      <c r="O79" s="51"/>
      <c r="P79" s="47"/>
      <c r="Q79" s="47"/>
    </row>
    <row r="80" spans="1:17">
      <c r="A80" s="47"/>
      <c r="B80" s="47"/>
      <c r="C80" s="47"/>
      <c r="D80" s="47"/>
      <c r="E80" s="47"/>
      <c r="F80" s="49"/>
      <c r="G80" s="47"/>
      <c r="H80" s="49"/>
      <c r="I80" s="49"/>
      <c r="J80" s="47"/>
      <c r="K80" s="47"/>
      <c r="L80" s="49"/>
      <c r="M80" s="49"/>
      <c r="N80" s="51"/>
      <c r="O80" s="51"/>
      <c r="P80" s="47"/>
      <c r="Q80" s="47"/>
    </row>
    <row r="81" spans="1:17">
      <c r="A81" s="47"/>
      <c r="B81" s="47"/>
      <c r="C81" s="47"/>
      <c r="D81" s="47"/>
      <c r="E81" s="47"/>
      <c r="F81" s="49"/>
      <c r="G81" s="47"/>
      <c r="H81" s="49"/>
      <c r="I81" s="49"/>
      <c r="J81" s="47"/>
      <c r="K81" s="47"/>
      <c r="L81" s="49"/>
      <c r="M81" s="49"/>
      <c r="N81" s="51"/>
      <c r="O81" s="51"/>
      <c r="P81" s="47"/>
      <c r="Q81" s="47"/>
    </row>
    <row r="82" spans="1:17">
      <c r="A82" s="47"/>
      <c r="B82" s="47"/>
      <c r="C82" s="47"/>
      <c r="D82" s="47"/>
      <c r="E82" s="47"/>
      <c r="F82" s="49"/>
      <c r="G82" s="47"/>
      <c r="H82" s="49"/>
      <c r="I82" s="49"/>
      <c r="J82" s="47"/>
      <c r="K82" s="47"/>
      <c r="L82" s="49"/>
      <c r="M82" s="49"/>
      <c r="N82" s="51"/>
      <c r="O82" s="51"/>
      <c r="P82" s="47"/>
      <c r="Q82" s="47"/>
    </row>
    <row r="83" spans="1:17">
      <c r="A83" s="47"/>
      <c r="B83" s="47"/>
      <c r="C83" s="47"/>
      <c r="D83" s="47"/>
      <c r="E83" s="47"/>
      <c r="F83" s="49"/>
      <c r="G83" s="47"/>
      <c r="H83" s="49"/>
      <c r="I83" s="49"/>
      <c r="J83" s="47"/>
      <c r="K83" s="47"/>
      <c r="L83" s="49"/>
      <c r="M83" s="49"/>
      <c r="N83" s="51"/>
      <c r="O83" s="51"/>
      <c r="P83" s="47"/>
      <c r="Q83" s="47"/>
    </row>
  </sheetData>
  <autoFilter ref="A1:R83">
    <sortState ref="A1:R83">
      <sortCondition ref="N1:N1396" descending="1"/>
    </sortState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FFC000"/>
  </sheetPr>
  <dimension ref="A1:J126"/>
  <sheetViews>
    <sheetView zoomScale="85" zoomScaleNormal="85" workbookViewId="0">
      <selection activeCell="J14" sqref="J14"/>
    </sheetView>
  </sheetViews>
  <sheetFormatPr defaultColWidth="9" defaultRowHeight="16.5"/>
  <cols>
    <col min="1" max="1" width="21.7272727272727" style="27" customWidth="1"/>
    <col min="2" max="2" width="13.7272727272727" style="27" customWidth="1"/>
    <col min="3" max="7" width="11.9090909090909" style="27" customWidth="1"/>
    <col min="8" max="9" width="7.72727272727273" style="27" customWidth="1"/>
    <col min="10" max="16384" width="9" style="27"/>
  </cols>
  <sheetData>
    <row r="1" s="25" customFormat="1" spans="1:1">
      <c r="A1" s="25" t="s">
        <v>4</v>
      </c>
    </row>
    <row r="2" s="25" customFormat="1" spans="1:1">
      <c r="A2" s="25" t="s">
        <v>107</v>
      </c>
    </row>
    <row r="3" s="25" customFormat="1" ht="17.25" spans="1:1">
      <c r="A3" s="25" t="s">
        <v>6</v>
      </c>
    </row>
    <row r="4" s="26" customFormat="1" ht="66" spans="1:10">
      <c r="A4" s="28" t="s">
        <v>108</v>
      </c>
      <c r="B4" s="28" t="s">
        <v>109</v>
      </c>
      <c r="C4" s="28" t="s">
        <v>110</v>
      </c>
      <c r="D4" s="28" t="s">
        <v>63</v>
      </c>
      <c r="E4" s="29" t="s">
        <v>64</v>
      </c>
      <c r="F4" s="28" t="s">
        <v>111</v>
      </c>
      <c r="G4" s="30" t="s">
        <v>112</v>
      </c>
      <c r="H4" s="31" t="s">
        <v>30</v>
      </c>
      <c r="I4" s="31" t="s">
        <v>86</v>
      </c>
      <c r="J4" s="31" t="s">
        <v>32</v>
      </c>
    </row>
    <row r="5" spans="1:10">
      <c r="A5" s="32" t="s">
        <v>91</v>
      </c>
      <c r="B5" s="33">
        <v>284886</v>
      </c>
      <c r="C5" s="33">
        <v>542</v>
      </c>
      <c r="D5" s="34">
        <v>0.00190251539212176</v>
      </c>
      <c r="E5" s="35">
        <v>0.0645756457564576</v>
      </c>
      <c r="F5" s="36">
        <v>1.89068151262095</v>
      </c>
      <c r="G5" s="33">
        <v>36</v>
      </c>
      <c r="H5" s="27">
        <f>RANK(C5,C:C,0)</f>
        <v>1</v>
      </c>
      <c r="I5" s="27">
        <f>RANK(D5,D:D,0)</f>
        <v>3</v>
      </c>
      <c r="J5" s="27">
        <f>RANK(E5,E:E,0)</f>
        <v>1</v>
      </c>
    </row>
    <row r="6" spans="1:10">
      <c r="A6" s="32" t="s">
        <v>99</v>
      </c>
      <c r="B6" s="33">
        <v>94170</v>
      </c>
      <c r="C6" s="33">
        <v>333</v>
      </c>
      <c r="D6" s="34">
        <v>0.00353615801210577</v>
      </c>
      <c r="E6" s="35">
        <v>0.045045045045045</v>
      </c>
      <c r="F6" s="36">
        <v>1.0893751917374</v>
      </c>
      <c r="G6" s="33">
        <v>21</v>
      </c>
      <c r="H6" s="27">
        <f>RANK(C6,C:C,0)</f>
        <v>2</v>
      </c>
      <c r="I6" s="27">
        <f>RANK(D6,D:D,0)</f>
        <v>2</v>
      </c>
      <c r="J6" s="27">
        <f>RANK(E6,E:E,0)</f>
        <v>2</v>
      </c>
    </row>
    <row r="7" spans="1:10">
      <c r="A7" s="32" t="s">
        <v>95</v>
      </c>
      <c r="B7" s="33">
        <v>64123</v>
      </c>
      <c r="C7" s="33">
        <v>278</v>
      </c>
      <c r="D7" s="34">
        <v>0.00433541786878343</v>
      </c>
      <c r="E7" s="35">
        <v>0.0215827338129496</v>
      </c>
      <c r="F7" s="36">
        <v>0.547208489087182</v>
      </c>
      <c r="G7" s="33">
        <v>6</v>
      </c>
      <c r="H7" s="27">
        <f>RANK(C7,C:C,0)</f>
        <v>3</v>
      </c>
      <c r="I7" s="27">
        <f>RANK(D7,D:D,0)</f>
        <v>1</v>
      </c>
      <c r="J7" s="27">
        <f>RANK(E7,E:E,0)</f>
        <v>3</v>
      </c>
    </row>
    <row r="8" spans="1:7">
      <c r="A8" s="37"/>
      <c r="B8" s="37"/>
      <c r="C8" s="38"/>
      <c r="D8" s="38"/>
      <c r="E8" s="39"/>
      <c r="F8" s="40"/>
      <c r="G8" s="41"/>
    </row>
    <row r="9" spans="1:7">
      <c r="A9" s="37"/>
      <c r="B9" s="37"/>
      <c r="C9" s="38"/>
      <c r="D9" s="38"/>
      <c r="E9" s="39"/>
      <c r="F9" s="40"/>
      <c r="G9" s="41"/>
    </row>
    <row r="10" spans="1:7">
      <c r="A10" s="37"/>
      <c r="B10" s="37"/>
      <c r="C10" s="38"/>
      <c r="D10" s="38"/>
      <c r="E10" s="39"/>
      <c r="F10" s="40"/>
      <c r="G10" s="41"/>
    </row>
    <row r="11" spans="1:7">
      <c r="A11" s="37"/>
      <c r="B11" s="37"/>
      <c r="C11" s="38"/>
      <c r="D11" s="38"/>
      <c r="E11" s="39"/>
      <c r="F11" s="40"/>
      <c r="G11" s="41"/>
    </row>
    <row r="12" spans="1:7">
      <c r="A12" s="37"/>
      <c r="B12" s="37"/>
      <c r="C12" s="38"/>
      <c r="D12" s="38"/>
      <c r="E12" s="39"/>
      <c r="F12" s="40"/>
      <c r="G12" s="41"/>
    </row>
    <row r="13" spans="1:7">
      <c r="A13" s="37"/>
      <c r="B13" s="37"/>
      <c r="C13" s="38"/>
      <c r="D13" s="38"/>
      <c r="E13" s="39"/>
      <c r="F13" s="40"/>
      <c r="G13" s="41"/>
    </row>
    <row r="14" spans="1:7">
      <c r="A14" s="37"/>
      <c r="B14" s="37"/>
      <c r="C14" s="38"/>
      <c r="D14" s="38"/>
      <c r="E14" s="39"/>
      <c r="F14" s="40"/>
      <c r="G14" s="41"/>
    </row>
    <row r="15" spans="1:7">
      <c r="A15" s="37"/>
      <c r="B15" s="37"/>
      <c r="C15" s="38"/>
      <c r="D15" s="38"/>
      <c r="E15" s="39"/>
      <c r="F15" s="40"/>
      <c r="G15" s="41"/>
    </row>
    <row r="16" spans="1:7">
      <c r="A16" s="37"/>
      <c r="B16" s="37"/>
      <c r="C16" s="38"/>
      <c r="D16" s="38"/>
      <c r="E16" s="39"/>
      <c r="F16" s="40"/>
      <c r="G16" s="41"/>
    </row>
    <row r="17" spans="1:7">
      <c r="A17" s="37"/>
      <c r="B17" s="37"/>
      <c r="C17" s="38"/>
      <c r="D17" s="38"/>
      <c r="E17" s="39"/>
      <c r="F17" s="40"/>
      <c r="G17" s="41"/>
    </row>
    <row r="18" spans="1:7">
      <c r="A18" s="37"/>
      <c r="B18" s="37"/>
      <c r="C18" s="38"/>
      <c r="D18" s="38"/>
      <c r="E18" s="39"/>
      <c r="F18" s="40"/>
      <c r="G18" s="41"/>
    </row>
    <row r="19" spans="1:7">
      <c r="A19" s="37"/>
      <c r="B19" s="37"/>
      <c r="C19" s="38"/>
      <c r="D19" s="38"/>
      <c r="E19" s="39"/>
      <c r="F19" s="40"/>
      <c r="G19" s="41"/>
    </row>
    <row r="20" spans="1:7">
      <c r="A20" s="37"/>
      <c r="B20" s="37"/>
      <c r="C20" s="38"/>
      <c r="D20" s="38"/>
      <c r="E20" s="39"/>
      <c r="F20" s="40"/>
      <c r="G20" s="41"/>
    </row>
    <row r="21" spans="1:7">
      <c r="A21" s="37"/>
      <c r="B21" s="37"/>
      <c r="C21" s="38"/>
      <c r="D21" s="38"/>
      <c r="E21" s="39"/>
      <c r="F21" s="40"/>
      <c r="G21" s="41"/>
    </row>
    <row r="22" spans="1:7">
      <c r="A22" s="37"/>
      <c r="B22" s="37"/>
      <c r="C22" s="38"/>
      <c r="D22" s="38"/>
      <c r="E22" s="39"/>
      <c r="F22" s="40"/>
      <c r="G22" s="41"/>
    </row>
    <row r="23" spans="1:7">
      <c r="A23" s="37"/>
      <c r="B23" s="37"/>
      <c r="C23" s="38"/>
      <c r="D23" s="38"/>
      <c r="E23" s="39"/>
      <c r="F23" s="40"/>
      <c r="G23" s="41"/>
    </row>
    <row r="24" spans="1:7">
      <c r="A24" s="37"/>
      <c r="B24" s="37"/>
      <c r="C24" s="38"/>
      <c r="D24" s="38"/>
      <c r="E24" s="39"/>
      <c r="F24" s="40"/>
      <c r="G24" s="41"/>
    </row>
    <row r="25" spans="1:7">
      <c r="A25" s="37"/>
      <c r="B25" s="37"/>
      <c r="C25" s="38"/>
      <c r="D25" s="38"/>
      <c r="E25" s="39"/>
      <c r="F25" s="40"/>
      <c r="G25" s="41"/>
    </row>
    <row r="26" spans="1:7">
      <c r="A26" s="37"/>
      <c r="B26" s="37"/>
      <c r="C26" s="38"/>
      <c r="D26" s="38"/>
      <c r="E26" s="39"/>
      <c r="F26" s="40"/>
      <c r="G26" s="41"/>
    </row>
    <row r="27" spans="1:7">
      <c r="A27" s="37"/>
      <c r="B27" s="37"/>
      <c r="C27" s="38"/>
      <c r="D27" s="38"/>
      <c r="E27" s="39"/>
      <c r="F27" s="40"/>
      <c r="G27" s="41"/>
    </row>
    <row r="28" spans="1:7">
      <c r="A28" s="37"/>
      <c r="B28" s="37"/>
      <c r="C28" s="38"/>
      <c r="D28" s="38"/>
      <c r="E28" s="39"/>
      <c r="F28" s="40"/>
      <c r="G28" s="41"/>
    </row>
    <row r="29" spans="1:7">
      <c r="A29" s="37"/>
      <c r="B29" s="37"/>
      <c r="C29" s="38"/>
      <c r="D29" s="38"/>
      <c r="E29" s="39"/>
      <c r="F29" s="40"/>
      <c r="G29" s="41"/>
    </row>
    <row r="30" spans="1:7">
      <c r="A30" s="37"/>
      <c r="B30" s="37"/>
      <c r="C30" s="38"/>
      <c r="D30" s="38"/>
      <c r="E30" s="39"/>
      <c r="F30" s="40"/>
      <c r="G30" s="41"/>
    </row>
    <row r="31" spans="1:7">
      <c r="A31" s="37"/>
      <c r="B31" s="37"/>
      <c r="C31" s="38"/>
      <c r="D31" s="38"/>
      <c r="E31" s="39"/>
      <c r="F31" s="40"/>
      <c r="G31" s="41"/>
    </row>
    <row r="32" spans="1:7">
      <c r="A32" s="37"/>
      <c r="B32" s="37"/>
      <c r="C32" s="38"/>
      <c r="D32" s="38"/>
      <c r="E32" s="39"/>
      <c r="F32" s="40"/>
      <c r="G32" s="41"/>
    </row>
    <row r="33" spans="1:7">
      <c r="A33" s="37"/>
      <c r="B33" s="37"/>
      <c r="C33" s="38"/>
      <c r="D33" s="38"/>
      <c r="E33" s="39"/>
      <c r="F33" s="40"/>
      <c r="G33" s="41"/>
    </row>
    <row r="34" spans="1:7">
      <c r="A34" s="37"/>
      <c r="B34" s="37"/>
      <c r="C34" s="38"/>
      <c r="D34" s="38"/>
      <c r="E34" s="39"/>
      <c r="F34" s="40"/>
      <c r="G34" s="41"/>
    </row>
    <row r="35" spans="1:7">
      <c r="A35" s="37"/>
      <c r="B35" s="37"/>
      <c r="C35" s="38"/>
      <c r="D35" s="38"/>
      <c r="E35" s="39"/>
      <c r="F35" s="40"/>
      <c r="G35" s="41"/>
    </row>
    <row r="36" spans="1:7">
      <c r="A36" s="37"/>
      <c r="B36" s="37"/>
      <c r="C36" s="38"/>
      <c r="D36" s="38"/>
      <c r="E36" s="39"/>
      <c r="F36" s="40"/>
      <c r="G36" s="41"/>
    </row>
    <row r="37" spans="1:7">
      <c r="A37" s="37"/>
      <c r="B37" s="37"/>
      <c r="C37" s="38"/>
      <c r="D37" s="38"/>
      <c r="E37" s="39"/>
      <c r="F37" s="40"/>
      <c r="G37" s="41"/>
    </row>
    <row r="38" spans="1:7">
      <c r="A38" s="37"/>
      <c r="B38" s="37"/>
      <c r="C38" s="38"/>
      <c r="D38" s="38"/>
      <c r="E38" s="39"/>
      <c r="F38" s="40"/>
      <c r="G38" s="41"/>
    </row>
    <row r="39" spans="1:7">
      <c r="A39" s="37"/>
      <c r="B39" s="37"/>
      <c r="C39" s="38"/>
      <c r="D39" s="38"/>
      <c r="E39" s="39"/>
      <c r="F39" s="40"/>
      <c r="G39" s="41"/>
    </row>
    <row r="40" spans="1:7">
      <c r="A40" s="37"/>
      <c r="B40" s="37"/>
      <c r="C40" s="38"/>
      <c r="D40" s="38"/>
      <c r="E40" s="39"/>
      <c r="F40" s="40"/>
      <c r="G40" s="41"/>
    </row>
    <row r="41" spans="1:7">
      <c r="A41" s="37"/>
      <c r="B41" s="37"/>
      <c r="C41" s="38"/>
      <c r="D41" s="38"/>
      <c r="E41" s="39"/>
      <c r="F41" s="40"/>
      <c r="G41" s="41"/>
    </row>
    <row r="42" spans="1:7">
      <c r="A42" s="37"/>
      <c r="B42" s="37"/>
      <c r="C42" s="38"/>
      <c r="D42" s="38"/>
      <c r="E42" s="39"/>
      <c r="F42" s="40"/>
      <c r="G42" s="41"/>
    </row>
    <row r="43" spans="1:7">
      <c r="A43" s="37"/>
      <c r="B43" s="37"/>
      <c r="C43" s="38"/>
      <c r="D43" s="38"/>
      <c r="E43" s="39"/>
      <c r="F43" s="40"/>
      <c r="G43" s="41"/>
    </row>
    <row r="44" spans="1:7">
      <c r="A44" s="37"/>
      <c r="B44" s="37"/>
      <c r="C44" s="38"/>
      <c r="D44" s="38"/>
      <c r="E44" s="39"/>
      <c r="F44" s="40"/>
      <c r="G44" s="41"/>
    </row>
    <row r="45" spans="1:7">
      <c r="A45" s="37"/>
      <c r="B45" s="37"/>
      <c r="C45" s="38"/>
      <c r="D45" s="38"/>
      <c r="E45" s="39"/>
      <c r="F45" s="40"/>
      <c r="G45" s="41"/>
    </row>
    <row r="46" spans="1:7">
      <c r="A46" s="37"/>
      <c r="B46" s="37"/>
      <c r="C46" s="38"/>
      <c r="D46" s="38"/>
      <c r="E46" s="39"/>
      <c r="F46" s="40"/>
      <c r="G46" s="41"/>
    </row>
    <row r="47" spans="1:7">
      <c r="A47" s="37"/>
      <c r="B47" s="37"/>
      <c r="C47" s="38"/>
      <c r="D47" s="38"/>
      <c r="E47" s="39"/>
      <c r="F47" s="40"/>
      <c r="G47" s="41"/>
    </row>
    <row r="48" spans="1:7">
      <c r="A48" s="37"/>
      <c r="B48" s="37"/>
      <c r="C48" s="38"/>
      <c r="D48" s="38"/>
      <c r="E48" s="39"/>
      <c r="F48" s="40"/>
      <c r="G48" s="41"/>
    </row>
    <row r="49" spans="1:7">
      <c r="A49" s="37"/>
      <c r="B49" s="37"/>
      <c r="C49" s="38"/>
      <c r="D49" s="38"/>
      <c r="E49" s="39"/>
      <c r="F49" s="40"/>
      <c r="G49" s="41"/>
    </row>
    <row r="50" spans="1:7">
      <c r="A50" s="37"/>
      <c r="B50" s="37"/>
      <c r="C50" s="38"/>
      <c r="D50" s="38"/>
      <c r="E50" s="39"/>
      <c r="F50" s="40"/>
      <c r="G50" s="41"/>
    </row>
    <row r="51" spans="1:7">
      <c r="A51" s="37"/>
      <c r="B51" s="37"/>
      <c r="C51" s="38"/>
      <c r="D51" s="38"/>
      <c r="E51" s="39"/>
      <c r="F51" s="40"/>
      <c r="G51" s="41"/>
    </row>
    <row r="52" spans="1:7">
      <c r="A52" s="37"/>
      <c r="B52" s="37"/>
      <c r="C52" s="38"/>
      <c r="D52" s="38"/>
      <c r="E52" s="39"/>
      <c r="F52" s="40"/>
      <c r="G52" s="41"/>
    </row>
    <row r="53" spans="1:7">
      <c r="A53" s="37"/>
      <c r="B53" s="37"/>
      <c r="C53" s="38"/>
      <c r="D53" s="38"/>
      <c r="E53" s="39"/>
      <c r="F53" s="40"/>
      <c r="G53" s="41"/>
    </row>
    <row r="54" spans="1:7">
      <c r="A54" s="37"/>
      <c r="B54" s="37"/>
      <c r="C54" s="38"/>
      <c r="D54" s="38"/>
      <c r="E54" s="39"/>
      <c r="F54" s="40"/>
      <c r="G54" s="41"/>
    </row>
    <row r="55" spans="1:7">
      <c r="A55" s="37"/>
      <c r="B55" s="37"/>
      <c r="C55" s="38"/>
      <c r="D55" s="38"/>
      <c r="E55" s="39"/>
      <c r="F55" s="40"/>
      <c r="G55" s="41"/>
    </row>
    <row r="56" spans="1:7">
      <c r="A56" s="37"/>
      <c r="B56" s="37"/>
      <c r="C56" s="38"/>
      <c r="D56" s="38"/>
      <c r="E56" s="39"/>
      <c r="F56" s="40"/>
      <c r="G56" s="41"/>
    </row>
    <row r="57" spans="1:7">
      <c r="A57" s="37"/>
      <c r="B57" s="37"/>
      <c r="C57" s="38"/>
      <c r="D57" s="38"/>
      <c r="E57" s="39"/>
      <c r="F57" s="40"/>
      <c r="G57" s="41"/>
    </row>
    <row r="58" spans="1:7">
      <c r="A58" s="37"/>
      <c r="B58" s="37"/>
      <c r="C58" s="38"/>
      <c r="D58" s="38"/>
      <c r="E58" s="39"/>
      <c r="F58" s="40"/>
      <c r="G58" s="41"/>
    </row>
    <row r="59" spans="1:7">
      <c r="A59" s="37"/>
      <c r="B59" s="37"/>
      <c r="C59" s="38"/>
      <c r="D59" s="38"/>
      <c r="E59" s="39"/>
      <c r="F59" s="40"/>
      <c r="G59" s="41"/>
    </row>
    <row r="60" spans="1:7">
      <c r="A60" s="37"/>
      <c r="B60" s="37"/>
      <c r="C60" s="38"/>
      <c r="D60" s="38"/>
      <c r="E60" s="39"/>
      <c r="F60" s="40"/>
      <c r="G60" s="41"/>
    </row>
    <row r="61" spans="1:7">
      <c r="A61" s="37"/>
      <c r="B61" s="37"/>
      <c r="C61" s="38"/>
      <c r="D61" s="38"/>
      <c r="E61" s="39"/>
      <c r="F61" s="40"/>
      <c r="G61" s="41"/>
    </row>
    <row r="62" spans="1:7">
      <c r="A62" s="37"/>
      <c r="B62" s="37"/>
      <c r="C62" s="38"/>
      <c r="D62" s="38"/>
      <c r="E62" s="39"/>
      <c r="F62" s="40"/>
      <c r="G62" s="41"/>
    </row>
    <row r="63" spans="1:7">
      <c r="A63" s="37"/>
      <c r="B63" s="37"/>
      <c r="C63" s="38"/>
      <c r="D63" s="38"/>
      <c r="E63" s="39"/>
      <c r="F63" s="40"/>
      <c r="G63" s="41"/>
    </row>
    <row r="64" spans="1:7">
      <c r="A64" s="37"/>
      <c r="B64" s="37"/>
      <c r="C64" s="38"/>
      <c r="D64" s="38"/>
      <c r="E64" s="39"/>
      <c r="F64" s="40"/>
      <c r="G64" s="41"/>
    </row>
    <row r="65" spans="1:7">
      <c r="A65" s="37"/>
      <c r="B65" s="37"/>
      <c r="C65" s="38"/>
      <c r="D65" s="38"/>
      <c r="E65" s="39"/>
      <c r="F65" s="40"/>
      <c r="G65" s="41"/>
    </row>
    <row r="66" spans="1:7">
      <c r="A66" s="37"/>
      <c r="B66" s="37"/>
      <c r="C66" s="38"/>
      <c r="D66" s="38"/>
      <c r="E66" s="39"/>
      <c r="F66" s="40"/>
      <c r="G66" s="41"/>
    </row>
    <row r="67" spans="1:7">
      <c r="A67" s="37"/>
      <c r="B67" s="37"/>
      <c r="C67" s="38"/>
      <c r="D67" s="38"/>
      <c r="E67" s="39"/>
      <c r="F67" s="40"/>
      <c r="G67" s="41"/>
    </row>
    <row r="68" spans="1:7">
      <c r="A68" s="37"/>
      <c r="B68" s="37"/>
      <c r="C68" s="38"/>
      <c r="D68" s="38"/>
      <c r="E68" s="39"/>
      <c r="F68" s="40"/>
      <c r="G68" s="41"/>
    </row>
    <row r="69" spans="1:7">
      <c r="A69" s="37"/>
      <c r="B69" s="37"/>
      <c r="C69" s="38"/>
      <c r="D69" s="38"/>
      <c r="E69" s="39"/>
      <c r="F69" s="40"/>
      <c r="G69" s="41"/>
    </row>
    <row r="70" spans="1:7">
      <c r="A70" s="37"/>
      <c r="B70" s="37"/>
      <c r="C70" s="38"/>
      <c r="D70" s="38"/>
      <c r="E70" s="39"/>
      <c r="F70" s="40"/>
      <c r="G70" s="41"/>
    </row>
    <row r="71" spans="1:7">
      <c r="A71" s="37"/>
      <c r="B71" s="37"/>
      <c r="C71" s="38"/>
      <c r="D71" s="38"/>
      <c r="E71" s="39"/>
      <c r="F71" s="40"/>
      <c r="G71" s="41"/>
    </row>
    <row r="72" spans="1:7">
      <c r="A72" s="37"/>
      <c r="B72" s="37"/>
      <c r="C72" s="38"/>
      <c r="D72" s="38"/>
      <c r="E72" s="39"/>
      <c r="F72" s="40"/>
      <c r="G72" s="41"/>
    </row>
    <row r="73" spans="1:7">
      <c r="A73" s="37"/>
      <c r="B73" s="37"/>
      <c r="C73" s="38"/>
      <c r="D73" s="38"/>
      <c r="E73" s="39"/>
      <c r="F73" s="40"/>
      <c r="G73" s="41"/>
    </row>
    <row r="74" spans="1:7">
      <c r="A74" s="37"/>
      <c r="B74" s="37"/>
      <c r="C74" s="38"/>
      <c r="D74" s="38"/>
      <c r="E74" s="39"/>
      <c r="F74" s="40"/>
      <c r="G74" s="41"/>
    </row>
    <row r="75" spans="1:7">
      <c r="A75" s="37"/>
      <c r="B75" s="37"/>
      <c r="C75" s="38"/>
      <c r="D75" s="38"/>
      <c r="E75" s="39"/>
      <c r="F75" s="40"/>
      <c r="G75" s="41"/>
    </row>
    <row r="76" spans="1:7">
      <c r="A76" s="37"/>
      <c r="B76" s="37"/>
      <c r="C76" s="38"/>
      <c r="D76" s="38"/>
      <c r="E76" s="39"/>
      <c r="F76" s="40"/>
      <c r="G76" s="41"/>
    </row>
    <row r="77" spans="1:7">
      <c r="A77" s="37"/>
      <c r="B77" s="37"/>
      <c r="C77" s="38"/>
      <c r="D77" s="38"/>
      <c r="E77" s="39"/>
      <c r="F77" s="40"/>
      <c r="G77" s="41"/>
    </row>
    <row r="78" spans="1:7">
      <c r="A78" s="37"/>
      <c r="B78" s="37"/>
      <c r="C78" s="38"/>
      <c r="D78" s="38"/>
      <c r="E78" s="39"/>
      <c r="F78" s="40"/>
      <c r="G78" s="41"/>
    </row>
    <row r="79" spans="1:7">
      <c r="A79" s="37"/>
      <c r="B79" s="37"/>
      <c r="C79" s="38"/>
      <c r="D79" s="38"/>
      <c r="E79" s="39"/>
      <c r="F79" s="40"/>
      <c r="G79" s="41"/>
    </row>
    <row r="80" spans="1:7">
      <c r="A80" s="37"/>
      <c r="B80" s="37"/>
      <c r="C80" s="38"/>
      <c r="D80" s="38"/>
      <c r="E80" s="39"/>
      <c r="F80" s="40"/>
      <c r="G80" s="41"/>
    </row>
    <row r="81" spans="1:7">
      <c r="A81" s="37"/>
      <c r="B81" s="37"/>
      <c r="C81" s="38"/>
      <c r="D81" s="38"/>
      <c r="E81" s="39"/>
      <c r="F81" s="40"/>
      <c r="G81" s="41"/>
    </row>
    <row r="82" spans="1:7">
      <c r="A82" s="37"/>
      <c r="B82" s="37"/>
      <c r="C82" s="38"/>
      <c r="D82" s="38"/>
      <c r="E82" s="39"/>
      <c r="F82" s="40"/>
      <c r="G82" s="41"/>
    </row>
    <row r="83" spans="1:7">
      <c r="A83" s="37"/>
      <c r="B83" s="37"/>
      <c r="C83" s="38"/>
      <c r="D83" s="38"/>
      <c r="E83" s="39"/>
      <c r="F83" s="40"/>
      <c r="G83" s="41"/>
    </row>
    <row r="84" spans="1:7">
      <c r="A84" s="37"/>
      <c r="B84" s="37"/>
      <c r="C84" s="38"/>
      <c r="D84" s="38"/>
      <c r="E84" s="39"/>
      <c r="F84" s="40"/>
      <c r="G84" s="41"/>
    </row>
    <row r="85" spans="1:7">
      <c r="A85" s="37"/>
      <c r="B85" s="37"/>
      <c r="C85" s="38"/>
      <c r="D85" s="38"/>
      <c r="E85" s="39"/>
      <c r="F85" s="40"/>
      <c r="G85" s="41"/>
    </row>
    <row r="86" spans="1:7">
      <c r="A86" s="37"/>
      <c r="B86" s="37"/>
      <c r="C86" s="38"/>
      <c r="D86" s="38"/>
      <c r="E86" s="39"/>
      <c r="F86" s="40"/>
      <c r="G86" s="41"/>
    </row>
    <row r="87" spans="1:7">
      <c r="A87" s="37"/>
      <c r="B87" s="37"/>
      <c r="C87" s="38"/>
      <c r="D87" s="38"/>
      <c r="E87" s="39"/>
      <c r="F87" s="40"/>
      <c r="G87" s="41"/>
    </row>
    <row r="88" spans="1:7">
      <c r="A88" s="37"/>
      <c r="B88" s="37"/>
      <c r="C88" s="38"/>
      <c r="D88" s="38"/>
      <c r="E88" s="39"/>
      <c r="F88" s="40"/>
      <c r="G88" s="41"/>
    </row>
    <row r="89" spans="1:7">
      <c r="A89" s="37"/>
      <c r="B89" s="37"/>
      <c r="C89" s="38"/>
      <c r="D89" s="38"/>
      <c r="E89" s="39"/>
      <c r="F89" s="40"/>
      <c r="G89" s="41"/>
    </row>
    <row r="90" spans="1:7">
      <c r="A90" s="37"/>
      <c r="B90" s="37"/>
      <c r="C90" s="38"/>
      <c r="D90" s="38"/>
      <c r="E90" s="39"/>
      <c r="F90" s="40"/>
      <c r="G90" s="41"/>
    </row>
    <row r="91" spans="1:7">
      <c r="A91" s="37"/>
      <c r="B91" s="37"/>
      <c r="C91" s="38"/>
      <c r="D91" s="38"/>
      <c r="E91" s="39"/>
      <c r="F91" s="40"/>
      <c r="G91" s="41"/>
    </row>
    <row r="92" spans="1:7">
      <c r="A92" s="37"/>
      <c r="B92" s="37"/>
      <c r="C92" s="38"/>
      <c r="D92" s="38"/>
      <c r="E92" s="39"/>
      <c r="F92" s="40"/>
      <c r="G92" s="41"/>
    </row>
    <row r="93" spans="1:7">
      <c r="A93" s="37"/>
      <c r="B93" s="37"/>
      <c r="C93" s="38"/>
      <c r="D93" s="38"/>
      <c r="E93" s="39"/>
      <c r="F93" s="40"/>
      <c r="G93" s="41"/>
    </row>
    <row r="94" spans="1:7">
      <c r="A94" s="37"/>
      <c r="B94" s="37"/>
      <c r="C94" s="38"/>
      <c r="D94" s="38"/>
      <c r="E94" s="39"/>
      <c r="F94" s="40"/>
      <c r="G94" s="41"/>
    </row>
    <row r="95" spans="1:7">
      <c r="A95" s="37"/>
      <c r="B95" s="37"/>
      <c r="C95" s="38"/>
      <c r="D95" s="38"/>
      <c r="E95" s="39"/>
      <c r="F95" s="40"/>
      <c r="G95" s="41"/>
    </row>
    <row r="96" spans="1:7">
      <c r="A96" s="37"/>
      <c r="B96" s="37"/>
      <c r="C96" s="38"/>
      <c r="D96" s="38"/>
      <c r="E96" s="39"/>
      <c r="F96" s="40"/>
      <c r="G96" s="41"/>
    </row>
    <row r="97" spans="1:7">
      <c r="A97" s="37"/>
      <c r="B97" s="37"/>
      <c r="C97" s="38"/>
      <c r="D97" s="38"/>
      <c r="E97" s="39"/>
      <c r="F97" s="40"/>
      <c r="G97" s="41"/>
    </row>
    <row r="98" spans="1:7">
      <c r="A98" s="37"/>
      <c r="B98" s="37"/>
      <c r="C98" s="38"/>
      <c r="D98" s="38"/>
      <c r="E98" s="39"/>
      <c r="F98" s="40"/>
      <c r="G98" s="41"/>
    </row>
    <row r="99" spans="1:7">
      <c r="A99" s="37"/>
      <c r="B99" s="37"/>
      <c r="C99" s="38"/>
      <c r="D99" s="38"/>
      <c r="E99" s="39"/>
      <c r="F99" s="40"/>
      <c r="G99" s="41"/>
    </row>
    <row r="100" spans="1:7">
      <c r="A100" s="37"/>
      <c r="B100" s="37"/>
      <c r="C100" s="38"/>
      <c r="D100" s="38"/>
      <c r="E100" s="39"/>
      <c r="F100" s="40"/>
      <c r="G100" s="41"/>
    </row>
    <row r="101" spans="1:7">
      <c r="A101" s="37"/>
      <c r="B101" s="37"/>
      <c r="C101" s="38"/>
      <c r="D101" s="38"/>
      <c r="E101" s="39"/>
      <c r="F101" s="40"/>
      <c r="G101" s="41"/>
    </row>
    <row r="102" spans="1:7">
      <c r="A102" s="37"/>
      <c r="B102" s="37"/>
      <c r="C102" s="38"/>
      <c r="D102" s="38"/>
      <c r="E102" s="39"/>
      <c r="F102" s="40"/>
      <c r="G102" s="41"/>
    </row>
    <row r="103" spans="1:7">
      <c r="A103" s="37"/>
      <c r="B103" s="37"/>
      <c r="C103" s="38"/>
      <c r="D103" s="38"/>
      <c r="E103" s="39"/>
      <c r="F103" s="40"/>
      <c r="G103" s="41"/>
    </row>
    <row r="104" spans="1:7">
      <c r="A104" s="37"/>
      <c r="B104" s="37"/>
      <c r="C104" s="38"/>
      <c r="D104" s="38"/>
      <c r="E104" s="39"/>
      <c r="F104" s="40"/>
      <c r="G104" s="41"/>
    </row>
    <row r="105" spans="1:7">
      <c r="A105" s="37"/>
      <c r="B105" s="37"/>
      <c r="C105" s="38"/>
      <c r="D105" s="38"/>
      <c r="E105" s="39"/>
      <c r="F105" s="40"/>
      <c r="G105" s="41"/>
    </row>
    <row r="106" spans="1:7">
      <c r="A106" s="37"/>
      <c r="B106" s="37"/>
      <c r="C106" s="38"/>
      <c r="D106" s="38"/>
      <c r="E106" s="39"/>
      <c r="F106" s="40"/>
      <c r="G106" s="41"/>
    </row>
    <row r="107" spans="1:7">
      <c r="A107" s="37"/>
      <c r="B107" s="37"/>
      <c r="C107" s="38"/>
      <c r="D107" s="38"/>
      <c r="E107" s="39"/>
      <c r="F107" s="40"/>
      <c r="G107" s="41"/>
    </row>
    <row r="108" spans="1:7">
      <c r="A108" s="37"/>
      <c r="B108" s="37"/>
      <c r="C108" s="38"/>
      <c r="D108" s="38"/>
      <c r="E108" s="39"/>
      <c r="F108" s="40"/>
      <c r="G108" s="41"/>
    </row>
    <row r="109" spans="1:7">
      <c r="A109" s="37"/>
      <c r="B109" s="37"/>
      <c r="C109" s="38"/>
      <c r="D109" s="38"/>
      <c r="E109" s="39"/>
      <c r="F109" s="40"/>
      <c r="G109" s="41"/>
    </row>
    <row r="110" spans="1:7">
      <c r="A110" s="37"/>
      <c r="B110" s="37"/>
      <c r="C110" s="38"/>
      <c r="D110" s="38"/>
      <c r="E110" s="39"/>
      <c r="F110" s="40"/>
      <c r="G110" s="41"/>
    </row>
    <row r="111" spans="1:7">
      <c r="A111" s="37"/>
      <c r="B111" s="37"/>
      <c r="C111" s="38"/>
      <c r="D111" s="38"/>
      <c r="E111" s="39"/>
      <c r="F111" s="40"/>
      <c r="G111" s="41"/>
    </row>
    <row r="112" spans="1:7">
      <c r="A112" s="37"/>
      <c r="B112" s="37"/>
      <c r="C112" s="38"/>
      <c r="D112" s="38"/>
      <c r="E112" s="39"/>
      <c r="F112" s="40"/>
      <c r="G112" s="41"/>
    </row>
    <row r="113" spans="1:7">
      <c r="A113" s="37"/>
      <c r="B113" s="37"/>
      <c r="C113" s="38"/>
      <c r="D113" s="38"/>
      <c r="E113" s="39"/>
      <c r="F113" s="40"/>
      <c r="G113" s="41"/>
    </row>
    <row r="114" spans="1:7">
      <c r="A114" s="37"/>
      <c r="B114" s="37"/>
      <c r="C114" s="38"/>
      <c r="D114" s="38"/>
      <c r="E114" s="39"/>
      <c r="F114" s="40"/>
      <c r="G114" s="41"/>
    </row>
    <row r="115" spans="1:7">
      <c r="A115" s="37"/>
      <c r="B115" s="37"/>
      <c r="C115" s="38"/>
      <c r="D115" s="38"/>
      <c r="E115" s="39"/>
      <c r="F115" s="40"/>
      <c r="G115" s="41"/>
    </row>
    <row r="116" spans="1:7">
      <c r="A116" s="37"/>
      <c r="B116" s="37"/>
      <c r="C116" s="38"/>
      <c r="D116" s="38"/>
      <c r="E116" s="39"/>
      <c r="F116" s="40"/>
      <c r="G116" s="41"/>
    </row>
    <row r="117" spans="1:7">
      <c r="A117" s="37"/>
      <c r="B117" s="37"/>
      <c r="C117" s="38"/>
      <c r="D117" s="38"/>
      <c r="E117" s="39"/>
      <c r="F117" s="40"/>
      <c r="G117" s="41"/>
    </row>
    <row r="118" spans="1:7">
      <c r="A118" s="37"/>
      <c r="B118" s="37"/>
      <c r="C118" s="38"/>
      <c r="D118" s="38"/>
      <c r="E118" s="39"/>
      <c r="F118" s="40"/>
      <c r="G118" s="41"/>
    </row>
    <row r="119" spans="1:7">
      <c r="A119" s="37"/>
      <c r="B119" s="37"/>
      <c r="C119" s="38"/>
      <c r="D119" s="38"/>
      <c r="E119" s="39"/>
      <c r="F119" s="40"/>
      <c r="G119" s="41"/>
    </row>
    <row r="120" spans="1:7">
      <c r="A120" s="37"/>
      <c r="B120" s="37"/>
      <c r="C120" s="38"/>
      <c r="D120" s="38"/>
      <c r="E120" s="39"/>
      <c r="F120" s="40"/>
      <c r="G120" s="41"/>
    </row>
    <row r="121" spans="1:7">
      <c r="A121" s="37"/>
      <c r="B121" s="37"/>
      <c r="C121" s="38"/>
      <c r="D121" s="38"/>
      <c r="E121" s="39"/>
      <c r="F121" s="40"/>
      <c r="G121" s="41"/>
    </row>
    <row r="122" spans="1:7">
      <c r="A122" s="37"/>
      <c r="B122" s="37"/>
      <c r="C122" s="38"/>
      <c r="D122" s="38"/>
      <c r="E122" s="39"/>
      <c r="F122" s="40"/>
      <c r="G122" s="41"/>
    </row>
    <row r="123" spans="1:7">
      <c r="A123" s="37"/>
      <c r="B123" s="37"/>
      <c r="C123" s="38"/>
      <c r="D123" s="38"/>
      <c r="E123" s="39"/>
      <c r="F123" s="40"/>
      <c r="G123" s="41"/>
    </row>
    <row r="124" spans="1:7">
      <c r="A124" s="37"/>
      <c r="B124" s="37"/>
      <c r="C124" s="38"/>
      <c r="D124" s="38"/>
      <c r="E124" s="39"/>
      <c r="F124" s="40"/>
      <c r="G124" s="41"/>
    </row>
    <row r="125" spans="1:7">
      <c r="A125" s="37"/>
      <c r="B125" s="37"/>
      <c r="C125" s="38"/>
      <c r="D125" s="38"/>
      <c r="E125" s="39"/>
      <c r="F125" s="40"/>
      <c r="G125" s="41"/>
    </row>
    <row r="126" spans="1:7">
      <c r="A126" s="37"/>
      <c r="B126" s="37"/>
      <c r="C126" s="38"/>
      <c r="D126" s="38"/>
      <c r="E126" s="39"/>
      <c r="F126" s="40"/>
      <c r="G126" s="41"/>
    </row>
  </sheetData>
  <autoFilter ref="A4:J7">
    <sortState ref="A4:J7">
      <sortCondition ref="C4:C40" descending="1"/>
    </sortState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C000"/>
  </sheetPr>
  <dimension ref="A1:G11685"/>
  <sheetViews>
    <sheetView workbookViewId="0">
      <selection activeCell="A2" sqref="A2:G4"/>
    </sheetView>
  </sheetViews>
  <sheetFormatPr defaultColWidth="9" defaultRowHeight="14" outlineLevelCol="6"/>
  <cols>
    <col min="1" max="1" width="21.0909090909091" customWidth="1"/>
    <col min="2" max="2" width="9.63636363636364" customWidth="1"/>
    <col min="3" max="3" width="9.63636363636364" style="18" customWidth="1"/>
    <col min="4" max="4" width="9.63636363636364" style="19" customWidth="1"/>
    <col min="5" max="7" width="9.63636363636364" customWidth="1"/>
  </cols>
  <sheetData>
    <row r="1" s="17" customFormat="1" ht="54" customHeight="1" spans="1:7">
      <c r="A1" s="20" t="s">
        <v>108</v>
      </c>
      <c r="B1" s="20" t="s">
        <v>109</v>
      </c>
      <c r="C1" s="20" t="s">
        <v>110</v>
      </c>
      <c r="D1" s="20" t="s">
        <v>63</v>
      </c>
      <c r="E1" s="21" t="s">
        <v>64</v>
      </c>
      <c r="F1" s="21" t="s">
        <v>111</v>
      </c>
      <c r="G1" s="20" t="s">
        <v>112</v>
      </c>
    </row>
    <row r="2" spans="1:7">
      <c r="A2" s="22" t="s">
        <v>91</v>
      </c>
      <c r="B2">
        <v>284886</v>
      </c>
      <c r="C2">
        <v>542</v>
      </c>
      <c r="D2" s="23">
        <v>0.00190251539212176</v>
      </c>
      <c r="E2" s="24">
        <v>0.0645756457564576</v>
      </c>
      <c r="F2" s="19">
        <v>1.89068151262095</v>
      </c>
      <c r="G2">
        <v>36</v>
      </c>
    </row>
    <row r="3" spans="1:7">
      <c r="A3" s="22" t="s">
        <v>99</v>
      </c>
      <c r="B3">
        <v>94170</v>
      </c>
      <c r="C3">
        <v>333</v>
      </c>
      <c r="D3" s="23">
        <v>0.00353615801210577</v>
      </c>
      <c r="E3" s="24">
        <v>0.045045045045045</v>
      </c>
      <c r="F3" s="19">
        <v>1.0893751917374</v>
      </c>
      <c r="G3">
        <v>21</v>
      </c>
    </row>
    <row r="4" spans="1:7">
      <c r="A4" s="22" t="s">
        <v>95</v>
      </c>
      <c r="B4">
        <v>64123</v>
      </c>
      <c r="C4">
        <v>278</v>
      </c>
      <c r="D4" s="23">
        <v>0.00433541786878343</v>
      </c>
      <c r="E4" s="24">
        <v>0.0215827338129496</v>
      </c>
      <c r="F4" s="19">
        <v>0.547208489087182</v>
      </c>
      <c r="G4">
        <v>6</v>
      </c>
    </row>
    <row r="5" spans="1:6">
      <c r="A5" s="22" t="s">
        <v>65</v>
      </c>
      <c r="B5"/>
      <c r="C5"/>
      <c r="D5" s="23" t="e">
        <v>#DIV/0!</v>
      </c>
      <c r="E5" s="24" t="e">
        <v>#DIV/0!</v>
      </c>
      <c r="F5" s="19" t="e">
        <v>#DIV/0!</v>
      </c>
    </row>
    <row r="6" spans="1:7">
      <c r="A6" s="22" t="s">
        <v>66</v>
      </c>
      <c r="B6">
        <v>443179</v>
      </c>
      <c r="C6">
        <v>1153</v>
      </c>
      <c r="D6" s="23">
        <v>0.0026016575695148</v>
      </c>
      <c r="E6" s="24">
        <v>0.0485689505637468</v>
      </c>
      <c r="F6" s="19">
        <v>1.35872926886242</v>
      </c>
      <c r="G6">
        <v>63</v>
      </c>
    </row>
    <row r="7" spans="3:4">
      <c r="C7"/>
      <c r="D7"/>
    </row>
    <row r="8" spans="3:4">
      <c r="C8"/>
      <c r="D8"/>
    </row>
    <row r="9" spans="3:4">
      <c r="C9"/>
      <c r="D9"/>
    </row>
    <row r="10" spans="3:4">
      <c r="C10"/>
      <c r="D10"/>
    </row>
    <row r="11" spans="3:4">
      <c r="C11"/>
      <c r="D11"/>
    </row>
    <row r="12" spans="3:4">
      <c r="C12"/>
      <c r="D12"/>
    </row>
    <row r="13" spans="3:4">
      <c r="C13"/>
      <c r="D13"/>
    </row>
    <row r="14" spans="3:4">
      <c r="C14"/>
      <c r="D14"/>
    </row>
    <row r="15" spans="3:4">
      <c r="C15"/>
      <c r="D15"/>
    </row>
    <row r="16" spans="3:4">
      <c r="C16"/>
      <c r="D16"/>
    </row>
    <row r="17" spans="3:4">
      <c r="C17"/>
      <c r="D17"/>
    </row>
    <row r="18" spans="3:4">
      <c r="C18"/>
      <c r="D18"/>
    </row>
    <row r="19" spans="3:4">
      <c r="C19"/>
      <c r="D19"/>
    </row>
    <row r="20" spans="3:4">
      <c r="C20"/>
      <c r="D20"/>
    </row>
    <row r="21" spans="3:4">
      <c r="C21"/>
      <c r="D21"/>
    </row>
    <row r="22" spans="3:4">
      <c r="C22"/>
      <c r="D22"/>
    </row>
    <row r="23" spans="3:4">
      <c r="C23"/>
      <c r="D23"/>
    </row>
    <row r="24" spans="3:4">
      <c r="C24"/>
      <c r="D24"/>
    </row>
    <row r="25" spans="3:4">
      <c r="C25"/>
      <c r="D25"/>
    </row>
    <row r="26" spans="3:4">
      <c r="C26"/>
      <c r="D26"/>
    </row>
    <row r="27" spans="3:4">
      <c r="C27"/>
      <c r="D27"/>
    </row>
    <row r="28" spans="3:4">
      <c r="C28"/>
      <c r="D28"/>
    </row>
    <row r="29" spans="3:4">
      <c r="C29"/>
      <c r="D29"/>
    </row>
    <row r="30" spans="3:4">
      <c r="C30"/>
      <c r="D30"/>
    </row>
    <row r="31" spans="3:4">
      <c r="C31"/>
      <c r="D31"/>
    </row>
    <row r="32" spans="3:4">
      <c r="C32"/>
      <c r="D32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/>
      <c r="D36"/>
    </row>
    <row r="37" spans="3:4">
      <c r="C37"/>
      <c r="D37"/>
    </row>
    <row r="38" spans="3:4">
      <c r="C38"/>
      <c r="D38"/>
    </row>
    <row r="39" spans="3:4">
      <c r="C39"/>
      <c r="D39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/>
      <c r="D44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/>
      <c r="D55"/>
    </row>
    <row r="56" spans="3:4">
      <c r="C56"/>
      <c r="D56"/>
    </row>
    <row r="57" spans="3:4">
      <c r="C57"/>
      <c r="D57"/>
    </row>
    <row r="58" spans="3:4">
      <c r="C58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/>
      <c r="D63"/>
    </row>
    <row r="64" spans="3:4">
      <c r="C64"/>
      <c r="D64"/>
    </row>
    <row r="65" spans="3:4">
      <c r="C65"/>
      <c r="D65"/>
    </row>
    <row r="66" spans="3:4">
      <c r="C66"/>
      <c r="D66"/>
    </row>
    <row r="67" spans="3:4">
      <c r="C67"/>
      <c r="D67"/>
    </row>
    <row r="68" spans="3:4">
      <c r="C68"/>
      <c r="D68"/>
    </row>
    <row r="69" spans="3:4">
      <c r="C69"/>
      <c r="D69"/>
    </row>
    <row r="70" spans="3:4">
      <c r="C70"/>
      <c r="D70"/>
    </row>
    <row r="71" spans="3:4">
      <c r="C71"/>
      <c r="D71"/>
    </row>
    <row r="72" spans="3:4">
      <c r="C72"/>
      <c r="D72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/>
      <c r="D90"/>
    </row>
    <row r="91" spans="3:4">
      <c r="C91"/>
      <c r="D91"/>
    </row>
    <row r="92" spans="3:4">
      <c r="C92"/>
      <c r="D92"/>
    </row>
    <row r="93" spans="3:4">
      <c r="C93"/>
      <c r="D93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/>
      <c r="D106"/>
    </row>
    <row r="107" spans="3:4">
      <c r="C107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/>
      <c r="D127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/>
      <c r="D132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/>
      <c r="D138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/>
      <c r="D142"/>
    </row>
    <row r="143" spans="3:4">
      <c r="C143"/>
      <c r="D143"/>
    </row>
    <row r="144" spans="3:4">
      <c r="C144"/>
      <c r="D144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/>
      <c r="D165"/>
    </row>
    <row r="166" spans="3:4">
      <c r="C166"/>
      <c r="D166"/>
    </row>
    <row r="167" spans="3:4">
      <c r="C167"/>
      <c r="D167"/>
    </row>
    <row r="168" spans="3:4">
      <c r="C168"/>
      <c r="D168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/>
      <c r="D172"/>
    </row>
    <row r="173" spans="3:4">
      <c r="C173"/>
      <c r="D173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4">
      <c r="C177"/>
      <c r="D177"/>
    </row>
    <row r="178" spans="3:4">
      <c r="C178"/>
      <c r="D178"/>
    </row>
    <row r="179" spans="3:4">
      <c r="C179"/>
      <c r="D179"/>
    </row>
    <row r="180" spans="3:4">
      <c r="C180"/>
      <c r="D180"/>
    </row>
    <row r="181" spans="3:4">
      <c r="C181"/>
      <c r="D181"/>
    </row>
    <row r="182" spans="3:4">
      <c r="C182"/>
      <c r="D182"/>
    </row>
    <row r="183" spans="3:4">
      <c r="C183"/>
      <c r="D183"/>
    </row>
    <row r="184" spans="3:4">
      <c r="C184"/>
      <c r="D184"/>
    </row>
    <row r="185" spans="3:4">
      <c r="C185"/>
      <c r="D185"/>
    </row>
    <row r="186" spans="3:4">
      <c r="C186"/>
      <c r="D186"/>
    </row>
    <row r="187" spans="3:4">
      <c r="C187"/>
      <c r="D187"/>
    </row>
    <row r="188" spans="3:4">
      <c r="C188"/>
      <c r="D188"/>
    </row>
    <row r="189" spans="3:4">
      <c r="C189"/>
      <c r="D189"/>
    </row>
    <row r="190" spans="3:4">
      <c r="C190"/>
      <c r="D190"/>
    </row>
    <row r="191" spans="3:4">
      <c r="C191"/>
      <c r="D191"/>
    </row>
    <row r="192" spans="3:4">
      <c r="C192"/>
      <c r="D192"/>
    </row>
    <row r="193" spans="3:4">
      <c r="C193"/>
      <c r="D193"/>
    </row>
    <row r="194" spans="3:4">
      <c r="C194"/>
      <c r="D194"/>
    </row>
    <row r="195" spans="3:4">
      <c r="C195"/>
      <c r="D195"/>
    </row>
    <row r="196" spans="3:4">
      <c r="C196"/>
      <c r="D196"/>
    </row>
    <row r="197" spans="3:4">
      <c r="C197"/>
      <c r="D197"/>
    </row>
    <row r="198" spans="3:4">
      <c r="C198"/>
      <c r="D198"/>
    </row>
    <row r="199" spans="3:4">
      <c r="C199"/>
      <c r="D199"/>
    </row>
    <row r="200" spans="3:4">
      <c r="C200"/>
      <c r="D200"/>
    </row>
    <row r="201" spans="3:4">
      <c r="C201"/>
      <c r="D201"/>
    </row>
    <row r="202" spans="3:4">
      <c r="C202"/>
      <c r="D202"/>
    </row>
    <row r="203" spans="3:4">
      <c r="C203"/>
      <c r="D203"/>
    </row>
    <row r="204" spans="3:4">
      <c r="C204"/>
      <c r="D204"/>
    </row>
    <row r="205" spans="3:4">
      <c r="C205"/>
      <c r="D205"/>
    </row>
    <row r="206" spans="3:4">
      <c r="C206"/>
      <c r="D206"/>
    </row>
    <row r="207" spans="3:4">
      <c r="C207"/>
      <c r="D207"/>
    </row>
    <row r="208" spans="3:4">
      <c r="C208"/>
      <c r="D208"/>
    </row>
    <row r="209" spans="3:4">
      <c r="C209"/>
      <c r="D209"/>
    </row>
    <row r="210" spans="3:4">
      <c r="C210"/>
      <c r="D210"/>
    </row>
    <row r="211" spans="3:4">
      <c r="C211"/>
      <c r="D211"/>
    </row>
    <row r="212" spans="3:4">
      <c r="C212"/>
      <c r="D212"/>
    </row>
    <row r="213" spans="3:4">
      <c r="C213"/>
      <c r="D213"/>
    </row>
    <row r="214" spans="3:4">
      <c r="C214"/>
      <c r="D214"/>
    </row>
    <row r="215" spans="3:4">
      <c r="C215"/>
      <c r="D215"/>
    </row>
    <row r="216" spans="3:4">
      <c r="C216"/>
      <c r="D216"/>
    </row>
    <row r="217" spans="3:4">
      <c r="C217"/>
      <c r="D217"/>
    </row>
    <row r="218" spans="3:4">
      <c r="C218"/>
      <c r="D218"/>
    </row>
    <row r="219" spans="3:4">
      <c r="C219"/>
      <c r="D219"/>
    </row>
    <row r="220" spans="3:4">
      <c r="C220"/>
      <c r="D220"/>
    </row>
    <row r="221" spans="3:4">
      <c r="C221"/>
      <c r="D221"/>
    </row>
    <row r="222" spans="3:4">
      <c r="C222"/>
      <c r="D222"/>
    </row>
    <row r="223" spans="3:4">
      <c r="C223"/>
      <c r="D223"/>
    </row>
    <row r="224" spans="3:4">
      <c r="C224"/>
      <c r="D224"/>
    </row>
    <row r="225" spans="3:4">
      <c r="C225"/>
      <c r="D225"/>
    </row>
    <row r="226" spans="3:4">
      <c r="C226"/>
      <c r="D226"/>
    </row>
    <row r="227" spans="3:4">
      <c r="C227"/>
      <c r="D227"/>
    </row>
    <row r="228" spans="3:4">
      <c r="C228"/>
      <c r="D228"/>
    </row>
    <row r="229" spans="3:4">
      <c r="C229"/>
      <c r="D229"/>
    </row>
    <row r="230" spans="3:4">
      <c r="C230"/>
      <c r="D230"/>
    </row>
    <row r="231" spans="3:4">
      <c r="C231"/>
      <c r="D231"/>
    </row>
    <row r="232" spans="3:4">
      <c r="C232"/>
      <c r="D232"/>
    </row>
    <row r="233" spans="3:4">
      <c r="C233"/>
      <c r="D233"/>
    </row>
    <row r="234" spans="3:4">
      <c r="C234"/>
      <c r="D234"/>
    </row>
    <row r="235" spans="3:4">
      <c r="C235"/>
      <c r="D235"/>
    </row>
    <row r="236" spans="3:4">
      <c r="C236"/>
      <c r="D236"/>
    </row>
    <row r="237" spans="3:4">
      <c r="C237"/>
      <c r="D237"/>
    </row>
    <row r="238" spans="3:4">
      <c r="C238"/>
      <c r="D238"/>
    </row>
    <row r="239" spans="3:4">
      <c r="C239"/>
      <c r="D239"/>
    </row>
    <row r="240" spans="3:4">
      <c r="C240"/>
      <c r="D240"/>
    </row>
    <row r="241" spans="3:4">
      <c r="C241"/>
      <c r="D241"/>
    </row>
    <row r="242" spans="3:4">
      <c r="C242"/>
      <c r="D242"/>
    </row>
    <row r="243" spans="3:4">
      <c r="C243"/>
      <c r="D243"/>
    </row>
    <row r="244" spans="3:4">
      <c r="C244"/>
      <c r="D244"/>
    </row>
    <row r="245" spans="3:4">
      <c r="C245"/>
      <c r="D245"/>
    </row>
    <row r="246" spans="3:4">
      <c r="C246"/>
      <c r="D246"/>
    </row>
    <row r="247" spans="3:4">
      <c r="C247"/>
      <c r="D247"/>
    </row>
    <row r="248" spans="3:4">
      <c r="C248"/>
      <c r="D248"/>
    </row>
    <row r="249" spans="3:4">
      <c r="C249"/>
      <c r="D249"/>
    </row>
    <row r="250" spans="3:4">
      <c r="C250"/>
      <c r="D250"/>
    </row>
    <row r="251" spans="3:4">
      <c r="C251"/>
      <c r="D251"/>
    </row>
    <row r="252" spans="3:4">
      <c r="C252"/>
      <c r="D252"/>
    </row>
    <row r="253" spans="3:4">
      <c r="C253"/>
      <c r="D253"/>
    </row>
    <row r="254" spans="3:4">
      <c r="C254"/>
      <c r="D254"/>
    </row>
    <row r="255" spans="3:4">
      <c r="C255"/>
      <c r="D255"/>
    </row>
    <row r="256" spans="3:4">
      <c r="C256"/>
      <c r="D256"/>
    </row>
    <row r="257" spans="3:4">
      <c r="C257"/>
      <c r="D257"/>
    </row>
    <row r="258" spans="3:4">
      <c r="C258"/>
      <c r="D258"/>
    </row>
    <row r="259" spans="3:4">
      <c r="C259"/>
      <c r="D259"/>
    </row>
    <row r="260" spans="3:4">
      <c r="C260"/>
      <c r="D260"/>
    </row>
    <row r="261" spans="3:4">
      <c r="C261"/>
      <c r="D261"/>
    </row>
    <row r="262" spans="3:4">
      <c r="C262"/>
      <c r="D262"/>
    </row>
    <row r="263" spans="3:4">
      <c r="C263"/>
      <c r="D263"/>
    </row>
    <row r="264" spans="3:4">
      <c r="C264"/>
      <c r="D264"/>
    </row>
    <row r="265" spans="3:4">
      <c r="C265"/>
      <c r="D265"/>
    </row>
    <row r="266" spans="3:4">
      <c r="C266"/>
      <c r="D266"/>
    </row>
    <row r="267" spans="3:4">
      <c r="C267"/>
      <c r="D267"/>
    </row>
    <row r="268" spans="3:4">
      <c r="C268"/>
      <c r="D268"/>
    </row>
    <row r="269" spans="3:4">
      <c r="C269"/>
      <c r="D269"/>
    </row>
    <row r="270" spans="3:4">
      <c r="C270"/>
      <c r="D270"/>
    </row>
    <row r="271" spans="3:4">
      <c r="C271"/>
      <c r="D271"/>
    </row>
    <row r="272" spans="3:4">
      <c r="C272"/>
      <c r="D272"/>
    </row>
    <row r="273" spans="3:4">
      <c r="C273"/>
      <c r="D273"/>
    </row>
    <row r="274" spans="3:4">
      <c r="C274"/>
      <c r="D274"/>
    </row>
    <row r="275" spans="3:4">
      <c r="C275"/>
      <c r="D275"/>
    </row>
    <row r="276" spans="3:4">
      <c r="C276"/>
      <c r="D276"/>
    </row>
    <row r="277" spans="3:4">
      <c r="C277"/>
      <c r="D277"/>
    </row>
    <row r="278" spans="3:4">
      <c r="C278"/>
      <c r="D278"/>
    </row>
    <row r="279" spans="3:4">
      <c r="C279"/>
      <c r="D279"/>
    </row>
    <row r="280" spans="3:4">
      <c r="C280"/>
      <c r="D280"/>
    </row>
    <row r="281" spans="3:4">
      <c r="C281"/>
      <c r="D281"/>
    </row>
    <row r="282" spans="3:4">
      <c r="C282"/>
      <c r="D282"/>
    </row>
    <row r="283" spans="3:4">
      <c r="C283"/>
      <c r="D283"/>
    </row>
    <row r="284" spans="3:4">
      <c r="C284"/>
      <c r="D284"/>
    </row>
    <row r="285" spans="3:4">
      <c r="C285"/>
      <c r="D285"/>
    </row>
    <row r="286" spans="3:4">
      <c r="C286"/>
      <c r="D286"/>
    </row>
    <row r="287" spans="3:4">
      <c r="C287"/>
      <c r="D287"/>
    </row>
    <row r="288" spans="3:4">
      <c r="C288"/>
      <c r="D288"/>
    </row>
    <row r="289" spans="3:4">
      <c r="C289"/>
      <c r="D289"/>
    </row>
    <row r="290" spans="3:4">
      <c r="C290"/>
      <c r="D290"/>
    </row>
    <row r="291" spans="3:4">
      <c r="C291"/>
      <c r="D291"/>
    </row>
    <row r="292" spans="3:4">
      <c r="C292"/>
      <c r="D292"/>
    </row>
    <row r="293" spans="3:4">
      <c r="C293"/>
      <c r="D293"/>
    </row>
    <row r="294" spans="3:4">
      <c r="C294"/>
      <c r="D294"/>
    </row>
    <row r="295" spans="3:4">
      <c r="C295"/>
      <c r="D295"/>
    </row>
    <row r="296" spans="3:4">
      <c r="C296"/>
      <c r="D296"/>
    </row>
    <row r="297" spans="3:4">
      <c r="C297"/>
      <c r="D297"/>
    </row>
    <row r="298" spans="3:4">
      <c r="C298"/>
      <c r="D298"/>
    </row>
    <row r="299" spans="3:4">
      <c r="C299"/>
      <c r="D299"/>
    </row>
    <row r="300" spans="3:4">
      <c r="C300"/>
      <c r="D300"/>
    </row>
    <row r="301" spans="3:4">
      <c r="C301"/>
      <c r="D301"/>
    </row>
    <row r="302" spans="3:4">
      <c r="C302"/>
      <c r="D302"/>
    </row>
    <row r="303" spans="3:4">
      <c r="C303"/>
      <c r="D303"/>
    </row>
    <row r="304" spans="3:4">
      <c r="C304"/>
      <c r="D304"/>
    </row>
    <row r="305" spans="3:4">
      <c r="C305"/>
      <c r="D305"/>
    </row>
    <row r="306" spans="3:4">
      <c r="C306"/>
      <c r="D306"/>
    </row>
    <row r="307" spans="3:4">
      <c r="C307"/>
      <c r="D307"/>
    </row>
    <row r="308" spans="3:4">
      <c r="C308"/>
      <c r="D308"/>
    </row>
    <row r="309" spans="3:4">
      <c r="C309"/>
      <c r="D309"/>
    </row>
    <row r="310" spans="3:4">
      <c r="C310"/>
      <c r="D310"/>
    </row>
    <row r="311" spans="3:4">
      <c r="C311"/>
      <c r="D311"/>
    </row>
    <row r="312" spans="3:4">
      <c r="C312"/>
      <c r="D312"/>
    </row>
    <row r="313" spans="3:4">
      <c r="C313"/>
      <c r="D313"/>
    </row>
    <row r="314" spans="3:4">
      <c r="C314"/>
      <c r="D314"/>
    </row>
    <row r="315" spans="3:4">
      <c r="C315"/>
      <c r="D315"/>
    </row>
    <row r="316" spans="3:4">
      <c r="C316"/>
      <c r="D316"/>
    </row>
    <row r="317" spans="3:4">
      <c r="C317"/>
      <c r="D317"/>
    </row>
    <row r="318" spans="3:4">
      <c r="C318"/>
      <c r="D318"/>
    </row>
    <row r="319" spans="3:4">
      <c r="C319"/>
      <c r="D319"/>
    </row>
    <row r="320" spans="3:4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/>
      <c r="D326"/>
    </row>
    <row r="327" spans="3:4">
      <c r="C327"/>
      <c r="D327"/>
    </row>
    <row r="328" spans="3:4">
      <c r="C328"/>
      <c r="D328"/>
    </row>
    <row r="329" spans="3:4">
      <c r="C32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/>
      <c r="D333"/>
    </row>
    <row r="334" spans="3:4">
      <c r="C334"/>
      <c r="D334"/>
    </row>
    <row r="335" spans="3:4">
      <c r="C335"/>
      <c r="D335"/>
    </row>
    <row r="336" spans="3:4">
      <c r="C336"/>
      <c r="D336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/>
      <c r="D340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/>
      <c r="D344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/>
      <c r="D352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/>
      <c r="D363"/>
    </row>
    <row r="364" spans="3:4">
      <c r="C364"/>
      <c r="D364"/>
    </row>
    <row r="365" spans="3:4">
      <c r="C365"/>
      <c r="D365"/>
    </row>
    <row r="366" spans="3:4">
      <c r="C366"/>
      <c r="D366"/>
    </row>
    <row r="367" spans="3:4">
      <c r="C367"/>
      <c r="D367"/>
    </row>
    <row r="368" spans="3:4">
      <c r="C368"/>
      <c r="D36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/>
      <c r="D374"/>
    </row>
    <row r="375" spans="3:4">
      <c r="C375"/>
      <c r="D375"/>
    </row>
    <row r="376" spans="3:4">
      <c r="C376"/>
      <c r="D376"/>
    </row>
    <row r="377" spans="3:4">
      <c r="C377"/>
      <c r="D377"/>
    </row>
    <row r="378" spans="3:4">
      <c r="C378"/>
      <c r="D378"/>
    </row>
    <row r="379" spans="3:4">
      <c r="C379"/>
      <c r="D379"/>
    </row>
    <row r="380" spans="3:4">
      <c r="C380"/>
      <c r="D380"/>
    </row>
    <row r="381" spans="3:4">
      <c r="C381"/>
      <c r="D381"/>
    </row>
    <row r="382" spans="3:4">
      <c r="C382"/>
      <c r="D382"/>
    </row>
    <row r="383" spans="3:4">
      <c r="C383"/>
      <c r="D383"/>
    </row>
    <row r="384" spans="3:4">
      <c r="C384"/>
      <c r="D384"/>
    </row>
    <row r="385" spans="3:4">
      <c r="C385"/>
      <c r="D385"/>
    </row>
    <row r="386" spans="3:4">
      <c r="C386"/>
      <c r="D386"/>
    </row>
    <row r="387" spans="3:4">
      <c r="C387"/>
      <c r="D387"/>
    </row>
    <row r="388" spans="3:4">
      <c r="C388"/>
      <c r="D388"/>
    </row>
    <row r="389" spans="3:4">
      <c r="C389"/>
      <c r="D389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/>
      <c r="D404"/>
    </row>
    <row r="405" spans="3:4">
      <c r="C40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/>
      <c r="D413"/>
    </row>
    <row r="414" spans="3:4">
      <c r="C414"/>
      <c r="D414"/>
    </row>
    <row r="415" spans="3:4">
      <c r="C415"/>
      <c r="D415"/>
    </row>
    <row r="416" spans="3:4">
      <c r="C416"/>
      <c r="D416"/>
    </row>
    <row r="417" spans="3:4">
      <c r="C417"/>
      <c r="D417"/>
    </row>
    <row r="418" spans="3:4">
      <c r="C418"/>
      <c r="D418"/>
    </row>
    <row r="419" spans="3:4">
      <c r="C419"/>
      <c r="D419"/>
    </row>
    <row r="420" spans="3:4">
      <c r="C420"/>
      <c r="D420"/>
    </row>
    <row r="421" spans="3:4">
      <c r="C421"/>
      <c r="D421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/>
      <c r="D425"/>
    </row>
    <row r="426" spans="3:4">
      <c r="C426"/>
      <c r="D426"/>
    </row>
    <row r="427" spans="3:4">
      <c r="C427"/>
      <c r="D42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/>
      <c r="D431"/>
    </row>
    <row r="432" spans="3:4">
      <c r="C432"/>
      <c r="D432"/>
    </row>
    <row r="433" spans="3:4">
      <c r="C433"/>
      <c r="D433"/>
    </row>
    <row r="434" spans="3:4">
      <c r="C434"/>
      <c r="D434"/>
    </row>
    <row r="435" spans="3:4">
      <c r="C435"/>
      <c r="D435"/>
    </row>
    <row r="436" spans="3:4">
      <c r="C436"/>
      <c r="D436"/>
    </row>
    <row r="437" spans="3:4">
      <c r="C437"/>
      <c r="D437"/>
    </row>
    <row r="438" spans="3:4">
      <c r="C438"/>
      <c r="D438"/>
    </row>
    <row r="439" spans="3:4">
      <c r="C439"/>
      <c r="D439"/>
    </row>
    <row r="440" spans="3:4">
      <c r="C440"/>
      <c r="D440"/>
    </row>
    <row r="441" spans="3:4">
      <c r="C441"/>
      <c r="D441"/>
    </row>
    <row r="442" spans="3:4">
      <c r="C442"/>
      <c r="D442"/>
    </row>
    <row r="443" spans="3:4">
      <c r="C443"/>
      <c r="D443"/>
    </row>
    <row r="444" spans="3:4">
      <c r="C444"/>
      <c r="D444"/>
    </row>
    <row r="445" spans="3:4">
      <c r="C445"/>
      <c r="D445"/>
    </row>
    <row r="446" spans="3:4">
      <c r="C446"/>
      <c r="D446"/>
    </row>
    <row r="447" spans="3:4">
      <c r="C447"/>
      <c r="D447"/>
    </row>
    <row r="448" spans="3:4">
      <c r="C448"/>
      <c r="D448"/>
    </row>
    <row r="449" spans="3:4">
      <c r="C449"/>
      <c r="D449"/>
    </row>
    <row r="450" spans="3:4">
      <c r="C450"/>
      <c r="D450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/>
      <c r="D454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/>
      <c r="D461"/>
    </row>
    <row r="462" spans="3:4">
      <c r="C462"/>
      <c r="D462"/>
    </row>
    <row r="463" spans="3:4">
      <c r="C463"/>
      <c r="D463"/>
    </row>
    <row r="464" spans="3:4">
      <c r="C464"/>
      <c r="D464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/>
      <c r="D480"/>
    </row>
    <row r="481" spans="3:4">
      <c r="C481"/>
      <c r="D481"/>
    </row>
    <row r="482" spans="3:4">
      <c r="C482"/>
      <c r="D482"/>
    </row>
    <row r="483" spans="3:4">
      <c r="C483"/>
      <c r="D483"/>
    </row>
    <row r="484" spans="3:4">
      <c r="C484"/>
      <c r="D484"/>
    </row>
    <row r="485" spans="3:4">
      <c r="C485"/>
      <c r="D485"/>
    </row>
    <row r="486" spans="3:4">
      <c r="C486"/>
      <c r="D486"/>
    </row>
    <row r="487" spans="3:4">
      <c r="C487"/>
      <c r="D487"/>
    </row>
    <row r="488" spans="3:4">
      <c r="C488"/>
      <c r="D488"/>
    </row>
    <row r="489" spans="3:4">
      <c r="C489"/>
      <c r="D489"/>
    </row>
    <row r="490" spans="3:4">
      <c r="C490"/>
      <c r="D490"/>
    </row>
    <row r="491" spans="3:4">
      <c r="C491"/>
      <c r="D491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/>
      <c r="D495"/>
    </row>
    <row r="496" spans="3:4">
      <c r="C496"/>
      <c r="D496"/>
    </row>
    <row r="497" spans="3:4">
      <c r="C497"/>
      <c r="D497"/>
    </row>
    <row r="498" spans="3:4">
      <c r="C498"/>
      <c r="D498"/>
    </row>
    <row r="499" spans="3:4">
      <c r="C499"/>
      <c r="D499"/>
    </row>
    <row r="500" spans="3:4">
      <c r="C500"/>
      <c r="D500"/>
    </row>
    <row r="501" spans="3:4">
      <c r="C501"/>
      <c r="D501"/>
    </row>
    <row r="502" spans="3:4">
      <c r="C502"/>
      <c r="D502"/>
    </row>
    <row r="503" spans="3:4">
      <c r="C503"/>
      <c r="D503"/>
    </row>
    <row r="504" spans="3:4">
      <c r="C504"/>
      <c r="D504"/>
    </row>
    <row r="505" spans="3:4">
      <c r="C505"/>
      <c r="D505"/>
    </row>
    <row r="506" spans="3:4">
      <c r="C506"/>
      <c r="D506"/>
    </row>
    <row r="507" spans="3:4">
      <c r="C507"/>
      <c r="D507"/>
    </row>
    <row r="508" spans="3:4">
      <c r="C508"/>
      <c r="D508"/>
    </row>
    <row r="509" spans="3:4">
      <c r="C509"/>
      <c r="D509"/>
    </row>
    <row r="510" spans="3:4">
      <c r="C510"/>
      <c r="D510"/>
    </row>
    <row r="511" spans="3:4">
      <c r="C511"/>
      <c r="D511"/>
    </row>
    <row r="512" spans="3:4">
      <c r="C512"/>
      <c r="D512"/>
    </row>
    <row r="513" spans="3:4">
      <c r="C513"/>
      <c r="D513"/>
    </row>
    <row r="514" spans="3:4">
      <c r="C514"/>
      <c r="D514"/>
    </row>
    <row r="515" spans="3:4">
      <c r="C515"/>
      <c r="D515"/>
    </row>
    <row r="516" spans="3:4">
      <c r="C516"/>
      <c r="D516"/>
    </row>
    <row r="517" spans="3:4">
      <c r="C517"/>
      <c r="D517"/>
    </row>
    <row r="518" spans="3:4">
      <c r="C518"/>
      <c r="D518"/>
    </row>
    <row r="519" spans="3:4">
      <c r="C519"/>
      <c r="D519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/>
      <c r="D523"/>
    </row>
    <row r="524" spans="3:4">
      <c r="C524"/>
      <c r="D524"/>
    </row>
    <row r="525" spans="3:4">
      <c r="C525"/>
      <c r="D525"/>
    </row>
    <row r="526" spans="3:4">
      <c r="C526"/>
      <c r="D526"/>
    </row>
    <row r="527" spans="3:4">
      <c r="C527"/>
      <c r="D52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/>
      <c r="D531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/>
      <c r="D536"/>
    </row>
    <row r="537" spans="3:4">
      <c r="C537"/>
      <c r="D53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/>
      <c r="D541"/>
    </row>
    <row r="542" spans="3:4">
      <c r="C542"/>
      <c r="D542"/>
    </row>
    <row r="543" spans="3:4">
      <c r="C543"/>
      <c r="D543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/>
      <c r="D549"/>
    </row>
    <row r="550" spans="3:4">
      <c r="C550"/>
      <c r="D550"/>
    </row>
    <row r="551" spans="3:4">
      <c r="C551"/>
      <c r="D551"/>
    </row>
    <row r="552" spans="3:4">
      <c r="C552"/>
      <c r="D552"/>
    </row>
    <row r="553" spans="3:4">
      <c r="C553"/>
      <c r="D553"/>
    </row>
    <row r="554" spans="3:4">
      <c r="C554"/>
      <c r="D554"/>
    </row>
    <row r="555" spans="3:4">
      <c r="C555"/>
      <c r="D555"/>
    </row>
    <row r="556" spans="3:4">
      <c r="C556"/>
      <c r="D556"/>
    </row>
    <row r="557" spans="3:4">
      <c r="C557"/>
      <c r="D557"/>
    </row>
    <row r="558" spans="3:4">
      <c r="C558"/>
      <c r="D558"/>
    </row>
    <row r="559" spans="3:4">
      <c r="C559"/>
      <c r="D559"/>
    </row>
    <row r="560" spans="3:4">
      <c r="C560"/>
      <c r="D560"/>
    </row>
    <row r="561" spans="3:4">
      <c r="C561"/>
      <c r="D561"/>
    </row>
    <row r="562" spans="3:4">
      <c r="C562"/>
      <c r="D562"/>
    </row>
    <row r="563" spans="3:4">
      <c r="C563"/>
      <c r="D563"/>
    </row>
    <row r="564" spans="3:4">
      <c r="C564"/>
      <c r="D564"/>
    </row>
    <row r="565" spans="3:4">
      <c r="C565"/>
      <c r="D565"/>
    </row>
    <row r="566" spans="3:4">
      <c r="C566"/>
      <c r="D566"/>
    </row>
    <row r="567" spans="3:4">
      <c r="C567"/>
      <c r="D567"/>
    </row>
    <row r="568" spans="3:4">
      <c r="C568"/>
      <c r="D568"/>
    </row>
    <row r="569" spans="3:4">
      <c r="C569"/>
      <c r="D569"/>
    </row>
    <row r="570" spans="3:4">
      <c r="C570"/>
      <c r="D570"/>
    </row>
    <row r="571" spans="3:4">
      <c r="C571"/>
      <c r="D571"/>
    </row>
    <row r="572" spans="3:4">
      <c r="C572"/>
      <c r="D572"/>
    </row>
    <row r="573" spans="3:4">
      <c r="C573"/>
      <c r="D573"/>
    </row>
    <row r="574" spans="3:4">
      <c r="C574"/>
      <c r="D574"/>
    </row>
    <row r="575" spans="3:4">
      <c r="C575"/>
      <c r="D575"/>
    </row>
    <row r="576" spans="3:4">
      <c r="C576"/>
      <c r="D576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/>
      <c r="D587"/>
    </row>
    <row r="588" spans="3:4">
      <c r="C588"/>
      <c r="D588"/>
    </row>
    <row r="589" spans="3:4">
      <c r="C589"/>
      <c r="D589"/>
    </row>
    <row r="590" spans="3:4">
      <c r="C590"/>
      <c r="D590"/>
    </row>
    <row r="591" spans="3:4">
      <c r="C591"/>
      <c r="D591"/>
    </row>
    <row r="592" spans="3:4">
      <c r="C592"/>
      <c r="D592"/>
    </row>
    <row r="593" spans="3:4">
      <c r="C593"/>
      <c r="D593"/>
    </row>
    <row r="594" spans="3:4">
      <c r="C594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/>
      <c r="D599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/>
      <c r="D604"/>
    </row>
    <row r="605" spans="3:4">
      <c r="C605"/>
      <c r="D605"/>
    </row>
    <row r="606" spans="3:4">
      <c r="C606"/>
      <c r="D606"/>
    </row>
    <row r="607" spans="3:4">
      <c r="C607"/>
      <c r="D60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/>
      <c r="D612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/>
      <c r="D617"/>
    </row>
    <row r="618" spans="3:4">
      <c r="C618"/>
      <c r="D618"/>
    </row>
    <row r="619" spans="3:4">
      <c r="C619"/>
      <c r="D619"/>
    </row>
    <row r="620" spans="3:4">
      <c r="C620"/>
      <c r="D620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/>
      <c r="D627"/>
    </row>
    <row r="628" spans="3:4">
      <c r="C628"/>
      <c r="D628"/>
    </row>
    <row r="629" spans="3:4">
      <c r="C629"/>
      <c r="D629"/>
    </row>
    <row r="630" spans="3:4">
      <c r="C630"/>
      <c r="D630"/>
    </row>
    <row r="631" spans="3:4">
      <c r="C631"/>
      <c r="D631"/>
    </row>
    <row r="632" spans="3:4">
      <c r="C632"/>
      <c r="D632"/>
    </row>
    <row r="633" spans="3:4">
      <c r="C633"/>
      <c r="D633"/>
    </row>
    <row r="634" spans="3:4">
      <c r="C634"/>
      <c r="D634"/>
    </row>
    <row r="635" spans="3:4">
      <c r="C635"/>
      <c r="D635"/>
    </row>
    <row r="636" spans="3:4">
      <c r="C636"/>
      <c r="D636"/>
    </row>
    <row r="637" spans="3:4">
      <c r="C637"/>
      <c r="D637"/>
    </row>
    <row r="638" spans="3:4">
      <c r="C638"/>
      <c r="D638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/>
      <c r="D645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/>
      <c r="D649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4">
      <c r="C657"/>
      <c r="D657"/>
    </row>
    <row r="658" spans="3:4">
      <c r="C658"/>
      <c r="D658"/>
    </row>
    <row r="659" spans="3:4">
      <c r="C659"/>
      <c r="D659"/>
    </row>
    <row r="660" spans="3:4">
      <c r="C660"/>
      <c r="D660"/>
    </row>
    <row r="661" spans="3:4">
      <c r="C661"/>
      <c r="D661"/>
    </row>
    <row r="662" spans="3:4">
      <c r="C662"/>
      <c r="D662"/>
    </row>
    <row r="663" spans="3:4">
      <c r="C663"/>
      <c r="D663"/>
    </row>
    <row r="664" spans="3:4">
      <c r="C664"/>
      <c r="D664"/>
    </row>
    <row r="665" spans="3:4">
      <c r="C665"/>
      <c r="D665"/>
    </row>
    <row r="666" spans="3:4">
      <c r="C666"/>
      <c r="D666"/>
    </row>
    <row r="667" spans="3:4">
      <c r="C667"/>
      <c r="D667"/>
    </row>
    <row r="668" spans="3:4">
      <c r="C668"/>
      <c r="D668"/>
    </row>
    <row r="669" spans="3:4">
      <c r="C669"/>
      <c r="D669"/>
    </row>
    <row r="670" spans="3:4">
      <c r="C670"/>
      <c r="D670"/>
    </row>
    <row r="671" spans="3:4">
      <c r="C671"/>
      <c r="D671"/>
    </row>
    <row r="672" spans="3:4">
      <c r="C672"/>
      <c r="D672"/>
    </row>
    <row r="673" spans="3:4">
      <c r="C673"/>
      <c r="D673"/>
    </row>
    <row r="674" spans="3:4">
      <c r="C674"/>
      <c r="D674"/>
    </row>
    <row r="675" spans="3:4">
      <c r="C675"/>
      <c r="D675"/>
    </row>
    <row r="676" spans="3:4">
      <c r="C676"/>
      <c r="D676"/>
    </row>
    <row r="677" spans="3:4">
      <c r="C677"/>
      <c r="D677"/>
    </row>
    <row r="678" spans="3:4">
      <c r="C678"/>
      <c r="D678"/>
    </row>
    <row r="679" spans="3:4">
      <c r="C679"/>
      <c r="D679"/>
    </row>
    <row r="680" spans="3:4">
      <c r="C680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/>
      <c r="D684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/>
      <c r="D689"/>
    </row>
    <row r="690" spans="3:4">
      <c r="C690"/>
      <c r="D690"/>
    </row>
    <row r="691" spans="3:4">
      <c r="C691"/>
      <c r="D691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/>
      <c r="D695"/>
    </row>
    <row r="696" spans="3:4">
      <c r="C696"/>
      <c r="D696"/>
    </row>
    <row r="697" spans="3:4">
      <c r="C697"/>
      <c r="D69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/>
      <c r="D702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/>
      <c r="D716"/>
    </row>
    <row r="717" spans="3:4">
      <c r="C717"/>
      <c r="D717"/>
    </row>
    <row r="718" spans="3:4">
      <c r="C718"/>
      <c r="D718"/>
    </row>
    <row r="719" spans="3:4">
      <c r="C719"/>
      <c r="D719"/>
    </row>
    <row r="720" spans="3:4">
      <c r="C720"/>
      <c r="D720"/>
    </row>
    <row r="721" spans="3:4">
      <c r="C721"/>
      <c r="D721"/>
    </row>
    <row r="722" spans="3:4">
      <c r="C722"/>
      <c r="D722"/>
    </row>
    <row r="723" spans="3:4">
      <c r="C723"/>
      <c r="D723"/>
    </row>
    <row r="724" spans="3:4">
      <c r="C724"/>
      <c r="D724"/>
    </row>
    <row r="725" spans="3:4">
      <c r="C725"/>
      <c r="D725"/>
    </row>
    <row r="726" spans="3:4">
      <c r="C726"/>
      <c r="D726"/>
    </row>
    <row r="727" spans="3:4">
      <c r="C727"/>
      <c r="D727"/>
    </row>
    <row r="728" spans="3:4">
      <c r="C728"/>
      <c r="D728"/>
    </row>
    <row r="729" spans="3:4">
      <c r="C729"/>
      <c r="D729"/>
    </row>
    <row r="730" spans="3:4">
      <c r="C730"/>
      <c r="D730"/>
    </row>
    <row r="731" spans="3:4">
      <c r="C731"/>
      <c r="D731"/>
    </row>
    <row r="732" spans="3:4">
      <c r="C732"/>
      <c r="D732"/>
    </row>
    <row r="733" spans="3:4">
      <c r="C733"/>
      <c r="D733"/>
    </row>
    <row r="734" spans="3:4">
      <c r="C734"/>
      <c r="D734"/>
    </row>
    <row r="735" spans="3:4">
      <c r="C735"/>
      <c r="D735"/>
    </row>
    <row r="736" spans="3:4">
      <c r="C736"/>
      <c r="D736"/>
    </row>
    <row r="737" spans="3:4">
      <c r="C737"/>
      <c r="D737"/>
    </row>
    <row r="738" spans="3:4">
      <c r="C738"/>
      <c r="D738"/>
    </row>
    <row r="739" spans="3:4">
      <c r="C739"/>
      <c r="D739"/>
    </row>
    <row r="740" spans="3:4">
      <c r="C740"/>
      <c r="D740"/>
    </row>
    <row r="741" spans="3:4">
      <c r="C741"/>
      <c r="D741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/>
      <c r="D745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/>
      <c r="D753"/>
    </row>
    <row r="754" spans="3:4">
      <c r="C754"/>
      <c r="D754"/>
    </row>
    <row r="755" spans="3:4">
      <c r="C755"/>
      <c r="D755"/>
    </row>
    <row r="756" spans="3:4">
      <c r="C756"/>
      <c r="D756"/>
    </row>
    <row r="757" spans="3:4">
      <c r="C757"/>
      <c r="D757"/>
    </row>
    <row r="758" spans="3:4">
      <c r="C758"/>
      <c r="D758"/>
    </row>
    <row r="759" spans="3:4">
      <c r="C759"/>
      <c r="D759"/>
    </row>
    <row r="760" spans="3:4">
      <c r="C760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4">
      <c r="C769"/>
      <c r="D769"/>
    </row>
    <row r="770" spans="3:4">
      <c r="C770"/>
      <c r="D770"/>
    </row>
    <row r="771" spans="3:4">
      <c r="C771"/>
      <c r="D771"/>
    </row>
    <row r="772" spans="3:4">
      <c r="C772"/>
      <c r="D772"/>
    </row>
    <row r="773" spans="3:4">
      <c r="C773"/>
      <c r="D773"/>
    </row>
    <row r="774" spans="3:4">
      <c r="C774"/>
      <c r="D774"/>
    </row>
    <row r="775" spans="3:4">
      <c r="C775"/>
      <c r="D775"/>
    </row>
    <row r="776" spans="3:4">
      <c r="C776"/>
      <c r="D776"/>
    </row>
    <row r="777" spans="3:4">
      <c r="C777"/>
      <c r="D777"/>
    </row>
    <row r="778" spans="3:4">
      <c r="C778"/>
      <c r="D778"/>
    </row>
    <row r="779" spans="3:4">
      <c r="C779"/>
      <c r="D779"/>
    </row>
    <row r="780" spans="3:4">
      <c r="C780"/>
      <c r="D780"/>
    </row>
    <row r="781" spans="3:4">
      <c r="C781"/>
      <c r="D781"/>
    </row>
    <row r="782" spans="3:4">
      <c r="C782"/>
      <c r="D782"/>
    </row>
    <row r="783" spans="3:4">
      <c r="C783"/>
      <c r="D783"/>
    </row>
    <row r="784" spans="3:4">
      <c r="C784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/>
      <c r="D793"/>
    </row>
    <row r="794" spans="3:4">
      <c r="C794"/>
      <c r="D794"/>
    </row>
    <row r="795" spans="3:4">
      <c r="C795"/>
      <c r="D795"/>
    </row>
    <row r="796" spans="3:4">
      <c r="C796"/>
      <c r="D796"/>
    </row>
    <row r="797" spans="3:4">
      <c r="C797"/>
      <c r="D797"/>
    </row>
    <row r="798" spans="3:4">
      <c r="C798"/>
      <c r="D798"/>
    </row>
    <row r="799" spans="3:4">
      <c r="C799"/>
      <c r="D799"/>
    </row>
    <row r="800" spans="3:4">
      <c r="C800"/>
      <c r="D800"/>
    </row>
    <row r="801" spans="3:4">
      <c r="C801"/>
      <c r="D801"/>
    </row>
    <row r="802" spans="3:4">
      <c r="C802"/>
      <c r="D802"/>
    </row>
    <row r="803" spans="3:4">
      <c r="C803"/>
      <c r="D803"/>
    </row>
    <row r="804" spans="3:4">
      <c r="C804"/>
      <c r="D804"/>
    </row>
    <row r="805" spans="3:4">
      <c r="C805"/>
      <c r="D805"/>
    </row>
    <row r="806" spans="3:4">
      <c r="C806"/>
      <c r="D806"/>
    </row>
    <row r="807" spans="3:4">
      <c r="C807"/>
      <c r="D807"/>
    </row>
    <row r="808" spans="3:4">
      <c r="C808"/>
      <c r="D808"/>
    </row>
    <row r="809" spans="3:4">
      <c r="C809"/>
      <c r="D809"/>
    </row>
    <row r="810" spans="3:4">
      <c r="C810"/>
      <c r="D810"/>
    </row>
    <row r="811" spans="3:4">
      <c r="C811"/>
      <c r="D811"/>
    </row>
    <row r="812" spans="3:4">
      <c r="C812"/>
      <c r="D812"/>
    </row>
    <row r="813" spans="3:4">
      <c r="C813"/>
      <c r="D813"/>
    </row>
    <row r="814" spans="3:4">
      <c r="C814"/>
      <c r="D814"/>
    </row>
    <row r="815" spans="3:4">
      <c r="C815"/>
      <c r="D815"/>
    </row>
    <row r="816" spans="3:4">
      <c r="C816"/>
      <c r="D816"/>
    </row>
    <row r="817" spans="3:4">
      <c r="C817"/>
      <c r="D817"/>
    </row>
    <row r="818" spans="3:4">
      <c r="C818"/>
      <c r="D818"/>
    </row>
    <row r="819" spans="3:4">
      <c r="C819"/>
      <c r="D819"/>
    </row>
    <row r="820" spans="3:4">
      <c r="C820"/>
      <c r="D820"/>
    </row>
    <row r="821" spans="3:4">
      <c r="C821"/>
      <c r="D821"/>
    </row>
    <row r="822" spans="3:4">
      <c r="C822"/>
      <c r="D822"/>
    </row>
    <row r="823" spans="3:4">
      <c r="C823"/>
      <c r="D823"/>
    </row>
    <row r="824" spans="3:4">
      <c r="C824"/>
      <c r="D824"/>
    </row>
    <row r="825" spans="3:4">
      <c r="C825"/>
      <c r="D825"/>
    </row>
    <row r="826" spans="3:4">
      <c r="C826"/>
      <c r="D826"/>
    </row>
    <row r="827" spans="3:4">
      <c r="C827"/>
      <c r="D82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/>
      <c r="D836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4">
      <c r="C865"/>
      <c r="D865"/>
    </row>
    <row r="866" spans="3:4">
      <c r="C866"/>
      <c r="D866"/>
    </row>
    <row r="867" spans="3:4">
      <c r="C867"/>
      <c r="D867"/>
    </row>
    <row r="868" spans="3:4">
      <c r="C868"/>
      <c r="D868"/>
    </row>
    <row r="869" spans="3:4">
      <c r="C869"/>
      <c r="D869"/>
    </row>
    <row r="870" spans="3:4">
      <c r="C870"/>
      <c r="D870"/>
    </row>
    <row r="871" spans="3:4">
      <c r="C871"/>
      <c r="D871"/>
    </row>
    <row r="872" spans="3:4">
      <c r="C872"/>
      <c r="D872"/>
    </row>
    <row r="873" spans="3:4">
      <c r="C873"/>
      <c r="D873"/>
    </row>
    <row r="874" spans="3:4">
      <c r="C874"/>
      <c r="D874"/>
    </row>
    <row r="875" spans="3:4">
      <c r="C875"/>
      <c r="D875"/>
    </row>
    <row r="876" spans="3:4">
      <c r="C876"/>
      <c r="D876"/>
    </row>
    <row r="877" spans="3:4">
      <c r="C877"/>
      <c r="D877"/>
    </row>
    <row r="878" spans="3:4">
      <c r="C878"/>
      <c r="D878"/>
    </row>
    <row r="879" spans="3:4">
      <c r="C879"/>
      <c r="D879"/>
    </row>
    <row r="880" spans="3:4">
      <c r="C880"/>
      <c r="D880"/>
    </row>
    <row r="881" spans="3:4">
      <c r="C881"/>
      <c r="D881"/>
    </row>
    <row r="882" spans="3:4">
      <c r="C882"/>
      <c r="D882"/>
    </row>
    <row r="883" spans="3:4">
      <c r="C883"/>
      <c r="D883"/>
    </row>
    <row r="884" spans="3:4">
      <c r="C884"/>
      <c r="D884"/>
    </row>
    <row r="885" spans="3:4">
      <c r="C885"/>
      <c r="D885"/>
    </row>
    <row r="886" spans="3:4">
      <c r="C886"/>
      <c r="D886"/>
    </row>
    <row r="887" spans="3:4">
      <c r="C887"/>
      <c r="D887"/>
    </row>
    <row r="888" spans="3:4">
      <c r="C888"/>
      <c r="D888"/>
    </row>
    <row r="889" spans="3:4">
      <c r="C889"/>
      <c r="D889"/>
    </row>
    <row r="890" spans="3:4">
      <c r="C890"/>
      <c r="D890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/>
      <c r="D897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/>
      <c r="D901"/>
    </row>
    <row r="902" spans="3:4">
      <c r="C902"/>
      <c r="D902"/>
    </row>
    <row r="903" spans="3:4">
      <c r="C903"/>
      <c r="D903"/>
    </row>
    <row r="904" spans="3:4">
      <c r="C904"/>
      <c r="D904"/>
    </row>
    <row r="905" spans="3:4">
      <c r="C905"/>
      <c r="D905"/>
    </row>
    <row r="906" spans="3:4">
      <c r="C906"/>
      <c r="D906"/>
    </row>
    <row r="907" spans="3:4">
      <c r="C907"/>
      <c r="D907"/>
    </row>
    <row r="908" spans="3:4">
      <c r="C908"/>
      <c r="D908"/>
    </row>
    <row r="909" spans="3:4">
      <c r="C909"/>
      <c r="D909"/>
    </row>
    <row r="910" spans="3:4">
      <c r="C910"/>
      <c r="D910"/>
    </row>
    <row r="911" spans="3:4">
      <c r="C911"/>
      <c r="D911"/>
    </row>
    <row r="912" spans="3:4">
      <c r="C912"/>
      <c r="D912"/>
    </row>
    <row r="913" spans="3:4">
      <c r="C913"/>
      <c r="D913"/>
    </row>
    <row r="914" spans="3:4">
      <c r="C914"/>
      <c r="D914"/>
    </row>
    <row r="915" spans="3:4">
      <c r="C915"/>
      <c r="D915"/>
    </row>
    <row r="916" spans="3:4">
      <c r="C916"/>
      <c r="D916"/>
    </row>
    <row r="917" spans="3:4">
      <c r="C917"/>
      <c r="D917"/>
    </row>
    <row r="918" spans="3:4">
      <c r="C918"/>
      <c r="D918"/>
    </row>
    <row r="919" spans="3:4">
      <c r="C919"/>
      <c r="D919"/>
    </row>
    <row r="920" spans="3:4">
      <c r="C920"/>
      <c r="D920"/>
    </row>
    <row r="921" spans="3:4">
      <c r="C921"/>
      <c r="D921"/>
    </row>
    <row r="922" spans="3:4">
      <c r="C922"/>
      <c r="D922"/>
    </row>
    <row r="923" spans="3:4">
      <c r="C923"/>
      <c r="D923"/>
    </row>
    <row r="924" spans="3:4">
      <c r="C924"/>
      <c r="D924"/>
    </row>
    <row r="925" spans="3:4">
      <c r="C925"/>
      <c r="D925"/>
    </row>
    <row r="926" spans="3:4">
      <c r="C926"/>
      <c r="D926"/>
    </row>
    <row r="927" spans="3:4">
      <c r="C927"/>
      <c r="D927"/>
    </row>
    <row r="928" spans="3:4">
      <c r="C928"/>
      <c r="D928"/>
    </row>
    <row r="929" spans="3:4">
      <c r="C929"/>
      <c r="D929"/>
    </row>
    <row r="930" spans="3:4">
      <c r="C930"/>
      <c r="D930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/>
      <c r="D938"/>
    </row>
    <row r="939" spans="3:4">
      <c r="C939"/>
      <c r="D939"/>
    </row>
    <row r="940" spans="3:4">
      <c r="C940"/>
      <c r="D940"/>
    </row>
    <row r="941" spans="3:4">
      <c r="C941"/>
      <c r="D941"/>
    </row>
    <row r="942" spans="3:4">
      <c r="C942"/>
      <c r="D942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/>
      <c r="D94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/>
      <c r="D951"/>
    </row>
    <row r="952" spans="3:4">
      <c r="C952"/>
      <c r="D952"/>
    </row>
    <row r="953" spans="3:4">
      <c r="C953"/>
      <c r="D953"/>
    </row>
    <row r="954" spans="3:4">
      <c r="C954"/>
      <c r="D954"/>
    </row>
    <row r="955" spans="3:4">
      <c r="C955"/>
      <c r="D955"/>
    </row>
    <row r="956" spans="3:4">
      <c r="C956"/>
      <c r="D956"/>
    </row>
    <row r="957" spans="3:4">
      <c r="C957"/>
      <c r="D957"/>
    </row>
    <row r="958" spans="3:4">
      <c r="C958"/>
      <c r="D958"/>
    </row>
    <row r="959" spans="3:4">
      <c r="C959"/>
      <c r="D959"/>
    </row>
    <row r="960" spans="3:4">
      <c r="C960"/>
      <c r="D960"/>
    </row>
    <row r="961" spans="3:4">
      <c r="C961"/>
      <c r="D961"/>
    </row>
    <row r="962" spans="3:4">
      <c r="C962"/>
      <c r="D962"/>
    </row>
    <row r="963" spans="3:4">
      <c r="C963"/>
      <c r="D963"/>
    </row>
    <row r="964" spans="3:4">
      <c r="C964"/>
      <c r="D964"/>
    </row>
    <row r="965" spans="3:4">
      <c r="C965"/>
      <c r="D965"/>
    </row>
    <row r="966" spans="3:4">
      <c r="C966"/>
      <c r="D966"/>
    </row>
    <row r="967" spans="3:4">
      <c r="C967"/>
      <c r="D967"/>
    </row>
    <row r="968" spans="3:4">
      <c r="C968"/>
      <c r="D968"/>
    </row>
    <row r="969" spans="3:4">
      <c r="C969"/>
      <c r="D969"/>
    </row>
    <row r="970" spans="3:4">
      <c r="C970"/>
      <c r="D970"/>
    </row>
    <row r="971" spans="3:4">
      <c r="C971"/>
      <c r="D971"/>
    </row>
    <row r="972" spans="3:4">
      <c r="C972"/>
      <c r="D972"/>
    </row>
    <row r="973" spans="3:4">
      <c r="C973"/>
      <c r="D973"/>
    </row>
    <row r="974" spans="3:4">
      <c r="C974"/>
      <c r="D974"/>
    </row>
    <row r="975" spans="3:4">
      <c r="C975"/>
      <c r="D975"/>
    </row>
    <row r="976" spans="3:4">
      <c r="C976"/>
      <c r="D976"/>
    </row>
    <row r="977" spans="3:4">
      <c r="C977"/>
      <c r="D977"/>
    </row>
    <row r="978" spans="3:4">
      <c r="C978"/>
      <c r="D978"/>
    </row>
    <row r="979" spans="3:4">
      <c r="C979"/>
      <c r="D979"/>
    </row>
    <row r="980" spans="3:4">
      <c r="C980"/>
      <c r="D980"/>
    </row>
    <row r="981" spans="3:4">
      <c r="C981"/>
      <c r="D981"/>
    </row>
    <row r="982" spans="3:4">
      <c r="C982"/>
      <c r="D982"/>
    </row>
    <row r="983" spans="3:4">
      <c r="C983"/>
      <c r="D983"/>
    </row>
    <row r="984" spans="3:4">
      <c r="C984"/>
      <c r="D984"/>
    </row>
    <row r="985" spans="3:4">
      <c r="C985"/>
      <c r="D985"/>
    </row>
    <row r="986" spans="3:4">
      <c r="C986"/>
      <c r="D986"/>
    </row>
    <row r="987" spans="3:4">
      <c r="C987"/>
      <c r="D987"/>
    </row>
    <row r="988" spans="3:4">
      <c r="C988"/>
      <c r="D988"/>
    </row>
    <row r="989" spans="3:4">
      <c r="C989"/>
      <c r="D989"/>
    </row>
    <row r="990" spans="3:4">
      <c r="C990"/>
      <c r="D990"/>
    </row>
    <row r="991" spans="3:4">
      <c r="C991"/>
      <c r="D991"/>
    </row>
    <row r="992" spans="3:4">
      <c r="C992"/>
      <c r="D992"/>
    </row>
    <row r="993" spans="3:4">
      <c r="C993"/>
      <c r="D993"/>
    </row>
    <row r="994" spans="3:4">
      <c r="C994"/>
      <c r="D994"/>
    </row>
    <row r="995" spans="3:4">
      <c r="C995"/>
      <c r="D995"/>
    </row>
    <row r="996" spans="3:4">
      <c r="C996"/>
      <c r="D996"/>
    </row>
    <row r="997" spans="3:4">
      <c r="C997"/>
      <c r="D997"/>
    </row>
    <row r="998" spans="3:4">
      <c r="C998"/>
      <c r="D998"/>
    </row>
    <row r="999" spans="3:4">
      <c r="C999"/>
      <c r="D999"/>
    </row>
    <row r="1000" spans="3:4">
      <c r="C1000"/>
      <c r="D1000"/>
    </row>
    <row r="1001" spans="3:4">
      <c r="C1001"/>
      <c r="D1001"/>
    </row>
    <row r="1002" spans="3:4">
      <c r="C1002"/>
      <c r="D1002"/>
    </row>
    <row r="1003" spans="3:4">
      <c r="C1003"/>
      <c r="D1003"/>
    </row>
    <row r="1004" spans="3:4">
      <c r="C1004"/>
      <c r="D1004"/>
    </row>
    <row r="1005" spans="3:4">
      <c r="C1005"/>
      <c r="D1005"/>
    </row>
    <row r="1006" spans="3:4">
      <c r="C1006"/>
      <c r="D1006"/>
    </row>
    <row r="1007" spans="3:4">
      <c r="C1007"/>
      <c r="D1007"/>
    </row>
    <row r="1008" spans="3:4">
      <c r="C1008"/>
      <c r="D1008"/>
    </row>
    <row r="1009" spans="3:4">
      <c r="C1009"/>
      <c r="D1009"/>
    </row>
    <row r="1010" spans="3:4">
      <c r="C1010"/>
      <c r="D1010"/>
    </row>
    <row r="1011" spans="3:4">
      <c r="C1011"/>
      <c r="D1011"/>
    </row>
    <row r="1012" spans="3:4">
      <c r="C1012"/>
      <c r="D1012"/>
    </row>
    <row r="1013" spans="3:4">
      <c r="C1013"/>
      <c r="D1013"/>
    </row>
    <row r="1014" spans="3:4">
      <c r="C1014"/>
      <c r="D1014"/>
    </row>
    <row r="1015" spans="3:4">
      <c r="C1015"/>
      <c r="D1015"/>
    </row>
    <row r="1016" spans="3:4">
      <c r="C1016"/>
      <c r="D1016"/>
    </row>
    <row r="1017" spans="3:4">
      <c r="C1017"/>
      <c r="D1017"/>
    </row>
    <row r="1018" spans="3:4">
      <c r="C1018"/>
      <c r="D1018"/>
    </row>
    <row r="1019" spans="3:4">
      <c r="C1019"/>
      <c r="D1019"/>
    </row>
    <row r="1020" spans="3:4">
      <c r="C1020"/>
      <c r="D1020"/>
    </row>
    <row r="1021" spans="3:4">
      <c r="C1021"/>
      <c r="D1021"/>
    </row>
    <row r="1022" spans="3:4">
      <c r="C1022"/>
      <c r="D1022"/>
    </row>
    <row r="1023" spans="3:4">
      <c r="C1023"/>
      <c r="D1023"/>
    </row>
    <row r="1024" spans="3:4">
      <c r="C1024"/>
      <c r="D1024"/>
    </row>
    <row r="1025" spans="3:4">
      <c r="C1025"/>
      <c r="D1025"/>
    </row>
    <row r="1026" spans="3:4">
      <c r="C1026"/>
      <c r="D1026"/>
    </row>
    <row r="1027" spans="3:4">
      <c r="C1027"/>
      <c r="D1027"/>
    </row>
    <row r="1028" spans="3:4">
      <c r="C1028"/>
      <c r="D1028"/>
    </row>
    <row r="1029" spans="3:4">
      <c r="C1029"/>
      <c r="D1029"/>
    </row>
    <row r="1030" spans="3:4">
      <c r="C1030"/>
      <c r="D1030"/>
    </row>
    <row r="1031" spans="3:4">
      <c r="C1031"/>
      <c r="D1031"/>
    </row>
    <row r="1032" spans="3:4">
      <c r="C1032"/>
      <c r="D1032"/>
    </row>
    <row r="1033" spans="3:4">
      <c r="C1033"/>
      <c r="D1033"/>
    </row>
    <row r="1034" spans="3:4">
      <c r="C1034"/>
      <c r="D1034"/>
    </row>
    <row r="1035" spans="3:4">
      <c r="C1035"/>
      <c r="D1035"/>
    </row>
    <row r="1036" spans="3:4">
      <c r="C1036"/>
      <c r="D1036"/>
    </row>
    <row r="1037" spans="3:4">
      <c r="C1037"/>
      <c r="D1037"/>
    </row>
    <row r="1038" spans="3:4">
      <c r="C1038"/>
      <c r="D1038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/>
      <c r="D1053"/>
    </row>
    <row r="1054" spans="3:4">
      <c r="C1054"/>
      <c r="D1054"/>
    </row>
    <row r="1055" spans="3:4">
      <c r="C1055"/>
      <c r="D1055"/>
    </row>
    <row r="1056" spans="3:4">
      <c r="C1056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/>
      <c r="D1060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/>
      <c r="D1064"/>
    </row>
    <row r="1065" spans="3:4">
      <c r="C1065"/>
      <c r="D1065"/>
    </row>
    <row r="1066" spans="3:4">
      <c r="C1066"/>
      <c r="D1066"/>
    </row>
    <row r="1067" spans="3:4">
      <c r="C1067"/>
      <c r="D1067"/>
    </row>
    <row r="1068" spans="3:4">
      <c r="C1068"/>
      <c r="D1068"/>
    </row>
    <row r="1069" spans="3:4">
      <c r="C1069"/>
      <c r="D1069"/>
    </row>
    <row r="1070" spans="3:4">
      <c r="C1070"/>
      <c r="D1070"/>
    </row>
    <row r="1071" spans="3:4">
      <c r="C1071"/>
      <c r="D1071"/>
    </row>
    <row r="1072" spans="3:4">
      <c r="C1072"/>
      <c r="D1072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/>
      <c r="D1083"/>
    </row>
    <row r="1084" spans="3:4">
      <c r="C1084"/>
      <c r="D1084"/>
    </row>
    <row r="1085" spans="3:4">
      <c r="C1085"/>
      <c r="D1085"/>
    </row>
    <row r="1086" spans="3:4">
      <c r="C1086"/>
      <c r="D1086"/>
    </row>
    <row r="1087" spans="3:4">
      <c r="C1087"/>
      <c r="D1087"/>
    </row>
    <row r="1088" spans="3:4">
      <c r="C1088"/>
      <c r="D1088"/>
    </row>
    <row r="1089" spans="3:4">
      <c r="C108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/>
      <c r="D1099"/>
    </row>
    <row r="1100" spans="3:4">
      <c r="C1100"/>
      <c r="D1100"/>
    </row>
    <row r="1101" spans="3:4">
      <c r="C1101"/>
      <c r="D1101"/>
    </row>
    <row r="1102" spans="3:4">
      <c r="C1102"/>
      <c r="D1102"/>
    </row>
    <row r="1103" spans="3:4">
      <c r="C1103"/>
      <c r="D1103"/>
    </row>
    <row r="1104" spans="3:4">
      <c r="C1104"/>
      <c r="D1104"/>
    </row>
    <row r="1105" spans="3:4">
      <c r="C1105"/>
      <c r="D1105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/>
      <c r="D1111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/>
      <c r="D1143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/>
      <c r="D1161"/>
    </row>
    <row r="1162" spans="3:4">
      <c r="C1162"/>
      <c r="D1162"/>
    </row>
    <row r="1163" spans="3:4">
      <c r="C1163"/>
      <c r="D1163"/>
    </row>
    <row r="1164" spans="3:4">
      <c r="C1164"/>
      <c r="D1164"/>
    </row>
    <row r="1165" spans="3:4">
      <c r="C1165"/>
      <c r="D1165"/>
    </row>
    <row r="1166" spans="3:4">
      <c r="C1166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/>
      <c r="D1177"/>
    </row>
    <row r="1178" spans="3:4">
      <c r="C1178"/>
      <c r="D1178"/>
    </row>
    <row r="1179" spans="3:4">
      <c r="C1179"/>
      <c r="D1179"/>
    </row>
    <row r="1180" spans="3:4">
      <c r="C1180"/>
      <c r="D1180"/>
    </row>
    <row r="1181" spans="3:4">
      <c r="C1181"/>
      <c r="D1181"/>
    </row>
    <row r="1182" spans="3:4">
      <c r="C1182"/>
      <c r="D1182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/>
      <c r="D1195"/>
    </row>
    <row r="1196" spans="3:4">
      <c r="C1196"/>
      <c r="D1196"/>
    </row>
    <row r="1197" spans="3:4">
      <c r="C1197"/>
      <c r="D119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/>
      <c r="D1203"/>
    </row>
    <row r="1204" spans="3:4">
      <c r="C1204"/>
      <c r="D1204"/>
    </row>
    <row r="1205" spans="3:4">
      <c r="C1205"/>
      <c r="D1205"/>
    </row>
    <row r="1206" spans="3:4">
      <c r="C1206"/>
      <c r="D1206"/>
    </row>
    <row r="1207" spans="3:4">
      <c r="C1207"/>
      <c r="D1207"/>
    </row>
    <row r="1208" spans="3:4">
      <c r="C1208"/>
      <c r="D1208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/>
      <c r="D1219"/>
    </row>
    <row r="1220" spans="3:4">
      <c r="C1220"/>
      <c r="D1220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/>
      <c r="D1244"/>
    </row>
    <row r="1245" spans="3:4">
      <c r="C124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/>
      <c r="D1252"/>
    </row>
    <row r="1253" spans="3:4">
      <c r="C1253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/>
      <c r="D1257"/>
    </row>
    <row r="1258" spans="3:4">
      <c r="C1258"/>
      <c r="D1258"/>
    </row>
    <row r="1259" spans="3:4">
      <c r="C1259"/>
      <c r="D1259"/>
    </row>
    <row r="1260" spans="3:4">
      <c r="C1260"/>
      <c r="D1260"/>
    </row>
    <row r="1261" spans="3:4">
      <c r="C1261"/>
      <c r="D1261"/>
    </row>
    <row r="1262" spans="3:4">
      <c r="C1262"/>
      <c r="D1262"/>
    </row>
    <row r="1263" spans="3:4">
      <c r="C1263"/>
      <c r="D1263"/>
    </row>
    <row r="1264" spans="3:4">
      <c r="C1264"/>
      <c r="D1264"/>
    </row>
    <row r="1265" spans="3:4">
      <c r="C1265"/>
      <c r="D1265"/>
    </row>
    <row r="1266" spans="3:4">
      <c r="C1266"/>
      <c r="D1266"/>
    </row>
    <row r="1267" spans="3:4">
      <c r="C1267"/>
      <c r="D1267"/>
    </row>
    <row r="1268" spans="3:4">
      <c r="C1268"/>
      <c r="D1268"/>
    </row>
    <row r="1269" spans="3:4">
      <c r="C1269"/>
      <c r="D1269"/>
    </row>
    <row r="1270" spans="3:4">
      <c r="C1270"/>
      <c r="D1270"/>
    </row>
    <row r="1271" spans="3:4">
      <c r="C1271"/>
      <c r="D1271"/>
    </row>
    <row r="1272" spans="3:4">
      <c r="C1272"/>
      <c r="D1272"/>
    </row>
    <row r="1273" spans="3:4">
      <c r="C1273"/>
      <c r="D1273"/>
    </row>
    <row r="1274" spans="3:4">
      <c r="C1274"/>
      <c r="D1274"/>
    </row>
    <row r="1275" spans="3:4">
      <c r="C1275"/>
      <c r="D1275"/>
    </row>
    <row r="1276" spans="3:4">
      <c r="C1276"/>
      <c r="D1276"/>
    </row>
    <row r="1277" spans="3:4">
      <c r="C1277"/>
      <c r="D1277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/>
      <c r="D1288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/>
      <c r="D1293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/>
      <c r="D1300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/>
      <c r="D130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/>
      <c r="D1313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/>
      <c r="D1320"/>
    </row>
    <row r="1321" spans="3:4">
      <c r="C1321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/>
      <c r="D1325"/>
    </row>
    <row r="1326" spans="3:4">
      <c r="C1326"/>
      <c r="D1326"/>
    </row>
    <row r="1327" spans="3:4">
      <c r="C1327"/>
      <c r="D1327"/>
    </row>
    <row r="1328" spans="3:4">
      <c r="C1328"/>
      <c r="D1328"/>
    </row>
    <row r="1329" spans="3:4">
      <c r="C1329"/>
      <c r="D1329"/>
    </row>
    <row r="1330" spans="3:4">
      <c r="C1330"/>
      <c r="D1330"/>
    </row>
    <row r="1331" spans="3:4">
      <c r="C1331"/>
      <c r="D1331"/>
    </row>
    <row r="1332" spans="3:4">
      <c r="C1332"/>
      <c r="D1332"/>
    </row>
    <row r="1333" spans="3:4">
      <c r="C1333"/>
      <c r="D1333"/>
    </row>
    <row r="1334" spans="3:4">
      <c r="C1334"/>
      <c r="D1334"/>
    </row>
    <row r="1335" spans="3:4">
      <c r="C1335"/>
      <c r="D1335"/>
    </row>
    <row r="1336" spans="3:4">
      <c r="C1336"/>
      <c r="D1336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/>
      <c r="D1345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/>
      <c r="D135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/>
      <c r="D137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/>
      <c r="D1381"/>
    </row>
    <row r="1382" spans="3:4">
      <c r="C1382"/>
      <c r="D1382"/>
    </row>
    <row r="1383" spans="3:4">
      <c r="C1383"/>
      <c r="D1383"/>
    </row>
    <row r="1384" spans="3:4">
      <c r="C1384"/>
      <c r="D1384"/>
    </row>
    <row r="1385" spans="3:4">
      <c r="C1385"/>
      <c r="D1385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/>
      <c r="D1389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/>
      <c r="D1420"/>
    </row>
    <row r="1421" spans="3:4">
      <c r="C1421"/>
      <c r="D1421"/>
    </row>
    <row r="1422" spans="3:4">
      <c r="C1422"/>
      <c r="D1422"/>
    </row>
    <row r="1423" spans="3:4">
      <c r="C1423"/>
      <c r="D1423"/>
    </row>
    <row r="1424" spans="3:4">
      <c r="C1424"/>
      <c r="D1424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/>
      <c r="D1439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/>
      <c r="D1444"/>
    </row>
    <row r="1445" spans="3:4">
      <c r="C1445"/>
      <c r="D1445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/>
      <c r="D1451"/>
    </row>
    <row r="1452" spans="3:4">
      <c r="C1452"/>
      <c r="D1452"/>
    </row>
    <row r="1453" spans="3:4">
      <c r="C1453"/>
      <c r="D1453"/>
    </row>
    <row r="1454" spans="3:4">
      <c r="C1454"/>
      <c r="D1454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/>
      <c r="D1458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/>
      <c r="D1465"/>
    </row>
    <row r="1466" spans="3:4">
      <c r="C1466"/>
      <c r="D1466"/>
    </row>
    <row r="1467" spans="3:4">
      <c r="C1467"/>
      <c r="D1467"/>
    </row>
    <row r="1468" spans="3:4">
      <c r="C1468"/>
      <c r="D1468"/>
    </row>
    <row r="1469" spans="3:4">
      <c r="C1469"/>
      <c r="D1469"/>
    </row>
    <row r="1470" spans="3:4">
      <c r="C1470"/>
      <c r="D1470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/>
      <c r="D1474"/>
    </row>
    <row r="1475" spans="3:4">
      <c r="C1475"/>
      <c r="D1475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/>
      <c r="D1483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4">
      <c r="C1489"/>
      <c r="D1489"/>
    </row>
    <row r="1490" spans="3:4">
      <c r="C1490"/>
      <c r="D1490"/>
    </row>
    <row r="1491" spans="3:4">
      <c r="C1491"/>
      <c r="D1491"/>
    </row>
    <row r="1492" spans="3:4">
      <c r="C1492"/>
      <c r="D1492"/>
    </row>
    <row r="1493" spans="3:4">
      <c r="C1493"/>
      <c r="D1493"/>
    </row>
    <row r="1494" spans="3:4">
      <c r="C1494"/>
      <c r="D1494"/>
    </row>
    <row r="1495" spans="3:4">
      <c r="C1495"/>
      <c r="D1495"/>
    </row>
    <row r="1496" spans="3:4">
      <c r="C1496"/>
      <c r="D1496"/>
    </row>
    <row r="1497" spans="3:4">
      <c r="C1497"/>
      <c r="D1497"/>
    </row>
    <row r="1498" spans="3:4">
      <c r="C1498"/>
      <c r="D1498"/>
    </row>
    <row r="1499" spans="3:4">
      <c r="C1499"/>
      <c r="D1499"/>
    </row>
    <row r="1500" spans="3:4">
      <c r="C1500"/>
      <c r="D1500"/>
    </row>
    <row r="1501" spans="3:4">
      <c r="C1501"/>
      <c r="D1501"/>
    </row>
    <row r="1502" spans="3:4">
      <c r="C1502"/>
      <c r="D1502"/>
    </row>
    <row r="1503" spans="3:4">
      <c r="C1503"/>
      <c r="D1503"/>
    </row>
    <row r="1504" spans="3:4">
      <c r="C1504"/>
      <c r="D1504"/>
    </row>
    <row r="1505" spans="3:4">
      <c r="C1505"/>
      <c r="D1505"/>
    </row>
    <row r="1506" spans="3:4">
      <c r="C1506"/>
      <c r="D1506"/>
    </row>
    <row r="1507" spans="3:4">
      <c r="C1507"/>
      <c r="D1507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/>
      <c r="D1511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/>
      <c r="D1517"/>
    </row>
    <row r="1518" spans="3:4">
      <c r="C1518"/>
      <c r="D1518"/>
    </row>
    <row r="1519" spans="3:4">
      <c r="C1519"/>
      <c r="D1519"/>
    </row>
    <row r="1520" spans="3:4">
      <c r="C1520"/>
      <c r="D1520"/>
    </row>
    <row r="1521" spans="3:4">
      <c r="C1521"/>
      <c r="D1521"/>
    </row>
    <row r="1522" spans="3:4">
      <c r="C1522"/>
      <c r="D1522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/>
      <c r="D1526"/>
    </row>
    <row r="1527" spans="3:4">
      <c r="C1527"/>
      <c r="D1527"/>
    </row>
    <row r="1528" spans="3:4">
      <c r="C1528"/>
      <c r="D1528"/>
    </row>
    <row r="1529" spans="3:4">
      <c r="C1529"/>
      <c r="D1529"/>
    </row>
    <row r="1530" spans="3:4">
      <c r="C1530"/>
      <c r="D1530"/>
    </row>
    <row r="1531" spans="3:4">
      <c r="C1531"/>
      <c r="D1531"/>
    </row>
    <row r="1532" spans="3:4">
      <c r="C1532"/>
      <c r="D1532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/>
      <c r="D1539"/>
    </row>
    <row r="1540" spans="3:4">
      <c r="C1540"/>
      <c r="D1540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/>
      <c r="D1563"/>
    </row>
    <row r="1564" spans="3:4">
      <c r="C1564"/>
      <c r="D1564"/>
    </row>
    <row r="1565" spans="3:4">
      <c r="C1565"/>
      <c r="D1565"/>
    </row>
    <row r="1566" spans="3:4">
      <c r="C1566"/>
      <c r="D1566"/>
    </row>
    <row r="1567" spans="3:4">
      <c r="C1567"/>
      <c r="D1567"/>
    </row>
    <row r="1568" spans="3:4">
      <c r="C1568"/>
      <c r="D1568"/>
    </row>
    <row r="1569" spans="3:4">
      <c r="C1569"/>
      <c r="D1569"/>
    </row>
    <row r="1570" spans="3:4">
      <c r="C1570"/>
      <c r="D1570"/>
    </row>
    <row r="1571" spans="3:4">
      <c r="C1571"/>
      <c r="D1571"/>
    </row>
    <row r="1572" spans="3:4">
      <c r="C1572"/>
      <c r="D1572"/>
    </row>
    <row r="1573" spans="3:4">
      <c r="C1573"/>
      <c r="D1573"/>
    </row>
    <row r="1574" spans="3:4">
      <c r="C1574"/>
      <c r="D1574"/>
    </row>
    <row r="1575" spans="3:4">
      <c r="C1575"/>
      <c r="D1575"/>
    </row>
    <row r="1576" spans="3:4">
      <c r="C1576"/>
      <c r="D1576"/>
    </row>
    <row r="1577" spans="3:4">
      <c r="C1577"/>
      <c r="D1577"/>
    </row>
    <row r="1578" spans="3:4">
      <c r="C1578"/>
      <c r="D1578"/>
    </row>
    <row r="1579" spans="3:4">
      <c r="C1579"/>
      <c r="D1579"/>
    </row>
    <row r="1580" spans="3:4">
      <c r="C1580"/>
      <c r="D1580"/>
    </row>
    <row r="1581" spans="3:4">
      <c r="C1581"/>
      <c r="D1581"/>
    </row>
    <row r="1582" spans="3:4">
      <c r="C1582"/>
      <c r="D1582"/>
    </row>
    <row r="1583" spans="3:4">
      <c r="C1583"/>
      <c r="D1583"/>
    </row>
    <row r="1584" spans="3:4">
      <c r="C1584"/>
      <c r="D1584"/>
    </row>
    <row r="1585" spans="3:4">
      <c r="C1585"/>
      <c r="D1585"/>
    </row>
    <row r="1586" spans="3:4">
      <c r="C1586"/>
      <c r="D1586"/>
    </row>
    <row r="1587" spans="3:4">
      <c r="C1587"/>
      <c r="D1587"/>
    </row>
    <row r="1588" spans="3:4">
      <c r="C1588"/>
      <c r="D1588"/>
    </row>
    <row r="1589" spans="3:4">
      <c r="C1589"/>
      <c r="D1589"/>
    </row>
    <row r="1590" spans="3:4">
      <c r="C1590"/>
      <c r="D1590"/>
    </row>
    <row r="1591" spans="3:4">
      <c r="C1591"/>
      <c r="D1591"/>
    </row>
    <row r="1592" spans="3:4">
      <c r="C1592"/>
      <c r="D1592"/>
    </row>
    <row r="1593" spans="3:4">
      <c r="C1593"/>
      <c r="D1593"/>
    </row>
    <row r="1594" spans="3:4">
      <c r="C1594"/>
      <c r="D1594"/>
    </row>
    <row r="1595" spans="3:4">
      <c r="C1595"/>
      <c r="D1595"/>
    </row>
    <row r="1596" spans="3:4">
      <c r="C1596"/>
      <c r="D1596"/>
    </row>
    <row r="1597" spans="3:4">
      <c r="C1597"/>
      <c r="D1597"/>
    </row>
    <row r="1598" spans="3:4">
      <c r="C1598"/>
      <c r="D1598"/>
    </row>
    <row r="1599" spans="3:4">
      <c r="C1599"/>
      <c r="D1599"/>
    </row>
    <row r="1600" spans="3:4">
      <c r="C1600"/>
      <c r="D1600"/>
    </row>
    <row r="1601" spans="3:4">
      <c r="C1601"/>
      <c r="D1601"/>
    </row>
    <row r="1602" spans="3:4">
      <c r="C1602"/>
      <c r="D1602"/>
    </row>
    <row r="1603" spans="3:4">
      <c r="C1603"/>
      <c r="D1603"/>
    </row>
    <row r="1604" spans="3:4">
      <c r="C1604"/>
      <c r="D1604"/>
    </row>
    <row r="1605" spans="3:4">
      <c r="C1605"/>
      <c r="D1605"/>
    </row>
    <row r="1606" spans="3:4">
      <c r="C1606"/>
      <c r="D1606"/>
    </row>
    <row r="1607" spans="3:4">
      <c r="C1607"/>
      <c r="D1607"/>
    </row>
    <row r="1608" spans="3:4">
      <c r="C1608"/>
      <c r="D1608"/>
    </row>
    <row r="1609" spans="3:4">
      <c r="C1609"/>
      <c r="D1609"/>
    </row>
    <row r="1610" spans="3:4">
      <c r="C1610"/>
      <c r="D1610"/>
    </row>
    <row r="1611" spans="3:4">
      <c r="C1611"/>
      <c r="D1611"/>
    </row>
    <row r="1612" spans="3:4">
      <c r="C1612"/>
      <c r="D1612"/>
    </row>
    <row r="1613" spans="3:4">
      <c r="C1613"/>
      <c r="D1613"/>
    </row>
    <row r="1614" spans="3:4">
      <c r="C1614"/>
      <c r="D1614"/>
    </row>
    <row r="1615" spans="3:4">
      <c r="C1615"/>
      <c r="D1615"/>
    </row>
    <row r="1616" spans="3:4">
      <c r="C1616"/>
      <c r="D1616"/>
    </row>
    <row r="1617" spans="3:4">
      <c r="C1617"/>
      <c r="D1617"/>
    </row>
    <row r="1618" spans="3:4">
      <c r="C1618"/>
      <c r="D1618"/>
    </row>
    <row r="1619" spans="3:4">
      <c r="C1619"/>
      <c r="D1619"/>
    </row>
    <row r="1620" spans="3:4">
      <c r="C1620"/>
      <c r="D1620"/>
    </row>
    <row r="1621" spans="3:4">
      <c r="C1621"/>
      <c r="D1621"/>
    </row>
    <row r="1622" spans="3:4">
      <c r="C1622"/>
      <c r="D1622"/>
    </row>
    <row r="1623" spans="3:4">
      <c r="C1623"/>
      <c r="D1623"/>
    </row>
    <row r="1624" spans="3:4">
      <c r="C1624"/>
      <c r="D1624"/>
    </row>
    <row r="1625" spans="3:4">
      <c r="C1625"/>
      <c r="D1625"/>
    </row>
    <row r="1626" spans="3:4">
      <c r="C1626"/>
      <c r="D1626"/>
    </row>
    <row r="1627" spans="3:4">
      <c r="C1627"/>
      <c r="D1627"/>
    </row>
    <row r="1628" spans="3:4">
      <c r="C1628"/>
      <c r="D1628"/>
    </row>
    <row r="1629" spans="3:4">
      <c r="C1629"/>
      <c r="D1629"/>
    </row>
    <row r="1630" spans="3:4">
      <c r="C1630"/>
      <c r="D1630"/>
    </row>
    <row r="1631" spans="3:4">
      <c r="C1631"/>
      <c r="D1631"/>
    </row>
    <row r="1632" spans="3:4">
      <c r="C1632"/>
      <c r="D1632"/>
    </row>
    <row r="1633" spans="3:4">
      <c r="C1633"/>
      <c r="D1633"/>
    </row>
    <row r="1634" spans="3:4">
      <c r="C1634"/>
      <c r="D1634"/>
    </row>
    <row r="1635" spans="3:4">
      <c r="C1635"/>
      <c r="D1635"/>
    </row>
    <row r="1636" spans="3:4">
      <c r="C1636"/>
      <c r="D1636"/>
    </row>
    <row r="1637" spans="3:4">
      <c r="C1637"/>
      <c r="D1637"/>
    </row>
    <row r="1638" spans="3:4">
      <c r="C1638"/>
      <c r="D1638"/>
    </row>
    <row r="1639" spans="3:4">
      <c r="C1639"/>
      <c r="D1639"/>
    </row>
    <row r="1640" spans="3:4">
      <c r="C1640"/>
      <c r="D1640"/>
    </row>
    <row r="1641" spans="3:4">
      <c r="C1641"/>
      <c r="D1641"/>
    </row>
    <row r="1642" spans="3:4">
      <c r="C1642"/>
      <c r="D1642"/>
    </row>
    <row r="1643" spans="3:4">
      <c r="C1643"/>
      <c r="D1643"/>
    </row>
    <row r="1644" spans="3:4">
      <c r="C1644"/>
      <c r="D1644"/>
    </row>
    <row r="1645" spans="3:4">
      <c r="C1645"/>
      <c r="D1645"/>
    </row>
    <row r="1646" spans="3:4">
      <c r="C1646"/>
      <c r="D1646"/>
    </row>
    <row r="1647" spans="3:4">
      <c r="C1647"/>
      <c r="D1647"/>
    </row>
    <row r="1648" spans="3:4">
      <c r="C1648"/>
      <c r="D1648"/>
    </row>
    <row r="1649" spans="3:4">
      <c r="C1649"/>
      <c r="D1649"/>
    </row>
    <row r="1650" spans="3:4">
      <c r="C1650"/>
      <c r="D1650"/>
    </row>
    <row r="1651" spans="3:4">
      <c r="C1651"/>
      <c r="D1651"/>
    </row>
    <row r="1652" spans="3:4">
      <c r="C1652"/>
      <c r="D1652"/>
    </row>
    <row r="1653" spans="3:4">
      <c r="C1653"/>
      <c r="D1653"/>
    </row>
    <row r="1654" spans="3:4">
      <c r="C1654"/>
      <c r="D1654"/>
    </row>
    <row r="1655" spans="3:4">
      <c r="C1655"/>
      <c r="D1655"/>
    </row>
    <row r="1656" spans="3:4">
      <c r="C1656"/>
      <c r="D1656"/>
    </row>
    <row r="1657" spans="3:4">
      <c r="C1657"/>
      <c r="D1657"/>
    </row>
    <row r="1658" spans="3:4">
      <c r="C1658"/>
      <c r="D1658"/>
    </row>
    <row r="1659" spans="3:4">
      <c r="C1659"/>
      <c r="D1659"/>
    </row>
    <row r="1660" spans="3:4">
      <c r="C1660"/>
      <c r="D1660"/>
    </row>
    <row r="1661" spans="3:4">
      <c r="C1661"/>
      <c r="D1661"/>
    </row>
    <row r="1662" spans="3:4">
      <c r="C1662"/>
      <c r="D1662"/>
    </row>
    <row r="1663" spans="3:4">
      <c r="C1663"/>
      <c r="D1663"/>
    </row>
    <row r="1664" spans="3:4">
      <c r="C1664"/>
      <c r="D1664"/>
    </row>
    <row r="1665" spans="3:4">
      <c r="C1665"/>
      <c r="D1665"/>
    </row>
    <row r="1666" spans="3:4">
      <c r="C1666"/>
      <c r="D1666"/>
    </row>
    <row r="1667" spans="3:4">
      <c r="C1667"/>
      <c r="D1667"/>
    </row>
    <row r="1668" spans="3:4">
      <c r="C1668"/>
      <c r="D1668"/>
    </row>
    <row r="1669" spans="3:4">
      <c r="C1669"/>
      <c r="D1669"/>
    </row>
    <row r="1670" spans="3:4">
      <c r="C1670"/>
      <c r="D1670"/>
    </row>
    <row r="1671" spans="3:4">
      <c r="C1671"/>
      <c r="D1671"/>
    </row>
    <row r="1672" spans="3:4">
      <c r="C1672"/>
      <c r="D1672"/>
    </row>
    <row r="1673" spans="3:4">
      <c r="C1673"/>
      <c r="D1673"/>
    </row>
    <row r="1674" spans="3:4">
      <c r="C1674"/>
      <c r="D1674"/>
    </row>
    <row r="1675" spans="3:4">
      <c r="C1675"/>
      <c r="D1675"/>
    </row>
    <row r="1676" spans="3:4">
      <c r="C1676"/>
      <c r="D1676"/>
    </row>
    <row r="1677" spans="3:4">
      <c r="C1677"/>
      <c r="D1677"/>
    </row>
    <row r="1678" spans="3:4">
      <c r="C1678"/>
      <c r="D1678"/>
    </row>
    <row r="1679" spans="3:4">
      <c r="C1679"/>
      <c r="D1679"/>
    </row>
    <row r="1680" spans="3:4">
      <c r="C1680"/>
      <c r="D1680"/>
    </row>
    <row r="1681" spans="3:4">
      <c r="C1681"/>
      <c r="D1681"/>
    </row>
    <row r="1682" spans="3:4">
      <c r="C1682"/>
      <c r="D1682"/>
    </row>
    <row r="1683" spans="3:4">
      <c r="C1683"/>
      <c r="D1683"/>
    </row>
    <row r="1684" spans="3:4">
      <c r="C1684"/>
      <c r="D1684"/>
    </row>
    <row r="1685" spans="3:4">
      <c r="C1685"/>
      <c r="D1685"/>
    </row>
    <row r="1686" spans="3:4">
      <c r="C1686"/>
      <c r="D1686"/>
    </row>
    <row r="1687" spans="3:4">
      <c r="C1687"/>
      <c r="D1687"/>
    </row>
    <row r="1688" spans="3:4">
      <c r="C1688"/>
      <c r="D1688"/>
    </row>
    <row r="1689" spans="3:4">
      <c r="C1689"/>
      <c r="D1689"/>
    </row>
    <row r="1690" spans="3:4">
      <c r="C1690"/>
      <c r="D1690"/>
    </row>
    <row r="1691" spans="3:4">
      <c r="C1691"/>
      <c r="D1691"/>
    </row>
    <row r="1692" spans="3:4">
      <c r="C1692"/>
      <c r="D1692"/>
    </row>
    <row r="1693" spans="3:4">
      <c r="C1693"/>
      <c r="D1693"/>
    </row>
    <row r="1694" spans="3:4">
      <c r="C1694"/>
      <c r="D1694"/>
    </row>
    <row r="1695" spans="3:4">
      <c r="C1695"/>
      <c r="D1695"/>
    </row>
    <row r="1696" spans="3:4">
      <c r="C1696"/>
      <c r="D1696"/>
    </row>
    <row r="1697" spans="3:4">
      <c r="C1697"/>
      <c r="D1697"/>
    </row>
    <row r="1698" spans="3:4">
      <c r="C1698"/>
      <c r="D1698"/>
    </row>
    <row r="1699" spans="3:4">
      <c r="C1699"/>
      <c r="D1699"/>
    </row>
    <row r="1700" spans="3:4">
      <c r="C1700"/>
      <c r="D1700"/>
    </row>
    <row r="1701" spans="3:4">
      <c r="C1701"/>
      <c r="D1701"/>
    </row>
    <row r="1702" spans="3:4">
      <c r="C1702"/>
      <c r="D1702"/>
    </row>
    <row r="1703" spans="3:4">
      <c r="C1703"/>
      <c r="D1703"/>
    </row>
    <row r="1704" spans="3:4">
      <c r="C1704"/>
      <c r="D1704"/>
    </row>
    <row r="1705" spans="3:4">
      <c r="C1705"/>
      <c r="D1705"/>
    </row>
    <row r="1706" spans="3:4">
      <c r="C1706"/>
      <c r="D1706"/>
    </row>
    <row r="1707" spans="3:4">
      <c r="C1707"/>
      <c r="D1707"/>
    </row>
    <row r="1708" spans="3:4">
      <c r="C1708"/>
      <c r="D1708"/>
    </row>
    <row r="1709" spans="3:4">
      <c r="C1709"/>
      <c r="D1709"/>
    </row>
    <row r="1710" spans="3:4">
      <c r="C1710"/>
      <c r="D1710"/>
    </row>
    <row r="1711" spans="3:4">
      <c r="C1711"/>
      <c r="D1711"/>
    </row>
    <row r="1712" spans="3:4">
      <c r="C1712"/>
      <c r="D1712"/>
    </row>
    <row r="1713" spans="3:4">
      <c r="C1713"/>
      <c r="D1713"/>
    </row>
    <row r="1714" spans="3:4">
      <c r="C1714"/>
      <c r="D1714"/>
    </row>
    <row r="1715" spans="3:4">
      <c r="C1715"/>
      <c r="D1715"/>
    </row>
    <row r="1716" spans="3:4">
      <c r="C1716"/>
      <c r="D1716"/>
    </row>
    <row r="1717" spans="3:4">
      <c r="C1717"/>
      <c r="D1717"/>
    </row>
    <row r="1718" spans="3:4">
      <c r="C1718"/>
      <c r="D1718"/>
    </row>
    <row r="1719" spans="3:4">
      <c r="C1719"/>
      <c r="D1719"/>
    </row>
    <row r="1720" spans="3:4">
      <c r="C1720"/>
      <c r="D1720"/>
    </row>
    <row r="1721" spans="3:4">
      <c r="C1721"/>
      <c r="D1721"/>
    </row>
    <row r="1722" spans="3:4">
      <c r="C1722"/>
      <c r="D1722"/>
    </row>
    <row r="1723" spans="3:4">
      <c r="C1723"/>
      <c r="D1723"/>
    </row>
    <row r="1724" spans="3:4">
      <c r="C1724"/>
      <c r="D1724"/>
    </row>
    <row r="1725" spans="3:4">
      <c r="C1725"/>
      <c r="D1725"/>
    </row>
    <row r="1726" spans="3:4">
      <c r="C1726"/>
      <c r="D1726"/>
    </row>
    <row r="1727" spans="3:4">
      <c r="C1727"/>
      <c r="D1727"/>
    </row>
    <row r="1728" spans="3:4">
      <c r="C1728"/>
      <c r="D1728"/>
    </row>
    <row r="1729" spans="3:4">
      <c r="C1729"/>
      <c r="D1729"/>
    </row>
    <row r="1730" spans="3:4">
      <c r="C1730"/>
      <c r="D1730"/>
    </row>
    <row r="1731" spans="3:4">
      <c r="C1731"/>
      <c r="D1731"/>
    </row>
    <row r="1732" spans="3:4">
      <c r="C1732"/>
      <c r="D1732"/>
    </row>
    <row r="1733" spans="3:4">
      <c r="C1733"/>
      <c r="D1733"/>
    </row>
    <row r="1734" spans="3:4">
      <c r="C1734"/>
      <c r="D1734"/>
    </row>
    <row r="1735" spans="3:4">
      <c r="C1735"/>
      <c r="D1735"/>
    </row>
    <row r="1736" spans="3:4">
      <c r="C1736"/>
      <c r="D1736"/>
    </row>
    <row r="1737" spans="3:4">
      <c r="C1737"/>
      <c r="D1737"/>
    </row>
    <row r="1738" spans="3:4">
      <c r="C1738"/>
      <c r="D1738"/>
    </row>
    <row r="1739" spans="3:4">
      <c r="C1739"/>
      <c r="D1739"/>
    </row>
    <row r="1740" spans="3:4">
      <c r="C1740"/>
      <c r="D1740"/>
    </row>
    <row r="1741" spans="3:4">
      <c r="C1741"/>
      <c r="D1741"/>
    </row>
    <row r="1742" spans="3:4">
      <c r="C1742"/>
      <c r="D1742"/>
    </row>
    <row r="1743" spans="3:4">
      <c r="C1743"/>
      <c r="D1743"/>
    </row>
    <row r="1744" spans="3:4">
      <c r="C1744"/>
      <c r="D1744"/>
    </row>
    <row r="1745" spans="3:4">
      <c r="C1745"/>
      <c r="D1745"/>
    </row>
    <row r="1746" spans="3:4">
      <c r="C1746"/>
      <c r="D1746"/>
    </row>
    <row r="1747" spans="3:4">
      <c r="C1747"/>
      <c r="D1747"/>
    </row>
    <row r="1748" spans="3:4">
      <c r="C1748"/>
      <c r="D1748"/>
    </row>
    <row r="1749" spans="3:4">
      <c r="C1749"/>
      <c r="D1749"/>
    </row>
    <row r="1750" spans="3:4">
      <c r="C1750"/>
      <c r="D1750"/>
    </row>
    <row r="1751" spans="3:4">
      <c r="C1751"/>
      <c r="D1751"/>
    </row>
    <row r="1752" spans="3:4">
      <c r="C1752"/>
      <c r="D1752"/>
    </row>
    <row r="1753" spans="3:4">
      <c r="C1753"/>
      <c r="D1753"/>
    </row>
    <row r="1754" spans="3:4">
      <c r="C1754"/>
      <c r="D1754"/>
    </row>
    <row r="1755" spans="3:4">
      <c r="C1755"/>
      <c r="D1755"/>
    </row>
    <row r="1756" spans="3:4">
      <c r="C1756"/>
      <c r="D1756"/>
    </row>
    <row r="1757" spans="3:4">
      <c r="C1757"/>
      <c r="D1757"/>
    </row>
    <row r="1758" spans="3:4">
      <c r="C1758"/>
      <c r="D1758"/>
    </row>
    <row r="1759" spans="3:4">
      <c r="C1759"/>
      <c r="D1759"/>
    </row>
    <row r="1760" spans="3:4">
      <c r="C1760"/>
      <c r="D1760"/>
    </row>
    <row r="1761" spans="3:4">
      <c r="C1761"/>
      <c r="D1761"/>
    </row>
    <row r="1762" spans="3:4">
      <c r="C1762"/>
      <c r="D1762"/>
    </row>
    <row r="1763" spans="3:4">
      <c r="C1763"/>
      <c r="D1763"/>
    </row>
    <row r="1764" spans="3:4">
      <c r="C1764"/>
      <c r="D1764"/>
    </row>
    <row r="1765" spans="3:4">
      <c r="C1765"/>
      <c r="D1765"/>
    </row>
    <row r="1766" spans="3:4">
      <c r="C1766"/>
      <c r="D1766"/>
    </row>
    <row r="1767" spans="3:4">
      <c r="C1767"/>
      <c r="D1767"/>
    </row>
    <row r="1768" spans="3:4">
      <c r="C1768"/>
      <c r="D1768"/>
    </row>
    <row r="1769" spans="3:4">
      <c r="C1769"/>
      <c r="D1769"/>
    </row>
    <row r="1770" spans="3:4">
      <c r="C1770"/>
      <c r="D1770"/>
    </row>
    <row r="1771" spans="3:4">
      <c r="C1771"/>
      <c r="D1771"/>
    </row>
    <row r="1772" spans="3:4">
      <c r="C1772"/>
      <c r="D1772"/>
    </row>
    <row r="1773" spans="3:4">
      <c r="C1773"/>
      <c r="D1773"/>
    </row>
    <row r="1774" spans="3:4">
      <c r="C1774"/>
      <c r="D1774"/>
    </row>
    <row r="1775" spans="3:4">
      <c r="C1775"/>
      <c r="D1775"/>
    </row>
    <row r="1776" spans="3:4">
      <c r="C1776"/>
      <c r="D1776"/>
    </row>
    <row r="1777" spans="3:4">
      <c r="C1777"/>
      <c r="D1777"/>
    </row>
    <row r="1778" spans="3:4">
      <c r="C1778"/>
      <c r="D1778"/>
    </row>
    <row r="1779" spans="3:4">
      <c r="C1779"/>
      <c r="D1779"/>
    </row>
    <row r="1780" spans="3:4">
      <c r="C1780"/>
      <c r="D1780"/>
    </row>
    <row r="1781" spans="3:4">
      <c r="C1781"/>
      <c r="D1781"/>
    </row>
    <row r="1782" spans="3:4">
      <c r="C1782"/>
      <c r="D1782"/>
    </row>
    <row r="1783" spans="3:4">
      <c r="C1783"/>
      <c r="D1783"/>
    </row>
    <row r="1784" spans="3:4">
      <c r="C1784"/>
      <c r="D1784"/>
    </row>
    <row r="1785" spans="3:4">
      <c r="C1785"/>
      <c r="D1785"/>
    </row>
    <row r="1786" spans="3:4">
      <c r="C1786"/>
      <c r="D1786"/>
    </row>
    <row r="1787" spans="3:4">
      <c r="C1787"/>
      <c r="D1787"/>
    </row>
    <row r="1788" spans="3:4">
      <c r="C1788"/>
      <c r="D1788"/>
    </row>
    <row r="1789" spans="3:4">
      <c r="C1789"/>
      <c r="D1789"/>
    </row>
    <row r="1790" spans="3:4">
      <c r="C1790"/>
      <c r="D1790"/>
    </row>
    <row r="1791" spans="3:4">
      <c r="C1791"/>
      <c r="D1791"/>
    </row>
    <row r="1792" spans="3:4">
      <c r="C1792"/>
      <c r="D1792"/>
    </row>
    <row r="1793" spans="3:4">
      <c r="C1793"/>
      <c r="D1793"/>
    </row>
    <row r="1794" spans="3:4">
      <c r="C1794"/>
      <c r="D1794"/>
    </row>
    <row r="1795" spans="3:4">
      <c r="C1795"/>
      <c r="D1795"/>
    </row>
    <row r="1796" spans="3:4">
      <c r="C1796"/>
      <c r="D1796"/>
    </row>
    <row r="1797" spans="3:4">
      <c r="C1797"/>
      <c r="D1797"/>
    </row>
    <row r="1798" spans="3:4">
      <c r="C1798"/>
      <c r="D1798"/>
    </row>
    <row r="1799" spans="3:4">
      <c r="C1799"/>
      <c r="D1799"/>
    </row>
    <row r="1800" spans="3:4">
      <c r="C1800"/>
      <c r="D1800"/>
    </row>
    <row r="1801" spans="3:4">
      <c r="C1801"/>
      <c r="D1801"/>
    </row>
    <row r="1802" spans="3:4">
      <c r="C1802"/>
      <c r="D1802"/>
    </row>
    <row r="1803" spans="3:4">
      <c r="C1803"/>
      <c r="D1803"/>
    </row>
    <row r="1804" spans="3:4">
      <c r="C1804"/>
      <c r="D1804"/>
    </row>
    <row r="1805" spans="3:4">
      <c r="C1805"/>
      <c r="D1805"/>
    </row>
    <row r="1806" spans="3:4">
      <c r="C1806"/>
      <c r="D1806"/>
    </row>
    <row r="1807" spans="3:4">
      <c r="C1807"/>
      <c r="D1807"/>
    </row>
    <row r="1808" spans="3:4">
      <c r="C1808"/>
      <c r="D1808"/>
    </row>
    <row r="1809" spans="3:4">
      <c r="C1809"/>
      <c r="D1809"/>
    </row>
    <row r="1810" spans="3:4">
      <c r="C1810"/>
      <c r="D1810"/>
    </row>
    <row r="1811" spans="3:4">
      <c r="C1811"/>
      <c r="D1811"/>
    </row>
    <row r="1812" spans="3:4">
      <c r="C1812"/>
      <c r="D1812"/>
    </row>
    <row r="1813" spans="3:4">
      <c r="C1813"/>
      <c r="D1813"/>
    </row>
    <row r="1814" spans="3:4">
      <c r="C1814"/>
      <c r="D1814"/>
    </row>
    <row r="1815" spans="3:4">
      <c r="C1815"/>
      <c r="D1815"/>
    </row>
    <row r="1816" spans="3:4">
      <c r="C1816"/>
      <c r="D1816"/>
    </row>
    <row r="1817" spans="3:4">
      <c r="C1817"/>
      <c r="D1817"/>
    </row>
    <row r="1818" spans="3:4">
      <c r="C1818"/>
      <c r="D1818"/>
    </row>
    <row r="1819" spans="3:4">
      <c r="C1819"/>
      <c r="D1819"/>
    </row>
    <row r="1820" spans="3:4">
      <c r="C1820"/>
      <c r="D1820"/>
    </row>
    <row r="1821" spans="3:4">
      <c r="C1821"/>
      <c r="D1821"/>
    </row>
    <row r="1822" spans="3:4">
      <c r="C1822"/>
      <c r="D1822"/>
    </row>
    <row r="1823" spans="3:4">
      <c r="C1823"/>
      <c r="D1823"/>
    </row>
    <row r="1824" spans="3:4">
      <c r="C1824"/>
      <c r="D1824"/>
    </row>
    <row r="1825" spans="3:4">
      <c r="C1825"/>
      <c r="D1825"/>
    </row>
    <row r="1826" spans="3:4">
      <c r="C1826"/>
      <c r="D1826"/>
    </row>
    <row r="1827" spans="3:4">
      <c r="C1827"/>
      <c r="D1827"/>
    </row>
    <row r="1828" spans="3:4">
      <c r="C1828"/>
      <c r="D1828"/>
    </row>
    <row r="1829" spans="3:4">
      <c r="C1829"/>
      <c r="D1829"/>
    </row>
    <row r="1830" spans="3:4">
      <c r="C1830"/>
      <c r="D1830"/>
    </row>
    <row r="1831" spans="3:4">
      <c r="C1831"/>
      <c r="D1831"/>
    </row>
    <row r="1832" spans="3:4">
      <c r="C1832"/>
      <c r="D1832"/>
    </row>
    <row r="1833" spans="3:4">
      <c r="C1833"/>
      <c r="D1833"/>
    </row>
    <row r="1834" spans="3:4">
      <c r="C1834"/>
      <c r="D1834"/>
    </row>
    <row r="1835" spans="3:4">
      <c r="C1835"/>
      <c r="D1835"/>
    </row>
    <row r="1836" spans="3:4">
      <c r="C1836"/>
      <c r="D1836"/>
    </row>
    <row r="1837" spans="3:4">
      <c r="C1837"/>
      <c r="D1837"/>
    </row>
    <row r="1838" spans="3:4">
      <c r="C1838"/>
      <c r="D1838"/>
    </row>
    <row r="1839" spans="3:4">
      <c r="C1839"/>
      <c r="D1839"/>
    </row>
    <row r="1840" spans="3:4">
      <c r="C1840"/>
      <c r="D1840"/>
    </row>
    <row r="1841" spans="3:4">
      <c r="C1841"/>
      <c r="D1841"/>
    </row>
    <row r="1842" spans="3:4">
      <c r="C1842"/>
      <c r="D1842"/>
    </row>
    <row r="1843" spans="3:4">
      <c r="C1843"/>
      <c r="D1843"/>
    </row>
    <row r="1844" spans="3:4">
      <c r="C1844"/>
      <c r="D1844"/>
    </row>
    <row r="1845" spans="3:4">
      <c r="C1845"/>
      <c r="D1845"/>
    </row>
    <row r="1846" spans="3:4">
      <c r="C1846"/>
      <c r="D1846"/>
    </row>
    <row r="1847" spans="3:4">
      <c r="C1847"/>
      <c r="D1847"/>
    </row>
    <row r="1848" spans="3:4">
      <c r="C1848"/>
      <c r="D1848"/>
    </row>
    <row r="1849" spans="3:4">
      <c r="C1849"/>
      <c r="D1849"/>
    </row>
    <row r="1850" spans="3:4">
      <c r="C1850"/>
      <c r="D1850"/>
    </row>
    <row r="1851" spans="3:4">
      <c r="C1851"/>
      <c r="D1851"/>
    </row>
    <row r="1852" spans="3:4">
      <c r="C1852"/>
      <c r="D1852"/>
    </row>
    <row r="1853" spans="3:4">
      <c r="C1853"/>
      <c r="D1853"/>
    </row>
    <row r="1854" spans="3:4">
      <c r="C1854"/>
      <c r="D1854"/>
    </row>
    <row r="1855" spans="3:4">
      <c r="C1855"/>
      <c r="D1855"/>
    </row>
    <row r="1856" spans="3:4">
      <c r="C1856"/>
      <c r="D1856"/>
    </row>
    <row r="1857" spans="3:4">
      <c r="C1857"/>
      <c r="D1857"/>
    </row>
    <row r="1858" spans="3:4">
      <c r="C1858"/>
      <c r="D1858"/>
    </row>
    <row r="1859" spans="3:4">
      <c r="C1859"/>
      <c r="D1859"/>
    </row>
    <row r="1860" spans="3:4">
      <c r="C1860"/>
      <c r="D1860"/>
    </row>
    <row r="1861" spans="3:4">
      <c r="C1861"/>
      <c r="D1861"/>
    </row>
    <row r="1862" spans="3:4">
      <c r="C1862"/>
      <c r="D1862"/>
    </row>
    <row r="1863" spans="3:4">
      <c r="C1863"/>
      <c r="D1863"/>
    </row>
    <row r="1864" spans="3:4">
      <c r="C1864"/>
      <c r="D1864"/>
    </row>
    <row r="1865" spans="3:4">
      <c r="C1865"/>
      <c r="D1865"/>
    </row>
    <row r="1866" spans="3:4">
      <c r="C1866"/>
      <c r="D1866"/>
    </row>
    <row r="1867" spans="3:4">
      <c r="C1867"/>
      <c r="D1867"/>
    </row>
    <row r="1868" spans="3:4">
      <c r="C1868"/>
      <c r="D1868"/>
    </row>
    <row r="1869" spans="3:4">
      <c r="C1869"/>
      <c r="D1869"/>
    </row>
    <row r="1870" spans="3:4">
      <c r="C1870"/>
      <c r="D1870"/>
    </row>
    <row r="1871" spans="3:4">
      <c r="C1871"/>
      <c r="D1871"/>
    </row>
    <row r="1872" spans="3:4">
      <c r="C1872"/>
      <c r="D1872"/>
    </row>
    <row r="1873" spans="3:4">
      <c r="C1873"/>
      <c r="D1873"/>
    </row>
    <row r="1874" spans="3:4">
      <c r="C1874"/>
      <c r="D1874"/>
    </row>
    <row r="1875" spans="3:4">
      <c r="C1875"/>
      <c r="D1875"/>
    </row>
    <row r="1876" spans="3:4">
      <c r="C1876"/>
      <c r="D1876"/>
    </row>
    <row r="1877" spans="3:4">
      <c r="C1877"/>
      <c r="D1877"/>
    </row>
    <row r="1878" spans="3:4">
      <c r="C1878"/>
      <c r="D1878"/>
    </row>
    <row r="1879" spans="3:4">
      <c r="C1879"/>
      <c r="D1879"/>
    </row>
    <row r="1880" spans="3:4">
      <c r="C1880"/>
      <c r="D1880"/>
    </row>
    <row r="1881" spans="3:4">
      <c r="C1881"/>
      <c r="D1881"/>
    </row>
    <row r="1882" spans="3:4">
      <c r="C1882"/>
      <c r="D1882"/>
    </row>
    <row r="1883" spans="3:4">
      <c r="C1883"/>
      <c r="D1883"/>
    </row>
    <row r="1884" spans="3:4">
      <c r="C1884"/>
      <c r="D1884"/>
    </row>
    <row r="1885" spans="3:4">
      <c r="C1885"/>
      <c r="D1885"/>
    </row>
    <row r="1886" spans="3:4">
      <c r="C1886"/>
      <c r="D1886"/>
    </row>
    <row r="1887" spans="3:4">
      <c r="C1887"/>
      <c r="D1887"/>
    </row>
    <row r="1888" spans="3:4">
      <c r="C1888"/>
      <c r="D1888"/>
    </row>
    <row r="1889" spans="3:4">
      <c r="C1889"/>
      <c r="D1889"/>
    </row>
    <row r="1890" spans="3:4">
      <c r="C1890"/>
      <c r="D1890"/>
    </row>
    <row r="1891" spans="3:4">
      <c r="C1891"/>
      <c r="D1891"/>
    </row>
    <row r="1892" spans="3:4">
      <c r="C1892"/>
      <c r="D1892"/>
    </row>
    <row r="1893" spans="3:4">
      <c r="C1893"/>
      <c r="D1893"/>
    </row>
    <row r="1894" spans="3:4">
      <c r="C1894"/>
      <c r="D1894"/>
    </row>
    <row r="1895" spans="3:4">
      <c r="C1895"/>
      <c r="D1895"/>
    </row>
    <row r="1896" spans="3:4">
      <c r="C1896"/>
      <c r="D1896"/>
    </row>
    <row r="1897" spans="3:4">
      <c r="C1897"/>
      <c r="D1897"/>
    </row>
    <row r="1898" spans="3:4">
      <c r="C1898"/>
      <c r="D1898"/>
    </row>
    <row r="1899" spans="3:4">
      <c r="C1899"/>
      <c r="D1899"/>
    </row>
    <row r="1900" spans="3:4">
      <c r="C1900"/>
      <c r="D1900"/>
    </row>
    <row r="1901" spans="3:4">
      <c r="C1901"/>
      <c r="D1901"/>
    </row>
    <row r="1902" spans="3:4">
      <c r="C1902"/>
      <c r="D1902"/>
    </row>
    <row r="1903" spans="3:4">
      <c r="C1903"/>
      <c r="D1903"/>
    </row>
    <row r="1904" spans="3:4">
      <c r="C1904"/>
      <c r="D1904"/>
    </row>
    <row r="1905" spans="3:4">
      <c r="C1905"/>
      <c r="D1905"/>
    </row>
    <row r="1906" spans="3:4">
      <c r="C1906"/>
      <c r="D1906"/>
    </row>
    <row r="1907" spans="3:4">
      <c r="C1907"/>
      <c r="D1907"/>
    </row>
    <row r="1908" spans="3:4">
      <c r="C1908"/>
      <c r="D1908"/>
    </row>
    <row r="1909" spans="3:4">
      <c r="C1909"/>
      <c r="D1909"/>
    </row>
    <row r="1910" spans="3:4">
      <c r="C1910"/>
      <c r="D1910"/>
    </row>
    <row r="1911" spans="3:4">
      <c r="C1911"/>
      <c r="D1911"/>
    </row>
    <row r="1912" spans="3:4">
      <c r="C1912"/>
      <c r="D1912"/>
    </row>
    <row r="1913" spans="3:4">
      <c r="C1913"/>
      <c r="D1913"/>
    </row>
    <row r="1914" spans="3:4">
      <c r="C1914"/>
      <c r="D1914"/>
    </row>
    <row r="1915" spans="3:4">
      <c r="C1915"/>
      <c r="D1915"/>
    </row>
    <row r="1916" spans="3:4">
      <c r="C1916"/>
      <c r="D1916"/>
    </row>
    <row r="1917" spans="3:4">
      <c r="C1917"/>
      <c r="D1917"/>
    </row>
    <row r="1918" spans="3:4">
      <c r="C1918"/>
      <c r="D1918"/>
    </row>
    <row r="1919" spans="3:4">
      <c r="C1919"/>
      <c r="D1919"/>
    </row>
    <row r="1920" spans="3:4">
      <c r="C1920"/>
      <c r="D1920"/>
    </row>
    <row r="1921" spans="3:4">
      <c r="C1921"/>
      <c r="D1921"/>
    </row>
    <row r="1922" spans="3:4">
      <c r="C1922"/>
      <c r="D1922"/>
    </row>
    <row r="1923" spans="3:4">
      <c r="C1923"/>
      <c r="D1923"/>
    </row>
    <row r="1924" spans="3:4">
      <c r="C1924"/>
      <c r="D1924"/>
    </row>
    <row r="1925" spans="3:4">
      <c r="C1925"/>
      <c r="D1925"/>
    </row>
    <row r="1926" spans="3:4">
      <c r="C1926"/>
      <c r="D1926"/>
    </row>
    <row r="1927" spans="3:4">
      <c r="C1927"/>
      <c r="D1927"/>
    </row>
    <row r="1928" spans="3:4">
      <c r="C1928"/>
      <c r="D1928"/>
    </row>
    <row r="1929" spans="3:4">
      <c r="C1929"/>
      <c r="D1929"/>
    </row>
    <row r="1930" spans="3:4">
      <c r="C1930"/>
      <c r="D1930"/>
    </row>
    <row r="1931" spans="3:4">
      <c r="C1931"/>
      <c r="D1931"/>
    </row>
    <row r="1932" spans="3:4">
      <c r="C1932"/>
      <c r="D1932"/>
    </row>
    <row r="1933" spans="3:4">
      <c r="C1933"/>
      <c r="D1933"/>
    </row>
    <row r="1934" spans="3:4">
      <c r="C1934"/>
      <c r="D1934"/>
    </row>
    <row r="1935" spans="3:4">
      <c r="C1935"/>
      <c r="D1935"/>
    </row>
    <row r="1936" spans="3:4">
      <c r="C1936"/>
      <c r="D1936"/>
    </row>
    <row r="1937" spans="3:4">
      <c r="C1937"/>
      <c r="D1937"/>
    </row>
    <row r="1938" spans="3:4">
      <c r="C1938"/>
      <c r="D1938"/>
    </row>
    <row r="1939" spans="3:4">
      <c r="C1939"/>
      <c r="D1939"/>
    </row>
    <row r="1940" spans="3:4">
      <c r="C1940"/>
      <c r="D1940"/>
    </row>
    <row r="1941" spans="3:4">
      <c r="C1941"/>
      <c r="D1941"/>
    </row>
    <row r="1942" spans="3:4">
      <c r="C1942"/>
      <c r="D1942"/>
    </row>
    <row r="1943" spans="3:4">
      <c r="C1943"/>
      <c r="D1943"/>
    </row>
    <row r="1944" spans="3:4">
      <c r="C1944"/>
      <c r="D1944"/>
    </row>
    <row r="1945" spans="3:4">
      <c r="C1945"/>
      <c r="D1945"/>
    </row>
    <row r="1946" spans="3:4">
      <c r="C1946"/>
      <c r="D1946"/>
    </row>
    <row r="1947" spans="3:4">
      <c r="C1947"/>
      <c r="D1947"/>
    </row>
    <row r="1948" spans="3:4">
      <c r="C1948"/>
      <c r="D1948"/>
    </row>
    <row r="1949" spans="3:4">
      <c r="C1949"/>
      <c r="D1949"/>
    </row>
    <row r="1950" spans="3:4">
      <c r="C1950"/>
      <c r="D1950"/>
    </row>
    <row r="1951" spans="3:4">
      <c r="C1951"/>
      <c r="D1951"/>
    </row>
    <row r="1952" spans="3:4">
      <c r="C1952"/>
      <c r="D1952"/>
    </row>
    <row r="1953" spans="3:4">
      <c r="C1953"/>
      <c r="D1953"/>
    </row>
    <row r="1954" spans="3:4">
      <c r="C1954"/>
      <c r="D1954"/>
    </row>
    <row r="1955" spans="3:4">
      <c r="C1955"/>
      <c r="D1955"/>
    </row>
    <row r="1956" spans="3:4">
      <c r="C1956"/>
      <c r="D1956"/>
    </row>
    <row r="1957" spans="3:4">
      <c r="C1957"/>
      <c r="D1957"/>
    </row>
    <row r="1958" spans="3:4">
      <c r="C1958"/>
      <c r="D1958"/>
    </row>
    <row r="1959" spans="3:4">
      <c r="C1959"/>
      <c r="D1959"/>
    </row>
    <row r="1960" spans="3:4">
      <c r="C1960"/>
      <c r="D1960"/>
    </row>
    <row r="1961" spans="3:4">
      <c r="C1961"/>
      <c r="D1961"/>
    </row>
    <row r="1962" spans="3:4">
      <c r="C1962"/>
      <c r="D1962"/>
    </row>
    <row r="1963" spans="3:4">
      <c r="C1963"/>
      <c r="D1963"/>
    </row>
    <row r="1964" spans="3:4">
      <c r="C1964"/>
      <c r="D1964"/>
    </row>
    <row r="1965" spans="3:4">
      <c r="C1965"/>
      <c r="D1965"/>
    </row>
    <row r="1966" spans="3:4">
      <c r="C1966"/>
      <c r="D1966"/>
    </row>
    <row r="1967" spans="3:4">
      <c r="C1967"/>
      <c r="D1967"/>
    </row>
    <row r="1968" spans="3:4">
      <c r="C1968"/>
      <c r="D1968"/>
    </row>
    <row r="1969" spans="3:4">
      <c r="C1969"/>
      <c r="D1969"/>
    </row>
    <row r="1970" spans="3:4">
      <c r="C1970"/>
      <c r="D1970"/>
    </row>
    <row r="1971" spans="3:4">
      <c r="C1971"/>
      <c r="D1971"/>
    </row>
    <row r="1972" spans="3:4">
      <c r="C1972"/>
      <c r="D1972"/>
    </row>
    <row r="1973" spans="3:4">
      <c r="C1973"/>
      <c r="D1973"/>
    </row>
    <row r="1974" spans="3:4">
      <c r="C1974"/>
      <c r="D1974"/>
    </row>
    <row r="1975" spans="3:4">
      <c r="C1975"/>
      <c r="D1975"/>
    </row>
    <row r="1976" spans="3:4">
      <c r="C1976"/>
      <c r="D1976"/>
    </row>
    <row r="1977" spans="3:4">
      <c r="C1977"/>
      <c r="D1977"/>
    </row>
    <row r="1978" spans="3:4">
      <c r="C1978"/>
      <c r="D1978"/>
    </row>
    <row r="1979" spans="3:4">
      <c r="C1979"/>
      <c r="D1979"/>
    </row>
    <row r="1980" spans="3:4">
      <c r="C1980"/>
      <c r="D1980"/>
    </row>
    <row r="1981" spans="3:4">
      <c r="C1981"/>
      <c r="D1981"/>
    </row>
    <row r="1982" spans="3:4">
      <c r="C1982"/>
      <c r="D1982"/>
    </row>
    <row r="1983" spans="3:4">
      <c r="C1983"/>
      <c r="D1983"/>
    </row>
    <row r="1984" spans="3:4">
      <c r="C1984"/>
      <c r="D1984"/>
    </row>
    <row r="1985" spans="3:4">
      <c r="C1985"/>
      <c r="D1985"/>
    </row>
    <row r="1986" spans="3:4">
      <c r="C1986"/>
      <c r="D1986"/>
    </row>
    <row r="1987" spans="3:4">
      <c r="C1987"/>
      <c r="D1987"/>
    </row>
    <row r="1988" spans="3:4">
      <c r="C1988"/>
      <c r="D1988"/>
    </row>
    <row r="1989" spans="3:4">
      <c r="C1989"/>
      <c r="D1989"/>
    </row>
    <row r="1990" spans="3:4">
      <c r="C1990"/>
      <c r="D1990"/>
    </row>
    <row r="1991" spans="3:4">
      <c r="C1991"/>
      <c r="D1991"/>
    </row>
    <row r="1992" spans="3:4">
      <c r="C1992"/>
      <c r="D1992"/>
    </row>
    <row r="1993" spans="3:4">
      <c r="C1993"/>
      <c r="D1993"/>
    </row>
    <row r="1994" spans="3:4">
      <c r="C1994"/>
      <c r="D1994"/>
    </row>
    <row r="1995" spans="3:4">
      <c r="C1995"/>
      <c r="D1995"/>
    </row>
    <row r="1996" spans="3:4">
      <c r="C1996"/>
      <c r="D1996"/>
    </row>
    <row r="1997" spans="3:4">
      <c r="C1997"/>
      <c r="D1997"/>
    </row>
    <row r="1998" spans="3:4">
      <c r="C1998"/>
      <c r="D1998"/>
    </row>
    <row r="1999" spans="3:4">
      <c r="C1999"/>
      <c r="D1999"/>
    </row>
    <row r="2000" spans="3:4">
      <c r="C2000"/>
      <c r="D2000"/>
    </row>
    <row r="2001" spans="3:4">
      <c r="C2001"/>
      <c r="D2001"/>
    </row>
    <row r="2002" spans="3:4">
      <c r="C2002"/>
      <c r="D2002"/>
    </row>
    <row r="2003" spans="3:4">
      <c r="C2003"/>
      <c r="D2003"/>
    </row>
    <row r="2004" spans="3:4">
      <c r="C2004"/>
      <c r="D2004"/>
    </row>
    <row r="2005" spans="3:4">
      <c r="C2005"/>
      <c r="D2005"/>
    </row>
    <row r="2006" spans="3:4">
      <c r="C2006"/>
      <c r="D2006"/>
    </row>
    <row r="2007" spans="3:4">
      <c r="C2007"/>
      <c r="D2007"/>
    </row>
    <row r="2008" spans="3:4">
      <c r="C2008"/>
      <c r="D2008"/>
    </row>
    <row r="2009" spans="3:4">
      <c r="C2009"/>
      <c r="D2009"/>
    </row>
    <row r="2010" spans="3:4">
      <c r="C2010"/>
      <c r="D2010"/>
    </row>
    <row r="2011" spans="3:4">
      <c r="C2011"/>
      <c r="D2011"/>
    </row>
    <row r="2012" spans="3:4">
      <c r="C2012"/>
      <c r="D2012"/>
    </row>
    <row r="2013" spans="3:4">
      <c r="C2013"/>
      <c r="D2013"/>
    </row>
    <row r="2014" spans="3:4">
      <c r="C2014"/>
      <c r="D2014"/>
    </row>
    <row r="2015" spans="3:4">
      <c r="C2015"/>
      <c r="D2015"/>
    </row>
    <row r="2016" spans="3:4">
      <c r="C2016"/>
      <c r="D2016"/>
    </row>
    <row r="2017" spans="3:4">
      <c r="C2017"/>
      <c r="D2017"/>
    </row>
    <row r="2018" spans="3:4">
      <c r="C2018"/>
      <c r="D2018"/>
    </row>
    <row r="2019" spans="3:4">
      <c r="C2019"/>
      <c r="D2019"/>
    </row>
    <row r="2020" spans="3:4">
      <c r="C2020"/>
      <c r="D2020"/>
    </row>
    <row r="2021" spans="3:4">
      <c r="C2021"/>
      <c r="D2021"/>
    </row>
    <row r="2022" spans="3:4">
      <c r="C2022"/>
      <c r="D2022"/>
    </row>
    <row r="2023" spans="3:4">
      <c r="C2023"/>
      <c r="D2023"/>
    </row>
    <row r="2024" spans="3:4">
      <c r="C2024"/>
      <c r="D2024"/>
    </row>
    <row r="2025" spans="3:4">
      <c r="C2025"/>
      <c r="D2025"/>
    </row>
    <row r="2026" spans="3:4">
      <c r="C2026"/>
      <c r="D2026"/>
    </row>
    <row r="2027" spans="3:4">
      <c r="C2027"/>
      <c r="D2027"/>
    </row>
    <row r="2028" spans="3:4">
      <c r="C2028"/>
      <c r="D2028"/>
    </row>
    <row r="2029" spans="3:4">
      <c r="C2029"/>
      <c r="D2029"/>
    </row>
    <row r="2030" spans="3:4">
      <c r="C2030"/>
      <c r="D2030"/>
    </row>
    <row r="2031" spans="3:4">
      <c r="C2031"/>
      <c r="D2031"/>
    </row>
    <row r="2032" spans="3:4">
      <c r="C2032"/>
      <c r="D2032"/>
    </row>
    <row r="2033" spans="3:4">
      <c r="C2033"/>
      <c r="D2033"/>
    </row>
    <row r="2034" spans="3:4">
      <c r="C2034"/>
      <c r="D2034"/>
    </row>
    <row r="2035" spans="3:4">
      <c r="C2035"/>
      <c r="D2035"/>
    </row>
    <row r="2036" spans="3:4">
      <c r="C2036"/>
      <c r="D2036"/>
    </row>
    <row r="2037" spans="3:4">
      <c r="C2037"/>
      <c r="D2037"/>
    </row>
    <row r="2038" spans="3:4">
      <c r="C2038"/>
      <c r="D2038"/>
    </row>
    <row r="2039" spans="3:4">
      <c r="C2039"/>
      <c r="D2039"/>
    </row>
    <row r="2040" spans="3:4">
      <c r="C2040"/>
      <c r="D2040"/>
    </row>
    <row r="2041" spans="3:4">
      <c r="C2041"/>
      <c r="D2041"/>
    </row>
    <row r="2042" spans="3:4">
      <c r="C2042"/>
      <c r="D2042"/>
    </row>
    <row r="2043" spans="3:4">
      <c r="C2043"/>
      <c r="D2043"/>
    </row>
    <row r="2044" spans="3:4">
      <c r="C2044"/>
      <c r="D2044"/>
    </row>
    <row r="2045" spans="3:4">
      <c r="C2045"/>
      <c r="D2045"/>
    </row>
    <row r="2046" spans="3:4">
      <c r="C2046"/>
      <c r="D2046"/>
    </row>
    <row r="2047" spans="3:4">
      <c r="C2047"/>
      <c r="D2047"/>
    </row>
    <row r="2048" spans="3:4">
      <c r="C2048"/>
      <c r="D2048"/>
    </row>
    <row r="2049" spans="3:4">
      <c r="C2049"/>
      <c r="D2049"/>
    </row>
    <row r="2050" spans="3:4">
      <c r="C2050"/>
      <c r="D2050"/>
    </row>
    <row r="2051" spans="3:4">
      <c r="C2051"/>
      <c r="D2051"/>
    </row>
    <row r="2052" spans="3:4">
      <c r="C2052"/>
      <c r="D2052"/>
    </row>
    <row r="2053" spans="3:4">
      <c r="C2053"/>
      <c r="D2053"/>
    </row>
    <row r="2054" spans="3:4">
      <c r="C2054"/>
      <c r="D2054"/>
    </row>
    <row r="2055" spans="3:4">
      <c r="C2055"/>
      <c r="D2055"/>
    </row>
    <row r="2056" spans="3:4">
      <c r="C2056"/>
      <c r="D2056"/>
    </row>
    <row r="2057" spans="3:4">
      <c r="C2057"/>
      <c r="D2057"/>
    </row>
    <row r="2058" spans="3:4">
      <c r="C2058"/>
      <c r="D2058"/>
    </row>
    <row r="2059" spans="3:4">
      <c r="C2059"/>
      <c r="D2059"/>
    </row>
    <row r="2060" spans="3:4">
      <c r="C2060"/>
      <c r="D2060"/>
    </row>
    <row r="2061" spans="3:4">
      <c r="C2061"/>
      <c r="D2061"/>
    </row>
    <row r="2062" spans="3:4">
      <c r="C2062"/>
      <c r="D2062"/>
    </row>
    <row r="2063" spans="3:4">
      <c r="C2063"/>
      <c r="D2063"/>
    </row>
    <row r="2064" spans="3:4">
      <c r="C2064"/>
      <c r="D2064"/>
    </row>
    <row r="2065" spans="3:4">
      <c r="C2065"/>
      <c r="D2065"/>
    </row>
    <row r="2066" spans="3:4">
      <c r="C2066"/>
      <c r="D2066"/>
    </row>
    <row r="2067" spans="3:4">
      <c r="C2067"/>
      <c r="D2067"/>
    </row>
    <row r="2068" spans="3:4">
      <c r="C2068"/>
      <c r="D2068"/>
    </row>
    <row r="2069" spans="3:4">
      <c r="C2069"/>
      <c r="D2069"/>
    </row>
    <row r="2070" spans="3:4">
      <c r="C2070"/>
      <c r="D2070"/>
    </row>
    <row r="2071" spans="3:4">
      <c r="C2071"/>
      <c r="D2071"/>
    </row>
    <row r="2072" spans="3:4">
      <c r="C2072"/>
      <c r="D2072"/>
    </row>
    <row r="2073" spans="3:4">
      <c r="C2073"/>
      <c r="D2073"/>
    </row>
    <row r="2074" spans="3:4">
      <c r="C2074"/>
      <c r="D2074"/>
    </row>
    <row r="2075" spans="3:4">
      <c r="C2075"/>
      <c r="D2075"/>
    </row>
    <row r="2076" spans="3:4">
      <c r="C2076"/>
      <c r="D2076"/>
    </row>
    <row r="2077" spans="3:4">
      <c r="C2077"/>
      <c r="D2077"/>
    </row>
    <row r="2078" spans="3:4">
      <c r="C2078"/>
      <c r="D2078"/>
    </row>
    <row r="2079" spans="3:4">
      <c r="C2079"/>
      <c r="D2079"/>
    </row>
    <row r="2080" spans="3:4">
      <c r="C2080"/>
      <c r="D2080"/>
    </row>
    <row r="2081" spans="3:4">
      <c r="C2081"/>
      <c r="D2081"/>
    </row>
    <row r="2082" spans="3:4">
      <c r="C2082"/>
      <c r="D2082"/>
    </row>
    <row r="2083" spans="3:4">
      <c r="C2083"/>
      <c r="D2083"/>
    </row>
    <row r="2084" spans="3:4">
      <c r="C2084"/>
      <c r="D2084"/>
    </row>
    <row r="2085" spans="3:4">
      <c r="C2085"/>
      <c r="D2085"/>
    </row>
    <row r="2086" spans="3:4">
      <c r="C2086"/>
      <c r="D2086"/>
    </row>
    <row r="2087" spans="3:4">
      <c r="C2087"/>
      <c r="D2087"/>
    </row>
    <row r="2088" spans="3:4">
      <c r="C2088"/>
      <c r="D2088"/>
    </row>
    <row r="2089" spans="3:4">
      <c r="C2089"/>
      <c r="D2089"/>
    </row>
    <row r="2090" spans="3:4">
      <c r="C2090"/>
      <c r="D2090"/>
    </row>
    <row r="2091" spans="3:4">
      <c r="C2091"/>
      <c r="D2091"/>
    </row>
    <row r="2092" spans="3:4">
      <c r="C2092"/>
      <c r="D2092"/>
    </row>
    <row r="2093" spans="3:4">
      <c r="C2093"/>
      <c r="D2093"/>
    </row>
    <row r="2094" spans="3:4">
      <c r="C2094"/>
      <c r="D2094"/>
    </row>
    <row r="2095" spans="3:4">
      <c r="C2095"/>
      <c r="D2095"/>
    </row>
    <row r="2096" spans="3:4">
      <c r="C2096"/>
      <c r="D2096"/>
    </row>
    <row r="2097" spans="3:4">
      <c r="C2097"/>
      <c r="D2097"/>
    </row>
    <row r="2098" spans="3:4">
      <c r="C2098"/>
      <c r="D2098"/>
    </row>
    <row r="2099" spans="3:4">
      <c r="C2099"/>
      <c r="D2099"/>
    </row>
    <row r="2100" spans="3:4">
      <c r="C2100"/>
      <c r="D2100"/>
    </row>
    <row r="2101" spans="3:4">
      <c r="C2101"/>
      <c r="D2101"/>
    </row>
    <row r="2102" spans="3:4">
      <c r="C2102"/>
      <c r="D2102"/>
    </row>
    <row r="2103" spans="3:4">
      <c r="C2103"/>
      <c r="D2103"/>
    </row>
    <row r="2104" spans="3:4">
      <c r="C2104"/>
      <c r="D2104"/>
    </row>
    <row r="2105" spans="3:4">
      <c r="C2105"/>
      <c r="D2105"/>
    </row>
    <row r="2106" spans="3:4">
      <c r="C2106"/>
      <c r="D2106"/>
    </row>
    <row r="2107" spans="3:4">
      <c r="C2107"/>
      <c r="D2107"/>
    </row>
    <row r="2108" spans="3:4">
      <c r="C2108"/>
      <c r="D2108"/>
    </row>
    <row r="2109" spans="3:4">
      <c r="C2109"/>
      <c r="D2109"/>
    </row>
    <row r="2110" spans="3:4">
      <c r="C2110"/>
      <c r="D2110"/>
    </row>
    <row r="2111" spans="3:4">
      <c r="C2111"/>
      <c r="D2111"/>
    </row>
    <row r="2112" spans="3:4">
      <c r="C2112"/>
      <c r="D2112"/>
    </row>
    <row r="2113" spans="3:4">
      <c r="C2113"/>
      <c r="D2113"/>
    </row>
    <row r="2114" spans="3:4">
      <c r="C2114"/>
      <c r="D2114"/>
    </row>
    <row r="2115" spans="3:4">
      <c r="C2115"/>
      <c r="D2115"/>
    </row>
    <row r="2116" spans="3:4">
      <c r="C2116"/>
      <c r="D2116"/>
    </row>
    <row r="2117" spans="3:4">
      <c r="C2117"/>
      <c r="D2117"/>
    </row>
    <row r="2118" spans="3:4">
      <c r="C2118"/>
      <c r="D2118"/>
    </row>
    <row r="2119" spans="3:4">
      <c r="C2119"/>
      <c r="D2119"/>
    </row>
    <row r="2120" spans="3:4">
      <c r="C2120"/>
      <c r="D2120"/>
    </row>
    <row r="2121" spans="3:4">
      <c r="C2121"/>
      <c r="D2121"/>
    </row>
    <row r="2122" spans="3:4">
      <c r="C2122"/>
      <c r="D2122"/>
    </row>
    <row r="2123" spans="3:4">
      <c r="C2123"/>
      <c r="D2123"/>
    </row>
    <row r="2124" spans="3:4">
      <c r="C2124"/>
      <c r="D2124"/>
    </row>
    <row r="2125" spans="3:4">
      <c r="C2125"/>
      <c r="D2125"/>
    </row>
    <row r="2126" spans="3:4">
      <c r="C2126"/>
      <c r="D2126"/>
    </row>
    <row r="2127" spans="3:4">
      <c r="C2127"/>
      <c r="D2127"/>
    </row>
    <row r="2128" spans="3:4">
      <c r="C2128"/>
      <c r="D2128"/>
    </row>
    <row r="2129" spans="3:4">
      <c r="C2129"/>
      <c r="D2129"/>
    </row>
    <row r="2130" spans="3:4">
      <c r="C2130"/>
      <c r="D2130"/>
    </row>
    <row r="2131" spans="3:4">
      <c r="C2131"/>
      <c r="D2131"/>
    </row>
    <row r="2132" spans="3:4">
      <c r="C2132"/>
      <c r="D2132"/>
    </row>
    <row r="2133" spans="3:4">
      <c r="C2133"/>
      <c r="D2133"/>
    </row>
    <row r="2134" spans="3:4">
      <c r="C2134"/>
      <c r="D2134"/>
    </row>
    <row r="2135" spans="3:4">
      <c r="C2135"/>
      <c r="D2135"/>
    </row>
    <row r="2136" spans="3:4">
      <c r="C2136"/>
      <c r="D2136"/>
    </row>
    <row r="2137" spans="3:4">
      <c r="C2137"/>
      <c r="D2137"/>
    </row>
    <row r="2138" spans="3:4">
      <c r="C2138"/>
      <c r="D2138"/>
    </row>
    <row r="2139" spans="3:4">
      <c r="C2139"/>
      <c r="D2139"/>
    </row>
    <row r="2140" spans="3:4">
      <c r="C2140"/>
      <c r="D2140"/>
    </row>
    <row r="2141" spans="3:4">
      <c r="C2141"/>
      <c r="D2141"/>
    </row>
    <row r="2142" spans="3:4">
      <c r="C2142"/>
      <c r="D2142"/>
    </row>
    <row r="2143" spans="3:4">
      <c r="C2143"/>
      <c r="D2143"/>
    </row>
    <row r="2144" spans="3:4">
      <c r="C2144"/>
      <c r="D2144"/>
    </row>
    <row r="2145" spans="3:4">
      <c r="C2145"/>
      <c r="D2145"/>
    </row>
    <row r="2146" spans="3:4">
      <c r="C2146"/>
      <c r="D2146"/>
    </row>
    <row r="2147" spans="3:4">
      <c r="C2147"/>
      <c r="D2147"/>
    </row>
    <row r="2148" spans="3:4">
      <c r="C2148"/>
      <c r="D2148"/>
    </row>
    <row r="2149" spans="3:4">
      <c r="C2149"/>
      <c r="D2149"/>
    </row>
    <row r="2150" spans="3:4">
      <c r="C2150"/>
      <c r="D2150"/>
    </row>
    <row r="2151" spans="3:4">
      <c r="C2151"/>
      <c r="D2151"/>
    </row>
    <row r="2152" spans="3:4">
      <c r="C2152"/>
      <c r="D2152"/>
    </row>
    <row r="2153" spans="3:4">
      <c r="C2153"/>
      <c r="D2153"/>
    </row>
    <row r="2154" spans="3:4">
      <c r="C2154"/>
      <c r="D2154"/>
    </row>
    <row r="2155" spans="3:4">
      <c r="C2155"/>
      <c r="D2155"/>
    </row>
    <row r="2156" spans="3:4">
      <c r="C2156"/>
      <c r="D2156"/>
    </row>
    <row r="2157" spans="3:4">
      <c r="C2157"/>
      <c r="D2157"/>
    </row>
    <row r="2158" spans="3:4">
      <c r="C2158"/>
      <c r="D2158"/>
    </row>
    <row r="2159" spans="3:4">
      <c r="C2159"/>
      <c r="D2159"/>
    </row>
    <row r="2160" spans="3:4">
      <c r="C2160"/>
      <c r="D2160"/>
    </row>
    <row r="2161" spans="3:4">
      <c r="C2161"/>
      <c r="D2161"/>
    </row>
    <row r="2162" spans="3:4">
      <c r="C2162"/>
      <c r="D2162"/>
    </row>
    <row r="2163" spans="3:4">
      <c r="C2163"/>
      <c r="D2163"/>
    </row>
    <row r="2164" spans="3:4">
      <c r="C2164"/>
      <c r="D2164"/>
    </row>
    <row r="2165" spans="3:4">
      <c r="C2165"/>
      <c r="D2165"/>
    </row>
    <row r="2166" spans="3:4">
      <c r="C2166"/>
      <c r="D2166"/>
    </row>
    <row r="2167" spans="3:4">
      <c r="C2167"/>
      <c r="D2167"/>
    </row>
    <row r="2168" spans="3:4">
      <c r="C2168"/>
      <c r="D2168"/>
    </row>
    <row r="2169" spans="3:4">
      <c r="C2169"/>
      <c r="D2169"/>
    </row>
    <row r="2170" spans="3:4">
      <c r="C2170"/>
      <c r="D2170"/>
    </row>
    <row r="2171" spans="3:4">
      <c r="C2171"/>
      <c r="D2171"/>
    </row>
    <row r="2172" spans="3:4">
      <c r="C2172"/>
      <c r="D2172"/>
    </row>
    <row r="2173" spans="3:4">
      <c r="C2173"/>
      <c r="D2173"/>
    </row>
    <row r="2174" spans="3:4">
      <c r="C2174"/>
      <c r="D2174"/>
    </row>
    <row r="2175" spans="3:4">
      <c r="C2175"/>
      <c r="D2175"/>
    </row>
    <row r="2176" spans="3:4">
      <c r="C2176"/>
      <c r="D2176"/>
    </row>
    <row r="2177" spans="3:4">
      <c r="C2177"/>
      <c r="D2177"/>
    </row>
    <row r="2178" spans="3:4">
      <c r="C2178"/>
      <c r="D2178"/>
    </row>
    <row r="2179" spans="3:4">
      <c r="C2179"/>
      <c r="D2179"/>
    </row>
    <row r="2180" spans="3:4">
      <c r="C2180"/>
      <c r="D2180"/>
    </row>
    <row r="2181" spans="3:4">
      <c r="C2181"/>
      <c r="D2181"/>
    </row>
    <row r="2182" spans="3:4">
      <c r="C2182"/>
      <c r="D2182"/>
    </row>
    <row r="2183" spans="3:4">
      <c r="C2183"/>
      <c r="D2183"/>
    </row>
    <row r="2184" spans="3:4">
      <c r="C2184"/>
      <c r="D2184"/>
    </row>
    <row r="2185" spans="3:4">
      <c r="C2185"/>
      <c r="D2185"/>
    </row>
    <row r="2186" spans="3:4">
      <c r="C2186"/>
      <c r="D2186"/>
    </row>
    <row r="2187" spans="3:4">
      <c r="C2187"/>
      <c r="D2187"/>
    </row>
    <row r="2188" spans="3:4">
      <c r="C2188"/>
      <c r="D2188"/>
    </row>
    <row r="2189" spans="3:4">
      <c r="C2189"/>
      <c r="D2189"/>
    </row>
    <row r="2190" spans="3:4">
      <c r="C2190"/>
      <c r="D2190"/>
    </row>
    <row r="2191" spans="3:4">
      <c r="C2191"/>
      <c r="D2191"/>
    </row>
    <row r="2192" spans="3:4">
      <c r="C2192"/>
      <c r="D2192"/>
    </row>
    <row r="2193" spans="3:4">
      <c r="C2193"/>
      <c r="D2193"/>
    </row>
    <row r="2194" spans="3:4">
      <c r="C2194"/>
      <c r="D2194"/>
    </row>
    <row r="2195" spans="3:4">
      <c r="C2195"/>
      <c r="D2195"/>
    </row>
    <row r="2196" spans="3:4">
      <c r="C2196"/>
      <c r="D2196"/>
    </row>
    <row r="2197" spans="3:4">
      <c r="C2197"/>
      <c r="D2197"/>
    </row>
    <row r="2198" spans="3:4">
      <c r="C2198"/>
      <c r="D2198"/>
    </row>
    <row r="2199" spans="3:4">
      <c r="C2199"/>
      <c r="D2199"/>
    </row>
    <row r="2200" spans="3:4">
      <c r="C2200"/>
      <c r="D2200"/>
    </row>
    <row r="2201" spans="3:4">
      <c r="C2201"/>
      <c r="D2201"/>
    </row>
    <row r="2202" spans="3:4">
      <c r="C2202"/>
      <c r="D2202"/>
    </row>
    <row r="2203" spans="3:4">
      <c r="C2203"/>
      <c r="D2203"/>
    </row>
    <row r="2204" spans="3:4">
      <c r="C2204"/>
      <c r="D2204"/>
    </row>
    <row r="2205" spans="3:4">
      <c r="C2205"/>
      <c r="D2205"/>
    </row>
    <row r="2206" spans="3:4">
      <c r="C2206"/>
      <c r="D2206"/>
    </row>
    <row r="2207" spans="3:4">
      <c r="C2207"/>
      <c r="D2207"/>
    </row>
    <row r="2208" spans="3:4">
      <c r="C2208"/>
      <c r="D2208"/>
    </row>
    <row r="2209" spans="3:4">
      <c r="C2209"/>
      <c r="D2209"/>
    </row>
    <row r="2210" spans="3:4">
      <c r="C2210"/>
      <c r="D2210"/>
    </row>
    <row r="2211" spans="3:4">
      <c r="C2211"/>
      <c r="D2211"/>
    </row>
    <row r="2212" spans="3:4">
      <c r="C2212"/>
      <c r="D2212"/>
    </row>
    <row r="2213" spans="3:4">
      <c r="C2213"/>
      <c r="D2213"/>
    </row>
    <row r="2214" spans="3:4">
      <c r="C2214"/>
      <c r="D2214"/>
    </row>
    <row r="2215" spans="3:4">
      <c r="C2215"/>
      <c r="D2215"/>
    </row>
    <row r="2216" spans="3:4">
      <c r="C2216"/>
      <c r="D2216"/>
    </row>
    <row r="2217" spans="3:4">
      <c r="C2217"/>
      <c r="D2217"/>
    </row>
    <row r="2218" spans="3:4">
      <c r="C2218"/>
      <c r="D2218"/>
    </row>
    <row r="2219" spans="3:4">
      <c r="C2219"/>
      <c r="D2219"/>
    </row>
    <row r="2220" spans="3:4">
      <c r="C2220"/>
      <c r="D2220"/>
    </row>
    <row r="2221" spans="3:4">
      <c r="C2221"/>
      <c r="D2221"/>
    </row>
    <row r="2222" spans="3:4">
      <c r="C2222"/>
      <c r="D2222"/>
    </row>
    <row r="2223" spans="3:4">
      <c r="C2223"/>
      <c r="D2223"/>
    </row>
    <row r="2224" spans="3:4">
      <c r="C2224"/>
      <c r="D2224"/>
    </row>
    <row r="2225" spans="3:4">
      <c r="C2225"/>
      <c r="D2225"/>
    </row>
    <row r="2226" spans="3:4">
      <c r="C2226"/>
      <c r="D2226"/>
    </row>
    <row r="2227" spans="3:4">
      <c r="C2227"/>
      <c r="D2227"/>
    </row>
    <row r="2228" spans="3:4">
      <c r="C2228"/>
      <c r="D2228"/>
    </row>
    <row r="2229" spans="3:4">
      <c r="C2229"/>
      <c r="D2229"/>
    </row>
    <row r="2230" spans="3:4">
      <c r="C2230"/>
      <c r="D2230"/>
    </row>
    <row r="2231" spans="3:4">
      <c r="C2231"/>
      <c r="D2231"/>
    </row>
    <row r="2232" spans="3:4">
      <c r="C2232"/>
      <c r="D2232"/>
    </row>
    <row r="2233" spans="3:4">
      <c r="C2233"/>
      <c r="D2233"/>
    </row>
    <row r="2234" spans="3:4">
      <c r="C2234"/>
      <c r="D2234"/>
    </row>
    <row r="2235" spans="3:4">
      <c r="C2235"/>
      <c r="D2235"/>
    </row>
    <row r="2236" spans="3:4">
      <c r="C2236"/>
      <c r="D2236"/>
    </row>
    <row r="2237" spans="3:4">
      <c r="C2237"/>
      <c r="D2237"/>
    </row>
    <row r="2238" spans="3:4">
      <c r="C2238"/>
      <c r="D2238"/>
    </row>
    <row r="2239" spans="3:4">
      <c r="C2239"/>
      <c r="D2239"/>
    </row>
    <row r="2240" spans="3:4">
      <c r="C2240"/>
      <c r="D2240"/>
    </row>
    <row r="2241" spans="3:4">
      <c r="C2241"/>
      <c r="D2241"/>
    </row>
    <row r="2242" spans="3:4">
      <c r="C2242"/>
      <c r="D2242"/>
    </row>
    <row r="2243" spans="3:4">
      <c r="C2243"/>
      <c r="D2243"/>
    </row>
    <row r="2244" spans="3:4">
      <c r="C2244"/>
      <c r="D2244"/>
    </row>
    <row r="2245" spans="3:4">
      <c r="C2245"/>
      <c r="D2245"/>
    </row>
    <row r="2246" spans="3:4">
      <c r="C2246"/>
      <c r="D2246"/>
    </row>
    <row r="2247" spans="3:4">
      <c r="C2247"/>
      <c r="D2247"/>
    </row>
    <row r="2248" spans="3:4">
      <c r="C2248"/>
      <c r="D2248"/>
    </row>
    <row r="2249" spans="3:4">
      <c r="C2249"/>
      <c r="D2249"/>
    </row>
    <row r="2250" spans="3:4">
      <c r="C2250"/>
      <c r="D2250"/>
    </row>
    <row r="2251" spans="3:4">
      <c r="C2251"/>
      <c r="D2251"/>
    </row>
    <row r="2252" spans="3:4">
      <c r="C2252"/>
      <c r="D2252"/>
    </row>
    <row r="2253" spans="3:4">
      <c r="C2253"/>
      <c r="D2253"/>
    </row>
    <row r="2254" spans="3:4">
      <c r="C2254"/>
      <c r="D2254"/>
    </row>
    <row r="2255" spans="3:4">
      <c r="C2255"/>
      <c r="D2255"/>
    </row>
    <row r="2256" spans="3:4">
      <c r="C2256"/>
      <c r="D2256"/>
    </row>
    <row r="2257" spans="3:4">
      <c r="C2257"/>
      <c r="D2257"/>
    </row>
    <row r="2258" spans="3:4">
      <c r="C2258"/>
      <c r="D2258"/>
    </row>
    <row r="2259" spans="3:4">
      <c r="C2259"/>
      <c r="D2259"/>
    </row>
    <row r="2260" spans="3:4">
      <c r="C2260"/>
      <c r="D2260"/>
    </row>
    <row r="2261" spans="3:4">
      <c r="C2261"/>
      <c r="D2261"/>
    </row>
    <row r="2262" spans="3:4">
      <c r="C2262"/>
      <c r="D2262"/>
    </row>
    <row r="2263" spans="3:4">
      <c r="C2263"/>
      <c r="D2263"/>
    </row>
    <row r="2264" spans="3:4">
      <c r="C2264"/>
      <c r="D2264"/>
    </row>
    <row r="2265" spans="3:4">
      <c r="C2265"/>
      <c r="D2265"/>
    </row>
    <row r="2266" spans="3:4">
      <c r="C2266"/>
      <c r="D2266"/>
    </row>
    <row r="2267" spans="3:4">
      <c r="C2267"/>
      <c r="D2267"/>
    </row>
    <row r="2268" spans="3:4">
      <c r="C2268"/>
      <c r="D2268"/>
    </row>
    <row r="2269" spans="3:4">
      <c r="C2269"/>
      <c r="D2269"/>
    </row>
    <row r="2270" spans="3:4">
      <c r="C2270"/>
      <c r="D2270"/>
    </row>
    <row r="2271" spans="3:4">
      <c r="C2271"/>
      <c r="D2271"/>
    </row>
    <row r="2272" spans="3:4">
      <c r="C2272"/>
      <c r="D2272"/>
    </row>
    <row r="2273" spans="3:4">
      <c r="C2273"/>
      <c r="D2273"/>
    </row>
    <row r="2274" spans="3:4">
      <c r="C2274"/>
      <c r="D2274"/>
    </row>
    <row r="2275" spans="3:4">
      <c r="C2275"/>
      <c r="D2275"/>
    </row>
    <row r="2276" spans="3:4">
      <c r="C2276"/>
      <c r="D2276"/>
    </row>
    <row r="2277" spans="3:4">
      <c r="C2277"/>
      <c r="D2277"/>
    </row>
    <row r="2278" spans="3:4">
      <c r="C2278"/>
      <c r="D2278"/>
    </row>
    <row r="2279" spans="3:4">
      <c r="C2279"/>
      <c r="D2279"/>
    </row>
    <row r="2280" spans="3:4">
      <c r="C2280"/>
      <c r="D2280"/>
    </row>
    <row r="2281" spans="3:4">
      <c r="C2281"/>
      <c r="D2281"/>
    </row>
    <row r="2282" spans="3:4">
      <c r="C2282"/>
      <c r="D2282"/>
    </row>
    <row r="2283" spans="3:4">
      <c r="C2283"/>
      <c r="D2283"/>
    </row>
    <row r="2284" spans="3:4">
      <c r="C2284"/>
      <c r="D2284"/>
    </row>
    <row r="2285" spans="3:4">
      <c r="C2285"/>
      <c r="D2285"/>
    </row>
    <row r="2286" spans="3:4">
      <c r="C2286"/>
      <c r="D2286"/>
    </row>
    <row r="2287" spans="3:4">
      <c r="C2287"/>
      <c r="D2287"/>
    </row>
    <row r="2288" spans="3:4">
      <c r="C2288"/>
      <c r="D2288"/>
    </row>
    <row r="2289" spans="3:4">
      <c r="C2289"/>
      <c r="D2289"/>
    </row>
    <row r="2290" spans="3:4">
      <c r="C2290"/>
      <c r="D2290"/>
    </row>
    <row r="2291" spans="3:4">
      <c r="C2291"/>
      <c r="D2291"/>
    </row>
    <row r="2292" spans="3:4">
      <c r="C2292"/>
      <c r="D2292"/>
    </row>
    <row r="2293" spans="3:4">
      <c r="C2293"/>
      <c r="D2293"/>
    </row>
    <row r="2294" spans="3:4">
      <c r="C2294"/>
      <c r="D2294"/>
    </row>
    <row r="2295" spans="3:4">
      <c r="C2295"/>
      <c r="D2295"/>
    </row>
    <row r="2296" spans="3:4">
      <c r="C2296"/>
      <c r="D2296"/>
    </row>
    <row r="2297" spans="3:4">
      <c r="C2297"/>
      <c r="D2297"/>
    </row>
    <row r="2298" spans="3:4">
      <c r="C2298"/>
      <c r="D2298"/>
    </row>
    <row r="2299" spans="3:4">
      <c r="C2299"/>
      <c r="D2299"/>
    </row>
    <row r="2300" spans="3:4">
      <c r="C2300"/>
      <c r="D2300"/>
    </row>
    <row r="2301" spans="3:4">
      <c r="C2301"/>
      <c r="D2301"/>
    </row>
    <row r="2302" spans="3:4">
      <c r="C2302"/>
      <c r="D2302"/>
    </row>
    <row r="2303" spans="3:4">
      <c r="C2303"/>
      <c r="D2303"/>
    </row>
    <row r="2304" spans="3:4">
      <c r="C2304"/>
      <c r="D2304"/>
    </row>
    <row r="2305" spans="3:4">
      <c r="C2305"/>
      <c r="D2305"/>
    </row>
    <row r="2306" spans="3:4">
      <c r="C2306"/>
      <c r="D2306"/>
    </row>
    <row r="2307" spans="3:4">
      <c r="C2307"/>
      <c r="D2307"/>
    </row>
    <row r="2308" spans="3:4">
      <c r="C2308"/>
      <c r="D2308"/>
    </row>
    <row r="2309" spans="3:4">
      <c r="C2309"/>
      <c r="D2309"/>
    </row>
    <row r="2310" spans="3:4">
      <c r="C2310"/>
      <c r="D2310"/>
    </row>
    <row r="2311" spans="3:4">
      <c r="C2311"/>
      <c r="D2311"/>
    </row>
    <row r="2312" spans="3:4">
      <c r="C2312"/>
      <c r="D2312"/>
    </row>
    <row r="2313" spans="3:4">
      <c r="C2313"/>
      <c r="D2313"/>
    </row>
    <row r="2314" spans="3:4">
      <c r="C2314"/>
      <c r="D2314"/>
    </row>
    <row r="2315" spans="3:4">
      <c r="C2315"/>
      <c r="D2315"/>
    </row>
    <row r="2316" spans="3:4">
      <c r="C2316"/>
      <c r="D2316"/>
    </row>
    <row r="2317" spans="3:4">
      <c r="C2317"/>
      <c r="D2317"/>
    </row>
    <row r="2318" spans="3:4">
      <c r="C2318"/>
      <c r="D2318"/>
    </row>
    <row r="2319" spans="3:4">
      <c r="C2319"/>
      <c r="D2319"/>
    </row>
    <row r="2320" spans="3:4">
      <c r="C2320"/>
      <c r="D2320"/>
    </row>
    <row r="2321" spans="3:4">
      <c r="C2321"/>
      <c r="D2321"/>
    </row>
    <row r="2322" spans="3:4">
      <c r="C2322"/>
      <c r="D2322"/>
    </row>
    <row r="2323" spans="3:4">
      <c r="C2323"/>
      <c r="D2323"/>
    </row>
    <row r="2324" spans="3:4">
      <c r="C2324"/>
      <c r="D2324"/>
    </row>
    <row r="2325" spans="3:4">
      <c r="C2325"/>
      <c r="D2325"/>
    </row>
    <row r="2326" spans="3:4">
      <c r="C2326"/>
      <c r="D2326"/>
    </row>
    <row r="2327" spans="3:4">
      <c r="C2327"/>
      <c r="D2327"/>
    </row>
    <row r="2328" spans="3:4">
      <c r="C2328"/>
      <c r="D2328"/>
    </row>
    <row r="2329" spans="3:4">
      <c r="C2329"/>
      <c r="D2329"/>
    </row>
    <row r="2330" spans="3:4">
      <c r="C2330"/>
      <c r="D2330"/>
    </row>
    <row r="2331" spans="3:4">
      <c r="C2331"/>
      <c r="D2331"/>
    </row>
    <row r="2332" spans="3:4">
      <c r="C2332"/>
      <c r="D2332"/>
    </row>
    <row r="2333" spans="3:4">
      <c r="C2333"/>
      <c r="D2333"/>
    </row>
    <row r="2334" spans="3:4">
      <c r="C2334"/>
      <c r="D2334"/>
    </row>
    <row r="2335" spans="3:4">
      <c r="C2335"/>
      <c r="D2335"/>
    </row>
    <row r="2336" spans="3:4">
      <c r="C2336"/>
      <c r="D2336"/>
    </row>
    <row r="2337" spans="3:4">
      <c r="C2337"/>
      <c r="D2337"/>
    </row>
    <row r="2338" spans="3:4">
      <c r="C2338"/>
      <c r="D2338"/>
    </row>
    <row r="2339" spans="3:4">
      <c r="C2339"/>
      <c r="D2339"/>
    </row>
    <row r="2340" spans="3:4">
      <c r="C2340"/>
      <c r="D2340"/>
    </row>
    <row r="2341" spans="3:4">
      <c r="C2341"/>
      <c r="D2341"/>
    </row>
    <row r="2342" spans="3:4">
      <c r="C2342"/>
      <c r="D2342"/>
    </row>
    <row r="2343" spans="3:4">
      <c r="C2343"/>
      <c r="D2343"/>
    </row>
    <row r="2344" spans="3:4">
      <c r="C2344"/>
      <c r="D2344"/>
    </row>
    <row r="2345" spans="3:4">
      <c r="C2345"/>
      <c r="D2345"/>
    </row>
    <row r="2346" spans="3:4">
      <c r="C2346"/>
      <c r="D2346"/>
    </row>
    <row r="2347" spans="3:4">
      <c r="C2347"/>
      <c r="D2347"/>
    </row>
    <row r="2348" spans="3:4">
      <c r="C2348"/>
      <c r="D2348"/>
    </row>
    <row r="2349" spans="3:4">
      <c r="C2349"/>
      <c r="D2349"/>
    </row>
    <row r="2350" spans="3:4">
      <c r="C2350"/>
      <c r="D2350"/>
    </row>
    <row r="2351" spans="3:4">
      <c r="C2351"/>
      <c r="D2351"/>
    </row>
    <row r="2352" spans="3:4">
      <c r="C2352"/>
      <c r="D2352"/>
    </row>
    <row r="2353" spans="3:4">
      <c r="C2353"/>
      <c r="D2353"/>
    </row>
    <row r="2354" spans="3:4">
      <c r="C2354"/>
      <c r="D2354"/>
    </row>
    <row r="2355" spans="3:4">
      <c r="C2355"/>
      <c r="D2355"/>
    </row>
    <row r="2356" spans="3:4">
      <c r="C2356"/>
      <c r="D2356"/>
    </row>
    <row r="2357" spans="3:4">
      <c r="C2357"/>
      <c r="D2357"/>
    </row>
    <row r="2358" spans="3:4">
      <c r="C2358"/>
      <c r="D2358"/>
    </row>
    <row r="2359" spans="3:4">
      <c r="C2359"/>
      <c r="D2359"/>
    </row>
    <row r="2360" spans="3:4">
      <c r="C2360"/>
      <c r="D2360"/>
    </row>
    <row r="2361" spans="3:4">
      <c r="C2361"/>
      <c r="D2361"/>
    </row>
    <row r="2362" spans="3:4">
      <c r="C2362"/>
      <c r="D2362"/>
    </row>
    <row r="2363" spans="3:4">
      <c r="C2363"/>
      <c r="D2363"/>
    </row>
    <row r="2364" spans="3:4">
      <c r="C2364"/>
      <c r="D2364"/>
    </row>
    <row r="2365" spans="3:4">
      <c r="C2365"/>
      <c r="D2365"/>
    </row>
    <row r="2366" spans="3:4">
      <c r="C2366"/>
      <c r="D2366"/>
    </row>
    <row r="2367" spans="3:4">
      <c r="C2367"/>
      <c r="D2367"/>
    </row>
    <row r="2368" spans="3:4">
      <c r="C2368"/>
      <c r="D2368"/>
    </row>
    <row r="2369" spans="3:4">
      <c r="C2369"/>
      <c r="D2369"/>
    </row>
    <row r="2370" spans="3:4">
      <c r="C2370"/>
      <c r="D2370"/>
    </row>
    <row r="2371" spans="3:4">
      <c r="C2371"/>
      <c r="D2371"/>
    </row>
    <row r="2372" spans="3:4">
      <c r="C2372"/>
      <c r="D2372"/>
    </row>
    <row r="2373" spans="3:4">
      <c r="C2373"/>
      <c r="D2373"/>
    </row>
    <row r="2374" spans="3:4">
      <c r="C2374"/>
      <c r="D2374"/>
    </row>
    <row r="2375" spans="3:4">
      <c r="C2375"/>
      <c r="D2375"/>
    </row>
    <row r="2376" spans="3:4">
      <c r="C2376"/>
      <c r="D2376"/>
    </row>
    <row r="2377" spans="3:4">
      <c r="C2377"/>
      <c r="D2377"/>
    </row>
    <row r="2378" spans="3:4">
      <c r="C2378"/>
      <c r="D2378"/>
    </row>
    <row r="2379" spans="3:4">
      <c r="C2379"/>
      <c r="D2379"/>
    </row>
    <row r="2380" spans="3:4">
      <c r="C2380"/>
      <c r="D2380"/>
    </row>
    <row r="2381" spans="3:4">
      <c r="C2381"/>
      <c r="D2381"/>
    </row>
    <row r="2382" spans="3:4">
      <c r="C2382"/>
      <c r="D2382"/>
    </row>
    <row r="2383" spans="3:4">
      <c r="C2383"/>
      <c r="D2383"/>
    </row>
    <row r="2384" spans="3:4">
      <c r="C2384"/>
      <c r="D2384"/>
    </row>
    <row r="2385" spans="3:4">
      <c r="C2385"/>
      <c r="D2385"/>
    </row>
    <row r="2386" spans="3:4">
      <c r="C2386"/>
      <c r="D2386"/>
    </row>
    <row r="2387" spans="3:4">
      <c r="C2387"/>
      <c r="D2387"/>
    </row>
    <row r="2388" spans="3:4">
      <c r="C2388"/>
      <c r="D2388"/>
    </row>
    <row r="2389" spans="3:4">
      <c r="C2389"/>
      <c r="D2389"/>
    </row>
    <row r="2390" spans="3:4">
      <c r="C2390"/>
      <c r="D2390"/>
    </row>
    <row r="2391" spans="3:4">
      <c r="C2391"/>
      <c r="D2391"/>
    </row>
    <row r="2392" spans="3:4">
      <c r="C2392"/>
      <c r="D2392"/>
    </row>
    <row r="2393" spans="3:4">
      <c r="C2393"/>
      <c r="D2393"/>
    </row>
    <row r="2394" spans="3:4">
      <c r="C2394"/>
      <c r="D2394"/>
    </row>
    <row r="2395" spans="3:4">
      <c r="C2395"/>
      <c r="D2395"/>
    </row>
    <row r="2396" spans="3:4">
      <c r="C2396"/>
      <c r="D2396"/>
    </row>
    <row r="2397" spans="3:4">
      <c r="C2397"/>
      <c r="D2397"/>
    </row>
    <row r="2398" spans="3:4">
      <c r="C2398"/>
      <c r="D2398"/>
    </row>
    <row r="2399" spans="3:4">
      <c r="C2399"/>
      <c r="D2399"/>
    </row>
    <row r="2400" spans="3:4">
      <c r="C2400"/>
      <c r="D2400"/>
    </row>
    <row r="2401" spans="3:4">
      <c r="C2401"/>
      <c r="D2401"/>
    </row>
    <row r="2402" spans="3:4">
      <c r="C2402"/>
      <c r="D2402"/>
    </row>
    <row r="2403" spans="3:4">
      <c r="C2403"/>
      <c r="D2403"/>
    </row>
    <row r="2404" spans="3:4">
      <c r="C2404"/>
      <c r="D2404"/>
    </row>
    <row r="2405" spans="3:4">
      <c r="C2405"/>
      <c r="D2405"/>
    </row>
    <row r="2406" spans="3:4">
      <c r="C2406"/>
      <c r="D2406"/>
    </row>
    <row r="2407" spans="3:4">
      <c r="C2407"/>
      <c r="D2407"/>
    </row>
    <row r="2408" spans="3:4">
      <c r="C2408"/>
      <c r="D2408"/>
    </row>
    <row r="2409" spans="3:4">
      <c r="C2409"/>
      <c r="D2409"/>
    </row>
    <row r="2410" spans="3:4">
      <c r="C2410"/>
      <c r="D2410"/>
    </row>
    <row r="2411" spans="3:4">
      <c r="C2411"/>
      <c r="D2411"/>
    </row>
    <row r="2412" spans="3:4">
      <c r="C2412"/>
      <c r="D2412"/>
    </row>
    <row r="2413" spans="3:4">
      <c r="C2413"/>
      <c r="D2413"/>
    </row>
    <row r="2414" spans="3:4">
      <c r="C2414"/>
      <c r="D2414"/>
    </row>
    <row r="2415" spans="3:4">
      <c r="C2415"/>
      <c r="D2415"/>
    </row>
    <row r="2416" spans="3:4">
      <c r="C2416"/>
      <c r="D2416"/>
    </row>
    <row r="2417" spans="3:4">
      <c r="C2417"/>
      <c r="D2417"/>
    </row>
    <row r="2418" spans="3:4">
      <c r="C2418"/>
      <c r="D2418"/>
    </row>
    <row r="2419" spans="3:4">
      <c r="C2419"/>
      <c r="D2419"/>
    </row>
    <row r="2420" spans="3:4">
      <c r="C2420"/>
      <c r="D2420"/>
    </row>
    <row r="2421" spans="3:4">
      <c r="C2421"/>
      <c r="D2421"/>
    </row>
    <row r="2422" spans="3:4">
      <c r="C2422"/>
      <c r="D2422"/>
    </row>
    <row r="2423" spans="3:4">
      <c r="C2423"/>
      <c r="D2423"/>
    </row>
    <row r="2424" spans="3:4">
      <c r="C2424"/>
      <c r="D2424"/>
    </row>
    <row r="2425" spans="3:4">
      <c r="C2425"/>
      <c r="D2425"/>
    </row>
    <row r="2426" spans="3:4">
      <c r="C2426"/>
      <c r="D2426"/>
    </row>
    <row r="2427" spans="3:4">
      <c r="C2427"/>
      <c r="D2427"/>
    </row>
    <row r="2428" spans="3:4">
      <c r="C2428"/>
      <c r="D2428"/>
    </row>
    <row r="2429" spans="3:4">
      <c r="C2429"/>
      <c r="D2429"/>
    </row>
    <row r="2430" spans="3:4">
      <c r="C2430"/>
      <c r="D2430"/>
    </row>
    <row r="2431" spans="3:4">
      <c r="C2431"/>
      <c r="D2431"/>
    </row>
    <row r="2432" spans="3:4">
      <c r="C2432"/>
      <c r="D2432"/>
    </row>
    <row r="2433" spans="3:4">
      <c r="C2433"/>
      <c r="D2433"/>
    </row>
    <row r="2434" spans="3:4">
      <c r="C2434"/>
      <c r="D2434"/>
    </row>
    <row r="2435" spans="3:4">
      <c r="C2435"/>
      <c r="D2435"/>
    </row>
    <row r="2436" spans="3:4">
      <c r="C2436"/>
      <c r="D2436"/>
    </row>
    <row r="2437" spans="3:4">
      <c r="C2437"/>
      <c r="D2437"/>
    </row>
    <row r="2438" spans="3:4">
      <c r="C2438"/>
      <c r="D2438"/>
    </row>
    <row r="2439" spans="3:4">
      <c r="C2439"/>
      <c r="D2439"/>
    </row>
    <row r="2440" spans="3:4">
      <c r="C2440"/>
      <c r="D2440"/>
    </row>
    <row r="2441" spans="3:4">
      <c r="C2441"/>
      <c r="D2441"/>
    </row>
    <row r="2442" spans="3:4">
      <c r="C2442"/>
      <c r="D2442"/>
    </row>
    <row r="2443" spans="3:4">
      <c r="C2443"/>
      <c r="D2443"/>
    </row>
    <row r="2444" spans="3:4">
      <c r="C2444"/>
      <c r="D2444"/>
    </row>
    <row r="2445" spans="3:4">
      <c r="C2445"/>
      <c r="D2445"/>
    </row>
    <row r="2446" spans="3:4">
      <c r="C2446"/>
      <c r="D2446"/>
    </row>
    <row r="2447" spans="3:4">
      <c r="C2447"/>
      <c r="D2447"/>
    </row>
    <row r="2448" spans="3:4">
      <c r="C2448"/>
      <c r="D2448"/>
    </row>
    <row r="2449" spans="3:4">
      <c r="C2449"/>
      <c r="D2449"/>
    </row>
    <row r="2450" spans="3:4">
      <c r="C2450"/>
      <c r="D2450"/>
    </row>
    <row r="2451" spans="3:4">
      <c r="C2451"/>
      <c r="D2451"/>
    </row>
    <row r="2452" spans="3:4">
      <c r="C2452"/>
      <c r="D2452"/>
    </row>
    <row r="2453" spans="3:4">
      <c r="C2453"/>
      <c r="D2453"/>
    </row>
    <row r="2454" spans="3:4">
      <c r="C2454"/>
      <c r="D2454"/>
    </row>
    <row r="2455" spans="3:4">
      <c r="C2455"/>
      <c r="D2455"/>
    </row>
    <row r="2456" spans="3:4">
      <c r="C2456"/>
      <c r="D2456"/>
    </row>
    <row r="2457" spans="3:4">
      <c r="C2457"/>
      <c r="D2457"/>
    </row>
    <row r="2458" spans="3:4">
      <c r="C2458"/>
      <c r="D2458"/>
    </row>
    <row r="2459" spans="3:4">
      <c r="C2459"/>
      <c r="D2459"/>
    </row>
    <row r="2460" spans="3:4">
      <c r="C2460"/>
      <c r="D2460"/>
    </row>
    <row r="2461" spans="3:4">
      <c r="C2461"/>
      <c r="D2461"/>
    </row>
    <row r="2462" spans="3:4">
      <c r="C2462"/>
      <c r="D2462"/>
    </row>
    <row r="2463" spans="3:4">
      <c r="C2463"/>
      <c r="D2463"/>
    </row>
    <row r="2464" spans="3:4">
      <c r="C2464"/>
      <c r="D2464"/>
    </row>
    <row r="2465" spans="3:4">
      <c r="C2465"/>
      <c r="D2465"/>
    </row>
    <row r="2466" spans="3:4">
      <c r="C2466"/>
      <c r="D2466"/>
    </row>
    <row r="2467" spans="3:4">
      <c r="C2467"/>
      <c r="D2467"/>
    </row>
    <row r="2468" spans="3:4">
      <c r="C2468"/>
      <c r="D2468"/>
    </row>
    <row r="2469" spans="3:4">
      <c r="C2469"/>
      <c r="D2469"/>
    </row>
    <row r="2470" spans="3:4">
      <c r="C2470"/>
      <c r="D2470"/>
    </row>
    <row r="2471" spans="3:4">
      <c r="C2471"/>
      <c r="D2471"/>
    </row>
    <row r="2472" spans="3:4">
      <c r="C2472"/>
      <c r="D2472"/>
    </row>
    <row r="2473" spans="3:4">
      <c r="C2473"/>
      <c r="D2473"/>
    </row>
    <row r="2474" spans="3:4">
      <c r="C2474"/>
      <c r="D2474"/>
    </row>
    <row r="2475" spans="3:4">
      <c r="C2475"/>
      <c r="D2475"/>
    </row>
    <row r="2476" spans="3:4">
      <c r="C2476"/>
      <c r="D2476"/>
    </row>
    <row r="2477" spans="3:4">
      <c r="C2477"/>
      <c r="D2477"/>
    </row>
    <row r="2478" spans="3:4">
      <c r="C2478"/>
      <c r="D2478"/>
    </row>
    <row r="2479" spans="3:4">
      <c r="C2479"/>
      <c r="D2479"/>
    </row>
    <row r="2480" spans="3:4">
      <c r="C2480"/>
      <c r="D2480"/>
    </row>
    <row r="2481" spans="3:4">
      <c r="C2481"/>
      <c r="D2481"/>
    </row>
    <row r="2482" spans="3:4">
      <c r="C2482"/>
      <c r="D2482"/>
    </row>
    <row r="2483" spans="3:4">
      <c r="C2483"/>
      <c r="D2483"/>
    </row>
    <row r="2484" spans="3:4">
      <c r="C2484"/>
      <c r="D2484"/>
    </row>
    <row r="2485" spans="3:4">
      <c r="C2485"/>
      <c r="D2485"/>
    </row>
    <row r="2486" spans="3:4">
      <c r="C2486"/>
      <c r="D2486"/>
    </row>
    <row r="2487" spans="3:4">
      <c r="C2487"/>
      <c r="D2487"/>
    </row>
    <row r="2488" spans="3:4">
      <c r="C2488"/>
      <c r="D2488"/>
    </row>
    <row r="2489" spans="3:4">
      <c r="C2489"/>
      <c r="D2489"/>
    </row>
    <row r="2490" spans="3:4">
      <c r="C2490"/>
      <c r="D2490"/>
    </row>
    <row r="2491" spans="3:4">
      <c r="C2491"/>
      <c r="D2491"/>
    </row>
    <row r="2492" spans="3:4">
      <c r="C2492"/>
      <c r="D2492"/>
    </row>
    <row r="2493" spans="3:4">
      <c r="C2493"/>
      <c r="D2493"/>
    </row>
    <row r="2494" spans="3:4">
      <c r="C2494"/>
      <c r="D2494"/>
    </row>
    <row r="2495" spans="3:4">
      <c r="C2495"/>
      <c r="D2495"/>
    </row>
    <row r="2496" spans="3:4">
      <c r="C2496"/>
      <c r="D2496"/>
    </row>
    <row r="2497" spans="3:4">
      <c r="C2497"/>
      <c r="D2497"/>
    </row>
    <row r="2498" spans="3:4">
      <c r="C2498"/>
      <c r="D2498"/>
    </row>
    <row r="2499" spans="3:4">
      <c r="C2499"/>
      <c r="D2499"/>
    </row>
    <row r="2500" spans="3:4">
      <c r="C2500"/>
      <c r="D2500"/>
    </row>
    <row r="2501" spans="3:4">
      <c r="C2501"/>
      <c r="D2501"/>
    </row>
    <row r="2502" spans="3:4">
      <c r="C2502"/>
      <c r="D2502"/>
    </row>
    <row r="2503" spans="3:4">
      <c r="C2503"/>
      <c r="D2503"/>
    </row>
    <row r="2504" spans="3:4">
      <c r="C2504"/>
      <c r="D2504"/>
    </row>
    <row r="2505" spans="3:4">
      <c r="C2505"/>
      <c r="D2505"/>
    </row>
    <row r="2506" spans="3:4">
      <c r="C2506"/>
      <c r="D2506"/>
    </row>
    <row r="2507" spans="3:4">
      <c r="C2507"/>
      <c r="D2507"/>
    </row>
    <row r="2508" spans="3:4">
      <c r="C2508"/>
      <c r="D2508"/>
    </row>
    <row r="2509" spans="3:4">
      <c r="C2509"/>
      <c r="D2509"/>
    </row>
    <row r="2510" spans="3:4">
      <c r="C2510"/>
      <c r="D2510"/>
    </row>
    <row r="2511" spans="3:4">
      <c r="C2511"/>
      <c r="D2511"/>
    </row>
    <row r="2512" spans="3:4">
      <c r="C2512"/>
      <c r="D2512"/>
    </row>
    <row r="2513" spans="3:4">
      <c r="C2513"/>
      <c r="D2513"/>
    </row>
    <row r="2514" spans="3:4">
      <c r="C2514"/>
      <c r="D2514"/>
    </row>
    <row r="2515" spans="3:4">
      <c r="C2515"/>
      <c r="D2515"/>
    </row>
    <row r="2516" spans="3:4">
      <c r="C2516"/>
      <c r="D2516"/>
    </row>
    <row r="2517" spans="3:4">
      <c r="C2517"/>
      <c r="D2517"/>
    </row>
    <row r="2518" spans="3:4">
      <c r="C2518"/>
      <c r="D2518"/>
    </row>
    <row r="2519" spans="3:4">
      <c r="C2519"/>
      <c r="D2519"/>
    </row>
    <row r="2520" spans="3:4">
      <c r="C2520"/>
      <c r="D2520"/>
    </row>
    <row r="2521" spans="3:4">
      <c r="C2521"/>
      <c r="D2521"/>
    </row>
    <row r="2522" spans="3:4">
      <c r="C2522"/>
      <c r="D2522"/>
    </row>
    <row r="2523" spans="3:4">
      <c r="C2523"/>
      <c r="D2523"/>
    </row>
    <row r="2524" spans="3:4">
      <c r="C2524"/>
      <c r="D2524"/>
    </row>
    <row r="2525" spans="3:4">
      <c r="C2525"/>
      <c r="D2525"/>
    </row>
    <row r="2526" spans="3:4">
      <c r="C2526"/>
      <c r="D2526"/>
    </row>
    <row r="2527" spans="3:4">
      <c r="C2527"/>
      <c r="D2527"/>
    </row>
    <row r="2528" spans="3:4">
      <c r="C2528"/>
      <c r="D2528"/>
    </row>
    <row r="2529" spans="3:4">
      <c r="C2529"/>
      <c r="D2529"/>
    </row>
    <row r="2530" spans="3:4">
      <c r="C2530"/>
      <c r="D2530"/>
    </row>
    <row r="2531" spans="3:4">
      <c r="C2531"/>
      <c r="D2531"/>
    </row>
    <row r="2532" spans="3:4">
      <c r="C2532"/>
      <c r="D2532"/>
    </row>
    <row r="2533" spans="3:4">
      <c r="C2533"/>
      <c r="D2533"/>
    </row>
    <row r="2534" spans="3:4">
      <c r="C2534"/>
      <c r="D2534"/>
    </row>
    <row r="2535" spans="3:4">
      <c r="C2535"/>
      <c r="D2535"/>
    </row>
    <row r="2536" spans="3:4">
      <c r="C2536"/>
      <c r="D2536"/>
    </row>
    <row r="2537" spans="3:4">
      <c r="C2537"/>
      <c r="D2537"/>
    </row>
    <row r="2538" spans="3:4">
      <c r="C2538"/>
      <c r="D2538"/>
    </row>
    <row r="2539" spans="3:4">
      <c r="C2539"/>
      <c r="D2539"/>
    </row>
    <row r="2540" spans="3:4">
      <c r="C2540"/>
      <c r="D2540"/>
    </row>
    <row r="2541" spans="3:4">
      <c r="C2541"/>
      <c r="D2541"/>
    </row>
    <row r="2542" spans="3:4">
      <c r="C2542"/>
      <c r="D2542"/>
    </row>
    <row r="2543" spans="3:4">
      <c r="C2543"/>
      <c r="D2543"/>
    </row>
    <row r="2544" spans="3:4">
      <c r="C2544"/>
      <c r="D2544"/>
    </row>
    <row r="2545" spans="3:4">
      <c r="C2545"/>
      <c r="D2545"/>
    </row>
    <row r="2546" spans="3:4">
      <c r="C2546"/>
      <c r="D2546"/>
    </row>
    <row r="2547" spans="3:4">
      <c r="C2547"/>
      <c r="D2547"/>
    </row>
    <row r="2548" spans="3:4">
      <c r="C2548"/>
      <c r="D2548"/>
    </row>
    <row r="2549" spans="3:4">
      <c r="C2549"/>
      <c r="D2549"/>
    </row>
    <row r="2550" spans="3:4">
      <c r="C2550"/>
      <c r="D2550"/>
    </row>
    <row r="2551" spans="3:4">
      <c r="C2551"/>
      <c r="D2551"/>
    </row>
    <row r="2552" spans="3:4">
      <c r="C2552"/>
      <c r="D2552"/>
    </row>
    <row r="2553" spans="3:4">
      <c r="C2553"/>
      <c r="D2553"/>
    </row>
    <row r="2554" spans="3:4">
      <c r="C2554"/>
      <c r="D2554"/>
    </row>
    <row r="2555" spans="3:4">
      <c r="C2555"/>
      <c r="D2555"/>
    </row>
    <row r="2556" spans="3:4">
      <c r="C2556"/>
      <c r="D2556"/>
    </row>
    <row r="2557" spans="3:4">
      <c r="C2557"/>
      <c r="D2557"/>
    </row>
    <row r="2558" spans="3:4">
      <c r="C2558"/>
      <c r="D2558"/>
    </row>
    <row r="2559" spans="3:4">
      <c r="C2559"/>
      <c r="D2559"/>
    </row>
    <row r="2560" spans="3:4">
      <c r="C2560"/>
      <c r="D2560"/>
    </row>
    <row r="2561" spans="3:4">
      <c r="C2561"/>
      <c r="D2561"/>
    </row>
    <row r="2562" spans="3:4">
      <c r="C2562"/>
      <c r="D2562"/>
    </row>
    <row r="2563" spans="3:4">
      <c r="C2563"/>
      <c r="D2563"/>
    </row>
    <row r="2564" spans="3:4">
      <c r="C2564"/>
      <c r="D2564"/>
    </row>
    <row r="2565" spans="3:4">
      <c r="C2565"/>
      <c r="D2565"/>
    </row>
    <row r="2566" spans="3:4">
      <c r="C2566"/>
      <c r="D2566"/>
    </row>
    <row r="2567" spans="3:4">
      <c r="C2567"/>
      <c r="D2567"/>
    </row>
    <row r="2568" spans="3:4">
      <c r="C2568"/>
      <c r="D2568"/>
    </row>
    <row r="2569" spans="3:4">
      <c r="C2569"/>
      <c r="D2569"/>
    </row>
    <row r="2570" spans="3:4">
      <c r="C2570"/>
      <c r="D2570"/>
    </row>
    <row r="2571" spans="3:4">
      <c r="C2571"/>
      <c r="D2571"/>
    </row>
    <row r="2572" spans="3:4">
      <c r="C2572"/>
      <c r="D2572"/>
    </row>
    <row r="2573" spans="3:4">
      <c r="C2573"/>
      <c r="D2573"/>
    </row>
    <row r="2574" spans="3:4">
      <c r="C2574"/>
      <c r="D2574"/>
    </row>
    <row r="2575" spans="3:4">
      <c r="C2575"/>
      <c r="D2575"/>
    </row>
    <row r="2576" spans="3:4">
      <c r="C2576"/>
      <c r="D2576"/>
    </row>
    <row r="2577" spans="3:4">
      <c r="C2577"/>
      <c r="D2577"/>
    </row>
    <row r="2578" spans="3:4">
      <c r="C2578"/>
      <c r="D2578"/>
    </row>
    <row r="2579" spans="3:4">
      <c r="C2579"/>
      <c r="D2579"/>
    </row>
    <row r="2580" spans="3:4">
      <c r="C2580"/>
      <c r="D2580"/>
    </row>
    <row r="2581" spans="3:4">
      <c r="C2581"/>
      <c r="D2581"/>
    </row>
    <row r="2582" spans="3:4">
      <c r="C2582"/>
      <c r="D2582"/>
    </row>
    <row r="2583" spans="3:4">
      <c r="C2583"/>
      <c r="D2583"/>
    </row>
    <row r="2584" spans="3:4">
      <c r="C2584"/>
      <c r="D2584"/>
    </row>
    <row r="2585" spans="3:4">
      <c r="C2585"/>
      <c r="D2585"/>
    </row>
    <row r="2586" spans="3:4">
      <c r="C2586"/>
      <c r="D2586"/>
    </row>
    <row r="2587" spans="3:4">
      <c r="C2587"/>
      <c r="D2587"/>
    </row>
    <row r="2588" spans="3:4">
      <c r="C2588"/>
      <c r="D2588"/>
    </row>
    <row r="2589" spans="3:4">
      <c r="C2589"/>
      <c r="D2589"/>
    </row>
    <row r="2590" spans="3:4">
      <c r="C2590"/>
      <c r="D2590"/>
    </row>
    <row r="2591" spans="3:4">
      <c r="C2591"/>
      <c r="D2591"/>
    </row>
    <row r="2592" spans="3:4">
      <c r="C2592"/>
      <c r="D2592"/>
    </row>
    <row r="2593" spans="3:4">
      <c r="C2593"/>
      <c r="D2593"/>
    </row>
    <row r="2594" spans="3:4">
      <c r="C2594"/>
      <c r="D2594"/>
    </row>
    <row r="2595" spans="3:4">
      <c r="C2595"/>
      <c r="D2595"/>
    </row>
    <row r="2596" spans="3:4">
      <c r="C2596"/>
      <c r="D2596"/>
    </row>
    <row r="2597" spans="3:4">
      <c r="C2597"/>
      <c r="D2597"/>
    </row>
    <row r="2598" spans="3:4">
      <c r="C2598"/>
      <c r="D2598"/>
    </row>
    <row r="2599" spans="3:4">
      <c r="C2599"/>
      <c r="D2599"/>
    </row>
    <row r="2600" spans="3:4">
      <c r="C2600"/>
      <c r="D2600"/>
    </row>
    <row r="2601" spans="3:4">
      <c r="C2601"/>
      <c r="D2601"/>
    </row>
    <row r="2602" spans="3:4">
      <c r="C2602"/>
      <c r="D2602"/>
    </row>
    <row r="2603" spans="3:4">
      <c r="C2603"/>
      <c r="D2603"/>
    </row>
    <row r="2604" spans="3:4">
      <c r="C2604"/>
      <c r="D2604"/>
    </row>
    <row r="2605" spans="3:4">
      <c r="C2605"/>
      <c r="D2605"/>
    </row>
    <row r="2606" spans="3:4">
      <c r="C2606"/>
      <c r="D2606"/>
    </row>
    <row r="2607" spans="3:4">
      <c r="C2607"/>
      <c r="D2607"/>
    </row>
    <row r="2608" spans="3:4">
      <c r="C2608"/>
      <c r="D2608"/>
    </row>
    <row r="2609" spans="3:4">
      <c r="C2609"/>
      <c r="D2609"/>
    </row>
    <row r="2610" spans="3:4">
      <c r="C2610"/>
      <c r="D2610"/>
    </row>
    <row r="2611" spans="3:4">
      <c r="C2611"/>
      <c r="D2611"/>
    </row>
    <row r="2612" spans="3:4">
      <c r="C2612"/>
      <c r="D2612"/>
    </row>
    <row r="2613" spans="3:4">
      <c r="C2613"/>
      <c r="D2613"/>
    </row>
    <row r="2614" spans="3:4">
      <c r="C2614"/>
      <c r="D2614"/>
    </row>
    <row r="2615" spans="3:4">
      <c r="C2615"/>
      <c r="D2615"/>
    </row>
    <row r="2616" spans="3:4">
      <c r="C2616"/>
      <c r="D2616"/>
    </row>
    <row r="2617" spans="3:4">
      <c r="C2617"/>
      <c r="D2617"/>
    </row>
    <row r="2618" spans="3:4">
      <c r="C2618"/>
      <c r="D2618"/>
    </row>
    <row r="2619" spans="3:4">
      <c r="C2619"/>
      <c r="D2619"/>
    </row>
    <row r="2620" spans="3:4">
      <c r="C2620"/>
      <c r="D2620"/>
    </row>
    <row r="2621" spans="3:4">
      <c r="C2621"/>
      <c r="D2621"/>
    </row>
    <row r="2622" spans="3:4">
      <c r="C2622"/>
      <c r="D2622"/>
    </row>
    <row r="2623" spans="3:4">
      <c r="C2623"/>
      <c r="D2623"/>
    </row>
    <row r="2624" spans="3:4">
      <c r="C2624"/>
      <c r="D2624"/>
    </row>
    <row r="2625" spans="3:4">
      <c r="C2625"/>
      <c r="D2625"/>
    </row>
    <row r="2626" spans="3:4">
      <c r="C2626"/>
      <c r="D2626"/>
    </row>
    <row r="2627" spans="3:4">
      <c r="C2627"/>
      <c r="D2627"/>
    </row>
    <row r="2628" spans="3:4">
      <c r="C2628"/>
      <c r="D2628"/>
    </row>
    <row r="2629" spans="3:4">
      <c r="C2629"/>
      <c r="D2629"/>
    </row>
    <row r="2630" spans="3:4">
      <c r="C2630"/>
      <c r="D2630"/>
    </row>
    <row r="2631" spans="3:4">
      <c r="C2631"/>
      <c r="D2631"/>
    </row>
    <row r="2632" spans="3:4">
      <c r="C2632"/>
      <c r="D2632"/>
    </row>
    <row r="2633" spans="3:4">
      <c r="C2633"/>
      <c r="D2633"/>
    </row>
    <row r="2634" spans="3:4">
      <c r="C2634"/>
      <c r="D2634"/>
    </row>
    <row r="2635" spans="3:4">
      <c r="C2635"/>
      <c r="D2635"/>
    </row>
    <row r="2636" spans="3:4">
      <c r="C2636"/>
      <c r="D2636"/>
    </row>
    <row r="2637" spans="3:4">
      <c r="C2637"/>
      <c r="D2637"/>
    </row>
    <row r="2638" spans="3:4">
      <c r="C2638"/>
      <c r="D2638"/>
    </row>
    <row r="2639" spans="3:4">
      <c r="C2639"/>
      <c r="D2639"/>
    </row>
    <row r="2640" spans="3:4">
      <c r="C2640"/>
      <c r="D2640"/>
    </row>
    <row r="2641" spans="3:4">
      <c r="C2641"/>
      <c r="D2641"/>
    </row>
    <row r="2642" spans="3:4">
      <c r="C2642"/>
      <c r="D2642"/>
    </row>
    <row r="2643" spans="3:4">
      <c r="C2643"/>
      <c r="D2643"/>
    </row>
    <row r="2644" spans="3:4">
      <c r="C2644"/>
      <c r="D2644"/>
    </row>
    <row r="2645" spans="3:4">
      <c r="C2645"/>
      <c r="D2645"/>
    </row>
    <row r="2646" spans="3:4">
      <c r="C2646"/>
      <c r="D2646"/>
    </row>
    <row r="2647" spans="3:4">
      <c r="C2647"/>
      <c r="D2647"/>
    </row>
    <row r="2648" spans="3:4">
      <c r="C2648"/>
      <c r="D2648"/>
    </row>
    <row r="2649" spans="3:4">
      <c r="C2649"/>
      <c r="D2649"/>
    </row>
    <row r="2650" spans="3:4">
      <c r="C2650"/>
      <c r="D2650"/>
    </row>
    <row r="2651" spans="3:4">
      <c r="C2651"/>
      <c r="D2651"/>
    </row>
    <row r="2652" spans="3:4">
      <c r="C2652"/>
      <c r="D2652"/>
    </row>
    <row r="2653" spans="3:4">
      <c r="C2653"/>
      <c r="D2653"/>
    </row>
    <row r="2654" spans="3:4">
      <c r="C2654"/>
      <c r="D2654"/>
    </row>
    <row r="2655" spans="3:4">
      <c r="C2655"/>
      <c r="D2655"/>
    </row>
    <row r="2656" spans="3:4">
      <c r="C2656"/>
      <c r="D2656"/>
    </row>
    <row r="2657" spans="3:4">
      <c r="C2657"/>
      <c r="D2657"/>
    </row>
    <row r="2658" spans="3:4">
      <c r="C2658"/>
      <c r="D2658"/>
    </row>
    <row r="2659" spans="3:4">
      <c r="C2659"/>
      <c r="D2659"/>
    </row>
    <row r="2660" spans="3:4">
      <c r="C2660"/>
      <c r="D2660"/>
    </row>
    <row r="2661" spans="3:4">
      <c r="C2661"/>
      <c r="D2661"/>
    </row>
    <row r="2662" spans="3:4">
      <c r="C2662"/>
      <c r="D2662"/>
    </row>
    <row r="2663" spans="3:4">
      <c r="C2663"/>
      <c r="D2663"/>
    </row>
    <row r="2664" spans="3:4">
      <c r="C2664"/>
      <c r="D2664"/>
    </row>
    <row r="2665" spans="3:4">
      <c r="C2665"/>
      <c r="D2665"/>
    </row>
    <row r="2666" spans="3:4">
      <c r="C2666"/>
      <c r="D2666"/>
    </row>
    <row r="2667" spans="3:4">
      <c r="C2667"/>
      <c r="D2667"/>
    </row>
    <row r="2668" spans="3:4">
      <c r="C2668"/>
      <c r="D2668"/>
    </row>
    <row r="2669" spans="3:4">
      <c r="C2669"/>
      <c r="D2669"/>
    </row>
    <row r="2670" spans="3:4">
      <c r="C2670"/>
      <c r="D2670"/>
    </row>
    <row r="2671" spans="3:4">
      <c r="C2671"/>
      <c r="D2671"/>
    </row>
    <row r="2672" spans="3:4">
      <c r="C2672"/>
      <c r="D2672"/>
    </row>
    <row r="2673" spans="3:4">
      <c r="C2673"/>
      <c r="D2673"/>
    </row>
    <row r="2674" spans="3:4">
      <c r="C2674"/>
      <c r="D2674"/>
    </row>
    <row r="2675" spans="3:4">
      <c r="C2675"/>
      <c r="D2675"/>
    </row>
    <row r="2676" spans="3:4">
      <c r="C2676"/>
      <c r="D2676"/>
    </row>
    <row r="2677" spans="3:4">
      <c r="C2677"/>
      <c r="D2677"/>
    </row>
    <row r="2678" spans="3:4">
      <c r="C2678"/>
      <c r="D2678"/>
    </row>
    <row r="2679" spans="3:4">
      <c r="C2679"/>
      <c r="D2679"/>
    </row>
    <row r="2680" spans="3:4">
      <c r="C2680"/>
      <c r="D2680"/>
    </row>
    <row r="2681" spans="3:4">
      <c r="C2681"/>
      <c r="D2681"/>
    </row>
    <row r="2682" spans="3:4">
      <c r="C2682"/>
      <c r="D2682"/>
    </row>
    <row r="2683" spans="3:4">
      <c r="C2683"/>
      <c r="D2683"/>
    </row>
    <row r="2684" spans="3:4">
      <c r="C2684"/>
      <c r="D2684"/>
    </row>
    <row r="2685" spans="3:4">
      <c r="C2685"/>
      <c r="D2685"/>
    </row>
    <row r="2686" spans="3:4">
      <c r="C2686"/>
      <c r="D2686"/>
    </row>
    <row r="2687" spans="3:4">
      <c r="C2687"/>
      <c r="D2687"/>
    </row>
    <row r="2688" spans="3:4">
      <c r="C2688"/>
      <c r="D2688"/>
    </row>
    <row r="2689" spans="3:4">
      <c r="C2689"/>
      <c r="D2689"/>
    </row>
    <row r="2690" spans="3:4">
      <c r="C2690"/>
      <c r="D2690"/>
    </row>
    <row r="2691" spans="3:4">
      <c r="C2691"/>
      <c r="D2691"/>
    </row>
    <row r="2692" spans="3:4">
      <c r="C2692"/>
      <c r="D2692"/>
    </row>
    <row r="2693" spans="3:4">
      <c r="C2693"/>
      <c r="D2693"/>
    </row>
    <row r="2694" spans="3:4">
      <c r="C2694"/>
      <c r="D2694"/>
    </row>
    <row r="2695" spans="3:4">
      <c r="C2695"/>
      <c r="D2695"/>
    </row>
    <row r="2696" spans="3:4">
      <c r="C2696"/>
      <c r="D2696"/>
    </row>
    <row r="2697" spans="3:4">
      <c r="C2697"/>
      <c r="D2697"/>
    </row>
    <row r="2698" spans="3:4">
      <c r="C2698"/>
      <c r="D2698"/>
    </row>
    <row r="2699" spans="3:4">
      <c r="C2699"/>
      <c r="D2699"/>
    </row>
    <row r="2700" spans="3:4">
      <c r="C2700"/>
      <c r="D2700"/>
    </row>
    <row r="2701" spans="3:4">
      <c r="C2701"/>
      <c r="D2701"/>
    </row>
    <row r="2702" spans="3:4">
      <c r="C2702"/>
      <c r="D2702"/>
    </row>
    <row r="2703" spans="3:4">
      <c r="C2703"/>
      <c r="D2703"/>
    </row>
    <row r="2704" spans="3:4">
      <c r="C2704"/>
      <c r="D2704"/>
    </row>
    <row r="2705" spans="3:4">
      <c r="C2705"/>
      <c r="D2705"/>
    </row>
    <row r="2706" spans="3:4">
      <c r="C2706"/>
      <c r="D2706"/>
    </row>
    <row r="2707" spans="3:4">
      <c r="C2707"/>
      <c r="D2707"/>
    </row>
    <row r="2708" spans="3:4">
      <c r="C2708"/>
      <c r="D2708"/>
    </row>
    <row r="2709" spans="3:4">
      <c r="C2709"/>
      <c r="D2709"/>
    </row>
    <row r="2710" spans="3:4">
      <c r="C2710"/>
      <c r="D2710"/>
    </row>
    <row r="2711" spans="3:4">
      <c r="C2711"/>
      <c r="D2711"/>
    </row>
    <row r="2712" spans="3:4">
      <c r="C2712"/>
      <c r="D2712"/>
    </row>
    <row r="2713" spans="3:4">
      <c r="C2713"/>
      <c r="D2713"/>
    </row>
    <row r="2714" spans="3:4">
      <c r="C2714"/>
      <c r="D2714"/>
    </row>
    <row r="2715" spans="3:4">
      <c r="C2715"/>
      <c r="D2715"/>
    </row>
    <row r="2716" spans="3:4">
      <c r="C2716"/>
      <c r="D2716"/>
    </row>
    <row r="2717" spans="3:4">
      <c r="C2717"/>
      <c r="D2717"/>
    </row>
    <row r="2718" spans="3:4">
      <c r="C2718"/>
      <c r="D2718"/>
    </row>
    <row r="2719" spans="3:4">
      <c r="C2719"/>
      <c r="D2719"/>
    </row>
    <row r="2720" spans="3:4">
      <c r="C2720"/>
      <c r="D2720"/>
    </row>
    <row r="2721" spans="3:4">
      <c r="C2721"/>
      <c r="D2721"/>
    </row>
    <row r="2722" spans="3:4">
      <c r="C2722"/>
      <c r="D2722"/>
    </row>
    <row r="2723" spans="3:4">
      <c r="C2723"/>
      <c r="D2723"/>
    </row>
    <row r="2724" spans="3:4">
      <c r="C2724"/>
      <c r="D2724"/>
    </row>
    <row r="2725" spans="3:4">
      <c r="C2725"/>
      <c r="D2725"/>
    </row>
    <row r="2726" spans="3:4">
      <c r="C2726"/>
      <c r="D2726"/>
    </row>
    <row r="2727" spans="3:4">
      <c r="C2727"/>
      <c r="D2727"/>
    </row>
    <row r="2728" spans="3:4">
      <c r="C2728"/>
      <c r="D2728"/>
    </row>
    <row r="2729" spans="3:4">
      <c r="C2729"/>
      <c r="D2729"/>
    </row>
    <row r="2730" spans="3:4">
      <c r="C2730"/>
      <c r="D2730"/>
    </row>
    <row r="2731" spans="3:4">
      <c r="C2731"/>
      <c r="D2731"/>
    </row>
    <row r="2732" spans="3:4">
      <c r="C2732"/>
      <c r="D2732"/>
    </row>
    <row r="2733" spans="3:4">
      <c r="C2733"/>
      <c r="D2733"/>
    </row>
    <row r="2734" spans="3:4">
      <c r="C2734"/>
      <c r="D2734"/>
    </row>
    <row r="2735" spans="3:4">
      <c r="C2735"/>
      <c r="D2735"/>
    </row>
    <row r="2736" spans="3:4">
      <c r="C2736"/>
      <c r="D2736"/>
    </row>
    <row r="2737" spans="3:4">
      <c r="C2737"/>
      <c r="D2737"/>
    </row>
    <row r="2738" spans="3:4">
      <c r="C2738"/>
      <c r="D2738"/>
    </row>
    <row r="2739" spans="3:4">
      <c r="C2739"/>
      <c r="D2739"/>
    </row>
    <row r="2740" spans="3:4">
      <c r="C2740"/>
      <c r="D2740"/>
    </row>
    <row r="2741" spans="3:4">
      <c r="C2741"/>
      <c r="D2741"/>
    </row>
    <row r="2742" spans="3:4">
      <c r="C2742"/>
      <c r="D2742"/>
    </row>
    <row r="2743" spans="3:4">
      <c r="C2743"/>
      <c r="D2743"/>
    </row>
    <row r="2744" spans="3:4">
      <c r="C2744"/>
      <c r="D2744"/>
    </row>
    <row r="2745" spans="3:4">
      <c r="C2745"/>
      <c r="D2745"/>
    </row>
    <row r="2746" spans="3:4">
      <c r="C2746"/>
      <c r="D2746"/>
    </row>
    <row r="2747" spans="3:4">
      <c r="C2747"/>
      <c r="D2747"/>
    </row>
    <row r="2748" spans="3:4">
      <c r="C2748"/>
      <c r="D2748"/>
    </row>
    <row r="2749" spans="3:4">
      <c r="C2749"/>
      <c r="D2749"/>
    </row>
    <row r="2750" spans="3:4">
      <c r="C2750"/>
      <c r="D2750"/>
    </row>
    <row r="2751" spans="3:4">
      <c r="C2751"/>
      <c r="D2751"/>
    </row>
    <row r="2752" spans="3:4">
      <c r="C2752"/>
      <c r="D2752"/>
    </row>
    <row r="2753" spans="3:4">
      <c r="C2753"/>
      <c r="D2753"/>
    </row>
    <row r="2754" spans="3:4">
      <c r="C2754"/>
      <c r="D2754"/>
    </row>
    <row r="2755" spans="3:4">
      <c r="C2755"/>
      <c r="D2755"/>
    </row>
    <row r="2756" spans="3:4">
      <c r="C2756"/>
      <c r="D2756"/>
    </row>
    <row r="2757" spans="3:4">
      <c r="C2757"/>
      <c r="D2757"/>
    </row>
    <row r="2758" spans="3:4">
      <c r="C2758"/>
      <c r="D2758"/>
    </row>
    <row r="2759" spans="3:4">
      <c r="C2759"/>
      <c r="D2759"/>
    </row>
    <row r="2760" spans="3:4">
      <c r="C2760"/>
      <c r="D2760"/>
    </row>
    <row r="2761" spans="3:4">
      <c r="C2761"/>
      <c r="D2761"/>
    </row>
    <row r="2762" spans="3:4">
      <c r="C2762"/>
      <c r="D2762"/>
    </row>
    <row r="2763" spans="3:4">
      <c r="C2763"/>
      <c r="D2763"/>
    </row>
    <row r="2764" spans="3:4">
      <c r="C2764"/>
      <c r="D2764"/>
    </row>
    <row r="2765" spans="3:4">
      <c r="C2765"/>
      <c r="D2765"/>
    </row>
    <row r="2766" spans="3:4">
      <c r="C2766"/>
      <c r="D2766"/>
    </row>
    <row r="2767" spans="3:4">
      <c r="C2767"/>
      <c r="D2767"/>
    </row>
    <row r="2768" spans="3:4">
      <c r="C2768"/>
      <c r="D2768"/>
    </row>
    <row r="2769" spans="3:4">
      <c r="C2769"/>
      <c r="D2769"/>
    </row>
    <row r="2770" spans="3:4">
      <c r="C2770"/>
      <c r="D2770"/>
    </row>
    <row r="2771" spans="3:4">
      <c r="C2771"/>
      <c r="D2771"/>
    </row>
    <row r="2772" spans="3:4">
      <c r="C2772"/>
      <c r="D2772"/>
    </row>
    <row r="2773" spans="3:4">
      <c r="C2773"/>
      <c r="D2773"/>
    </row>
    <row r="2774" spans="3:4">
      <c r="C2774"/>
      <c r="D2774"/>
    </row>
    <row r="2775" spans="3:4">
      <c r="C2775"/>
      <c r="D2775"/>
    </row>
    <row r="2776" spans="3:4">
      <c r="C2776"/>
      <c r="D2776"/>
    </row>
    <row r="2777" spans="3:4">
      <c r="C2777"/>
      <c r="D2777"/>
    </row>
    <row r="2778" spans="3:4">
      <c r="C2778"/>
      <c r="D2778"/>
    </row>
    <row r="2779" spans="3:4">
      <c r="C2779"/>
      <c r="D2779"/>
    </row>
    <row r="2780" spans="3:4">
      <c r="C2780"/>
      <c r="D2780"/>
    </row>
    <row r="2781" spans="3:4">
      <c r="C2781"/>
      <c r="D2781"/>
    </row>
    <row r="2782" spans="3:4">
      <c r="C2782"/>
      <c r="D2782"/>
    </row>
    <row r="2783" spans="3:4">
      <c r="C2783"/>
      <c r="D2783"/>
    </row>
    <row r="2784" spans="3:4">
      <c r="C2784"/>
      <c r="D2784"/>
    </row>
    <row r="2785" spans="3:4">
      <c r="C2785"/>
      <c r="D2785"/>
    </row>
    <row r="2786" spans="3:4">
      <c r="C2786"/>
      <c r="D2786"/>
    </row>
    <row r="2787" spans="3:4">
      <c r="C2787"/>
      <c r="D2787"/>
    </row>
    <row r="2788" spans="3:4">
      <c r="C2788"/>
      <c r="D2788"/>
    </row>
    <row r="2789" spans="3:4">
      <c r="C2789"/>
      <c r="D2789"/>
    </row>
    <row r="2790" spans="3:4">
      <c r="C2790"/>
      <c r="D2790"/>
    </row>
    <row r="2791" spans="3:4">
      <c r="C2791"/>
      <c r="D2791"/>
    </row>
    <row r="2792" spans="3:4">
      <c r="C2792"/>
      <c r="D2792"/>
    </row>
    <row r="2793" spans="3:4">
      <c r="C2793"/>
      <c r="D2793"/>
    </row>
    <row r="2794" spans="3:4">
      <c r="C2794"/>
      <c r="D2794"/>
    </row>
    <row r="2795" spans="3:4">
      <c r="C2795"/>
      <c r="D2795"/>
    </row>
    <row r="2796" spans="3:4">
      <c r="C2796"/>
      <c r="D2796"/>
    </row>
    <row r="2797" spans="3:4">
      <c r="C2797"/>
      <c r="D2797"/>
    </row>
    <row r="2798" spans="3:4">
      <c r="C2798"/>
      <c r="D2798"/>
    </row>
    <row r="2799" spans="3:4">
      <c r="C2799"/>
      <c r="D2799"/>
    </row>
    <row r="2800" spans="3:4">
      <c r="C2800"/>
      <c r="D2800"/>
    </row>
    <row r="2801" spans="3:4">
      <c r="C2801"/>
      <c r="D2801"/>
    </row>
    <row r="2802" spans="3:4">
      <c r="C2802"/>
      <c r="D2802"/>
    </row>
    <row r="2803" spans="3:4">
      <c r="C2803"/>
      <c r="D2803"/>
    </row>
    <row r="2804" spans="3:4">
      <c r="C2804"/>
      <c r="D2804"/>
    </row>
    <row r="2805" spans="3:4">
      <c r="C2805"/>
      <c r="D2805"/>
    </row>
    <row r="2806" spans="3:4">
      <c r="C2806"/>
      <c r="D2806"/>
    </row>
    <row r="2807" spans="3:4">
      <c r="C2807"/>
      <c r="D2807"/>
    </row>
    <row r="2808" spans="3:4">
      <c r="C2808"/>
      <c r="D2808"/>
    </row>
    <row r="2809" spans="3:4">
      <c r="C2809"/>
      <c r="D2809"/>
    </row>
    <row r="2810" spans="3:4">
      <c r="C2810"/>
      <c r="D2810"/>
    </row>
    <row r="2811" spans="3:4">
      <c r="C2811"/>
      <c r="D2811"/>
    </row>
    <row r="2812" spans="3:4">
      <c r="C2812"/>
      <c r="D2812"/>
    </row>
    <row r="2813" spans="3:4">
      <c r="C2813"/>
      <c r="D2813"/>
    </row>
    <row r="2814" spans="3:4">
      <c r="C2814"/>
      <c r="D2814"/>
    </row>
    <row r="2815" spans="3:4">
      <c r="C2815"/>
      <c r="D2815"/>
    </row>
    <row r="2816" spans="3:4">
      <c r="C2816"/>
      <c r="D2816"/>
    </row>
    <row r="2817" spans="3:4">
      <c r="C2817"/>
      <c r="D2817"/>
    </row>
    <row r="2818" spans="3:4">
      <c r="C2818"/>
      <c r="D2818"/>
    </row>
    <row r="2819" spans="3:4">
      <c r="C2819"/>
      <c r="D2819"/>
    </row>
    <row r="2820" spans="3:4">
      <c r="C2820"/>
      <c r="D2820"/>
    </row>
    <row r="2821" spans="3:4">
      <c r="C2821"/>
      <c r="D2821"/>
    </row>
    <row r="2822" spans="3:4">
      <c r="C2822"/>
      <c r="D2822"/>
    </row>
    <row r="2823" spans="3:4">
      <c r="C2823"/>
      <c r="D2823"/>
    </row>
    <row r="2824" spans="3:4">
      <c r="C2824"/>
      <c r="D2824"/>
    </row>
    <row r="2825" spans="3:4">
      <c r="C2825"/>
      <c r="D2825"/>
    </row>
    <row r="2826" spans="3:4">
      <c r="C2826"/>
      <c r="D2826"/>
    </row>
    <row r="2827" spans="3:4">
      <c r="C2827"/>
      <c r="D2827"/>
    </row>
    <row r="2828" spans="3:4">
      <c r="C2828"/>
      <c r="D2828"/>
    </row>
    <row r="2829" spans="3:4">
      <c r="C2829"/>
      <c r="D2829"/>
    </row>
    <row r="2830" spans="3:4">
      <c r="C2830"/>
      <c r="D2830"/>
    </row>
    <row r="2831" spans="3:4">
      <c r="C2831"/>
      <c r="D2831"/>
    </row>
    <row r="2832" spans="3:4">
      <c r="C2832"/>
      <c r="D2832"/>
    </row>
    <row r="2833" spans="3:4">
      <c r="C2833"/>
      <c r="D2833"/>
    </row>
    <row r="2834" spans="3:4">
      <c r="C2834"/>
      <c r="D2834"/>
    </row>
    <row r="2835" spans="3:4">
      <c r="C2835"/>
      <c r="D2835"/>
    </row>
    <row r="2836" spans="3:4">
      <c r="C2836"/>
      <c r="D2836"/>
    </row>
    <row r="2837" spans="3:4">
      <c r="C2837"/>
      <c r="D2837"/>
    </row>
    <row r="2838" spans="3:4">
      <c r="C2838"/>
      <c r="D2838"/>
    </row>
    <row r="2839" spans="3:4">
      <c r="C2839"/>
      <c r="D2839"/>
    </row>
    <row r="2840" spans="3:4">
      <c r="C2840"/>
      <c r="D2840"/>
    </row>
    <row r="2841" spans="3:4">
      <c r="C2841"/>
      <c r="D2841"/>
    </row>
    <row r="2842" spans="3:4">
      <c r="C2842"/>
      <c r="D2842"/>
    </row>
    <row r="2843" spans="3:4">
      <c r="C2843"/>
      <c r="D2843"/>
    </row>
    <row r="2844" spans="3:4">
      <c r="C2844"/>
      <c r="D2844"/>
    </row>
    <row r="2845" spans="3:4">
      <c r="C2845"/>
      <c r="D2845"/>
    </row>
    <row r="2846" spans="3:4">
      <c r="C2846"/>
      <c r="D2846"/>
    </row>
    <row r="2847" spans="3:4">
      <c r="C2847"/>
      <c r="D2847"/>
    </row>
    <row r="2848" spans="3:4">
      <c r="C2848"/>
      <c r="D2848"/>
    </row>
    <row r="2849" spans="3:4">
      <c r="C2849"/>
      <c r="D2849"/>
    </row>
    <row r="2850" spans="3:4">
      <c r="C2850"/>
      <c r="D2850"/>
    </row>
    <row r="2851" spans="3:4">
      <c r="C2851"/>
      <c r="D2851"/>
    </row>
    <row r="2852" spans="3:4">
      <c r="C2852"/>
      <c r="D2852"/>
    </row>
    <row r="2853" spans="3:4">
      <c r="C2853"/>
      <c r="D2853"/>
    </row>
    <row r="2854" spans="3:4">
      <c r="C2854"/>
      <c r="D2854"/>
    </row>
    <row r="2855" spans="3:4">
      <c r="C2855"/>
      <c r="D2855"/>
    </row>
    <row r="2856" spans="3:4">
      <c r="C2856"/>
      <c r="D2856"/>
    </row>
    <row r="2857" spans="3:4">
      <c r="C2857"/>
      <c r="D2857"/>
    </row>
    <row r="2858" spans="3:4">
      <c r="C2858"/>
      <c r="D2858"/>
    </row>
    <row r="2859" spans="3:4">
      <c r="C2859"/>
      <c r="D2859"/>
    </row>
    <row r="2860" spans="3:4">
      <c r="C2860"/>
      <c r="D2860"/>
    </row>
    <row r="2861" spans="3:4">
      <c r="C2861"/>
      <c r="D2861"/>
    </row>
    <row r="2862" spans="3:4">
      <c r="C2862"/>
      <c r="D2862"/>
    </row>
    <row r="2863" spans="3:4">
      <c r="C2863"/>
      <c r="D2863"/>
    </row>
    <row r="2864" spans="3:4">
      <c r="C2864"/>
      <c r="D2864"/>
    </row>
    <row r="2865" spans="3:4">
      <c r="C2865"/>
      <c r="D2865"/>
    </row>
    <row r="2866" spans="3:4">
      <c r="C2866"/>
      <c r="D2866"/>
    </row>
    <row r="2867" spans="3:4">
      <c r="C2867"/>
      <c r="D2867"/>
    </row>
    <row r="2868" spans="3:4">
      <c r="C2868"/>
      <c r="D2868"/>
    </row>
    <row r="2869" spans="3:4">
      <c r="C2869"/>
      <c r="D2869"/>
    </row>
    <row r="2870" spans="3:4">
      <c r="C2870"/>
      <c r="D2870"/>
    </row>
    <row r="2871" spans="3:4">
      <c r="C2871"/>
      <c r="D2871"/>
    </row>
    <row r="2872" spans="3:4">
      <c r="C2872"/>
      <c r="D2872"/>
    </row>
    <row r="2873" spans="3:4">
      <c r="C2873"/>
      <c r="D2873"/>
    </row>
    <row r="2874" spans="3:4">
      <c r="C2874"/>
      <c r="D2874"/>
    </row>
    <row r="2875" spans="3:4">
      <c r="C2875"/>
      <c r="D2875"/>
    </row>
    <row r="2876" spans="3:4">
      <c r="C2876"/>
      <c r="D2876"/>
    </row>
    <row r="2877" spans="3:4">
      <c r="C2877"/>
      <c r="D2877"/>
    </row>
    <row r="2878" spans="3:4">
      <c r="C2878"/>
      <c r="D2878"/>
    </row>
    <row r="2879" spans="3:4">
      <c r="C2879"/>
      <c r="D2879"/>
    </row>
    <row r="2880" spans="3:4">
      <c r="C2880"/>
      <c r="D2880"/>
    </row>
    <row r="2881" spans="3:4">
      <c r="C2881"/>
      <c r="D2881"/>
    </row>
    <row r="2882" spans="3:4">
      <c r="C2882"/>
      <c r="D2882"/>
    </row>
    <row r="2883" spans="3:4">
      <c r="C2883"/>
      <c r="D2883"/>
    </row>
    <row r="2884" spans="3:4">
      <c r="C2884"/>
      <c r="D2884"/>
    </row>
    <row r="2885" spans="3:4">
      <c r="C2885"/>
      <c r="D2885"/>
    </row>
    <row r="2886" spans="3:4">
      <c r="C2886"/>
      <c r="D2886"/>
    </row>
    <row r="2887" spans="3:4">
      <c r="C2887"/>
      <c r="D2887"/>
    </row>
    <row r="2888" spans="3:4">
      <c r="C2888"/>
      <c r="D2888"/>
    </row>
    <row r="2889" spans="3:4">
      <c r="C2889"/>
      <c r="D2889"/>
    </row>
    <row r="2890" spans="3:4">
      <c r="C2890"/>
      <c r="D2890"/>
    </row>
    <row r="2891" spans="3:4">
      <c r="C2891"/>
      <c r="D2891"/>
    </row>
    <row r="2892" spans="3:4">
      <c r="C2892"/>
      <c r="D2892"/>
    </row>
    <row r="2893" spans="3:4">
      <c r="C2893"/>
      <c r="D2893"/>
    </row>
    <row r="2894" spans="3:4">
      <c r="C2894"/>
      <c r="D2894"/>
    </row>
    <row r="2895" spans="3:4">
      <c r="C2895"/>
      <c r="D2895"/>
    </row>
    <row r="2896" spans="3:4">
      <c r="C2896"/>
      <c r="D2896"/>
    </row>
    <row r="2897" spans="3:4">
      <c r="C2897"/>
      <c r="D2897"/>
    </row>
    <row r="2898" spans="3:4">
      <c r="C2898"/>
      <c r="D2898"/>
    </row>
    <row r="2899" spans="3:4">
      <c r="C2899"/>
      <c r="D2899"/>
    </row>
    <row r="2900" spans="3:4">
      <c r="C2900"/>
      <c r="D2900"/>
    </row>
    <row r="2901" spans="3:4">
      <c r="C2901"/>
      <c r="D2901"/>
    </row>
    <row r="2902" spans="3:4">
      <c r="C2902"/>
      <c r="D2902"/>
    </row>
    <row r="2903" spans="3:4">
      <c r="C2903"/>
      <c r="D2903"/>
    </row>
    <row r="2904" spans="3:4">
      <c r="C2904"/>
      <c r="D2904"/>
    </row>
    <row r="2905" spans="3:4">
      <c r="C2905"/>
      <c r="D2905"/>
    </row>
    <row r="2906" spans="3:4">
      <c r="C2906"/>
      <c r="D2906"/>
    </row>
    <row r="2907" spans="3:4">
      <c r="C2907"/>
      <c r="D2907"/>
    </row>
    <row r="2908" spans="3:4">
      <c r="C2908"/>
      <c r="D2908"/>
    </row>
    <row r="2909" spans="3:4">
      <c r="C2909"/>
      <c r="D2909"/>
    </row>
    <row r="2910" spans="3:4">
      <c r="C2910"/>
      <c r="D2910"/>
    </row>
    <row r="2911" spans="3:4">
      <c r="C2911"/>
      <c r="D2911"/>
    </row>
    <row r="2912" spans="3:4">
      <c r="C2912"/>
      <c r="D2912"/>
    </row>
    <row r="2913" spans="3:4">
      <c r="C2913"/>
      <c r="D2913"/>
    </row>
    <row r="2914" spans="3:4">
      <c r="C2914"/>
      <c r="D2914"/>
    </row>
    <row r="2915" spans="3:4">
      <c r="C2915"/>
      <c r="D2915"/>
    </row>
    <row r="2916" spans="3:4">
      <c r="C2916"/>
      <c r="D2916"/>
    </row>
    <row r="2917" spans="3:4">
      <c r="C2917"/>
      <c r="D2917"/>
    </row>
    <row r="2918" spans="3:4">
      <c r="C2918"/>
      <c r="D2918"/>
    </row>
    <row r="2919" spans="3:4">
      <c r="C2919"/>
      <c r="D2919"/>
    </row>
    <row r="2920" spans="3:4">
      <c r="C2920"/>
      <c r="D2920"/>
    </row>
    <row r="2921" spans="3:4">
      <c r="C2921"/>
      <c r="D2921"/>
    </row>
    <row r="2922" spans="3:4">
      <c r="C2922"/>
      <c r="D2922"/>
    </row>
    <row r="2923" spans="3:4">
      <c r="C2923"/>
      <c r="D2923"/>
    </row>
    <row r="2924" spans="3:4">
      <c r="C2924"/>
      <c r="D2924"/>
    </row>
    <row r="2925" spans="3:4">
      <c r="C2925"/>
      <c r="D2925"/>
    </row>
    <row r="2926" spans="3:4">
      <c r="C2926"/>
      <c r="D2926"/>
    </row>
    <row r="2927" spans="3:4">
      <c r="C2927"/>
      <c r="D2927"/>
    </row>
    <row r="2928" spans="3:4">
      <c r="C2928"/>
      <c r="D2928"/>
    </row>
    <row r="2929" spans="3:4">
      <c r="C2929"/>
      <c r="D2929"/>
    </row>
    <row r="2930" spans="3:4">
      <c r="C2930"/>
      <c r="D2930"/>
    </row>
    <row r="2931" spans="3:4">
      <c r="C2931"/>
      <c r="D2931"/>
    </row>
    <row r="2932" spans="3:4">
      <c r="C2932"/>
      <c r="D2932"/>
    </row>
    <row r="2933" spans="3:4">
      <c r="C2933"/>
      <c r="D2933"/>
    </row>
    <row r="2934" spans="3:4">
      <c r="C2934"/>
      <c r="D2934"/>
    </row>
    <row r="2935" spans="3:4">
      <c r="C2935"/>
      <c r="D2935"/>
    </row>
    <row r="2936" spans="3:4">
      <c r="C2936"/>
      <c r="D2936"/>
    </row>
    <row r="2937" spans="3:4">
      <c r="C2937"/>
      <c r="D2937"/>
    </row>
    <row r="2938" spans="3:4">
      <c r="C2938"/>
      <c r="D2938"/>
    </row>
    <row r="2939" spans="3:4">
      <c r="C2939"/>
      <c r="D2939"/>
    </row>
    <row r="2940" spans="3:4">
      <c r="C2940"/>
      <c r="D2940"/>
    </row>
    <row r="2941" spans="3:4">
      <c r="C2941"/>
      <c r="D2941"/>
    </row>
    <row r="2942" spans="3:4">
      <c r="C2942"/>
      <c r="D2942"/>
    </row>
    <row r="2943" spans="3:4">
      <c r="C2943"/>
      <c r="D2943"/>
    </row>
    <row r="2944" spans="3:4">
      <c r="C2944"/>
      <c r="D2944"/>
    </row>
    <row r="2945" spans="3:4">
      <c r="C2945"/>
      <c r="D2945"/>
    </row>
    <row r="2946" spans="3:4">
      <c r="C2946"/>
      <c r="D2946"/>
    </row>
    <row r="2947" spans="3:4">
      <c r="C2947"/>
      <c r="D2947"/>
    </row>
    <row r="2948" spans="3:4">
      <c r="C2948"/>
      <c r="D2948"/>
    </row>
    <row r="2949" spans="3:4">
      <c r="C2949"/>
      <c r="D2949"/>
    </row>
    <row r="2950" spans="3:4">
      <c r="C2950"/>
      <c r="D2950"/>
    </row>
    <row r="2951" spans="3:4">
      <c r="C2951"/>
      <c r="D2951"/>
    </row>
    <row r="2952" spans="3:4">
      <c r="C2952"/>
      <c r="D2952"/>
    </row>
    <row r="2953" spans="3:4">
      <c r="C2953"/>
      <c r="D2953"/>
    </row>
    <row r="2954" spans="3:4">
      <c r="C2954"/>
      <c r="D2954"/>
    </row>
    <row r="2955" spans="3:4">
      <c r="C2955"/>
      <c r="D2955"/>
    </row>
    <row r="2956" spans="3:4">
      <c r="C2956"/>
      <c r="D2956"/>
    </row>
    <row r="2957" spans="3:4">
      <c r="C2957"/>
      <c r="D2957"/>
    </row>
    <row r="2958" spans="3:4">
      <c r="C2958"/>
      <c r="D2958"/>
    </row>
    <row r="2959" spans="3:4">
      <c r="C2959"/>
      <c r="D2959"/>
    </row>
    <row r="2960" spans="3:4">
      <c r="C2960"/>
      <c r="D2960"/>
    </row>
    <row r="2961" spans="3:4">
      <c r="C2961"/>
      <c r="D2961"/>
    </row>
    <row r="2962" spans="3:4">
      <c r="C2962"/>
      <c r="D2962"/>
    </row>
    <row r="2963" spans="3:4">
      <c r="C2963"/>
      <c r="D2963"/>
    </row>
    <row r="2964" spans="3:4">
      <c r="C2964"/>
      <c r="D2964"/>
    </row>
    <row r="2965" spans="3:4">
      <c r="C2965"/>
      <c r="D2965"/>
    </row>
    <row r="2966" spans="3:4">
      <c r="C2966"/>
      <c r="D2966"/>
    </row>
    <row r="2967" spans="3:4">
      <c r="C2967"/>
      <c r="D2967"/>
    </row>
    <row r="2968" spans="3:4">
      <c r="C2968"/>
      <c r="D2968"/>
    </row>
    <row r="2969" spans="3:4">
      <c r="C2969"/>
      <c r="D2969"/>
    </row>
    <row r="2970" spans="3:4">
      <c r="C2970"/>
      <c r="D2970"/>
    </row>
    <row r="2971" spans="3:4">
      <c r="C2971"/>
      <c r="D2971"/>
    </row>
    <row r="2972" spans="3:4">
      <c r="C2972"/>
      <c r="D2972"/>
    </row>
    <row r="2973" spans="3:4">
      <c r="C2973"/>
      <c r="D2973"/>
    </row>
    <row r="2974" spans="3:4">
      <c r="C2974"/>
      <c r="D2974"/>
    </row>
    <row r="2975" spans="3:4">
      <c r="C2975"/>
      <c r="D2975"/>
    </row>
    <row r="2976" spans="3:4">
      <c r="C2976"/>
      <c r="D2976"/>
    </row>
    <row r="2977" spans="3:4">
      <c r="C2977"/>
      <c r="D2977"/>
    </row>
    <row r="2978" spans="3:4">
      <c r="C2978"/>
      <c r="D2978"/>
    </row>
    <row r="2979" spans="3:4">
      <c r="C2979"/>
      <c r="D2979"/>
    </row>
    <row r="2980" spans="3:4">
      <c r="C2980"/>
      <c r="D2980"/>
    </row>
    <row r="2981" spans="3:4">
      <c r="C2981"/>
      <c r="D2981"/>
    </row>
    <row r="2982" spans="3:4">
      <c r="C2982"/>
      <c r="D2982"/>
    </row>
    <row r="2983" spans="3:4">
      <c r="C2983"/>
      <c r="D2983"/>
    </row>
    <row r="2984" spans="3:4">
      <c r="C2984"/>
      <c r="D2984"/>
    </row>
    <row r="2985" spans="3:4">
      <c r="C2985"/>
      <c r="D2985"/>
    </row>
    <row r="2986" spans="3:4">
      <c r="C2986"/>
      <c r="D2986"/>
    </row>
    <row r="2987" spans="3:4">
      <c r="C2987"/>
      <c r="D2987"/>
    </row>
    <row r="2988" spans="3:4">
      <c r="C2988"/>
      <c r="D2988"/>
    </row>
    <row r="2989" spans="3:4">
      <c r="C2989"/>
      <c r="D2989"/>
    </row>
    <row r="2990" spans="3:4">
      <c r="C2990"/>
      <c r="D2990"/>
    </row>
    <row r="2991" spans="3:4">
      <c r="C2991"/>
      <c r="D2991"/>
    </row>
    <row r="2992" spans="3:4">
      <c r="C2992"/>
      <c r="D2992"/>
    </row>
    <row r="2993" spans="3:4">
      <c r="C2993"/>
      <c r="D2993"/>
    </row>
    <row r="2994" spans="3:4">
      <c r="C2994"/>
      <c r="D2994"/>
    </row>
    <row r="2995" spans="3:4">
      <c r="C2995"/>
      <c r="D2995"/>
    </row>
    <row r="2996" spans="3:4">
      <c r="C2996"/>
      <c r="D2996"/>
    </row>
    <row r="2997" spans="3:4">
      <c r="C2997"/>
      <c r="D2997"/>
    </row>
    <row r="2998" spans="3:4">
      <c r="C2998"/>
      <c r="D2998"/>
    </row>
    <row r="2999" spans="3:4">
      <c r="C2999"/>
      <c r="D2999"/>
    </row>
    <row r="3000" spans="3:4">
      <c r="C3000"/>
      <c r="D3000"/>
    </row>
    <row r="3001" spans="3:4">
      <c r="C3001"/>
      <c r="D3001"/>
    </row>
    <row r="3002" spans="3:4">
      <c r="C3002"/>
      <c r="D3002"/>
    </row>
    <row r="3003" spans="3:4">
      <c r="C3003"/>
      <c r="D3003"/>
    </row>
    <row r="3004" spans="3:4">
      <c r="C3004"/>
      <c r="D3004"/>
    </row>
    <row r="3005" spans="3:4">
      <c r="C3005"/>
      <c r="D3005"/>
    </row>
    <row r="3006" spans="3:4">
      <c r="C3006"/>
      <c r="D3006"/>
    </row>
    <row r="3007" spans="3:4">
      <c r="C3007"/>
      <c r="D3007"/>
    </row>
    <row r="3008" spans="3:4">
      <c r="C3008"/>
      <c r="D3008"/>
    </row>
    <row r="3009" spans="3:4">
      <c r="C3009"/>
      <c r="D3009"/>
    </row>
    <row r="3010" spans="3:4">
      <c r="C3010"/>
      <c r="D3010"/>
    </row>
    <row r="3011" spans="3:4">
      <c r="C3011"/>
      <c r="D3011"/>
    </row>
    <row r="3012" spans="3:4">
      <c r="C3012"/>
      <c r="D3012"/>
    </row>
    <row r="3013" spans="3:4">
      <c r="C3013"/>
      <c r="D3013"/>
    </row>
    <row r="3014" spans="3:4">
      <c r="C3014"/>
      <c r="D3014"/>
    </row>
    <row r="3015" spans="3:4">
      <c r="C3015"/>
      <c r="D3015"/>
    </row>
    <row r="3016" spans="3:4">
      <c r="C3016"/>
      <c r="D3016"/>
    </row>
    <row r="3017" spans="3:4">
      <c r="C3017"/>
      <c r="D3017"/>
    </row>
    <row r="3018" spans="3:4">
      <c r="C3018"/>
      <c r="D3018"/>
    </row>
    <row r="3019" spans="3:4">
      <c r="C3019"/>
      <c r="D3019"/>
    </row>
    <row r="3020" spans="3:4">
      <c r="C3020"/>
      <c r="D3020"/>
    </row>
    <row r="3021" spans="3:4">
      <c r="C3021"/>
      <c r="D3021"/>
    </row>
    <row r="3022" spans="3:4">
      <c r="C3022"/>
      <c r="D3022"/>
    </row>
    <row r="3023" spans="3:4">
      <c r="C3023"/>
      <c r="D3023"/>
    </row>
    <row r="3024" spans="3:4">
      <c r="C3024"/>
      <c r="D3024"/>
    </row>
    <row r="3025" spans="3:4">
      <c r="C3025"/>
      <c r="D3025"/>
    </row>
    <row r="3026" spans="3:4">
      <c r="C3026"/>
      <c r="D3026"/>
    </row>
    <row r="3027" spans="3:4">
      <c r="C3027"/>
      <c r="D3027"/>
    </row>
    <row r="3028" spans="3:4">
      <c r="C3028"/>
      <c r="D3028"/>
    </row>
    <row r="3029" spans="3:4">
      <c r="C3029"/>
      <c r="D3029"/>
    </row>
    <row r="3030" spans="3:4">
      <c r="C3030"/>
      <c r="D3030"/>
    </row>
    <row r="3031" spans="3:4">
      <c r="C3031"/>
      <c r="D3031"/>
    </row>
    <row r="3032" spans="3:4">
      <c r="C3032"/>
      <c r="D3032"/>
    </row>
    <row r="3033" spans="3:4">
      <c r="C3033"/>
      <c r="D3033"/>
    </row>
    <row r="3034" spans="3:4">
      <c r="C3034"/>
      <c r="D3034"/>
    </row>
    <row r="3035" spans="3:4">
      <c r="C3035"/>
      <c r="D3035"/>
    </row>
    <row r="3036" spans="3:4">
      <c r="C3036"/>
      <c r="D3036"/>
    </row>
    <row r="3037" spans="3:4">
      <c r="C3037"/>
      <c r="D3037"/>
    </row>
    <row r="3038" spans="3:4">
      <c r="C3038"/>
      <c r="D3038"/>
    </row>
    <row r="3039" spans="3:4">
      <c r="C3039"/>
      <c r="D3039"/>
    </row>
    <row r="3040" spans="3:4">
      <c r="C3040"/>
      <c r="D3040"/>
    </row>
    <row r="3041" spans="3:4">
      <c r="C3041"/>
      <c r="D3041"/>
    </row>
    <row r="3042" spans="3:4">
      <c r="C3042"/>
      <c r="D3042"/>
    </row>
    <row r="3043" spans="3:4">
      <c r="C3043"/>
      <c r="D3043"/>
    </row>
    <row r="3044" spans="3:4">
      <c r="C3044"/>
      <c r="D3044"/>
    </row>
    <row r="3045" spans="3:4">
      <c r="C3045"/>
      <c r="D3045"/>
    </row>
    <row r="3046" spans="3:4">
      <c r="C3046"/>
      <c r="D3046"/>
    </row>
    <row r="3047" spans="3:4">
      <c r="C3047"/>
      <c r="D3047"/>
    </row>
    <row r="3048" spans="3:4">
      <c r="C3048"/>
      <c r="D3048"/>
    </row>
    <row r="3049" spans="3:4">
      <c r="C3049"/>
      <c r="D3049"/>
    </row>
    <row r="3050" spans="3:4">
      <c r="C3050"/>
      <c r="D3050"/>
    </row>
    <row r="3051" spans="3:4">
      <c r="C3051"/>
      <c r="D3051"/>
    </row>
    <row r="3052" spans="3:4">
      <c r="C3052"/>
      <c r="D3052"/>
    </row>
    <row r="3053" spans="3:4">
      <c r="C3053"/>
      <c r="D3053"/>
    </row>
    <row r="3054" spans="3:4">
      <c r="C3054"/>
      <c r="D3054"/>
    </row>
    <row r="3055" spans="3:4">
      <c r="C3055"/>
      <c r="D3055"/>
    </row>
    <row r="3056" spans="3:4">
      <c r="C3056"/>
      <c r="D3056"/>
    </row>
    <row r="3057" spans="3:4">
      <c r="C3057"/>
      <c r="D3057"/>
    </row>
    <row r="3058" spans="3:4">
      <c r="C3058"/>
      <c r="D3058"/>
    </row>
    <row r="3059" spans="3:4">
      <c r="C3059"/>
      <c r="D3059"/>
    </row>
    <row r="3060" spans="3:4">
      <c r="C3060"/>
      <c r="D3060"/>
    </row>
    <row r="3061" spans="3:4">
      <c r="C3061"/>
      <c r="D3061"/>
    </row>
    <row r="3062" spans="3:4">
      <c r="C3062"/>
      <c r="D3062"/>
    </row>
    <row r="3063" spans="3:4">
      <c r="C3063"/>
      <c r="D3063"/>
    </row>
    <row r="3064" spans="3:4">
      <c r="C3064"/>
      <c r="D3064"/>
    </row>
    <row r="3065" spans="3:4">
      <c r="C3065"/>
      <c r="D3065"/>
    </row>
    <row r="3066" spans="3:4">
      <c r="C3066"/>
      <c r="D3066"/>
    </row>
    <row r="3067" spans="3:4">
      <c r="C3067"/>
      <c r="D3067"/>
    </row>
    <row r="3068" spans="3:4">
      <c r="C3068"/>
      <c r="D3068"/>
    </row>
    <row r="3069" spans="3:4">
      <c r="C3069"/>
      <c r="D3069"/>
    </row>
    <row r="3070" spans="3:4">
      <c r="C3070"/>
      <c r="D3070"/>
    </row>
    <row r="3071" spans="3:4">
      <c r="C3071"/>
      <c r="D3071"/>
    </row>
    <row r="3072" spans="3:4">
      <c r="C3072"/>
      <c r="D3072"/>
    </row>
    <row r="3073" spans="3:4">
      <c r="C3073"/>
      <c r="D3073"/>
    </row>
    <row r="3074" spans="3:4">
      <c r="C3074"/>
      <c r="D3074"/>
    </row>
    <row r="3075" spans="3:4">
      <c r="C3075"/>
      <c r="D3075"/>
    </row>
    <row r="3076" spans="3:4">
      <c r="C3076"/>
      <c r="D3076"/>
    </row>
    <row r="3077" spans="3:4">
      <c r="C3077"/>
      <c r="D3077"/>
    </row>
    <row r="3078" spans="3:4">
      <c r="C3078"/>
      <c r="D3078"/>
    </row>
    <row r="3079" spans="3:4">
      <c r="C3079"/>
      <c r="D3079"/>
    </row>
    <row r="3080" spans="3:4">
      <c r="C3080"/>
      <c r="D3080"/>
    </row>
    <row r="3081" spans="3:4">
      <c r="C3081"/>
      <c r="D3081"/>
    </row>
    <row r="3082" spans="3:4">
      <c r="C3082"/>
      <c r="D3082"/>
    </row>
    <row r="3083" spans="3:4">
      <c r="C3083"/>
      <c r="D3083"/>
    </row>
    <row r="3084" spans="3:4">
      <c r="C3084"/>
      <c r="D3084"/>
    </row>
    <row r="3085" spans="3:4">
      <c r="C3085"/>
      <c r="D3085"/>
    </row>
    <row r="3086" spans="3:4">
      <c r="C3086"/>
      <c r="D3086"/>
    </row>
    <row r="3087" spans="3:4">
      <c r="C3087"/>
      <c r="D3087"/>
    </row>
    <row r="3088" spans="3:4">
      <c r="C3088"/>
      <c r="D3088"/>
    </row>
    <row r="3089" spans="3:4">
      <c r="C3089"/>
      <c r="D3089"/>
    </row>
    <row r="3090" spans="3:4">
      <c r="C3090"/>
      <c r="D3090"/>
    </row>
    <row r="3091" spans="3:4">
      <c r="C3091"/>
      <c r="D3091"/>
    </row>
    <row r="3092" spans="3:4">
      <c r="C3092"/>
      <c r="D3092"/>
    </row>
    <row r="3093" spans="3:4">
      <c r="C3093"/>
      <c r="D3093"/>
    </row>
    <row r="3094" spans="3:4">
      <c r="C3094"/>
      <c r="D3094"/>
    </row>
    <row r="3095" spans="3:4">
      <c r="C3095"/>
      <c r="D3095"/>
    </row>
    <row r="3096" spans="3:4">
      <c r="C3096"/>
      <c r="D3096"/>
    </row>
    <row r="3097" spans="3:4">
      <c r="C3097"/>
      <c r="D3097"/>
    </row>
    <row r="3098" spans="3:4">
      <c r="C3098"/>
      <c r="D3098"/>
    </row>
    <row r="3099" spans="3:4">
      <c r="C3099"/>
      <c r="D3099"/>
    </row>
    <row r="3100" spans="3:4">
      <c r="C3100"/>
      <c r="D3100"/>
    </row>
    <row r="3101" spans="3:4">
      <c r="C3101"/>
      <c r="D3101"/>
    </row>
    <row r="3102" spans="3:4">
      <c r="C3102"/>
      <c r="D3102"/>
    </row>
    <row r="3103" spans="3:4">
      <c r="C3103"/>
      <c r="D3103"/>
    </row>
    <row r="3104" spans="3:4">
      <c r="C3104"/>
      <c r="D3104"/>
    </row>
    <row r="3105" spans="3:4">
      <c r="C3105"/>
      <c r="D3105"/>
    </row>
    <row r="3106" spans="3:4">
      <c r="C3106"/>
      <c r="D3106"/>
    </row>
    <row r="3107" spans="3:4">
      <c r="C3107"/>
      <c r="D3107"/>
    </row>
    <row r="3108" spans="3:4">
      <c r="C3108"/>
      <c r="D3108"/>
    </row>
    <row r="3109" spans="3:4">
      <c r="C3109"/>
      <c r="D3109"/>
    </row>
    <row r="3110" spans="3:4">
      <c r="C3110"/>
      <c r="D3110"/>
    </row>
    <row r="3111" spans="3:4">
      <c r="C3111"/>
      <c r="D3111"/>
    </row>
    <row r="3112" spans="3:4">
      <c r="C3112"/>
      <c r="D3112"/>
    </row>
    <row r="3113" spans="3:4">
      <c r="C3113"/>
      <c r="D3113"/>
    </row>
    <row r="3114" spans="3:4">
      <c r="C3114"/>
      <c r="D3114"/>
    </row>
    <row r="3115" spans="3:4">
      <c r="C3115"/>
      <c r="D3115"/>
    </row>
    <row r="3116" spans="3:4">
      <c r="C3116"/>
      <c r="D3116"/>
    </row>
    <row r="3117" spans="3:4">
      <c r="C3117"/>
      <c r="D3117"/>
    </row>
    <row r="3118" spans="3:4">
      <c r="C3118"/>
      <c r="D3118"/>
    </row>
    <row r="3119" spans="3:4">
      <c r="C3119"/>
      <c r="D3119"/>
    </row>
    <row r="3120" spans="3:4">
      <c r="C3120"/>
      <c r="D3120"/>
    </row>
    <row r="3121" spans="3:4">
      <c r="C3121"/>
      <c r="D3121"/>
    </row>
    <row r="3122" spans="3:4">
      <c r="C3122"/>
      <c r="D3122"/>
    </row>
    <row r="3123" spans="3:4">
      <c r="C3123"/>
      <c r="D3123"/>
    </row>
    <row r="3124" spans="3:4">
      <c r="C3124"/>
      <c r="D3124"/>
    </row>
    <row r="3125" spans="3:4">
      <c r="C3125"/>
      <c r="D3125"/>
    </row>
    <row r="3126" spans="3:4">
      <c r="C3126"/>
      <c r="D3126"/>
    </row>
    <row r="3127" spans="3:4">
      <c r="C3127"/>
      <c r="D3127"/>
    </row>
    <row r="3128" spans="3:4">
      <c r="C3128"/>
      <c r="D3128"/>
    </row>
    <row r="3129" spans="3:4">
      <c r="C3129"/>
      <c r="D3129"/>
    </row>
    <row r="3130" spans="3:4">
      <c r="C3130"/>
      <c r="D3130"/>
    </row>
    <row r="3131" spans="3:4">
      <c r="C3131"/>
      <c r="D3131"/>
    </row>
    <row r="3132" spans="3:4">
      <c r="C3132"/>
      <c r="D3132"/>
    </row>
    <row r="3133" spans="3:4">
      <c r="C3133"/>
      <c r="D3133"/>
    </row>
    <row r="3134" spans="3:4">
      <c r="C3134"/>
      <c r="D3134"/>
    </row>
    <row r="3135" spans="3:4">
      <c r="C3135"/>
      <c r="D3135"/>
    </row>
    <row r="3136" spans="3:4">
      <c r="C3136"/>
      <c r="D3136"/>
    </row>
    <row r="3137" spans="3:4">
      <c r="C3137"/>
      <c r="D3137"/>
    </row>
    <row r="3138" spans="3:4">
      <c r="C3138"/>
      <c r="D3138"/>
    </row>
    <row r="3139" spans="3:4">
      <c r="C3139"/>
      <c r="D3139"/>
    </row>
    <row r="3140" spans="3:4">
      <c r="C3140"/>
      <c r="D3140"/>
    </row>
    <row r="3141" spans="3:4">
      <c r="C3141"/>
      <c r="D3141"/>
    </row>
    <row r="3142" spans="3:4">
      <c r="C3142"/>
      <c r="D3142"/>
    </row>
    <row r="3143" spans="3:4">
      <c r="C3143"/>
      <c r="D3143"/>
    </row>
    <row r="3144" spans="3:4">
      <c r="C3144"/>
      <c r="D3144"/>
    </row>
    <row r="3145" spans="3:4">
      <c r="C3145"/>
      <c r="D3145"/>
    </row>
    <row r="3146" spans="3:4">
      <c r="C3146"/>
      <c r="D3146"/>
    </row>
    <row r="3147" spans="3:4">
      <c r="C3147"/>
      <c r="D3147"/>
    </row>
    <row r="3148" spans="3:4">
      <c r="C3148"/>
      <c r="D3148"/>
    </row>
    <row r="3149" spans="3:4">
      <c r="C3149"/>
      <c r="D3149"/>
    </row>
    <row r="3150" spans="3:4">
      <c r="C3150"/>
      <c r="D3150"/>
    </row>
    <row r="3151" spans="3:4">
      <c r="C3151"/>
      <c r="D3151"/>
    </row>
    <row r="3152" spans="3:4">
      <c r="C3152"/>
      <c r="D3152"/>
    </row>
    <row r="3153" spans="3:4">
      <c r="C3153"/>
      <c r="D3153"/>
    </row>
    <row r="3154" spans="3:4">
      <c r="C3154"/>
      <c r="D3154"/>
    </row>
    <row r="3155" spans="3:4">
      <c r="C3155"/>
      <c r="D3155"/>
    </row>
    <row r="3156" spans="3:4">
      <c r="C3156"/>
      <c r="D3156"/>
    </row>
    <row r="3157" spans="3:4">
      <c r="C3157"/>
      <c r="D3157"/>
    </row>
    <row r="3158" spans="3:4">
      <c r="C3158"/>
      <c r="D3158"/>
    </row>
    <row r="3159" spans="3:4">
      <c r="C3159"/>
      <c r="D3159"/>
    </row>
    <row r="3160" spans="3:4">
      <c r="C3160"/>
      <c r="D3160"/>
    </row>
    <row r="3161" spans="3:4">
      <c r="C3161"/>
      <c r="D3161"/>
    </row>
    <row r="3162" spans="3:4">
      <c r="C3162"/>
      <c r="D3162"/>
    </row>
    <row r="3163" spans="3:4">
      <c r="C3163"/>
      <c r="D3163"/>
    </row>
    <row r="3164" spans="3:4">
      <c r="C3164"/>
      <c r="D3164"/>
    </row>
    <row r="3165" spans="3:4">
      <c r="C3165"/>
      <c r="D3165"/>
    </row>
    <row r="3166" spans="3:4">
      <c r="C3166"/>
      <c r="D3166"/>
    </row>
    <row r="3167" spans="3:4">
      <c r="C3167"/>
      <c r="D3167"/>
    </row>
    <row r="3168" spans="3:4">
      <c r="C3168"/>
      <c r="D3168"/>
    </row>
    <row r="3169" spans="3:4">
      <c r="C3169"/>
      <c r="D3169"/>
    </row>
    <row r="3170" spans="3:4">
      <c r="C3170"/>
      <c r="D3170"/>
    </row>
    <row r="3171" spans="3:4">
      <c r="C3171"/>
      <c r="D3171"/>
    </row>
    <row r="3172" spans="3:4">
      <c r="C3172"/>
      <c r="D3172"/>
    </row>
    <row r="3173" spans="3:4">
      <c r="C3173"/>
      <c r="D3173"/>
    </row>
    <row r="3174" spans="3:4">
      <c r="C3174"/>
      <c r="D3174"/>
    </row>
    <row r="3175" spans="3:4">
      <c r="C3175"/>
      <c r="D3175"/>
    </row>
    <row r="3176" spans="3:4">
      <c r="C3176"/>
      <c r="D3176"/>
    </row>
    <row r="3177" spans="3:4">
      <c r="C3177"/>
      <c r="D3177"/>
    </row>
    <row r="3178" spans="3:4">
      <c r="C3178"/>
      <c r="D3178"/>
    </row>
    <row r="3179" spans="3:4">
      <c r="C3179"/>
      <c r="D3179"/>
    </row>
    <row r="3180" spans="3:4">
      <c r="C3180"/>
      <c r="D3180"/>
    </row>
    <row r="3181" spans="3:4">
      <c r="C3181"/>
      <c r="D3181"/>
    </row>
    <row r="3182" spans="3:4">
      <c r="C3182"/>
      <c r="D3182"/>
    </row>
    <row r="3183" spans="3:4">
      <c r="C3183"/>
      <c r="D3183"/>
    </row>
    <row r="3184" spans="3:4">
      <c r="C3184"/>
      <c r="D3184"/>
    </row>
    <row r="3185" spans="3:4">
      <c r="C3185"/>
      <c r="D3185"/>
    </row>
    <row r="3186" spans="3:4">
      <c r="C3186"/>
      <c r="D3186"/>
    </row>
    <row r="3187" spans="3:4">
      <c r="C3187"/>
      <c r="D3187"/>
    </row>
    <row r="3188" spans="3:4">
      <c r="C3188"/>
      <c r="D3188"/>
    </row>
    <row r="3189" spans="3:4">
      <c r="C3189"/>
      <c r="D3189"/>
    </row>
    <row r="3190" spans="3:4">
      <c r="C3190"/>
      <c r="D3190"/>
    </row>
    <row r="3191" spans="3:4">
      <c r="C3191"/>
      <c r="D3191"/>
    </row>
    <row r="3192" spans="3:4">
      <c r="C3192"/>
      <c r="D3192"/>
    </row>
    <row r="3193" spans="3:4">
      <c r="C3193"/>
      <c r="D3193"/>
    </row>
    <row r="3194" spans="3:4">
      <c r="C3194"/>
      <c r="D3194"/>
    </row>
    <row r="3195" spans="3:4">
      <c r="C3195"/>
      <c r="D3195"/>
    </row>
    <row r="3196" spans="3:4">
      <c r="C3196"/>
      <c r="D3196"/>
    </row>
    <row r="3197" spans="3:4">
      <c r="C3197"/>
      <c r="D3197"/>
    </row>
    <row r="3198" spans="3:4">
      <c r="C3198"/>
      <c r="D3198"/>
    </row>
    <row r="3199" spans="3:4">
      <c r="C3199"/>
      <c r="D3199"/>
    </row>
    <row r="3200" spans="3:4">
      <c r="C3200"/>
      <c r="D3200"/>
    </row>
    <row r="3201" spans="3:4">
      <c r="C3201"/>
      <c r="D3201"/>
    </row>
    <row r="3202" spans="3:4">
      <c r="C3202"/>
      <c r="D3202"/>
    </row>
    <row r="3203" spans="3:4">
      <c r="C3203"/>
      <c r="D3203"/>
    </row>
    <row r="3204" spans="3:4">
      <c r="C3204"/>
      <c r="D3204"/>
    </row>
    <row r="3205" spans="3:4">
      <c r="C3205"/>
      <c r="D3205"/>
    </row>
    <row r="3206" spans="3:4">
      <c r="C3206"/>
      <c r="D3206"/>
    </row>
    <row r="3207" spans="3:4">
      <c r="C3207"/>
      <c r="D3207"/>
    </row>
    <row r="3208" spans="3:4">
      <c r="C3208"/>
      <c r="D3208"/>
    </row>
    <row r="3209" spans="3:4">
      <c r="C3209"/>
      <c r="D3209"/>
    </row>
    <row r="3210" spans="3:4">
      <c r="C3210"/>
      <c r="D3210"/>
    </row>
    <row r="3211" spans="3:4">
      <c r="C3211"/>
      <c r="D3211"/>
    </row>
    <row r="3212" spans="3:4">
      <c r="C3212"/>
      <c r="D3212"/>
    </row>
    <row r="3213" spans="3:4">
      <c r="C3213"/>
      <c r="D3213"/>
    </row>
    <row r="3214" spans="3:4">
      <c r="C3214"/>
      <c r="D3214"/>
    </row>
    <row r="3215" spans="3:4">
      <c r="C3215"/>
      <c r="D3215"/>
    </row>
    <row r="3216" spans="3:4">
      <c r="C3216"/>
      <c r="D3216"/>
    </row>
    <row r="3217" spans="3:4">
      <c r="C3217"/>
      <c r="D3217"/>
    </row>
    <row r="3218" spans="3:4">
      <c r="C3218"/>
      <c r="D3218"/>
    </row>
    <row r="3219" spans="3:4">
      <c r="C3219"/>
      <c r="D3219"/>
    </row>
    <row r="3220" spans="3:4">
      <c r="C3220"/>
      <c r="D3220"/>
    </row>
    <row r="3221" spans="3:4">
      <c r="C3221"/>
      <c r="D3221"/>
    </row>
    <row r="3222" spans="3:4">
      <c r="C3222"/>
      <c r="D3222"/>
    </row>
    <row r="3223" spans="3:4">
      <c r="C3223"/>
      <c r="D3223"/>
    </row>
    <row r="3224" spans="3:4">
      <c r="C3224"/>
      <c r="D3224"/>
    </row>
    <row r="3225" spans="3:4">
      <c r="C3225"/>
      <c r="D3225"/>
    </row>
    <row r="3226" spans="3:4">
      <c r="C3226"/>
      <c r="D3226"/>
    </row>
    <row r="3227" spans="3:4">
      <c r="C3227"/>
      <c r="D3227"/>
    </row>
    <row r="3228" spans="3:4">
      <c r="C3228"/>
      <c r="D3228"/>
    </row>
    <row r="3229" spans="3:4">
      <c r="C3229"/>
      <c r="D3229"/>
    </row>
    <row r="3230" spans="3:4">
      <c r="C3230"/>
      <c r="D3230"/>
    </row>
    <row r="3231" spans="3:4">
      <c r="C3231"/>
      <c r="D3231"/>
    </row>
    <row r="3232" spans="3:4">
      <c r="C3232"/>
      <c r="D3232"/>
    </row>
    <row r="3233" spans="3:4">
      <c r="C3233"/>
      <c r="D3233"/>
    </row>
    <row r="3234" spans="3:4">
      <c r="C3234"/>
      <c r="D3234"/>
    </row>
    <row r="3235" spans="3:4">
      <c r="C3235"/>
      <c r="D3235"/>
    </row>
    <row r="3236" spans="3:4">
      <c r="C3236"/>
      <c r="D3236"/>
    </row>
    <row r="3237" spans="3:4">
      <c r="C3237"/>
      <c r="D3237"/>
    </row>
    <row r="3238" spans="3:4">
      <c r="C3238"/>
      <c r="D3238"/>
    </row>
    <row r="3239" spans="3:4">
      <c r="C3239"/>
      <c r="D3239"/>
    </row>
    <row r="3240" spans="3:4">
      <c r="C3240"/>
      <c r="D3240"/>
    </row>
    <row r="3241" spans="3:4">
      <c r="C3241"/>
      <c r="D3241"/>
    </row>
    <row r="3242" spans="3:4">
      <c r="C3242"/>
      <c r="D3242"/>
    </row>
    <row r="3243" spans="3:4">
      <c r="C3243"/>
      <c r="D3243"/>
    </row>
    <row r="3244" spans="3:4">
      <c r="C3244"/>
      <c r="D3244"/>
    </row>
    <row r="3245" spans="3:4">
      <c r="C3245"/>
      <c r="D3245"/>
    </row>
    <row r="3246" spans="3:4">
      <c r="C3246"/>
      <c r="D3246"/>
    </row>
    <row r="3247" spans="3:4">
      <c r="C3247"/>
      <c r="D3247"/>
    </row>
    <row r="3248" spans="3:4">
      <c r="C3248"/>
      <c r="D3248"/>
    </row>
    <row r="3249" spans="3:4">
      <c r="C3249"/>
      <c r="D3249"/>
    </row>
    <row r="3250" spans="3:4">
      <c r="C3250"/>
      <c r="D3250"/>
    </row>
    <row r="3251" spans="3:4">
      <c r="C3251"/>
      <c r="D3251"/>
    </row>
    <row r="3252" spans="3:4">
      <c r="C3252"/>
      <c r="D3252"/>
    </row>
    <row r="3253" spans="3:4">
      <c r="C3253"/>
      <c r="D3253"/>
    </row>
    <row r="3254" spans="3:4">
      <c r="C3254"/>
      <c r="D3254"/>
    </row>
    <row r="3255" spans="3:4">
      <c r="C3255"/>
      <c r="D3255"/>
    </row>
    <row r="3256" spans="3:4">
      <c r="C3256"/>
      <c r="D3256"/>
    </row>
    <row r="3257" spans="3:4">
      <c r="C3257"/>
      <c r="D3257"/>
    </row>
    <row r="3258" spans="3:4">
      <c r="C3258"/>
      <c r="D3258"/>
    </row>
    <row r="3259" spans="3:4">
      <c r="C3259"/>
      <c r="D3259"/>
    </row>
    <row r="3260" spans="3:4">
      <c r="C3260"/>
      <c r="D3260"/>
    </row>
    <row r="3261" spans="3:4">
      <c r="C3261"/>
      <c r="D3261"/>
    </row>
    <row r="3262" spans="3:4">
      <c r="C3262"/>
      <c r="D3262"/>
    </row>
    <row r="3263" spans="3:4">
      <c r="C3263"/>
      <c r="D3263"/>
    </row>
    <row r="3264" spans="3:4">
      <c r="C3264"/>
      <c r="D3264"/>
    </row>
    <row r="3265" spans="3:4">
      <c r="C3265"/>
      <c r="D3265"/>
    </row>
    <row r="3266" spans="3:4">
      <c r="C3266"/>
      <c r="D3266"/>
    </row>
    <row r="3267" spans="3:4">
      <c r="C3267"/>
      <c r="D3267"/>
    </row>
    <row r="3268" spans="3:4">
      <c r="C3268"/>
      <c r="D3268"/>
    </row>
    <row r="3269" spans="3:4">
      <c r="C3269"/>
      <c r="D3269"/>
    </row>
    <row r="3270" spans="3:4">
      <c r="C3270"/>
      <c r="D3270"/>
    </row>
    <row r="3271" spans="3:4">
      <c r="C3271"/>
      <c r="D3271"/>
    </row>
    <row r="3272" spans="3:4">
      <c r="C3272"/>
      <c r="D3272"/>
    </row>
    <row r="3273" spans="3:4">
      <c r="C3273"/>
      <c r="D3273"/>
    </row>
    <row r="3274" spans="3:4">
      <c r="C3274"/>
      <c r="D3274"/>
    </row>
    <row r="3275" spans="3:4">
      <c r="C3275"/>
      <c r="D3275"/>
    </row>
    <row r="3276" spans="3:4">
      <c r="C3276"/>
      <c r="D3276"/>
    </row>
    <row r="3277" spans="3:4">
      <c r="C3277"/>
      <c r="D3277"/>
    </row>
    <row r="3278" spans="3:4">
      <c r="C3278"/>
      <c r="D3278"/>
    </row>
    <row r="3279" spans="3:4">
      <c r="C3279"/>
      <c r="D3279"/>
    </row>
    <row r="3280" spans="3:4">
      <c r="C3280"/>
      <c r="D3280"/>
    </row>
    <row r="3281" spans="3:4">
      <c r="C3281"/>
      <c r="D3281"/>
    </row>
    <row r="3282" spans="3:4">
      <c r="C3282"/>
      <c r="D3282"/>
    </row>
    <row r="3283" spans="3:4">
      <c r="C3283"/>
      <c r="D3283"/>
    </row>
    <row r="3284" spans="3:4">
      <c r="C3284"/>
      <c r="D3284"/>
    </row>
    <row r="3285" spans="3:4">
      <c r="C3285"/>
      <c r="D3285"/>
    </row>
    <row r="3286" spans="3:4">
      <c r="C3286"/>
      <c r="D3286"/>
    </row>
    <row r="3287" spans="3:4">
      <c r="C3287"/>
      <c r="D3287"/>
    </row>
    <row r="3288" spans="3:4">
      <c r="C3288"/>
      <c r="D3288"/>
    </row>
    <row r="3289" spans="3:4">
      <c r="C3289"/>
      <c r="D3289"/>
    </row>
    <row r="3290" spans="3:4">
      <c r="C3290"/>
      <c r="D3290"/>
    </row>
    <row r="3291" spans="3:4">
      <c r="C3291"/>
      <c r="D3291"/>
    </row>
    <row r="3292" spans="3:4">
      <c r="C3292"/>
      <c r="D3292"/>
    </row>
    <row r="3293" spans="3:4">
      <c r="C3293"/>
      <c r="D3293"/>
    </row>
    <row r="3294" spans="3:4">
      <c r="C3294"/>
      <c r="D3294"/>
    </row>
    <row r="3295" spans="3:4">
      <c r="C3295"/>
      <c r="D3295"/>
    </row>
    <row r="3296" spans="3:4">
      <c r="C3296"/>
      <c r="D3296"/>
    </row>
    <row r="3297" spans="3:4">
      <c r="C3297"/>
      <c r="D3297"/>
    </row>
    <row r="3298" spans="3:4">
      <c r="C3298"/>
      <c r="D3298"/>
    </row>
    <row r="3299" spans="3:4">
      <c r="C3299"/>
      <c r="D3299"/>
    </row>
    <row r="3300" spans="3:4">
      <c r="C3300"/>
      <c r="D3300"/>
    </row>
    <row r="3301" spans="3:4">
      <c r="C3301"/>
      <c r="D3301"/>
    </row>
    <row r="3302" spans="3:4">
      <c r="C3302"/>
      <c r="D3302"/>
    </row>
    <row r="3303" spans="3:4">
      <c r="C3303"/>
      <c r="D3303"/>
    </row>
    <row r="3304" spans="3:4">
      <c r="C3304"/>
      <c r="D3304"/>
    </row>
    <row r="3305" spans="3:4">
      <c r="C3305"/>
      <c r="D3305"/>
    </row>
    <row r="3306" spans="3:4">
      <c r="C3306"/>
      <c r="D3306"/>
    </row>
    <row r="3307" spans="3:4">
      <c r="C3307"/>
      <c r="D3307"/>
    </row>
    <row r="3308" spans="3:4">
      <c r="C3308"/>
      <c r="D3308"/>
    </row>
    <row r="3309" spans="3:4">
      <c r="C3309"/>
      <c r="D3309"/>
    </row>
    <row r="3310" spans="3:4">
      <c r="C3310"/>
      <c r="D3310"/>
    </row>
    <row r="3311" spans="3:4">
      <c r="C3311"/>
      <c r="D3311"/>
    </row>
    <row r="3312" spans="3:4">
      <c r="C3312"/>
      <c r="D3312"/>
    </row>
    <row r="3313" spans="3:4">
      <c r="C3313"/>
      <c r="D3313"/>
    </row>
    <row r="3314" spans="3:4">
      <c r="C3314"/>
      <c r="D3314"/>
    </row>
    <row r="3315" spans="3:4">
      <c r="C3315"/>
      <c r="D3315"/>
    </row>
    <row r="3316" spans="3:4">
      <c r="C3316"/>
      <c r="D3316"/>
    </row>
    <row r="3317" spans="3:4">
      <c r="C3317"/>
      <c r="D3317"/>
    </row>
    <row r="3318" spans="3:4">
      <c r="C3318"/>
      <c r="D3318"/>
    </row>
    <row r="3319" spans="3:4">
      <c r="C3319"/>
      <c r="D3319"/>
    </row>
    <row r="3320" spans="3:4">
      <c r="C3320"/>
      <c r="D3320"/>
    </row>
    <row r="3321" spans="3:4">
      <c r="C3321"/>
      <c r="D3321"/>
    </row>
    <row r="3322" spans="3:4">
      <c r="C3322"/>
      <c r="D3322"/>
    </row>
    <row r="3323" spans="3:4">
      <c r="C3323"/>
      <c r="D3323"/>
    </row>
    <row r="3324" spans="3:4">
      <c r="C3324"/>
      <c r="D3324"/>
    </row>
    <row r="3325" spans="3:4">
      <c r="C3325"/>
      <c r="D3325"/>
    </row>
    <row r="3326" spans="3:4">
      <c r="C3326"/>
      <c r="D3326"/>
    </row>
    <row r="3327" spans="3:4">
      <c r="C3327"/>
      <c r="D3327"/>
    </row>
    <row r="3328" spans="3:4">
      <c r="C3328"/>
      <c r="D3328"/>
    </row>
    <row r="3329" spans="3:4">
      <c r="C3329"/>
      <c r="D3329"/>
    </row>
    <row r="3330" spans="3:4">
      <c r="C3330"/>
      <c r="D3330"/>
    </row>
    <row r="3331" spans="3:4">
      <c r="C3331"/>
      <c r="D3331"/>
    </row>
    <row r="3332" spans="3:4">
      <c r="C3332"/>
      <c r="D3332"/>
    </row>
    <row r="3333" spans="3:4">
      <c r="C3333"/>
      <c r="D3333"/>
    </row>
    <row r="3334" spans="3:4">
      <c r="C3334"/>
      <c r="D3334"/>
    </row>
    <row r="3335" spans="3:4">
      <c r="C3335"/>
      <c r="D3335"/>
    </row>
    <row r="3336" spans="3:4">
      <c r="C3336"/>
      <c r="D3336"/>
    </row>
    <row r="3337" spans="3:4">
      <c r="C3337"/>
      <c r="D3337"/>
    </row>
    <row r="3338" spans="3:4">
      <c r="C3338"/>
      <c r="D3338"/>
    </row>
    <row r="3339" spans="3:4">
      <c r="C3339"/>
      <c r="D3339"/>
    </row>
    <row r="3340" spans="3:4">
      <c r="C3340"/>
      <c r="D3340"/>
    </row>
    <row r="3341" spans="3:4">
      <c r="C3341"/>
      <c r="D3341"/>
    </row>
    <row r="3342" spans="3:4">
      <c r="C3342"/>
      <c r="D3342"/>
    </row>
    <row r="3343" spans="3:4">
      <c r="C3343"/>
      <c r="D3343"/>
    </row>
    <row r="3344" spans="3:4">
      <c r="C3344"/>
      <c r="D3344"/>
    </row>
    <row r="3345" spans="3:4">
      <c r="C3345"/>
      <c r="D3345"/>
    </row>
    <row r="3346" spans="3:4">
      <c r="C3346"/>
      <c r="D3346"/>
    </row>
    <row r="3347" spans="3:4">
      <c r="C3347"/>
      <c r="D3347"/>
    </row>
    <row r="3348" spans="3:4">
      <c r="C3348"/>
      <c r="D3348"/>
    </row>
    <row r="3349" spans="3:4">
      <c r="C3349"/>
      <c r="D3349"/>
    </row>
    <row r="3350" spans="3:4">
      <c r="C3350"/>
      <c r="D3350"/>
    </row>
    <row r="3351" spans="3:4">
      <c r="C3351"/>
      <c r="D3351"/>
    </row>
    <row r="3352" spans="3:4">
      <c r="C3352"/>
      <c r="D3352"/>
    </row>
    <row r="3353" spans="3:4">
      <c r="C3353"/>
      <c r="D3353"/>
    </row>
    <row r="3354" spans="3:4">
      <c r="C3354"/>
      <c r="D3354"/>
    </row>
    <row r="3355" spans="3:4">
      <c r="C3355"/>
      <c r="D3355"/>
    </row>
    <row r="3356" spans="3:4">
      <c r="C3356"/>
      <c r="D3356"/>
    </row>
    <row r="3357" spans="3:4">
      <c r="C3357"/>
      <c r="D3357"/>
    </row>
    <row r="3358" spans="3:4">
      <c r="C3358"/>
      <c r="D3358"/>
    </row>
    <row r="3359" spans="3:4">
      <c r="C3359"/>
      <c r="D3359"/>
    </row>
    <row r="3360" spans="3:4">
      <c r="C3360"/>
      <c r="D3360"/>
    </row>
    <row r="3361" spans="3:4">
      <c r="C3361"/>
      <c r="D3361"/>
    </row>
    <row r="3362" spans="3:4">
      <c r="C3362"/>
      <c r="D3362"/>
    </row>
    <row r="3363" spans="3:4">
      <c r="C3363"/>
      <c r="D3363"/>
    </row>
    <row r="3364" spans="3:4">
      <c r="C3364"/>
      <c r="D3364"/>
    </row>
    <row r="3365" spans="3:4">
      <c r="C3365"/>
      <c r="D3365"/>
    </row>
    <row r="3366" spans="3:4">
      <c r="C3366"/>
      <c r="D3366"/>
    </row>
    <row r="3367" spans="3:4">
      <c r="C3367"/>
      <c r="D3367"/>
    </row>
    <row r="3368" spans="3:4">
      <c r="C3368"/>
      <c r="D3368"/>
    </row>
    <row r="3369" spans="3:4">
      <c r="C3369"/>
      <c r="D3369"/>
    </row>
    <row r="3370" spans="3:4">
      <c r="C3370"/>
      <c r="D3370"/>
    </row>
    <row r="3371" spans="3:4">
      <c r="C3371"/>
      <c r="D3371"/>
    </row>
    <row r="3372" spans="3:4">
      <c r="C3372"/>
      <c r="D3372"/>
    </row>
    <row r="3373" spans="3:4">
      <c r="C3373"/>
      <c r="D3373"/>
    </row>
    <row r="3374" spans="3:4">
      <c r="C3374"/>
      <c r="D3374"/>
    </row>
    <row r="3375" spans="3:4">
      <c r="C3375"/>
      <c r="D3375"/>
    </row>
    <row r="3376" spans="3:4">
      <c r="C3376"/>
      <c r="D3376"/>
    </row>
    <row r="3377" spans="3:4">
      <c r="C3377"/>
      <c r="D3377"/>
    </row>
    <row r="3378" spans="3:4">
      <c r="C3378"/>
      <c r="D3378"/>
    </row>
    <row r="3379" spans="3:4">
      <c r="C3379"/>
      <c r="D3379"/>
    </row>
    <row r="3380" spans="3:4">
      <c r="C3380"/>
      <c r="D3380"/>
    </row>
    <row r="3381" spans="3:4">
      <c r="C3381"/>
      <c r="D3381"/>
    </row>
    <row r="3382" spans="3:4">
      <c r="C3382"/>
      <c r="D3382"/>
    </row>
    <row r="3383" spans="3:4">
      <c r="C3383"/>
      <c r="D3383"/>
    </row>
    <row r="3384" spans="3:4">
      <c r="C3384"/>
      <c r="D3384"/>
    </row>
    <row r="3385" spans="3:4">
      <c r="C3385"/>
      <c r="D3385"/>
    </row>
    <row r="3386" spans="3:4">
      <c r="C3386"/>
      <c r="D3386"/>
    </row>
    <row r="3387" spans="3:4">
      <c r="C3387"/>
      <c r="D3387"/>
    </row>
    <row r="3388" spans="3:4">
      <c r="C3388"/>
      <c r="D3388"/>
    </row>
    <row r="3389" spans="3:4">
      <c r="C3389"/>
      <c r="D3389"/>
    </row>
    <row r="3390" spans="3:4">
      <c r="C3390"/>
      <c r="D3390"/>
    </row>
    <row r="3391" spans="3:4">
      <c r="C3391"/>
      <c r="D3391"/>
    </row>
    <row r="3392" spans="3:4">
      <c r="C3392"/>
      <c r="D3392"/>
    </row>
    <row r="3393" spans="3:4">
      <c r="C3393"/>
      <c r="D3393"/>
    </row>
    <row r="3394" spans="3:4">
      <c r="C3394"/>
      <c r="D3394"/>
    </row>
    <row r="3395" spans="3:4">
      <c r="C3395"/>
      <c r="D3395"/>
    </row>
    <row r="3396" spans="3:4">
      <c r="C3396"/>
      <c r="D3396"/>
    </row>
    <row r="3397" spans="3:4">
      <c r="C3397"/>
      <c r="D3397"/>
    </row>
    <row r="3398" spans="3:4">
      <c r="C3398"/>
      <c r="D3398"/>
    </row>
    <row r="3399" spans="3:4">
      <c r="C3399"/>
      <c r="D3399"/>
    </row>
    <row r="3400" spans="3:4">
      <c r="C3400"/>
      <c r="D3400"/>
    </row>
    <row r="3401" spans="3:4">
      <c r="C3401"/>
      <c r="D3401"/>
    </row>
    <row r="3402" spans="3:4">
      <c r="C3402"/>
      <c r="D3402"/>
    </row>
    <row r="3403" spans="3:4">
      <c r="C3403"/>
      <c r="D3403"/>
    </row>
    <row r="3404" spans="3:4">
      <c r="C3404"/>
      <c r="D3404"/>
    </row>
    <row r="3405" spans="3:4">
      <c r="C3405"/>
      <c r="D3405"/>
    </row>
    <row r="3406" spans="3:4">
      <c r="C3406"/>
      <c r="D3406"/>
    </row>
    <row r="3407" spans="3:4">
      <c r="C3407"/>
      <c r="D3407"/>
    </row>
    <row r="3408" spans="3:4">
      <c r="C3408"/>
      <c r="D3408"/>
    </row>
    <row r="3409" spans="3:4">
      <c r="C3409"/>
      <c r="D3409"/>
    </row>
    <row r="3410" spans="3:4">
      <c r="C3410"/>
      <c r="D3410"/>
    </row>
    <row r="3411" spans="3:4">
      <c r="C3411"/>
      <c r="D3411"/>
    </row>
    <row r="3412" spans="3:4">
      <c r="C3412"/>
      <c r="D3412"/>
    </row>
    <row r="3413" spans="3:4">
      <c r="C3413"/>
      <c r="D3413"/>
    </row>
    <row r="3414" spans="3:4">
      <c r="C3414"/>
      <c r="D3414"/>
    </row>
    <row r="3415" spans="3:4">
      <c r="C3415"/>
      <c r="D3415"/>
    </row>
    <row r="3416" spans="3:4">
      <c r="C3416"/>
      <c r="D3416"/>
    </row>
    <row r="3417" spans="3:4">
      <c r="C3417"/>
      <c r="D3417"/>
    </row>
    <row r="3418" spans="3:4">
      <c r="C3418"/>
      <c r="D3418"/>
    </row>
    <row r="3419" spans="3:4">
      <c r="C3419"/>
      <c r="D3419"/>
    </row>
    <row r="3420" spans="3:4">
      <c r="C3420"/>
      <c r="D3420"/>
    </row>
    <row r="3421" spans="3:4">
      <c r="C3421"/>
      <c r="D3421"/>
    </row>
    <row r="3422" spans="3:4">
      <c r="C3422"/>
      <c r="D3422"/>
    </row>
    <row r="3423" spans="3:4">
      <c r="C3423"/>
      <c r="D3423"/>
    </row>
    <row r="3424" spans="3:4">
      <c r="C3424"/>
      <c r="D3424"/>
    </row>
    <row r="3425" spans="3:4">
      <c r="C3425"/>
      <c r="D3425"/>
    </row>
    <row r="3426" spans="3:4">
      <c r="C3426"/>
      <c r="D3426"/>
    </row>
    <row r="3427" spans="3:4">
      <c r="C3427"/>
      <c r="D3427"/>
    </row>
    <row r="3428" spans="3:4">
      <c r="C3428"/>
      <c r="D3428"/>
    </row>
    <row r="3429" spans="3:4">
      <c r="C3429"/>
      <c r="D3429"/>
    </row>
    <row r="3430" spans="3:4">
      <c r="C3430"/>
      <c r="D3430"/>
    </row>
    <row r="3431" spans="3:4">
      <c r="C3431"/>
      <c r="D3431"/>
    </row>
    <row r="3432" spans="3:4">
      <c r="C3432"/>
      <c r="D3432"/>
    </row>
    <row r="3433" spans="3:4">
      <c r="C3433"/>
      <c r="D3433"/>
    </row>
    <row r="3434" spans="3:4">
      <c r="C3434"/>
      <c r="D3434"/>
    </row>
    <row r="3435" spans="3:4">
      <c r="C3435"/>
      <c r="D3435"/>
    </row>
    <row r="3436" spans="3:4">
      <c r="C3436"/>
      <c r="D3436"/>
    </row>
    <row r="3437" spans="3:4">
      <c r="C3437"/>
      <c r="D3437"/>
    </row>
    <row r="3438" spans="3:4">
      <c r="C3438"/>
      <c r="D3438"/>
    </row>
    <row r="3439" spans="3:4">
      <c r="C3439"/>
      <c r="D3439"/>
    </row>
    <row r="3440" spans="3:4">
      <c r="C3440"/>
      <c r="D3440"/>
    </row>
    <row r="3441" spans="3:4">
      <c r="C3441"/>
      <c r="D3441"/>
    </row>
    <row r="3442" spans="3:4">
      <c r="C3442"/>
      <c r="D3442"/>
    </row>
    <row r="3443" spans="3:4">
      <c r="C3443"/>
      <c r="D3443"/>
    </row>
    <row r="3444" spans="3:4">
      <c r="C3444"/>
      <c r="D3444"/>
    </row>
    <row r="3445" spans="3:4">
      <c r="C3445"/>
      <c r="D3445"/>
    </row>
    <row r="3446" spans="3:4">
      <c r="C3446"/>
      <c r="D3446"/>
    </row>
    <row r="3447" spans="3:4">
      <c r="C3447"/>
      <c r="D3447"/>
    </row>
    <row r="3448" spans="3:4">
      <c r="C3448"/>
      <c r="D3448"/>
    </row>
    <row r="3449" spans="3:4">
      <c r="C3449"/>
      <c r="D3449"/>
    </row>
    <row r="3450" spans="3:4">
      <c r="C3450"/>
      <c r="D3450"/>
    </row>
    <row r="3451" spans="3:4">
      <c r="C3451"/>
      <c r="D3451"/>
    </row>
    <row r="3452" spans="3:4">
      <c r="C3452"/>
      <c r="D3452"/>
    </row>
    <row r="3453" spans="3:4">
      <c r="C3453"/>
      <c r="D3453"/>
    </row>
    <row r="3454" spans="3:4">
      <c r="C3454"/>
      <c r="D3454"/>
    </row>
    <row r="3455" spans="3:4">
      <c r="C3455"/>
      <c r="D3455"/>
    </row>
    <row r="3456" spans="3:4">
      <c r="C3456"/>
      <c r="D3456"/>
    </row>
    <row r="3457" spans="3:4">
      <c r="C3457"/>
      <c r="D3457"/>
    </row>
    <row r="3458" spans="3:4">
      <c r="C3458"/>
      <c r="D3458"/>
    </row>
    <row r="3459" spans="3:4">
      <c r="C3459"/>
      <c r="D3459"/>
    </row>
    <row r="3460" spans="3:4">
      <c r="C3460"/>
      <c r="D3460"/>
    </row>
    <row r="3461" spans="3:4">
      <c r="C3461"/>
      <c r="D3461"/>
    </row>
    <row r="3462" spans="3:4">
      <c r="C3462"/>
      <c r="D3462"/>
    </row>
    <row r="3463" spans="3:4">
      <c r="C3463"/>
      <c r="D3463"/>
    </row>
    <row r="3464" spans="3:4">
      <c r="C3464"/>
      <c r="D3464"/>
    </row>
    <row r="3465" spans="3:4">
      <c r="C3465"/>
      <c r="D3465"/>
    </row>
    <row r="3466" spans="3:4">
      <c r="C3466"/>
      <c r="D3466"/>
    </row>
    <row r="3467" spans="3:4">
      <c r="C3467"/>
      <c r="D3467"/>
    </row>
    <row r="3468" spans="3:4">
      <c r="C3468"/>
      <c r="D3468"/>
    </row>
    <row r="3469" spans="3:4">
      <c r="C3469"/>
      <c r="D3469"/>
    </row>
    <row r="3470" spans="3:4">
      <c r="C3470"/>
      <c r="D3470"/>
    </row>
    <row r="3471" spans="3:4">
      <c r="C3471"/>
      <c r="D3471"/>
    </row>
    <row r="3472" spans="3:4">
      <c r="C3472"/>
      <c r="D3472"/>
    </row>
    <row r="3473" spans="3:4">
      <c r="C3473"/>
      <c r="D3473"/>
    </row>
    <row r="3474" spans="3:4">
      <c r="C3474"/>
      <c r="D3474"/>
    </row>
    <row r="3475" spans="3:4">
      <c r="C3475"/>
      <c r="D3475"/>
    </row>
    <row r="3476" spans="3:4">
      <c r="C3476"/>
      <c r="D3476"/>
    </row>
    <row r="3477" spans="3:4">
      <c r="C3477"/>
      <c r="D3477"/>
    </row>
    <row r="3478" spans="3:4">
      <c r="C3478"/>
      <c r="D3478"/>
    </row>
    <row r="3479" spans="3:4">
      <c r="C3479"/>
      <c r="D3479"/>
    </row>
    <row r="3480" spans="3:4">
      <c r="C3480"/>
      <c r="D3480"/>
    </row>
    <row r="3481" spans="3:4">
      <c r="C3481"/>
      <c r="D3481"/>
    </row>
    <row r="3482" spans="3:4">
      <c r="C3482"/>
      <c r="D3482"/>
    </row>
    <row r="3483" spans="3:4">
      <c r="C3483"/>
      <c r="D3483"/>
    </row>
    <row r="3484" spans="3:4">
      <c r="C3484"/>
      <c r="D3484"/>
    </row>
    <row r="3485" spans="3:4">
      <c r="C3485"/>
      <c r="D3485"/>
    </row>
    <row r="3486" spans="3:4">
      <c r="C3486"/>
      <c r="D3486"/>
    </row>
    <row r="3487" spans="3:4">
      <c r="C3487"/>
      <c r="D3487"/>
    </row>
    <row r="3488" spans="3:4">
      <c r="C3488"/>
      <c r="D3488"/>
    </row>
    <row r="3489" spans="3:4">
      <c r="C3489"/>
      <c r="D3489"/>
    </row>
    <row r="3490" spans="3:4">
      <c r="C3490"/>
      <c r="D3490"/>
    </row>
    <row r="3491" spans="3:4">
      <c r="C3491"/>
      <c r="D3491"/>
    </row>
    <row r="3492" spans="3:4">
      <c r="C3492"/>
      <c r="D3492"/>
    </row>
    <row r="3493" spans="3:4">
      <c r="C3493"/>
      <c r="D3493"/>
    </row>
    <row r="3494" spans="3:4">
      <c r="C3494"/>
      <c r="D3494"/>
    </row>
    <row r="3495" spans="3:4">
      <c r="C3495"/>
      <c r="D3495"/>
    </row>
    <row r="3496" spans="3:4">
      <c r="C3496"/>
      <c r="D3496"/>
    </row>
    <row r="3497" spans="3:4">
      <c r="C3497"/>
      <c r="D3497"/>
    </row>
    <row r="3498" spans="3:4">
      <c r="C3498"/>
      <c r="D3498"/>
    </row>
    <row r="3499" spans="3:4">
      <c r="C3499"/>
      <c r="D3499"/>
    </row>
    <row r="3500" spans="3:4">
      <c r="C3500"/>
      <c r="D3500"/>
    </row>
    <row r="3501" spans="3:4">
      <c r="C3501"/>
      <c r="D3501"/>
    </row>
    <row r="3502" spans="3:4">
      <c r="C3502"/>
      <c r="D3502"/>
    </row>
    <row r="3503" spans="3:4">
      <c r="C3503"/>
      <c r="D3503"/>
    </row>
    <row r="3504" spans="3:4">
      <c r="C3504"/>
      <c r="D3504"/>
    </row>
    <row r="3505" spans="3:4">
      <c r="C3505"/>
      <c r="D3505"/>
    </row>
    <row r="3506" spans="3:4">
      <c r="C3506"/>
      <c r="D3506"/>
    </row>
    <row r="3507" spans="3:4">
      <c r="C3507"/>
      <c r="D3507"/>
    </row>
    <row r="3508" spans="3:4">
      <c r="C3508"/>
      <c r="D3508"/>
    </row>
    <row r="3509" spans="3:4">
      <c r="C3509"/>
      <c r="D3509"/>
    </row>
    <row r="3510" spans="3:4">
      <c r="C3510"/>
      <c r="D3510"/>
    </row>
    <row r="3511" spans="3:4">
      <c r="C3511"/>
      <c r="D3511"/>
    </row>
    <row r="3512" spans="3:4">
      <c r="C3512"/>
      <c r="D3512"/>
    </row>
    <row r="3513" spans="3:4">
      <c r="C3513"/>
      <c r="D3513"/>
    </row>
    <row r="3514" spans="3:4">
      <c r="C3514"/>
      <c r="D3514"/>
    </row>
    <row r="3515" spans="3:4">
      <c r="C3515"/>
      <c r="D3515"/>
    </row>
    <row r="3516" spans="3:4">
      <c r="C3516"/>
      <c r="D3516"/>
    </row>
    <row r="3517" spans="3:4">
      <c r="C3517"/>
      <c r="D3517"/>
    </row>
    <row r="3518" spans="3:4">
      <c r="C3518"/>
      <c r="D3518"/>
    </row>
    <row r="3519" spans="3:4">
      <c r="C3519"/>
      <c r="D3519"/>
    </row>
    <row r="3520" spans="3:4">
      <c r="C3520"/>
      <c r="D3520"/>
    </row>
    <row r="3521" spans="3:4">
      <c r="C3521"/>
      <c r="D3521"/>
    </row>
    <row r="3522" spans="3:4">
      <c r="C3522"/>
      <c r="D3522"/>
    </row>
    <row r="3523" spans="3:4">
      <c r="C3523"/>
      <c r="D3523"/>
    </row>
    <row r="3524" spans="3:4">
      <c r="C3524"/>
      <c r="D3524"/>
    </row>
    <row r="3525" spans="3:4">
      <c r="C3525"/>
      <c r="D3525"/>
    </row>
    <row r="3526" spans="3:4">
      <c r="C3526"/>
      <c r="D3526"/>
    </row>
    <row r="3527" spans="3:4">
      <c r="C3527"/>
      <c r="D3527"/>
    </row>
    <row r="3528" spans="3:4">
      <c r="C3528"/>
      <c r="D3528"/>
    </row>
    <row r="3529" spans="3:4">
      <c r="C3529"/>
      <c r="D3529"/>
    </row>
    <row r="3530" spans="3:4">
      <c r="C3530"/>
      <c r="D3530"/>
    </row>
    <row r="3531" spans="3:4">
      <c r="C3531"/>
      <c r="D3531"/>
    </row>
    <row r="3532" spans="3:4">
      <c r="C3532"/>
      <c r="D3532"/>
    </row>
    <row r="3533" spans="3:4">
      <c r="C3533"/>
      <c r="D3533"/>
    </row>
    <row r="3534" spans="3:4">
      <c r="C3534"/>
      <c r="D3534"/>
    </row>
    <row r="3535" spans="3:4">
      <c r="C3535"/>
      <c r="D3535"/>
    </row>
    <row r="3536" spans="3:4">
      <c r="C3536"/>
      <c r="D3536"/>
    </row>
    <row r="3537" spans="3:4">
      <c r="C3537"/>
      <c r="D3537"/>
    </row>
    <row r="3538" spans="3:4">
      <c r="C3538"/>
      <c r="D3538"/>
    </row>
    <row r="3539" spans="3:4">
      <c r="C3539"/>
      <c r="D3539"/>
    </row>
    <row r="3540" spans="3:4">
      <c r="C3540"/>
      <c r="D3540"/>
    </row>
    <row r="3541" spans="3:4">
      <c r="C3541"/>
      <c r="D3541"/>
    </row>
    <row r="3542" spans="3:4">
      <c r="C3542"/>
      <c r="D3542"/>
    </row>
    <row r="3543" spans="3:4">
      <c r="C3543"/>
      <c r="D3543"/>
    </row>
    <row r="3544" spans="3:4">
      <c r="C3544"/>
      <c r="D3544"/>
    </row>
    <row r="3545" spans="3:4">
      <c r="C3545"/>
      <c r="D3545"/>
    </row>
    <row r="3546" spans="3:4">
      <c r="C3546"/>
      <c r="D3546"/>
    </row>
    <row r="3547" spans="3:4">
      <c r="C3547"/>
      <c r="D3547"/>
    </row>
    <row r="3548" spans="3:4">
      <c r="C3548"/>
      <c r="D3548"/>
    </row>
    <row r="3549" spans="3:4">
      <c r="C3549"/>
      <c r="D3549"/>
    </row>
    <row r="3550" spans="3:4">
      <c r="C3550"/>
      <c r="D3550"/>
    </row>
    <row r="3551" spans="3:4">
      <c r="C3551"/>
      <c r="D3551"/>
    </row>
    <row r="3552" spans="3:4">
      <c r="C3552"/>
      <c r="D3552"/>
    </row>
    <row r="3553" spans="3:4">
      <c r="C3553"/>
      <c r="D3553"/>
    </row>
    <row r="3554" spans="3:4">
      <c r="C3554"/>
      <c r="D3554"/>
    </row>
    <row r="3555" spans="3:4">
      <c r="C3555"/>
      <c r="D3555"/>
    </row>
    <row r="3556" spans="3:4">
      <c r="C3556"/>
      <c r="D3556"/>
    </row>
    <row r="3557" spans="3:4">
      <c r="C3557"/>
      <c r="D3557"/>
    </row>
    <row r="3558" spans="3:4">
      <c r="C3558"/>
      <c r="D3558"/>
    </row>
    <row r="3559" spans="3:4">
      <c r="C3559"/>
      <c r="D3559"/>
    </row>
    <row r="3560" spans="3:4">
      <c r="C3560"/>
      <c r="D3560"/>
    </row>
    <row r="3561" spans="3:4">
      <c r="C3561"/>
      <c r="D3561"/>
    </row>
    <row r="3562" spans="3:4">
      <c r="C3562"/>
      <c r="D3562"/>
    </row>
    <row r="3563" spans="3:4">
      <c r="C3563"/>
      <c r="D3563"/>
    </row>
    <row r="3564" spans="3:4">
      <c r="C3564"/>
      <c r="D3564"/>
    </row>
    <row r="3565" spans="3:4">
      <c r="C3565"/>
      <c r="D3565"/>
    </row>
    <row r="3566" spans="3:4">
      <c r="C3566"/>
      <c r="D3566"/>
    </row>
    <row r="3567" spans="3:4">
      <c r="C3567"/>
      <c r="D3567"/>
    </row>
    <row r="3568" spans="3:4">
      <c r="C3568"/>
      <c r="D3568"/>
    </row>
    <row r="3569" spans="3:4">
      <c r="C3569"/>
      <c r="D3569"/>
    </row>
    <row r="3570" spans="3:4">
      <c r="C3570"/>
      <c r="D3570"/>
    </row>
    <row r="3571" spans="3:4">
      <c r="C3571"/>
      <c r="D3571"/>
    </row>
    <row r="3572" spans="3:4">
      <c r="C3572"/>
      <c r="D3572"/>
    </row>
    <row r="3573" spans="3:4">
      <c r="C3573"/>
      <c r="D3573"/>
    </row>
    <row r="3574" spans="3:4">
      <c r="C3574"/>
      <c r="D3574"/>
    </row>
    <row r="3575" spans="3:4">
      <c r="C3575"/>
      <c r="D3575"/>
    </row>
    <row r="3576" spans="3:4">
      <c r="C3576"/>
      <c r="D3576"/>
    </row>
    <row r="3577" spans="3:4">
      <c r="C3577"/>
      <c r="D3577"/>
    </row>
    <row r="3578" spans="3:4">
      <c r="C3578"/>
      <c r="D3578"/>
    </row>
    <row r="3579" spans="3:4">
      <c r="C3579"/>
      <c r="D3579"/>
    </row>
    <row r="3580" spans="3:4">
      <c r="C3580"/>
      <c r="D3580"/>
    </row>
    <row r="3581" spans="3:4">
      <c r="C3581"/>
      <c r="D3581"/>
    </row>
    <row r="3582" spans="3:4">
      <c r="C3582"/>
      <c r="D3582"/>
    </row>
    <row r="3583" spans="3:4">
      <c r="C3583"/>
      <c r="D3583"/>
    </row>
    <row r="3584" spans="3:4">
      <c r="C3584"/>
      <c r="D3584"/>
    </row>
    <row r="3585" spans="3:4">
      <c r="C3585"/>
      <c r="D3585"/>
    </row>
    <row r="3586" spans="3:4">
      <c r="C3586"/>
      <c r="D3586"/>
    </row>
    <row r="3587" spans="3:4">
      <c r="C3587"/>
      <c r="D3587"/>
    </row>
    <row r="3588" spans="3:4">
      <c r="C3588"/>
      <c r="D3588"/>
    </row>
    <row r="3589" spans="3:4">
      <c r="C3589"/>
      <c r="D3589"/>
    </row>
    <row r="3590" spans="3:4">
      <c r="C3590"/>
      <c r="D3590"/>
    </row>
    <row r="3591" spans="3:4">
      <c r="C3591"/>
      <c r="D3591"/>
    </row>
    <row r="3592" spans="3:4">
      <c r="C3592"/>
      <c r="D3592"/>
    </row>
    <row r="3593" spans="3:4">
      <c r="C3593"/>
      <c r="D3593"/>
    </row>
    <row r="3594" spans="3:4">
      <c r="C3594"/>
      <c r="D3594"/>
    </row>
    <row r="3595" spans="3:4">
      <c r="C3595"/>
      <c r="D3595"/>
    </row>
    <row r="3596" spans="3:4">
      <c r="C3596"/>
      <c r="D3596"/>
    </row>
    <row r="3597" spans="3:4">
      <c r="C3597"/>
      <c r="D3597"/>
    </row>
    <row r="3598" spans="3:4">
      <c r="C3598"/>
      <c r="D3598"/>
    </row>
    <row r="3599" spans="3:4">
      <c r="C3599"/>
      <c r="D3599"/>
    </row>
    <row r="3600" spans="3:4">
      <c r="C3600"/>
      <c r="D3600"/>
    </row>
    <row r="3601" spans="3:4">
      <c r="C3601"/>
      <c r="D3601"/>
    </row>
    <row r="3602" spans="3:4">
      <c r="C3602"/>
      <c r="D3602"/>
    </row>
    <row r="3603" spans="3:4">
      <c r="C3603"/>
      <c r="D3603"/>
    </row>
    <row r="3604" spans="3:4">
      <c r="C3604"/>
      <c r="D3604"/>
    </row>
    <row r="3605" spans="3:4">
      <c r="C3605"/>
      <c r="D3605"/>
    </row>
    <row r="3606" spans="3:4">
      <c r="C3606"/>
      <c r="D3606"/>
    </row>
    <row r="3607" spans="3:4">
      <c r="C3607"/>
      <c r="D3607"/>
    </row>
    <row r="3608" spans="3:4">
      <c r="C3608"/>
      <c r="D3608"/>
    </row>
    <row r="3609" spans="3:4">
      <c r="C3609"/>
      <c r="D3609"/>
    </row>
    <row r="3610" spans="3:4">
      <c r="C3610"/>
      <c r="D3610"/>
    </row>
    <row r="3611" spans="3:4">
      <c r="C3611"/>
      <c r="D3611"/>
    </row>
    <row r="3612" spans="3:4">
      <c r="C3612"/>
      <c r="D3612"/>
    </row>
    <row r="3613" spans="3:4">
      <c r="C3613"/>
      <c r="D3613"/>
    </row>
    <row r="3614" spans="3:4">
      <c r="C3614"/>
      <c r="D3614"/>
    </row>
    <row r="3615" spans="3:4">
      <c r="C3615"/>
      <c r="D3615"/>
    </row>
    <row r="3616" spans="3:4">
      <c r="C3616"/>
      <c r="D3616"/>
    </row>
    <row r="3617" spans="3:4">
      <c r="C3617"/>
      <c r="D3617"/>
    </row>
    <row r="3618" spans="3:4">
      <c r="C3618"/>
      <c r="D3618"/>
    </row>
    <row r="3619" spans="3:4">
      <c r="C3619"/>
      <c r="D3619"/>
    </row>
    <row r="3620" spans="3:4">
      <c r="C3620"/>
      <c r="D3620"/>
    </row>
    <row r="3621" spans="3:4">
      <c r="C3621"/>
      <c r="D3621"/>
    </row>
    <row r="3622" spans="3:4">
      <c r="C3622"/>
      <c r="D3622"/>
    </row>
    <row r="3623" spans="3:4">
      <c r="C3623"/>
      <c r="D3623"/>
    </row>
    <row r="3624" spans="3:4">
      <c r="C3624"/>
      <c r="D3624"/>
    </row>
    <row r="3625" spans="3:4">
      <c r="C3625"/>
      <c r="D3625"/>
    </row>
    <row r="3626" spans="3:4">
      <c r="C3626"/>
      <c r="D3626"/>
    </row>
    <row r="3627" spans="3:4">
      <c r="C3627"/>
      <c r="D3627"/>
    </row>
    <row r="3628" spans="3:4">
      <c r="C3628"/>
      <c r="D3628"/>
    </row>
    <row r="3629" spans="3:4">
      <c r="C3629"/>
      <c r="D3629"/>
    </row>
    <row r="3630" spans="3:4">
      <c r="C3630"/>
      <c r="D3630"/>
    </row>
    <row r="3631" spans="3:4">
      <c r="C3631"/>
      <c r="D3631"/>
    </row>
    <row r="3632" spans="3:4">
      <c r="C3632"/>
      <c r="D3632"/>
    </row>
    <row r="3633" spans="3:4">
      <c r="C3633"/>
      <c r="D3633"/>
    </row>
    <row r="3634" spans="3:4">
      <c r="C3634"/>
      <c r="D3634"/>
    </row>
    <row r="3635" spans="3:4">
      <c r="C3635"/>
      <c r="D3635"/>
    </row>
    <row r="3636" spans="3:4">
      <c r="C3636"/>
      <c r="D3636"/>
    </row>
    <row r="3637" spans="3:4">
      <c r="C3637"/>
      <c r="D3637"/>
    </row>
    <row r="3638" spans="3:4">
      <c r="C3638"/>
      <c r="D3638"/>
    </row>
    <row r="3639" spans="3:4">
      <c r="C3639"/>
      <c r="D3639"/>
    </row>
    <row r="3640" spans="3:4">
      <c r="C3640"/>
      <c r="D3640"/>
    </row>
    <row r="3641" spans="3:4">
      <c r="C3641"/>
      <c r="D3641"/>
    </row>
    <row r="3642" spans="3:4">
      <c r="C3642"/>
      <c r="D3642"/>
    </row>
    <row r="3643" spans="3:4">
      <c r="C3643"/>
      <c r="D3643"/>
    </row>
    <row r="3644" spans="3:4">
      <c r="C3644"/>
      <c r="D3644"/>
    </row>
    <row r="3645" spans="3:4">
      <c r="C3645"/>
      <c r="D3645"/>
    </row>
    <row r="3646" spans="3:4">
      <c r="C3646"/>
      <c r="D3646"/>
    </row>
    <row r="3647" spans="3:4">
      <c r="C3647"/>
      <c r="D3647"/>
    </row>
    <row r="3648" spans="3:4">
      <c r="C3648"/>
      <c r="D3648"/>
    </row>
    <row r="3649" spans="3:4">
      <c r="C3649"/>
      <c r="D3649"/>
    </row>
    <row r="3650" spans="3:4">
      <c r="C3650"/>
      <c r="D3650"/>
    </row>
    <row r="3651" spans="3:4">
      <c r="C3651"/>
      <c r="D3651"/>
    </row>
    <row r="3652" spans="3:4">
      <c r="C3652"/>
      <c r="D3652"/>
    </row>
    <row r="3653" spans="3:4">
      <c r="C3653"/>
      <c r="D3653"/>
    </row>
    <row r="3654" spans="3:4">
      <c r="C3654"/>
      <c r="D3654"/>
    </row>
    <row r="3655" spans="3:4">
      <c r="C3655"/>
      <c r="D3655"/>
    </row>
    <row r="3656" spans="3:4">
      <c r="C3656"/>
      <c r="D3656"/>
    </row>
    <row r="3657" spans="3:4">
      <c r="C3657"/>
      <c r="D3657"/>
    </row>
    <row r="3658" spans="3:4">
      <c r="C3658"/>
      <c r="D3658"/>
    </row>
    <row r="3659" spans="3:4">
      <c r="C3659"/>
      <c r="D3659"/>
    </row>
    <row r="3660" spans="3:4">
      <c r="C3660"/>
      <c r="D3660"/>
    </row>
    <row r="3661" spans="3:4">
      <c r="C3661"/>
      <c r="D3661"/>
    </row>
    <row r="3662" spans="3:4">
      <c r="C3662"/>
      <c r="D3662"/>
    </row>
    <row r="3663" spans="3:4">
      <c r="C3663"/>
      <c r="D3663"/>
    </row>
    <row r="3664" spans="3:4">
      <c r="C3664"/>
      <c r="D3664"/>
    </row>
    <row r="3665" spans="3:4">
      <c r="C3665"/>
      <c r="D3665"/>
    </row>
    <row r="3666" spans="3:4">
      <c r="C3666"/>
      <c r="D3666"/>
    </row>
    <row r="3667" spans="3:4">
      <c r="C3667"/>
      <c r="D3667"/>
    </row>
    <row r="3668" spans="3:4">
      <c r="C3668"/>
      <c r="D3668"/>
    </row>
    <row r="3669" spans="3:4">
      <c r="C3669"/>
      <c r="D3669"/>
    </row>
    <row r="3670" spans="3:4">
      <c r="C3670"/>
      <c r="D3670"/>
    </row>
    <row r="3671" spans="3:4">
      <c r="C3671"/>
      <c r="D3671"/>
    </row>
    <row r="3672" spans="3:4">
      <c r="C3672"/>
      <c r="D3672"/>
    </row>
    <row r="3673" spans="3:4">
      <c r="C3673"/>
      <c r="D3673"/>
    </row>
    <row r="3674" spans="3:4">
      <c r="C3674"/>
      <c r="D3674"/>
    </row>
    <row r="3675" spans="3:4">
      <c r="C3675"/>
      <c r="D3675"/>
    </row>
    <row r="3676" spans="3:4">
      <c r="C3676"/>
      <c r="D3676"/>
    </row>
    <row r="3677" spans="3:4">
      <c r="C3677"/>
      <c r="D3677"/>
    </row>
    <row r="3678" spans="3:4">
      <c r="C3678"/>
      <c r="D3678"/>
    </row>
    <row r="3679" spans="3:4">
      <c r="C3679"/>
      <c r="D3679"/>
    </row>
    <row r="3680" spans="3:4">
      <c r="C3680"/>
      <c r="D3680"/>
    </row>
    <row r="3681" spans="3:4">
      <c r="C3681"/>
      <c r="D3681"/>
    </row>
    <row r="3682" spans="3:4">
      <c r="C3682"/>
      <c r="D3682"/>
    </row>
    <row r="3683" spans="3:4">
      <c r="C3683"/>
      <c r="D3683"/>
    </row>
    <row r="3684" spans="3:4">
      <c r="C3684"/>
      <c r="D3684"/>
    </row>
    <row r="3685" spans="3:4">
      <c r="C3685"/>
      <c r="D3685"/>
    </row>
    <row r="3686" spans="3:4">
      <c r="C3686"/>
      <c r="D3686"/>
    </row>
    <row r="3687" spans="3:4">
      <c r="C3687"/>
      <c r="D3687"/>
    </row>
    <row r="3688" spans="3:4">
      <c r="C3688"/>
      <c r="D3688"/>
    </row>
    <row r="3689" spans="3:4">
      <c r="C3689"/>
      <c r="D3689"/>
    </row>
    <row r="3690" spans="3:4">
      <c r="C3690"/>
      <c r="D3690"/>
    </row>
    <row r="3691" spans="3:4">
      <c r="C3691"/>
      <c r="D3691"/>
    </row>
    <row r="3692" spans="3:4">
      <c r="C3692"/>
      <c r="D3692"/>
    </row>
    <row r="3693" spans="3:4">
      <c r="C3693"/>
      <c r="D3693"/>
    </row>
    <row r="3694" spans="3:4">
      <c r="C3694"/>
      <c r="D3694"/>
    </row>
    <row r="3695" spans="3:4">
      <c r="C3695"/>
      <c r="D3695"/>
    </row>
    <row r="3696" spans="3:4">
      <c r="C3696"/>
      <c r="D3696"/>
    </row>
    <row r="3697" spans="3:4">
      <c r="C3697"/>
      <c r="D3697"/>
    </row>
    <row r="3698" spans="3:4">
      <c r="C3698"/>
      <c r="D3698"/>
    </row>
    <row r="3699" spans="3:4">
      <c r="C3699"/>
      <c r="D3699"/>
    </row>
    <row r="3700" spans="3:4">
      <c r="C3700"/>
      <c r="D3700"/>
    </row>
    <row r="3701" spans="3:4">
      <c r="C3701"/>
      <c r="D3701"/>
    </row>
    <row r="3702" spans="3:4">
      <c r="C3702"/>
      <c r="D3702"/>
    </row>
    <row r="3703" spans="3:4">
      <c r="C3703"/>
      <c r="D3703"/>
    </row>
    <row r="3704" spans="3:4">
      <c r="C3704"/>
      <c r="D3704"/>
    </row>
    <row r="3705" spans="3:4">
      <c r="C3705"/>
      <c r="D3705"/>
    </row>
    <row r="3706" spans="3:4">
      <c r="C3706"/>
      <c r="D3706"/>
    </row>
    <row r="3707" spans="3:4">
      <c r="C3707"/>
      <c r="D3707"/>
    </row>
    <row r="3708" spans="3:4">
      <c r="C3708"/>
      <c r="D3708"/>
    </row>
    <row r="3709" spans="3:4">
      <c r="C3709"/>
      <c r="D3709"/>
    </row>
    <row r="3710" spans="3:4">
      <c r="C3710"/>
      <c r="D3710"/>
    </row>
    <row r="3711" spans="3:4">
      <c r="C3711"/>
      <c r="D3711"/>
    </row>
    <row r="3712" spans="3:4">
      <c r="C3712"/>
      <c r="D3712"/>
    </row>
    <row r="3713" spans="3:4">
      <c r="C3713"/>
      <c r="D3713"/>
    </row>
    <row r="3714" spans="3:4">
      <c r="C3714"/>
      <c r="D3714"/>
    </row>
    <row r="3715" spans="3:4">
      <c r="C3715"/>
      <c r="D3715"/>
    </row>
    <row r="3716" spans="3:4">
      <c r="C3716"/>
      <c r="D3716"/>
    </row>
    <row r="3717" spans="3:4">
      <c r="C3717"/>
      <c r="D3717"/>
    </row>
    <row r="3718" spans="3:4">
      <c r="C3718"/>
      <c r="D3718"/>
    </row>
    <row r="3719" spans="3:4">
      <c r="C3719"/>
      <c r="D3719"/>
    </row>
    <row r="3720" spans="3:4">
      <c r="C3720"/>
      <c r="D3720"/>
    </row>
    <row r="3721" spans="3:4">
      <c r="C3721"/>
      <c r="D3721"/>
    </row>
    <row r="3722" spans="3:4">
      <c r="C3722"/>
      <c r="D3722"/>
    </row>
    <row r="3723" spans="3:4">
      <c r="C3723"/>
      <c r="D3723"/>
    </row>
    <row r="3724" spans="3:4">
      <c r="C3724"/>
      <c r="D3724"/>
    </row>
    <row r="3725" spans="3:4">
      <c r="C3725"/>
      <c r="D3725"/>
    </row>
    <row r="3726" spans="3:4">
      <c r="C3726"/>
      <c r="D3726"/>
    </row>
    <row r="3727" spans="3:4">
      <c r="C3727"/>
      <c r="D3727"/>
    </row>
    <row r="3728" spans="3:4">
      <c r="C3728"/>
      <c r="D3728"/>
    </row>
    <row r="3729" spans="3:4">
      <c r="C3729"/>
      <c r="D3729"/>
    </row>
    <row r="3730" spans="3:4">
      <c r="C3730"/>
      <c r="D3730"/>
    </row>
    <row r="3731" spans="3:4">
      <c r="C3731"/>
      <c r="D3731"/>
    </row>
    <row r="3732" spans="3:4">
      <c r="C3732"/>
      <c r="D3732"/>
    </row>
    <row r="3733" spans="3:4">
      <c r="C3733"/>
      <c r="D3733"/>
    </row>
    <row r="3734" spans="3:4">
      <c r="C3734"/>
      <c r="D3734"/>
    </row>
    <row r="3735" spans="3:4">
      <c r="C3735"/>
      <c r="D3735"/>
    </row>
    <row r="3736" spans="3:4">
      <c r="C3736"/>
      <c r="D3736"/>
    </row>
    <row r="3737" spans="3:4">
      <c r="C3737"/>
      <c r="D3737"/>
    </row>
    <row r="3738" spans="3:4">
      <c r="C3738"/>
      <c r="D3738"/>
    </row>
    <row r="3739" spans="3:4">
      <c r="C3739"/>
      <c r="D3739"/>
    </row>
    <row r="3740" spans="3:4">
      <c r="C3740"/>
      <c r="D3740"/>
    </row>
    <row r="3741" spans="3:4">
      <c r="C3741"/>
      <c r="D3741"/>
    </row>
    <row r="3742" spans="3:4">
      <c r="C3742"/>
      <c r="D3742"/>
    </row>
    <row r="3743" spans="3:4">
      <c r="C3743"/>
      <c r="D3743"/>
    </row>
    <row r="3744" spans="3:4">
      <c r="C3744"/>
      <c r="D3744"/>
    </row>
    <row r="3745" spans="3:4">
      <c r="C3745"/>
      <c r="D3745"/>
    </row>
    <row r="3746" spans="3:4">
      <c r="C3746"/>
      <c r="D3746"/>
    </row>
    <row r="3747" spans="3:4">
      <c r="C3747"/>
      <c r="D3747"/>
    </row>
    <row r="3748" spans="3:4">
      <c r="C3748"/>
      <c r="D3748"/>
    </row>
    <row r="3749" spans="3:4">
      <c r="C3749"/>
      <c r="D3749"/>
    </row>
    <row r="3750" spans="3:4">
      <c r="C3750"/>
      <c r="D3750"/>
    </row>
    <row r="3751" spans="3:4">
      <c r="C3751"/>
      <c r="D3751"/>
    </row>
    <row r="3752" spans="3:4">
      <c r="C3752"/>
      <c r="D3752"/>
    </row>
    <row r="3753" spans="3:4">
      <c r="C3753"/>
      <c r="D3753"/>
    </row>
    <row r="3754" spans="3:4">
      <c r="C3754"/>
      <c r="D3754"/>
    </row>
    <row r="3755" spans="3:4">
      <c r="C3755"/>
      <c r="D3755"/>
    </row>
    <row r="3756" spans="3:4">
      <c r="C3756"/>
      <c r="D3756"/>
    </row>
    <row r="3757" spans="3:4">
      <c r="C3757"/>
      <c r="D3757"/>
    </row>
    <row r="3758" spans="3:4">
      <c r="C3758"/>
      <c r="D3758"/>
    </row>
    <row r="3759" spans="3:4">
      <c r="C3759"/>
      <c r="D3759"/>
    </row>
    <row r="3760" spans="3:4">
      <c r="C3760"/>
      <c r="D3760"/>
    </row>
    <row r="3761" spans="3:4">
      <c r="C3761"/>
      <c r="D3761"/>
    </row>
    <row r="3762" spans="3:4">
      <c r="C3762"/>
      <c r="D3762"/>
    </row>
    <row r="3763" spans="3:4">
      <c r="C3763"/>
      <c r="D3763"/>
    </row>
    <row r="3764" spans="3:4">
      <c r="C3764"/>
      <c r="D3764"/>
    </row>
    <row r="3765" spans="3:4">
      <c r="C3765"/>
      <c r="D3765"/>
    </row>
    <row r="3766" spans="3:4">
      <c r="C3766"/>
      <c r="D3766"/>
    </row>
    <row r="3767" spans="3:4">
      <c r="C3767"/>
      <c r="D3767"/>
    </row>
    <row r="3768" spans="3:4">
      <c r="C3768"/>
      <c r="D3768"/>
    </row>
    <row r="3769" spans="3:4">
      <c r="C3769"/>
      <c r="D3769"/>
    </row>
    <row r="3770" spans="3:4">
      <c r="C3770"/>
      <c r="D3770"/>
    </row>
    <row r="3771" spans="3:4">
      <c r="C3771"/>
      <c r="D3771"/>
    </row>
    <row r="3772" spans="3:4">
      <c r="C3772"/>
      <c r="D3772"/>
    </row>
    <row r="3773" spans="3:4">
      <c r="C3773"/>
      <c r="D3773"/>
    </row>
    <row r="3774" spans="3:4">
      <c r="C3774"/>
      <c r="D3774"/>
    </row>
    <row r="3775" spans="3:4">
      <c r="C3775"/>
      <c r="D3775"/>
    </row>
    <row r="3776" spans="3:4">
      <c r="C3776"/>
      <c r="D3776"/>
    </row>
    <row r="3777" spans="3:4">
      <c r="C3777"/>
      <c r="D3777"/>
    </row>
    <row r="3778" spans="3:4">
      <c r="C3778"/>
      <c r="D3778"/>
    </row>
    <row r="3779" spans="3:4">
      <c r="C3779"/>
      <c r="D3779"/>
    </row>
    <row r="3780" spans="3:4">
      <c r="C3780"/>
      <c r="D3780"/>
    </row>
    <row r="3781" spans="3:4">
      <c r="C3781"/>
      <c r="D3781"/>
    </row>
    <row r="3782" spans="3:4">
      <c r="C3782"/>
      <c r="D3782"/>
    </row>
    <row r="3783" spans="3:4">
      <c r="C3783"/>
      <c r="D3783"/>
    </row>
    <row r="3784" spans="3:4">
      <c r="C3784"/>
      <c r="D3784"/>
    </row>
    <row r="3785" spans="3:4">
      <c r="C3785"/>
      <c r="D3785"/>
    </row>
    <row r="3786" spans="3:4">
      <c r="C3786"/>
      <c r="D3786"/>
    </row>
    <row r="3787" spans="3:4">
      <c r="C3787"/>
      <c r="D3787"/>
    </row>
    <row r="3788" spans="3:4">
      <c r="C3788"/>
      <c r="D3788"/>
    </row>
    <row r="3789" spans="3:4">
      <c r="C3789"/>
      <c r="D3789"/>
    </row>
    <row r="3790" spans="3:4">
      <c r="C3790"/>
      <c r="D3790"/>
    </row>
    <row r="3791" spans="3:4">
      <c r="C3791"/>
      <c r="D3791"/>
    </row>
    <row r="3792" spans="3:4">
      <c r="C3792"/>
      <c r="D3792"/>
    </row>
    <row r="3793" spans="3:4">
      <c r="C3793"/>
      <c r="D3793"/>
    </row>
    <row r="3794" spans="3:4">
      <c r="C3794"/>
      <c r="D3794"/>
    </row>
    <row r="3795" spans="3:4">
      <c r="C3795"/>
      <c r="D3795"/>
    </row>
    <row r="3796" spans="3:4">
      <c r="C3796"/>
      <c r="D3796"/>
    </row>
    <row r="3797" spans="3:4">
      <c r="C3797"/>
      <c r="D3797"/>
    </row>
    <row r="3798" spans="3:4">
      <c r="C3798"/>
      <c r="D3798"/>
    </row>
    <row r="3799" spans="3:4">
      <c r="C3799"/>
      <c r="D3799"/>
    </row>
    <row r="3800" spans="3:4">
      <c r="C3800"/>
      <c r="D3800"/>
    </row>
    <row r="3801" spans="3:4">
      <c r="C3801"/>
      <c r="D3801"/>
    </row>
    <row r="3802" spans="3:4">
      <c r="C3802"/>
      <c r="D3802"/>
    </row>
    <row r="3803" spans="3:4">
      <c r="C3803"/>
      <c r="D3803"/>
    </row>
    <row r="3804" spans="3:4">
      <c r="C3804"/>
      <c r="D3804"/>
    </row>
    <row r="3805" spans="3:4">
      <c r="C3805"/>
      <c r="D3805"/>
    </row>
    <row r="3806" spans="3:4">
      <c r="C3806"/>
      <c r="D3806"/>
    </row>
    <row r="3807" spans="3:4">
      <c r="C3807"/>
      <c r="D3807"/>
    </row>
    <row r="3808" spans="3:4">
      <c r="C3808"/>
      <c r="D3808"/>
    </row>
    <row r="3809" spans="3:4">
      <c r="C3809"/>
      <c r="D3809"/>
    </row>
    <row r="3810" spans="3:4">
      <c r="C3810"/>
      <c r="D3810"/>
    </row>
    <row r="3811" spans="3:4">
      <c r="C3811"/>
      <c r="D3811"/>
    </row>
    <row r="3812" spans="3:4">
      <c r="C3812"/>
      <c r="D3812"/>
    </row>
    <row r="3813" spans="3:4">
      <c r="C3813"/>
      <c r="D3813"/>
    </row>
    <row r="3814" spans="3:4">
      <c r="C3814"/>
      <c r="D3814"/>
    </row>
    <row r="3815" spans="3:4">
      <c r="C3815"/>
      <c r="D3815"/>
    </row>
    <row r="3816" spans="3:4">
      <c r="C3816"/>
      <c r="D3816"/>
    </row>
    <row r="3817" spans="3:4">
      <c r="C3817"/>
      <c r="D3817"/>
    </row>
    <row r="3818" spans="3:4">
      <c r="C3818"/>
      <c r="D3818"/>
    </row>
    <row r="3819" spans="3:4">
      <c r="C3819"/>
      <c r="D3819"/>
    </row>
    <row r="3820" spans="3:4">
      <c r="C3820"/>
      <c r="D3820"/>
    </row>
    <row r="3821" spans="3:4">
      <c r="C3821"/>
      <c r="D3821"/>
    </row>
    <row r="3822" spans="3:4">
      <c r="C3822"/>
      <c r="D3822"/>
    </row>
    <row r="3823" spans="3:4">
      <c r="C3823"/>
      <c r="D3823"/>
    </row>
    <row r="3824" spans="3:4">
      <c r="C3824"/>
      <c r="D3824"/>
    </row>
    <row r="3825" spans="3:4">
      <c r="C3825"/>
      <c r="D3825"/>
    </row>
    <row r="3826" spans="3:4">
      <c r="C3826"/>
      <c r="D3826"/>
    </row>
    <row r="3827" spans="3:4">
      <c r="C3827"/>
      <c r="D3827"/>
    </row>
    <row r="3828" spans="3:4">
      <c r="C3828"/>
      <c r="D3828"/>
    </row>
    <row r="3829" spans="3:4">
      <c r="C3829"/>
      <c r="D3829"/>
    </row>
    <row r="3830" spans="3:4">
      <c r="C3830"/>
      <c r="D3830"/>
    </row>
    <row r="3831" spans="3:4">
      <c r="C3831"/>
      <c r="D3831"/>
    </row>
    <row r="3832" spans="3:4">
      <c r="C3832"/>
      <c r="D3832"/>
    </row>
    <row r="3833" spans="3:4">
      <c r="C3833"/>
      <c r="D3833"/>
    </row>
    <row r="3834" spans="3:4">
      <c r="C3834"/>
      <c r="D3834"/>
    </row>
    <row r="3835" spans="3:4">
      <c r="C3835"/>
      <c r="D3835"/>
    </row>
    <row r="3836" spans="3:4">
      <c r="C3836"/>
      <c r="D3836"/>
    </row>
    <row r="3837" spans="3:4">
      <c r="C3837"/>
      <c r="D3837"/>
    </row>
    <row r="3838" spans="3:4">
      <c r="C3838"/>
      <c r="D3838"/>
    </row>
    <row r="3839" spans="3:4">
      <c r="C3839"/>
      <c r="D3839"/>
    </row>
    <row r="3840" spans="3:4">
      <c r="C3840"/>
      <c r="D3840"/>
    </row>
    <row r="3841" spans="3:4">
      <c r="C3841"/>
      <c r="D3841"/>
    </row>
    <row r="3842" spans="3:4">
      <c r="C3842"/>
      <c r="D3842"/>
    </row>
    <row r="3843" spans="3:4">
      <c r="C3843"/>
      <c r="D3843"/>
    </row>
    <row r="3844" spans="3:4">
      <c r="C3844"/>
      <c r="D3844"/>
    </row>
    <row r="3845" spans="3:4">
      <c r="C3845"/>
      <c r="D3845"/>
    </row>
    <row r="3846" spans="3:4">
      <c r="C3846"/>
      <c r="D3846"/>
    </row>
    <row r="3847" spans="3:4">
      <c r="C3847"/>
      <c r="D3847"/>
    </row>
    <row r="3848" spans="3:4">
      <c r="C3848"/>
      <c r="D3848"/>
    </row>
    <row r="3849" spans="3:4">
      <c r="C3849"/>
      <c r="D3849"/>
    </row>
    <row r="3850" spans="3:4">
      <c r="C3850"/>
      <c r="D3850"/>
    </row>
    <row r="3851" spans="3:4">
      <c r="C3851"/>
      <c r="D3851"/>
    </row>
    <row r="3852" spans="3:4">
      <c r="C3852"/>
      <c r="D3852"/>
    </row>
    <row r="3853" spans="3:4">
      <c r="C3853"/>
      <c r="D3853"/>
    </row>
    <row r="3854" spans="3:4">
      <c r="C3854"/>
      <c r="D3854"/>
    </row>
    <row r="3855" spans="3:4">
      <c r="C3855"/>
      <c r="D3855"/>
    </row>
    <row r="3856" spans="3:4">
      <c r="C3856"/>
      <c r="D3856"/>
    </row>
    <row r="3857" spans="3:4">
      <c r="C3857"/>
      <c r="D3857"/>
    </row>
    <row r="3858" spans="3:4">
      <c r="C3858"/>
      <c r="D3858"/>
    </row>
    <row r="3859" spans="3:4">
      <c r="C3859"/>
      <c r="D3859"/>
    </row>
    <row r="3860" spans="3:4">
      <c r="C3860"/>
      <c r="D3860"/>
    </row>
    <row r="3861" spans="3:4">
      <c r="C3861"/>
      <c r="D3861"/>
    </row>
    <row r="3862" spans="3:4">
      <c r="C3862"/>
      <c r="D3862"/>
    </row>
    <row r="3863" spans="3:4">
      <c r="C3863"/>
      <c r="D3863"/>
    </row>
    <row r="3864" spans="3:4">
      <c r="C3864"/>
      <c r="D3864"/>
    </row>
    <row r="3865" spans="3:4">
      <c r="C3865"/>
      <c r="D3865"/>
    </row>
    <row r="3866" spans="3:4">
      <c r="C3866"/>
      <c r="D3866"/>
    </row>
    <row r="3867" spans="3:4">
      <c r="C3867"/>
      <c r="D3867"/>
    </row>
    <row r="3868" spans="3:4">
      <c r="C3868"/>
      <c r="D3868"/>
    </row>
    <row r="3869" spans="3:4">
      <c r="C3869"/>
      <c r="D3869"/>
    </row>
    <row r="3870" spans="3:4">
      <c r="C3870"/>
      <c r="D3870"/>
    </row>
    <row r="3871" spans="3:4">
      <c r="C3871"/>
      <c r="D3871"/>
    </row>
    <row r="3872" spans="3:4">
      <c r="C3872"/>
      <c r="D3872"/>
    </row>
    <row r="3873" spans="3:4">
      <c r="C3873"/>
      <c r="D3873"/>
    </row>
    <row r="3874" spans="3:4">
      <c r="C3874"/>
      <c r="D3874"/>
    </row>
    <row r="3875" spans="3:4">
      <c r="C3875"/>
      <c r="D3875"/>
    </row>
    <row r="3876" spans="3:4">
      <c r="C3876"/>
      <c r="D3876"/>
    </row>
    <row r="3877" spans="3:4">
      <c r="C3877"/>
      <c r="D3877"/>
    </row>
    <row r="3878" spans="3:4">
      <c r="C3878"/>
      <c r="D3878"/>
    </row>
    <row r="3879" spans="3:4">
      <c r="C3879"/>
      <c r="D3879"/>
    </row>
    <row r="3880" spans="3:4">
      <c r="C3880"/>
      <c r="D3880"/>
    </row>
    <row r="3881" spans="3:4">
      <c r="C3881"/>
      <c r="D3881"/>
    </row>
    <row r="3882" spans="3:4">
      <c r="C3882"/>
      <c r="D3882"/>
    </row>
    <row r="3883" spans="3:4">
      <c r="C3883"/>
      <c r="D3883"/>
    </row>
    <row r="3884" spans="3:4">
      <c r="C3884"/>
      <c r="D3884"/>
    </row>
    <row r="3885" spans="3:4">
      <c r="C3885"/>
      <c r="D3885"/>
    </row>
    <row r="3886" spans="3:4">
      <c r="C3886"/>
      <c r="D3886"/>
    </row>
    <row r="3887" spans="3:4">
      <c r="C3887"/>
      <c r="D3887"/>
    </row>
    <row r="3888" spans="3:4">
      <c r="C3888"/>
      <c r="D3888"/>
    </row>
    <row r="3889" spans="3:4">
      <c r="C3889"/>
      <c r="D3889"/>
    </row>
    <row r="3890" spans="3:4">
      <c r="C3890"/>
      <c r="D3890"/>
    </row>
    <row r="3891" spans="3:4">
      <c r="C3891"/>
      <c r="D3891"/>
    </row>
    <row r="3892" spans="3:4">
      <c r="C3892"/>
      <c r="D3892"/>
    </row>
    <row r="3893" spans="3:4">
      <c r="C3893"/>
      <c r="D3893"/>
    </row>
    <row r="3894" spans="3:4">
      <c r="C3894"/>
      <c r="D3894"/>
    </row>
    <row r="3895" spans="3:4">
      <c r="C3895"/>
      <c r="D3895"/>
    </row>
    <row r="3896" spans="3:4">
      <c r="C3896"/>
      <c r="D3896"/>
    </row>
    <row r="3897" spans="3:4">
      <c r="C3897"/>
      <c r="D3897"/>
    </row>
    <row r="3898" spans="3:4">
      <c r="C3898"/>
      <c r="D3898"/>
    </row>
    <row r="3899" spans="3:4">
      <c r="C3899"/>
      <c r="D3899"/>
    </row>
    <row r="3900" spans="3:4">
      <c r="C3900"/>
      <c r="D3900"/>
    </row>
    <row r="3901" spans="3:4">
      <c r="C3901"/>
      <c r="D3901"/>
    </row>
    <row r="3902" spans="3:4">
      <c r="C3902"/>
      <c r="D3902"/>
    </row>
    <row r="3903" spans="3:4">
      <c r="C3903"/>
      <c r="D3903"/>
    </row>
    <row r="3904" spans="3:4">
      <c r="C3904"/>
      <c r="D3904"/>
    </row>
    <row r="3905" spans="3:4">
      <c r="C3905"/>
      <c r="D3905"/>
    </row>
    <row r="3906" spans="3:4">
      <c r="C3906"/>
      <c r="D3906"/>
    </row>
    <row r="3907" spans="3:4">
      <c r="C3907"/>
      <c r="D3907"/>
    </row>
    <row r="3908" spans="3:4">
      <c r="C3908"/>
      <c r="D3908"/>
    </row>
    <row r="3909" spans="3:4">
      <c r="C3909"/>
      <c r="D3909"/>
    </row>
    <row r="3910" spans="3:4">
      <c r="C3910"/>
      <c r="D3910"/>
    </row>
    <row r="3911" spans="3:4">
      <c r="C3911"/>
      <c r="D3911"/>
    </row>
    <row r="3912" spans="3:4">
      <c r="C3912"/>
      <c r="D3912"/>
    </row>
    <row r="3913" spans="3:4">
      <c r="C3913"/>
      <c r="D3913"/>
    </row>
    <row r="3914" spans="3:4">
      <c r="C3914"/>
      <c r="D3914"/>
    </row>
    <row r="3915" spans="3:4">
      <c r="C3915"/>
      <c r="D3915"/>
    </row>
    <row r="3916" spans="3:4">
      <c r="C3916"/>
      <c r="D3916"/>
    </row>
    <row r="3917" spans="3:4">
      <c r="C3917"/>
      <c r="D3917"/>
    </row>
    <row r="3918" spans="3:4">
      <c r="C3918"/>
      <c r="D3918"/>
    </row>
    <row r="3919" spans="3:4">
      <c r="C3919"/>
      <c r="D3919"/>
    </row>
    <row r="3920" spans="3:4">
      <c r="C3920"/>
      <c r="D3920"/>
    </row>
    <row r="3921" spans="3:4">
      <c r="C3921"/>
      <c r="D3921"/>
    </row>
    <row r="3922" spans="3:4">
      <c r="C3922"/>
      <c r="D3922"/>
    </row>
    <row r="3923" spans="3:4">
      <c r="C3923"/>
      <c r="D3923"/>
    </row>
    <row r="3924" spans="3:4">
      <c r="C3924"/>
      <c r="D3924"/>
    </row>
    <row r="3925" spans="3:4">
      <c r="C3925"/>
      <c r="D3925"/>
    </row>
    <row r="3926" spans="3:4">
      <c r="C3926"/>
      <c r="D3926"/>
    </row>
    <row r="3927" spans="3:4">
      <c r="C3927"/>
      <c r="D3927"/>
    </row>
    <row r="3928" spans="3:4">
      <c r="C3928"/>
      <c r="D3928"/>
    </row>
    <row r="3929" spans="3:4">
      <c r="C3929"/>
      <c r="D3929"/>
    </row>
    <row r="3930" spans="3:4">
      <c r="C3930"/>
      <c r="D3930"/>
    </row>
    <row r="3931" spans="3:4">
      <c r="C3931"/>
      <c r="D3931"/>
    </row>
    <row r="3932" spans="3:4">
      <c r="C3932"/>
      <c r="D3932"/>
    </row>
    <row r="3933" spans="3:4">
      <c r="C3933"/>
      <c r="D3933"/>
    </row>
    <row r="3934" spans="3:4">
      <c r="C3934"/>
      <c r="D3934"/>
    </row>
    <row r="3935" spans="3:4">
      <c r="C3935"/>
      <c r="D3935"/>
    </row>
    <row r="3936" spans="3:4">
      <c r="C3936"/>
      <c r="D3936"/>
    </row>
    <row r="3937" spans="3:4">
      <c r="C3937"/>
      <c r="D3937"/>
    </row>
    <row r="3938" spans="3:4">
      <c r="C3938"/>
      <c r="D3938"/>
    </row>
    <row r="3939" spans="3:4">
      <c r="C3939"/>
      <c r="D3939"/>
    </row>
    <row r="3940" spans="3:4">
      <c r="C3940"/>
      <c r="D3940"/>
    </row>
    <row r="3941" spans="3:4">
      <c r="C3941"/>
      <c r="D3941"/>
    </row>
    <row r="3942" spans="3:4">
      <c r="C3942"/>
      <c r="D3942"/>
    </row>
    <row r="3943" spans="3:4">
      <c r="C3943"/>
      <c r="D3943"/>
    </row>
    <row r="3944" spans="3:4">
      <c r="C3944"/>
      <c r="D3944"/>
    </row>
    <row r="3945" spans="3:4">
      <c r="C3945"/>
      <c r="D3945"/>
    </row>
    <row r="3946" spans="3:4">
      <c r="C3946"/>
      <c r="D3946"/>
    </row>
    <row r="3947" spans="3:4">
      <c r="C3947"/>
      <c r="D3947"/>
    </row>
    <row r="3948" spans="3:4">
      <c r="C3948"/>
      <c r="D3948"/>
    </row>
    <row r="3949" spans="3:4">
      <c r="C3949"/>
      <c r="D3949"/>
    </row>
    <row r="3950" spans="3:4">
      <c r="C3950"/>
      <c r="D3950"/>
    </row>
    <row r="3951" spans="3:4">
      <c r="C3951"/>
      <c r="D3951"/>
    </row>
    <row r="3952" spans="3:4">
      <c r="C3952"/>
      <c r="D3952"/>
    </row>
    <row r="3953" spans="3:4">
      <c r="C3953"/>
      <c r="D3953"/>
    </row>
    <row r="3954" spans="3:4">
      <c r="C3954"/>
      <c r="D3954"/>
    </row>
    <row r="3955" spans="3:4">
      <c r="C3955"/>
      <c r="D3955"/>
    </row>
    <row r="3956" spans="3:4">
      <c r="C3956"/>
      <c r="D3956"/>
    </row>
    <row r="3957" spans="3:4">
      <c r="C3957"/>
      <c r="D3957"/>
    </row>
    <row r="3958" spans="3:4">
      <c r="C3958"/>
      <c r="D3958"/>
    </row>
    <row r="3959" spans="3:4">
      <c r="C3959"/>
      <c r="D3959"/>
    </row>
    <row r="3960" spans="3:4">
      <c r="C3960"/>
      <c r="D3960"/>
    </row>
    <row r="3961" spans="3:4">
      <c r="C3961"/>
      <c r="D3961"/>
    </row>
    <row r="3962" spans="3:4">
      <c r="C3962"/>
      <c r="D3962"/>
    </row>
    <row r="3963" spans="3:4">
      <c r="C3963"/>
      <c r="D3963"/>
    </row>
    <row r="3964" spans="3:4">
      <c r="C3964"/>
      <c r="D3964"/>
    </row>
    <row r="3965" spans="3:4">
      <c r="C3965"/>
      <c r="D3965"/>
    </row>
    <row r="3966" spans="3:4">
      <c r="C3966"/>
      <c r="D3966"/>
    </row>
    <row r="3967" spans="3:4">
      <c r="C3967"/>
      <c r="D3967"/>
    </row>
    <row r="3968" spans="3:4">
      <c r="C3968"/>
      <c r="D3968"/>
    </row>
    <row r="3969" spans="3:4">
      <c r="C3969"/>
      <c r="D3969"/>
    </row>
    <row r="3970" spans="3:4">
      <c r="C3970"/>
      <c r="D3970"/>
    </row>
    <row r="3971" spans="3:4">
      <c r="C3971"/>
      <c r="D3971"/>
    </row>
    <row r="3972" spans="3:4">
      <c r="C3972"/>
      <c r="D3972"/>
    </row>
    <row r="3973" spans="3:4">
      <c r="C3973"/>
      <c r="D3973"/>
    </row>
    <row r="3974" spans="3:4">
      <c r="C3974"/>
      <c r="D3974"/>
    </row>
    <row r="3975" spans="3:4">
      <c r="C3975"/>
      <c r="D3975"/>
    </row>
    <row r="3976" spans="3:4">
      <c r="C3976"/>
      <c r="D3976"/>
    </row>
    <row r="3977" spans="3:4">
      <c r="C3977"/>
      <c r="D3977"/>
    </row>
    <row r="3978" spans="3:4">
      <c r="C3978"/>
      <c r="D3978"/>
    </row>
    <row r="3979" spans="3:4">
      <c r="C3979"/>
      <c r="D3979"/>
    </row>
    <row r="3980" spans="3:4">
      <c r="C3980"/>
      <c r="D3980"/>
    </row>
    <row r="3981" spans="3:4">
      <c r="C3981"/>
      <c r="D3981"/>
    </row>
    <row r="3982" spans="3:4">
      <c r="C3982"/>
      <c r="D3982"/>
    </row>
    <row r="3983" spans="3:4">
      <c r="C3983"/>
      <c r="D3983"/>
    </row>
    <row r="3984" spans="3:4">
      <c r="C3984"/>
      <c r="D3984"/>
    </row>
    <row r="3985" spans="3:4">
      <c r="C3985"/>
      <c r="D3985"/>
    </row>
    <row r="3986" spans="3:4">
      <c r="C3986"/>
      <c r="D3986"/>
    </row>
    <row r="3987" spans="3:4">
      <c r="C3987"/>
      <c r="D3987"/>
    </row>
    <row r="3988" spans="3:4">
      <c r="C3988"/>
      <c r="D3988"/>
    </row>
    <row r="3989" spans="3:4">
      <c r="C3989"/>
      <c r="D3989"/>
    </row>
    <row r="3990" spans="3:4">
      <c r="C3990"/>
      <c r="D3990"/>
    </row>
    <row r="3991" spans="3:4">
      <c r="C3991"/>
      <c r="D3991"/>
    </row>
    <row r="3992" spans="3:4">
      <c r="C3992"/>
      <c r="D3992"/>
    </row>
    <row r="3993" spans="3:4">
      <c r="C3993"/>
      <c r="D3993"/>
    </row>
    <row r="3994" spans="3:4">
      <c r="C3994"/>
      <c r="D3994"/>
    </row>
    <row r="3995" spans="3:4">
      <c r="C3995"/>
      <c r="D3995"/>
    </row>
    <row r="3996" spans="3:4">
      <c r="C3996"/>
      <c r="D3996"/>
    </row>
    <row r="3997" spans="3:4">
      <c r="C3997"/>
      <c r="D3997"/>
    </row>
    <row r="3998" spans="3:4">
      <c r="C3998"/>
      <c r="D3998"/>
    </row>
    <row r="3999" spans="3:4">
      <c r="C3999"/>
      <c r="D3999"/>
    </row>
    <row r="4000" spans="3:4">
      <c r="C4000"/>
      <c r="D4000"/>
    </row>
    <row r="4001" spans="3:4">
      <c r="C4001"/>
      <c r="D4001"/>
    </row>
    <row r="4002" spans="3:4">
      <c r="C4002"/>
      <c r="D4002"/>
    </row>
    <row r="4003" spans="3:4">
      <c r="C4003"/>
      <c r="D4003"/>
    </row>
    <row r="4004" spans="3:4">
      <c r="C4004"/>
      <c r="D4004"/>
    </row>
    <row r="4005" spans="3:4">
      <c r="C4005"/>
      <c r="D4005"/>
    </row>
    <row r="4006" spans="3:4">
      <c r="C4006"/>
      <c r="D4006"/>
    </row>
    <row r="4007" spans="3:4">
      <c r="C4007"/>
      <c r="D4007"/>
    </row>
    <row r="4008" spans="3:4">
      <c r="C4008"/>
      <c r="D4008"/>
    </row>
    <row r="4009" spans="3:4">
      <c r="C4009"/>
      <c r="D4009"/>
    </row>
    <row r="4010" spans="3:4">
      <c r="C4010"/>
      <c r="D4010"/>
    </row>
    <row r="4011" spans="3:4">
      <c r="C4011"/>
      <c r="D4011"/>
    </row>
    <row r="4012" spans="3:4">
      <c r="C4012"/>
      <c r="D4012"/>
    </row>
    <row r="4013" spans="3:4">
      <c r="C4013"/>
      <c r="D4013"/>
    </row>
    <row r="4014" spans="3:4">
      <c r="C4014"/>
      <c r="D4014"/>
    </row>
    <row r="4015" spans="3:4">
      <c r="C4015"/>
      <c r="D4015"/>
    </row>
    <row r="4016" spans="3:4">
      <c r="C4016"/>
      <c r="D4016"/>
    </row>
    <row r="4017" spans="3:4">
      <c r="C4017"/>
      <c r="D4017"/>
    </row>
    <row r="4018" spans="3:4">
      <c r="C4018"/>
      <c r="D4018"/>
    </row>
    <row r="4019" spans="3:4">
      <c r="C4019"/>
      <c r="D4019"/>
    </row>
    <row r="4020" spans="3:4">
      <c r="C4020"/>
      <c r="D4020"/>
    </row>
    <row r="4021" spans="3:4">
      <c r="C4021"/>
      <c r="D4021"/>
    </row>
    <row r="4022" spans="3:4">
      <c r="C4022"/>
      <c r="D4022"/>
    </row>
    <row r="4023" spans="3:4">
      <c r="C4023"/>
      <c r="D4023"/>
    </row>
    <row r="4024" spans="3:4">
      <c r="C4024"/>
      <c r="D4024"/>
    </row>
    <row r="4025" spans="3:4">
      <c r="C4025"/>
      <c r="D4025"/>
    </row>
    <row r="4026" spans="3:4">
      <c r="C4026"/>
      <c r="D4026"/>
    </row>
    <row r="4027" spans="3:4">
      <c r="C4027"/>
      <c r="D4027"/>
    </row>
    <row r="4028" spans="3:4">
      <c r="C4028"/>
      <c r="D4028"/>
    </row>
    <row r="4029" spans="3:4">
      <c r="C4029"/>
      <c r="D4029"/>
    </row>
    <row r="4030" spans="3:4">
      <c r="C4030"/>
      <c r="D4030"/>
    </row>
    <row r="4031" spans="3:4">
      <c r="C4031"/>
      <c r="D4031"/>
    </row>
    <row r="4032" spans="3:4">
      <c r="C4032"/>
      <c r="D4032"/>
    </row>
    <row r="4033" spans="3:4">
      <c r="C4033"/>
      <c r="D4033"/>
    </row>
    <row r="4034" spans="3:4">
      <c r="C4034"/>
      <c r="D4034"/>
    </row>
    <row r="4035" spans="3:4">
      <c r="C4035"/>
      <c r="D4035"/>
    </row>
    <row r="4036" spans="3:4">
      <c r="C4036"/>
      <c r="D4036"/>
    </row>
    <row r="4037" spans="3:4">
      <c r="C4037"/>
      <c r="D4037"/>
    </row>
    <row r="4038" spans="3:4">
      <c r="C4038"/>
      <c r="D4038"/>
    </row>
    <row r="4039" spans="3:4">
      <c r="C4039"/>
      <c r="D4039"/>
    </row>
    <row r="4040" spans="3:4">
      <c r="C4040"/>
      <c r="D4040"/>
    </row>
    <row r="4041" spans="3:4">
      <c r="C4041"/>
      <c r="D4041"/>
    </row>
    <row r="4042" spans="3:4">
      <c r="C4042"/>
      <c r="D4042"/>
    </row>
    <row r="4043" spans="3:4">
      <c r="C4043"/>
      <c r="D4043"/>
    </row>
    <row r="4044" spans="3:4">
      <c r="C4044"/>
      <c r="D4044"/>
    </row>
    <row r="4045" spans="3:4">
      <c r="C4045"/>
      <c r="D4045"/>
    </row>
    <row r="4046" spans="3:4">
      <c r="C4046"/>
      <c r="D4046"/>
    </row>
    <row r="4047" spans="3:4">
      <c r="C4047"/>
      <c r="D4047"/>
    </row>
    <row r="4048" spans="3:4">
      <c r="C4048"/>
      <c r="D4048"/>
    </row>
    <row r="4049" spans="3:4">
      <c r="C4049"/>
      <c r="D4049"/>
    </row>
    <row r="4050" spans="3:4">
      <c r="C4050"/>
      <c r="D4050"/>
    </row>
    <row r="4051" spans="3:4">
      <c r="C4051"/>
      <c r="D4051"/>
    </row>
    <row r="4052" spans="3:4">
      <c r="C4052"/>
      <c r="D4052"/>
    </row>
    <row r="4053" spans="3:4">
      <c r="C4053"/>
      <c r="D4053"/>
    </row>
    <row r="4054" spans="3:4">
      <c r="C4054"/>
      <c r="D4054"/>
    </row>
    <row r="4055" spans="3:4">
      <c r="C4055"/>
      <c r="D4055"/>
    </row>
    <row r="4056" spans="3:4">
      <c r="C4056"/>
      <c r="D4056"/>
    </row>
    <row r="4057" spans="3:4">
      <c r="C4057"/>
      <c r="D4057"/>
    </row>
    <row r="4058" spans="3:4">
      <c r="C4058"/>
      <c r="D4058"/>
    </row>
    <row r="4059" spans="3:4">
      <c r="C4059"/>
      <c r="D4059"/>
    </row>
    <row r="4060" spans="3:4">
      <c r="C4060"/>
      <c r="D4060"/>
    </row>
    <row r="4061" spans="3:4">
      <c r="C4061"/>
      <c r="D4061"/>
    </row>
    <row r="4062" spans="3:4">
      <c r="C4062"/>
      <c r="D4062"/>
    </row>
    <row r="4063" spans="3:4">
      <c r="C4063"/>
      <c r="D4063"/>
    </row>
    <row r="4064" spans="3:4">
      <c r="C4064"/>
      <c r="D4064"/>
    </row>
    <row r="4065" spans="3:4">
      <c r="C4065"/>
      <c r="D4065"/>
    </row>
    <row r="4066" spans="3:4">
      <c r="C4066"/>
      <c r="D4066"/>
    </row>
    <row r="4067" spans="3:4">
      <c r="C4067"/>
      <c r="D4067"/>
    </row>
    <row r="4068" spans="3:4">
      <c r="C4068"/>
      <c r="D4068"/>
    </row>
    <row r="4069" spans="3:4">
      <c r="C4069"/>
      <c r="D4069"/>
    </row>
    <row r="4070" spans="3:4">
      <c r="C4070"/>
      <c r="D4070"/>
    </row>
    <row r="4071" spans="3:4">
      <c r="C4071"/>
      <c r="D4071"/>
    </row>
    <row r="4072" spans="3:4">
      <c r="C4072"/>
      <c r="D4072"/>
    </row>
    <row r="4073" spans="3:4">
      <c r="C4073"/>
      <c r="D4073"/>
    </row>
    <row r="4074" spans="3:4">
      <c r="C4074"/>
      <c r="D4074"/>
    </row>
    <row r="4075" spans="3:4">
      <c r="C4075"/>
      <c r="D4075"/>
    </row>
    <row r="4076" spans="3:4">
      <c r="C4076"/>
      <c r="D4076"/>
    </row>
    <row r="4077" spans="3:4">
      <c r="C4077"/>
      <c r="D4077"/>
    </row>
    <row r="4078" spans="3:4">
      <c r="C4078"/>
      <c r="D4078"/>
    </row>
    <row r="4079" spans="3:4">
      <c r="C4079"/>
      <c r="D4079"/>
    </row>
    <row r="4080" spans="3:4">
      <c r="C4080"/>
      <c r="D4080"/>
    </row>
    <row r="4081" spans="3:4">
      <c r="C4081"/>
      <c r="D4081"/>
    </row>
    <row r="4082" spans="3:4">
      <c r="C4082"/>
      <c r="D4082"/>
    </row>
    <row r="4083" spans="3:4">
      <c r="C4083"/>
      <c r="D4083"/>
    </row>
    <row r="4084" spans="3:4">
      <c r="C4084"/>
      <c r="D4084"/>
    </row>
    <row r="4085" spans="3:4">
      <c r="C4085"/>
      <c r="D4085"/>
    </row>
    <row r="4086" spans="3:4">
      <c r="C4086"/>
      <c r="D4086"/>
    </row>
    <row r="4087" spans="3:4">
      <c r="C4087"/>
      <c r="D4087"/>
    </row>
    <row r="4088" spans="3:4">
      <c r="C4088"/>
      <c r="D4088"/>
    </row>
    <row r="4089" spans="3:4">
      <c r="C4089"/>
      <c r="D4089"/>
    </row>
    <row r="4090" spans="3:4">
      <c r="C4090"/>
      <c r="D4090"/>
    </row>
    <row r="4091" spans="3:4">
      <c r="C4091"/>
      <c r="D4091"/>
    </row>
    <row r="4092" spans="3:4">
      <c r="C4092"/>
      <c r="D4092"/>
    </row>
    <row r="4093" spans="3:4">
      <c r="C4093"/>
      <c r="D4093"/>
    </row>
    <row r="4094" spans="3:4">
      <c r="C4094"/>
      <c r="D4094"/>
    </row>
    <row r="4095" spans="3:4">
      <c r="C4095"/>
      <c r="D4095"/>
    </row>
    <row r="4096" spans="3:4">
      <c r="C4096"/>
      <c r="D4096"/>
    </row>
    <row r="4097" spans="3:4">
      <c r="C4097"/>
      <c r="D4097"/>
    </row>
    <row r="4098" spans="3:4">
      <c r="C4098"/>
      <c r="D4098"/>
    </row>
    <row r="4099" spans="3:4">
      <c r="C4099"/>
      <c r="D4099"/>
    </row>
    <row r="4100" spans="3:4">
      <c r="C4100"/>
      <c r="D4100"/>
    </row>
    <row r="4101" spans="3:4">
      <c r="C4101"/>
      <c r="D4101"/>
    </row>
    <row r="4102" spans="3:4">
      <c r="C4102"/>
      <c r="D4102"/>
    </row>
    <row r="4103" spans="3:4">
      <c r="C4103"/>
      <c r="D4103"/>
    </row>
    <row r="4104" spans="3:4">
      <c r="C4104"/>
      <c r="D4104"/>
    </row>
    <row r="4105" spans="3:4">
      <c r="C4105"/>
      <c r="D4105"/>
    </row>
    <row r="4106" spans="3:4">
      <c r="C4106"/>
      <c r="D4106"/>
    </row>
    <row r="4107" spans="3:4">
      <c r="C4107"/>
      <c r="D4107"/>
    </row>
    <row r="4108" spans="3:4">
      <c r="C4108"/>
      <c r="D4108"/>
    </row>
    <row r="4109" spans="3:4">
      <c r="C4109"/>
      <c r="D4109"/>
    </row>
    <row r="4110" spans="3:4">
      <c r="C4110"/>
      <c r="D4110"/>
    </row>
    <row r="4111" spans="3:4">
      <c r="C4111"/>
      <c r="D4111"/>
    </row>
    <row r="4112" spans="3:4">
      <c r="C4112"/>
      <c r="D4112"/>
    </row>
    <row r="4113" spans="3:4">
      <c r="C4113"/>
      <c r="D4113"/>
    </row>
    <row r="4114" spans="3:4">
      <c r="C4114"/>
      <c r="D4114"/>
    </row>
    <row r="4115" spans="3:4">
      <c r="C4115"/>
      <c r="D4115"/>
    </row>
    <row r="4116" spans="3:4">
      <c r="C4116"/>
      <c r="D4116"/>
    </row>
    <row r="4117" spans="3:4">
      <c r="C4117"/>
      <c r="D4117"/>
    </row>
    <row r="4118" spans="3:4">
      <c r="C4118"/>
      <c r="D4118"/>
    </row>
    <row r="4119" spans="3:4">
      <c r="C4119"/>
      <c r="D4119"/>
    </row>
    <row r="4120" spans="3:4">
      <c r="C4120"/>
      <c r="D4120"/>
    </row>
    <row r="4121" spans="3:4">
      <c r="C4121"/>
      <c r="D4121"/>
    </row>
    <row r="4122" spans="3:4">
      <c r="C4122"/>
      <c r="D4122"/>
    </row>
    <row r="4123" spans="3:4">
      <c r="C4123"/>
      <c r="D4123"/>
    </row>
    <row r="4124" spans="3:4">
      <c r="C4124"/>
      <c r="D4124"/>
    </row>
    <row r="4125" spans="3:4">
      <c r="C4125"/>
      <c r="D4125"/>
    </row>
    <row r="4126" spans="3:4">
      <c r="C4126"/>
      <c r="D4126"/>
    </row>
    <row r="4127" spans="3:4">
      <c r="C4127"/>
      <c r="D4127"/>
    </row>
    <row r="4128" spans="3:4">
      <c r="C4128"/>
      <c r="D4128"/>
    </row>
    <row r="4129" spans="3:4">
      <c r="C4129"/>
      <c r="D4129"/>
    </row>
    <row r="4130" spans="3:4">
      <c r="C4130"/>
      <c r="D4130"/>
    </row>
    <row r="4131" spans="3:4">
      <c r="C4131"/>
      <c r="D4131"/>
    </row>
    <row r="4132" spans="3:4">
      <c r="C4132"/>
      <c r="D4132"/>
    </row>
    <row r="4133" spans="3:4">
      <c r="C4133"/>
      <c r="D4133"/>
    </row>
    <row r="4134" spans="3:4">
      <c r="C4134"/>
      <c r="D4134"/>
    </row>
    <row r="4135" spans="3:4">
      <c r="C4135"/>
      <c r="D4135"/>
    </row>
    <row r="4136" spans="3:4">
      <c r="C4136"/>
      <c r="D4136"/>
    </row>
    <row r="4137" spans="3:4">
      <c r="C4137"/>
      <c r="D4137"/>
    </row>
    <row r="4138" spans="3:4">
      <c r="C4138"/>
      <c r="D4138"/>
    </row>
    <row r="4139" spans="3:4">
      <c r="C4139"/>
      <c r="D4139"/>
    </row>
    <row r="4140" spans="3:4">
      <c r="C4140"/>
      <c r="D4140"/>
    </row>
    <row r="4141" spans="3:4">
      <c r="C4141"/>
      <c r="D4141"/>
    </row>
    <row r="4142" spans="3:4">
      <c r="C4142"/>
      <c r="D4142"/>
    </row>
    <row r="4143" spans="3:4">
      <c r="C4143"/>
      <c r="D4143"/>
    </row>
    <row r="4144" spans="3:4">
      <c r="C4144"/>
      <c r="D4144"/>
    </row>
    <row r="4145" spans="3:4">
      <c r="C4145"/>
      <c r="D4145"/>
    </row>
    <row r="4146" spans="3:4">
      <c r="C4146"/>
      <c r="D4146"/>
    </row>
    <row r="4147" spans="3:4">
      <c r="C4147"/>
      <c r="D4147"/>
    </row>
    <row r="4148" spans="3:4">
      <c r="C4148"/>
      <c r="D4148"/>
    </row>
    <row r="4149" spans="3:4">
      <c r="C4149"/>
      <c r="D4149"/>
    </row>
    <row r="4150" spans="3:4">
      <c r="C4150"/>
      <c r="D4150"/>
    </row>
    <row r="4151" spans="3:4">
      <c r="C4151"/>
      <c r="D4151"/>
    </row>
    <row r="4152" spans="3:4">
      <c r="C4152"/>
      <c r="D4152"/>
    </row>
    <row r="4153" spans="3:4">
      <c r="C4153"/>
      <c r="D4153"/>
    </row>
    <row r="4154" spans="3:4">
      <c r="C4154"/>
      <c r="D4154"/>
    </row>
    <row r="4155" spans="3:4">
      <c r="C4155"/>
      <c r="D4155"/>
    </row>
    <row r="4156" spans="3:4">
      <c r="C4156"/>
      <c r="D4156"/>
    </row>
    <row r="4157" spans="3:4">
      <c r="C4157"/>
      <c r="D4157"/>
    </row>
    <row r="4158" spans="3:4">
      <c r="C4158"/>
      <c r="D4158"/>
    </row>
    <row r="4159" spans="3:4">
      <c r="C4159"/>
      <c r="D4159"/>
    </row>
    <row r="4160" spans="3:4">
      <c r="C4160"/>
      <c r="D4160"/>
    </row>
    <row r="4161" spans="3:4">
      <c r="C4161"/>
      <c r="D4161"/>
    </row>
    <row r="4162" spans="3:4">
      <c r="C4162"/>
      <c r="D4162"/>
    </row>
    <row r="4163" spans="3:4">
      <c r="C4163"/>
      <c r="D4163"/>
    </row>
    <row r="4164" spans="3:4">
      <c r="C4164"/>
      <c r="D4164"/>
    </row>
    <row r="4165" spans="3:4">
      <c r="C4165"/>
      <c r="D4165"/>
    </row>
    <row r="4166" spans="3:4">
      <c r="C4166"/>
      <c r="D4166"/>
    </row>
    <row r="4167" spans="3:4">
      <c r="C4167"/>
      <c r="D4167"/>
    </row>
    <row r="4168" spans="3:4">
      <c r="C4168"/>
      <c r="D4168"/>
    </row>
    <row r="4169" spans="3:4">
      <c r="C4169"/>
      <c r="D4169"/>
    </row>
    <row r="4170" spans="3:4">
      <c r="C4170"/>
      <c r="D4170"/>
    </row>
    <row r="4171" spans="3:4">
      <c r="C4171"/>
      <c r="D4171"/>
    </row>
    <row r="4172" spans="3:4">
      <c r="C4172"/>
      <c r="D4172"/>
    </row>
    <row r="4173" spans="3:4">
      <c r="C4173"/>
      <c r="D4173"/>
    </row>
    <row r="4174" spans="3:4">
      <c r="C4174"/>
      <c r="D4174"/>
    </row>
    <row r="4175" spans="3:4">
      <c r="C4175"/>
      <c r="D4175"/>
    </row>
    <row r="4176" spans="3:4">
      <c r="C4176"/>
      <c r="D4176"/>
    </row>
    <row r="4177" spans="3:4">
      <c r="C4177"/>
      <c r="D4177"/>
    </row>
    <row r="4178" spans="3:4">
      <c r="C4178"/>
      <c r="D4178"/>
    </row>
    <row r="4179" spans="3:4">
      <c r="C4179"/>
      <c r="D4179"/>
    </row>
    <row r="4180" spans="3:4">
      <c r="C4180"/>
      <c r="D4180"/>
    </row>
    <row r="4181" spans="3:4">
      <c r="C4181"/>
      <c r="D4181"/>
    </row>
    <row r="4182" spans="3:4">
      <c r="C4182"/>
      <c r="D4182"/>
    </row>
    <row r="4183" spans="3:4">
      <c r="C4183"/>
      <c r="D4183"/>
    </row>
    <row r="4184" spans="3:4">
      <c r="C4184"/>
      <c r="D4184"/>
    </row>
    <row r="4185" spans="3:4">
      <c r="C4185"/>
      <c r="D4185"/>
    </row>
    <row r="4186" spans="3:4">
      <c r="C4186"/>
      <c r="D4186"/>
    </row>
    <row r="4187" spans="3:4">
      <c r="C4187"/>
      <c r="D4187"/>
    </row>
    <row r="4188" spans="3:4">
      <c r="C4188"/>
      <c r="D4188"/>
    </row>
    <row r="4189" spans="3:4">
      <c r="C4189"/>
      <c r="D4189"/>
    </row>
    <row r="4190" spans="3:4">
      <c r="C4190"/>
      <c r="D4190"/>
    </row>
    <row r="4191" spans="3:4">
      <c r="C4191"/>
      <c r="D4191"/>
    </row>
    <row r="4192" spans="3:4">
      <c r="C4192"/>
      <c r="D4192"/>
    </row>
    <row r="4193" spans="3:4">
      <c r="C4193"/>
      <c r="D4193"/>
    </row>
    <row r="4194" spans="3:4">
      <c r="C4194"/>
      <c r="D4194"/>
    </row>
    <row r="4195" spans="3:4">
      <c r="C4195"/>
      <c r="D4195"/>
    </row>
    <row r="4196" spans="3:4">
      <c r="C4196"/>
      <c r="D4196"/>
    </row>
    <row r="4197" spans="3:4">
      <c r="C4197"/>
      <c r="D4197"/>
    </row>
    <row r="4198" spans="3:4">
      <c r="C4198"/>
      <c r="D4198"/>
    </row>
    <row r="4199" spans="3:4">
      <c r="C4199"/>
      <c r="D4199"/>
    </row>
    <row r="4200" spans="3:4">
      <c r="C4200"/>
      <c r="D4200"/>
    </row>
    <row r="4201" spans="3:4">
      <c r="C4201"/>
      <c r="D4201"/>
    </row>
    <row r="4202" spans="3:4">
      <c r="C4202"/>
      <c r="D4202"/>
    </row>
    <row r="4203" spans="3:4">
      <c r="C4203"/>
      <c r="D4203"/>
    </row>
    <row r="4204" spans="3:4">
      <c r="C4204"/>
      <c r="D4204"/>
    </row>
    <row r="4205" spans="3:4">
      <c r="C4205"/>
      <c r="D4205"/>
    </row>
    <row r="4206" spans="3:4">
      <c r="C4206"/>
      <c r="D4206"/>
    </row>
    <row r="4207" spans="3:4">
      <c r="C4207"/>
      <c r="D4207"/>
    </row>
    <row r="4208" spans="3:4">
      <c r="C4208"/>
      <c r="D4208"/>
    </row>
    <row r="4209" spans="3:4">
      <c r="C4209"/>
      <c r="D4209"/>
    </row>
    <row r="4210" spans="3:4">
      <c r="C4210"/>
      <c r="D4210"/>
    </row>
    <row r="4211" spans="3:4">
      <c r="C4211"/>
      <c r="D4211"/>
    </row>
    <row r="4212" spans="3:4">
      <c r="C4212"/>
      <c r="D4212"/>
    </row>
    <row r="4213" spans="3:4">
      <c r="C4213"/>
      <c r="D4213"/>
    </row>
    <row r="4214" spans="3:4">
      <c r="C4214"/>
      <c r="D4214"/>
    </row>
    <row r="4215" spans="3:4">
      <c r="C4215"/>
      <c r="D4215"/>
    </row>
    <row r="4216" spans="3:4">
      <c r="C4216"/>
      <c r="D4216"/>
    </row>
    <row r="4217" spans="3:4">
      <c r="C4217"/>
      <c r="D4217"/>
    </row>
    <row r="4218" spans="3:4">
      <c r="C4218"/>
      <c r="D4218"/>
    </row>
    <row r="4219" spans="3:4">
      <c r="C4219"/>
      <c r="D4219"/>
    </row>
    <row r="4220" spans="3:4">
      <c r="C4220"/>
      <c r="D4220"/>
    </row>
    <row r="4221" spans="3:4">
      <c r="C4221"/>
      <c r="D4221"/>
    </row>
    <row r="4222" spans="3:4">
      <c r="C4222"/>
      <c r="D4222"/>
    </row>
    <row r="4223" spans="3:4">
      <c r="C4223"/>
      <c r="D4223"/>
    </row>
    <row r="4224" spans="3:4">
      <c r="C4224"/>
      <c r="D4224"/>
    </row>
    <row r="4225" spans="3:4">
      <c r="C4225"/>
      <c r="D4225"/>
    </row>
    <row r="4226" spans="3:4">
      <c r="C4226"/>
      <c r="D4226"/>
    </row>
    <row r="4227" spans="3:4">
      <c r="C4227"/>
      <c r="D4227"/>
    </row>
    <row r="4228" spans="3:4">
      <c r="C4228"/>
      <c r="D4228"/>
    </row>
    <row r="4229" spans="3:4">
      <c r="C4229"/>
      <c r="D4229"/>
    </row>
    <row r="4230" spans="3:4">
      <c r="C4230"/>
      <c r="D4230"/>
    </row>
    <row r="4231" spans="3:4">
      <c r="C4231"/>
      <c r="D4231"/>
    </row>
    <row r="4232" spans="3:4">
      <c r="C4232"/>
      <c r="D4232"/>
    </row>
    <row r="4233" spans="3:4">
      <c r="C4233"/>
      <c r="D4233"/>
    </row>
    <row r="4234" spans="3:4">
      <c r="C4234"/>
      <c r="D4234"/>
    </row>
    <row r="4235" spans="3:4">
      <c r="C4235"/>
      <c r="D4235"/>
    </row>
    <row r="4236" spans="3:4">
      <c r="C4236"/>
      <c r="D4236"/>
    </row>
    <row r="4237" spans="3:4">
      <c r="C4237"/>
      <c r="D4237"/>
    </row>
    <row r="4238" spans="3:4">
      <c r="C4238"/>
      <c r="D4238"/>
    </row>
    <row r="4239" spans="3:4">
      <c r="C4239"/>
      <c r="D4239"/>
    </row>
    <row r="4240" spans="3:4">
      <c r="C4240"/>
      <c r="D4240"/>
    </row>
    <row r="4241" spans="3:4">
      <c r="C4241"/>
      <c r="D4241"/>
    </row>
    <row r="4242" spans="3:4">
      <c r="C4242"/>
      <c r="D4242"/>
    </row>
    <row r="4243" spans="3:4">
      <c r="C4243"/>
      <c r="D4243"/>
    </row>
    <row r="4244" spans="3:4">
      <c r="C4244"/>
      <c r="D4244"/>
    </row>
    <row r="4245" spans="3:4">
      <c r="C4245"/>
      <c r="D4245"/>
    </row>
    <row r="4246" spans="3:4">
      <c r="C4246"/>
      <c r="D4246"/>
    </row>
    <row r="4247" spans="3:4">
      <c r="C4247"/>
      <c r="D4247"/>
    </row>
    <row r="4248" spans="3:4">
      <c r="C4248"/>
      <c r="D4248"/>
    </row>
    <row r="4249" spans="3:4">
      <c r="C4249"/>
      <c r="D4249"/>
    </row>
    <row r="4250" spans="3:4">
      <c r="C4250"/>
      <c r="D4250"/>
    </row>
    <row r="4251" spans="3:4">
      <c r="C4251"/>
      <c r="D4251"/>
    </row>
    <row r="4252" spans="3:4">
      <c r="C4252"/>
      <c r="D4252"/>
    </row>
    <row r="4253" spans="3:4">
      <c r="C4253"/>
      <c r="D4253"/>
    </row>
    <row r="4254" spans="3:4">
      <c r="C4254"/>
      <c r="D4254"/>
    </row>
    <row r="4255" spans="3:4">
      <c r="C4255"/>
      <c r="D4255"/>
    </row>
    <row r="4256" spans="3:4">
      <c r="C4256"/>
      <c r="D4256"/>
    </row>
    <row r="4257" spans="3:4">
      <c r="C4257"/>
      <c r="D4257"/>
    </row>
    <row r="4258" spans="3:4">
      <c r="C4258"/>
      <c r="D4258"/>
    </row>
    <row r="4259" spans="3:4">
      <c r="C4259"/>
      <c r="D4259"/>
    </row>
    <row r="4260" spans="3:4">
      <c r="C4260"/>
      <c r="D4260"/>
    </row>
    <row r="4261" spans="3:4">
      <c r="C4261"/>
      <c r="D4261"/>
    </row>
    <row r="4262" spans="3:4">
      <c r="C4262"/>
      <c r="D4262"/>
    </row>
    <row r="4263" spans="3:4">
      <c r="C4263"/>
      <c r="D4263"/>
    </row>
    <row r="4264" spans="3:4">
      <c r="C4264"/>
      <c r="D4264"/>
    </row>
    <row r="4265" spans="3:4">
      <c r="C4265"/>
      <c r="D4265"/>
    </row>
    <row r="4266" spans="3:4">
      <c r="C4266"/>
      <c r="D4266"/>
    </row>
    <row r="4267" spans="3:4">
      <c r="C4267"/>
      <c r="D4267"/>
    </row>
    <row r="4268" spans="3:4">
      <c r="C4268"/>
      <c r="D4268"/>
    </row>
    <row r="4269" spans="3:4">
      <c r="C4269"/>
      <c r="D4269"/>
    </row>
    <row r="4270" spans="3:4">
      <c r="C4270"/>
      <c r="D4270"/>
    </row>
    <row r="4271" spans="3:4">
      <c r="C4271"/>
      <c r="D4271"/>
    </row>
    <row r="4272" spans="3:4">
      <c r="C4272"/>
      <c r="D4272"/>
    </row>
    <row r="4273" spans="3:4">
      <c r="C4273"/>
      <c r="D4273"/>
    </row>
    <row r="4274" spans="3:4">
      <c r="C4274"/>
      <c r="D4274"/>
    </row>
    <row r="4275" spans="3:4">
      <c r="C4275"/>
      <c r="D4275"/>
    </row>
    <row r="4276" spans="3:4">
      <c r="C4276"/>
      <c r="D4276"/>
    </row>
    <row r="4277" spans="3:4">
      <c r="C4277"/>
      <c r="D4277"/>
    </row>
    <row r="4278" spans="3:4">
      <c r="C4278"/>
      <c r="D4278"/>
    </row>
    <row r="4279" spans="3:4">
      <c r="C4279"/>
      <c r="D4279"/>
    </row>
    <row r="4280" spans="3:4">
      <c r="C4280"/>
      <c r="D4280"/>
    </row>
    <row r="4281" spans="3:4">
      <c r="C4281"/>
      <c r="D4281"/>
    </row>
    <row r="4282" spans="3:4">
      <c r="C4282"/>
      <c r="D4282"/>
    </row>
    <row r="4283" spans="3:4">
      <c r="C4283"/>
      <c r="D4283"/>
    </row>
    <row r="4284" spans="3:4">
      <c r="C4284"/>
      <c r="D4284"/>
    </row>
    <row r="4285" spans="3:4">
      <c r="C4285"/>
      <c r="D4285"/>
    </row>
    <row r="4286" spans="3:4">
      <c r="C4286"/>
      <c r="D4286"/>
    </row>
    <row r="4287" spans="3:4">
      <c r="C4287"/>
      <c r="D4287"/>
    </row>
    <row r="4288" spans="3:4">
      <c r="C4288"/>
      <c r="D4288"/>
    </row>
    <row r="4289" spans="3:4">
      <c r="C4289"/>
      <c r="D4289"/>
    </row>
    <row r="4290" spans="3:4">
      <c r="C4290"/>
      <c r="D4290"/>
    </row>
    <row r="4291" spans="3:4">
      <c r="C4291"/>
      <c r="D4291"/>
    </row>
    <row r="4292" spans="3:4">
      <c r="C4292"/>
      <c r="D4292"/>
    </row>
    <row r="4293" spans="3:4">
      <c r="C4293"/>
      <c r="D4293"/>
    </row>
    <row r="4294" spans="3:4">
      <c r="C4294"/>
      <c r="D4294"/>
    </row>
    <row r="4295" spans="3:4">
      <c r="C4295"/>
      <c r="D4295"/>
    </row>
    <row r="4296" spans="3:4">
      <c r="C4296"/>
      <c r="D4296"/>
    </row>
    <row r="4297" spans="3:4">
      <c r="C4297"/>
      <c r="D4297"/>
    </row>
    <row r="4298" spans="3:4">
      <c r="C4298"/>
      <c r="D4298"/>
    </row>
    <row r="4299" spans="3:4">
      <c r="C4299"/>
      <c r="D4299"/>
    </row>
    <row r="4300" spans="3:4">
      <c r="C4300"/>
      <c r="D4300"/>
    </row>
    <row r="4301" spans="3:4">
      <c r="C4301"/>
      <c r="D4301"/>
    </row>
    <row r="4302" spans="3:4">
      <c r="C4302"/>
      <c r="D4302"/>
    </row>
    <row r="4303" spans="3:4">
      <c r="C4303"/>
      <c r="D4303"/>
    </row>
    <row r="4304" spans="3:4">
      <c r="C4304"/>
      <c r="D4304"/>
    </row>
    <row r="4305" spans="3:4">
      <c r="C4305"/>
      <c r="D4305"/>
    </row>
    <row r="4306" spans="3:4">
      <c r="C4306"/>
      <c r="D4306"/>
    </row>
    <row r="4307" spans="3:4">
      <c r="C4307"/>
      <c r="D4307"/>
    </row>
    <row r="4308" spans="3:4">
      <c r="C4308"/>
      <c r="D4308"/>
    </row>
    <row r="4309" spans="3:4">
      <c r="C4309"/>
      <c r="D4309"/>
    </row>
    <row r="4310" spans="3:4">
      <c r="C4310"/>
      <c r="D4310"/>
    </row>
    <row r="4311" spans="3:4">
      <c r="C4311"/>
      <c r="D4311"/>
    </row>
    <row r="4312" spans="3:4">
      <c r="C4312"/>
      <c r="D4312"/>
    </row>
    <row r="4313" spans="3:4">
      <c r="C4313"/>
      <c r="D4313"/>
    </row>
    <row r="4314" spans="3:4">
      <c r="C4314"/>
      <c r="D4314"/>
    </row>
    <row r="4315" spans="3:4">
      <c r="C4315"/>
      <c r="D4315"/>
    </row>
    <row r="4316" spans="3:4">
      <c r="C4316"/>
      <c r="D4316"/>
    </row>
    <row r="4317" spans="3:4">
      <c r="C4317"/>
      <c r="D4317"/>
    </row>
    <row r="4318" spans="3:4">
      <c r="C4318"/>
      <c r="D4318"/>
    </row>
    <row r="4319" spans="3:4">
      <c r="C4319"/>
      <c r="D4319"/>
    </row>
    <row r="4320" spans="3:4">
      <c r="C4320"/>
      <c r="D4320"/>
    </row>
    <row r="4321" spans="3:4">
      <c r="C4321"/>
      <c r="D4321"/>
    </row>
    <row r="4322" spans="3:4">
      <c r="C4322"/>
      <c r="D4322"/>
    </row>
    <row r="4323" spans="3:4">
      <c r="C4323"/>
      <c r="D4323"/>
    </row>
    <row r="4324" spans="3:4">
      <c r="C4324"/>
      <c r="D4324"/>
    </row>
    <row r="4325" spans="3:4">
      <c r="C4325"/>
      <c r="D4325"/>
    </row>
    <row r="4326" spans="3:4">
      <c r="C4326"/>
      <c r="D4326"/>
    </row>
    <row r="4327" spans="3:4">
      <c r="C4327"/>
      <c r="D4327"/>
    </row>
    <row r="4328" spans="3:4">
      <c r="C4328"/>
      <c r="D4328"/>
    </row>
    <row r="4329" spans="3:4">
      <c r="C4329"/>
      <c r="D4329"/>
    </row>
    <row r="4330" spans="3:4">
      <c r="C4330"/>
      <c r="D4330"/>
    </row>
    <row r="4331" spans="3:4">
      <c r="C4331"/>
      <c r="D4331"/>
    </row>
    <row r="4332" spans="3:4">
      <c r="C4332"/>
      <c r="D4332"/>
    </row>
    <row r="4333" spans="3:4">
      <c r="C4333"/>
      <c r="D4333"/>
    </row>
    <row r="4334" spans="3:4">
      <c r="C4334"/>
      <c r="D4334"/>
    </row>
    <row r="4335" spans="3:4">
      <c r="C4335"/>
      <c r="D4335"/>
    </row>
    <row r="4336" spans="3:4">
      <c r="C4336"/>
      <c r="D4336"/>
    </row>
    <row r="4337" spans="3:4">
      <c r="C4337"/>
      <c r="D4337"/>
    </row>
    <row r="4338" spans="3:4">
      <c r="C4338"/>
      <c r="D4338"/>
    </row>
    <row r="4339" spans="3:4">
      <c r="C4339"/>
      <c r="D4339"/>
    </row>
    <row r="4340" spans="3:4">
      <c r="C4340"/>
      <c r="D4340"/>
    </row>
    <row r="4341" spans="3:4">
      <c r="C4341"/>
      <c r="D4341"/>
    </row>
    <row r="4342" spans="3:4">
      <c r="C4342"/>
      <c r="D4342"/>
    </row>
    <row r="4343" spans="3:4">
      <c r="C4343"/>
      <c r="D4343"/>
    </row>
    <row r="4344" spans="3:4">
      <c r="C4344"/>
      <c r="D4344"/>
    </row>
    <row r="4345" spans="3:4">
      <c r="C4345"/>
      <c r="D4345"/>
    </row>
    <row r="4346" spans="3:4">
      <c r="C4346"/>
      <c r="D4346"/>
    </row>
    <row r="4347" spans="3:4">
      <c r="C4347"/>
      <c r="D4347"/>
    </row>
    <row r="4348" spans="3:4">
      <c r="C4348"/>
      <c r="D4348"/>
    </row>
    <row r="4349" spans="3:4">
      <c r="C4349"/>
      <c r="D4349"/>
    </row>
    <row r="4350" spans="3:4">
      <c r="C4350"/>
      <c r="D4350"/>
    </row>
    <row r="4351" spans="3:4">
      <c r="C4351"/>
      <c r="D4351"/>
    </row>
    <row r="4352" spans="3:4">
      <c r="C4352"/>
      <c r="D4352"/>
    </row>
    <row r="4353" spans="3:4">
      <c r="C4353"/>
      <c r="D4353"/>
    </row>
    <row r="4354" spans="3:4">
      <c r="C4354"/>
      <c r="D4354"/>
    </row>
    <row r="4355" spans="3:4">
      <c r="C4355"/>
      <c r="D4355"/>
    </row>
    <row r="4356" spans="3:4">
      <c r="C4356"/>
      <c r="D4356"/>
    </row>
    <row r="4357" spans="3:4">
      <c r="C4357"/>
      <c r="D4357"/>
    </row>
    <row r="4358" spans="3:4">
      <c r="C4358"/>
      <c r="D4358"/>
    </row>
    <row r="4359" spans="3:4">
      <c r="C4359"/>
      <c r="D4359"/>
    </row>
    <row r="4360" spans="3:4">
      <c r="C4360"/>
      <c r="D4360"/>
    </row>
    <row r="4361" spans="3:4">
      <c r="C4361"/>
      <c r="D4361"/>
    </row>
    <row r="4362" spans="3:4">
      <c r="C4362"/>
      <c r="D4362"/>
    </row>
    <row r="4363" spans="3:4">
      <c r="C4363"/>
      <c r="D4363"/>
    </row>
    <row r="4364" spans="3:4">
      <c r="C4364"/>
      <c r="D4364"/>
    </row>
    <row r="4365" spans="3:4">
      <c r="C4365"/>
      <c r="D4365"/>
    </row>
    <row r="4366" spans="3:4">
      <c r="C4366"/>
      <c r="D4366"/>
    </row>
    <row r="4367" spans="3:4">
      <c r="C4367"/>
      <c r="D4367"/>
    </row>
    <row r="4368" spans="3:4">
      <c r="C4368"/>
      <c r="D4368"/>
    </row>
    <row r="4369" spans="3:4">
      <c r="C4369"/>
      <c r="D4369"/>
    </row>
    <row r="4370" spans="3:4">
      <c r="C4370"/>
      <c r="D4370"/>
    </row>
    <row r="4371" spans="3:4">
      <c r="C4371"/>
      <c r="D4371"/>
    </row>
    <row r="4372" spans="3:4">
      <c r="C4372"/>
      <c r="D4372"/>
    </row>
    <row r="4373" spans="3:4">
      <c r="C4373"/>
      <c r="D4373"/>
    </row>
    <row r="4374" spans="3:4">
      <c r="C4374"/>
      <c r="D4374"/>
    </row>
    <row r="4375" spans="3:4">
      <c r="C4375"/>
      <c r="D4375"/>
    </row>
    <row r="4376" spans="3:4">
      <c r="C4376"/>
      <c r="D4376"/>
    </row>
    <row r="4377" spans="3:4">
      <c r="C4377"/>
      <c r="D4377"/>
    </row>
    <row r="4378" spans="3:4">
      <c r="C4378"/>
      <c r="D4378"/>
    </row>
    <row r="4379" spans="3:4">
      <c r="C4379"/>
      <c r="D4379"/>
    </row>
    <row r="4380" spans="3:4">
      <c r="C4380"/>
      <c r="D4380"/>
    </row>
    <row r="4381" spans="3:4">
      <c r="C4381"/>
      <c r="D4381"/>
    </row>
    <row r="4382" spans="3:4">
      <c r="C4382"/>
      <c r="D4382"/>
    </row>
    <row r="4383" spans="3:4">
      <c r="C4383"/>
      <c r="D4383"/>
    </row>
    <row r="4384" spans="3:4">
      <c r="C4384"/>
      <c r="D4384"/>
    </row>
    <row r="4385" spans="3:4">
      <c r="C4385"/>
      <c r="D4385"/>
    </row>
    <row r="4386" spans="3:4">
      <c r="C4386"/>
      <c r="D4386"/>
    </row>
    <row r="4387" spans="3:4">
      <c r="C4387"/>
      <c r="D4387"/>
    </row>
    <row r="4388" spans="3:4">
      <c r="C4388"/>
      <c r="D4388"/>
    </row>
    <row r="4389" spans="3:4">
      <c r="C4389"/>
      <c r="D4389"/>
    </row>
    <row r="4390" spans="3:4">
      <c r="C4390"/>
      <c r="D4390"/>
    </row>
    <row r="4391" spans="3:4">
      <c r="C4391"/>
      <c r="D4391"/>
    </row>
    <row r="4392" spans="3:4">
      <c r="C4392"/>
      <c r="D4392"/>
    </row>
    <row r="4393" spans="3:4">
      <c r="C4393"/>
      <c r="D4393"/>
    </row>
    <row r="4394" spans="3:4">
      <c r="C4394"/>
      <c r="D4394"/>
    </row>
    <row r="4395" spans="3:4">
      <c r="C4395"/>
      <c r="D4395"/>
    </row>
    <row r="4396" spans="3:4">
      <c r="C4396"/>
      <c r="D4396"/>
    </row>
    <row r="4397" spans="3:4">
      <c r="C4397"/>
      <c r="D4397"/>
    </row>
    <row r="4398" spans="3:4">
      <c r="C4398"/>
      <c r="D4398"/>
    </row>
    <row r="4399" spans="3:4">
      <c r="C4399"/>
      <c r="D4399"/>
    </row>
    <row r="4400" spans="3:4">
      <c r="C4400"/>
      <c r="D4400"/>
    </row>
    <row r="4401" spans="3:4">
      <c r="C4401"/>
      <c r="D4401"/>
    </row>
    <row r="4402" spans="3:4">
      <c r="C4402"/>
      <c r="D4402"/>
    </row>
    <row r="4403" spans="3:4">
      <c r="C4403"/>
      <c r="D4403"/>
    </row>
    <row r="4404" spans="3:4">
      <c r="C4404"/>
      <c r="D4404"/>
    </row>
    <row r="4405" spans="3:4">
      <c r="C4405"/>
      <c r="D4405"/>
    </row>
    <row r="4406" spans="3:4">
      <c r="C4406"/>
      <c r="D4406"/>
    </row>
    <row r="4407" spans="3:4">
      <c r="C4407"/>
      <c r="D4407"/>
    </row>
    <row r="4408" spans="3:4">
      <c r="C4408"/>
      <c r="D4408"/>
    </row>
    <row r="4409" spans="3:4">
      <c r="C4409"/>
      <c r="D4409"/>
    </row>
    <row r="4410" spans="3:4">
      <c r="C4410"/>
      <c r="D4410"/>
    </row>
    <row r="4411" spans="3:4">
      <c r="C4411"/>
      <c r="D4411"/>
    </row>
    <row r="4412" spans="3:4">
      <c r="C4412"/>
      <c r="D4412"/>
    </row>
    <row r="4413" spans="3:4">
      <c r="C4413"/>
      <c r="D4413"/>
    </row>
    <row r="4414" spans="3:4">
      <c r="C4414"/>
      <c r="D4414"/>
    </row>
    <row r="4415" spans="3:4">
      <c r="C4415"/>
      <c r="D4415"/>
    </row>
    <row r="4416" spans="3:4">
      <c r="C4416"/>
      <c r="D4416"/>
    </row>
    <row r="4417" spans="3:4">
      <c r="C4417"/>
      <c r="D4417"/>
    </row>
    <row r="4418" spans="3:4">
      <c r="C4418"/>
      <c r="D4418"/>
    </row>
    <row r="4419" spans="3:4">
      <c r="C4419"/>
      <c r="D4419"/>
    </row>
    <row r="4420" spans="3:4">
      <c r="C4420"/>
      <c r="D4420"/>
    </row>
    <row r="4421" spans="3:4">
      <c r="C4421"/>
      <c r="D4421"/>
    </row>
    <row r="4422" spans="3:4">
      <c r="C4422"/>
      <c r="D4422"/>
    </row>
    <row r="4423" spans="3:4">
      <c r="C4423"/>
      <c r="D4423"/>
    </row>
    <row r="4424" spans="3:4">
      <c r="C4424"/>
      <c r="D4424"/>
    </row>
    <row r="4425" spans="3:4">
      <c r="C4425"/>
      <c r="D4425"/>
    </row>
    <row r="4426" spans="3:4">
      <c r="C4426"/>
      <c r="D4426"/>
    </row>
    <row r="4427" spans="3:4">
      <c r="C4427"/>
      <c r="D4427"/>
    </row>
    <row r="4428" spans="3:4">
      <c r="C4428"/>
      <c r="D4428"/>
    </row>
    <row r="4429" spans="3:4">
      <c r="C4429"/>
      <c r="D4429"/>
    </row>
    <row r="4430" spans="3:4">
      <c r="C4430"/>
      <c r="D4430"/>
    </row>
    <row r="4431" spans="3:4">
      <c r="C4431"/>
      <c r="D4431"/>
    </row>
    <row r="4432" spans="3:4">
      <c r="C4432"/>
      <c r="D4432"/>
    </row>
    <row r="4433" spans="3:4">
      <c r="C4433"/>
      <c r="D4433"/>
    </row>
    <row r="4434" spans="3:4">
      <c r="C4434"/>
      <c r="D4434"/>
    </row>
    <row r="4435" spans="3:4">
      <c r="C4435"/>
      <c r="D4435"/>
    </row>
    <row r="4436" spans="3:4">
      <c r="C4436"/>
      <c r="D4436"/>
    </row>
    <row r="4437" spans="3:4">
      <c r="C4437"/>
      <c r="D4437"/>
    </row>
    <row r="4438" spans="3:4">
      <c r="C4438"/>
      <c r="D4438"/>
    </row>
    <row r="4439" spans="3:4">
      <c r="C4439"/>
      <c r="D4439"/>
    </row>
    <row r="4440" spans="3:4">
      <c r="C4440"/>
      <c r="D4440"/>
    </row>
    <row r="4441" spans="3:4">
      <c r="C4441"/>
      <c r="D4441"/>
    </row>
    <row r="4442" spans="3:4">
      <c r="C4442"/>
      <c r="D4442"/>
    </row>
    <row r="4443" spans="3:4">
      <c r="C4443"/>
      <c r="D4443"/>
    </row>
    <row r="4444" spans="3:4">
      <c r="C4444"/>
      <c r="D4444"/>
    </row>
    <row r="4445" spans="3:4">
      <c r="C4445"/>
      <c r="D4445"/>
    </row>
    <row r="4446" spans="3:4">
      <c r="C4446"/>
      <c r="D4446"/>
    </row>
    <row r="4447" spans="3:4">
      <c r="C4447"/>
      <c r="D4447"/>
    </row>
    <row r="4448" spans="3:4">
      <c r="C4448"/>
      <c r="D4448"/>
    </row>
    <row r="4449" spans="3:4">
      <c r="C4449"/>
      <c r="D4449"/>
    </row>
    <row r="4450" spans="3:4">
      <c r="C4450"/>
      <c r="D4450"/>
    </row>
    <row r="4451" spans="3:4">
      <c r="C4451"/>
      <c r="D4451"/>
    </row>
    <row r="4452" spans="3:4">
      <c r="C4452"/>
      <c r="D4452"/>
    </row>
    <row r="4453" spans="3:4">
      <c r="C4453"/>
      <c r="D4453"/>
    </row>
    <row r="4454" spans="3:4">
      <c r="C4454"/>
      <c r="D4454"/>
    </row>
    <row r="4455" spans="3:4">
      <c r="C4455"/>
      <c r="D4455"/>
    </row>
    <row r="4456" spans="3:4">
      <c r="C4456"/>
      <c r="D4456"/>
    </row>
    <row r="4457" spans="3:4">
      <c r="C4457"/>
      <c r="D4457"/>
    </row>
    <row r="4458" spans="3:4">
      <c r="C4458"/>
      <c r="D4458"/>
    </row>
    <row r="4459" spans="3:4">
      <c r="C4459"/>
      <c r="D4459"/>
    </row>
    <row r="4460" spans="3:4">
      <c r="C4460"/>
      <c r="D4460"/>
    </row>
    <row r="4461" spans="3:4">
      <c r="C4461"/>
      <c r="D4461"/>
    </row>
    <row r="4462" spans="3:4">
      <c r="C4462"/>
      <c r="D4462"/>
    </row>
    <row r="4463" spans="3:4">
      <c r="C4463"/>
      <c r="D4463"/>
    </row>
    <row r="4464" spans="3:4">
      <c r="C4464"/>
      <c r="D4464"/>
    </row>
    <row r="4465" spans="3:4">
      <c r="C4465"/>
      <c r="D4465"/>
    </row>
    <row r="4466" spans="3:4">
      <c r="C4466"/>
      <c r="D4466"/>
    </row>
    <row r="4467" spans="3:4">
      <c r="C4467"/>
      <c r="D4467"/>
    </row>
    <row r="4468" spans="3:4">
      <c r="C4468"/>
      <c r="D4468"/>
    </row>
    <row r="4469" spans="3:4">
      <c r="C4469"/>
      <c r="D4469"/>
    </row>
    <row r="4470" spans="3:4">
      <c r="C4470"/>
      <c r="D4470"/>
    </row>
    <row r="4471" spans="3:4">
      <c r="C4471"/>
      <c r="D4471"/>
    </row>
    <row r="4472" spans="3:4">
      <c r="C4472"/>
      <c r="D4472"/>
    </row>
    <row r="4473" spans="3:4">
      <c r="C4473"/>
      <c r="D4473"/>
    </row>
    <row r="4474" spans="3:4">
      <c r="C4474"/>
      <c r="D4474"/>
    </row>
    <row r="4475" spans="3:4">
      <c r="C4475"/>
      <c r="D4475"/>
    </row>
    <row r="4476" spans="3:4">
      <c r="C4476"/>
      <c r="D4476"/>
    </row>
    <row r="4477" spans="3:4">
      <c r="C4477"/>
      <c r="D4477"/>
    </row>
    <row r="4478" spans="3:4">
      <c r="C4478"/>
      <c r="D4478"/>
    </row>
    <row r="4479" spans="3:4">
      <c r="C4479"/>
      <c r="D4479"/>
    </row>
    <row r="4480" spans="3:4">
      <c r="C4480"/>
      <c r="D4480"/>
    </row>
    <row r="4481" spans="3:4">
      <c r="C4481"/>
      <c r="D4481"/>
    </row>
    <row r="4482" spans="3:4">
      <c r="C4482"/>
      <c r="D4482"/>
    </row>
    <row r="4483" spans="3:4">
      <c r="C4483"/>
      <c r="D4483"/>
    </row>
    <row r="4484" spans="3:4">
      <c r="C4484"/>
      <c r="D4484"/>
    </row>
    <row r="4485" spans="3:4">
      <c r="C4485"/>
      <c r="D4485"/>
    </row>
    <row r="4486" spans="3:4">
      <c r="C4486"/>
      <c r="D4486"/>
    </row>
    <row r="4487" spans="3:4">
      <c r="C4487"/>
      <c r="D4487"/>
    </row>
    <row r="4488" spans="3:4">
      <c r="C4488"/>
      <c r="D4488"/>
    </row>
    <row r="4489" spans="3:4">
      <c r="C4489"/>
      <c r="D4489"/>
    </row>
    <row r="4490" spans="3:4">
      <c r="C4490"/>
      <c r="D4490"/>
    </row>
    <row r="4491" spans="3:4">
      <c r="C4491"/>
      <c r="D4491"/>
    </row>
    <row r="4492" spans="3:4">
      <c r="C4492"/>
      <c r="D4492"/>
    </row>
    <row r="4493" spans="3:4">
      <c r="C4493"/>
      <c r="D4493"/>
    </row>
    <row r="4494" spans="3:4">
      <c r="C4494"/>
      <c r="D4494"/>
    </row>
    <row r="4495" spans="3:4">
      <c r="C4495"/>
      <c r="D4495"/>
    </row>
    <row r="4496" spans="3:4">
      <c r="C4496"/>
      <c r="D4496"/>
    </row>
    <row r="4497" spans="3:4">
      <c r="C4497"/>
      <c r="D4497"/>
    </row>
    <row r="4498" spans="3:4">
      <c r="C4498"/>
      <c r="D4498"/>
    </row>
    <row r="4499" spans="3:4">
      <c r="C4499"/>
      <c r="D4499"/>
    </row>
    <row r="4500" spans="3:4">
      <c r="C4500"/>
      <c r="D4500"/>
    </row>
    <row r="4501" spans="3:4">
      <c r="C4501"/>
      <c r="D4501"/>
    </row>
    <row r="4502" spans="3:4">
      <c r="C4502"/>
      <c r="D4502"/>
    </row>
    <row r="4503" spans="3:4">
      <c r="C4503"/>
      <c r="D4503"/>
    </row>
    <row r="4504" spans="3:4">
      <c r="C4504"/>
      <c r="D4504"/>
    </row>
    <row r="4505" spans="3:4">
      <c r="C4505"/>
      <c r="D4505"/>
    </row>
    <row r="4506" spans="3:4">
      <c r="C4506"/>
      <c r="D4506"/>
    </row>
    <row r="4507" spans="3:4">
      <c r="C4507"/>
      <c r="D4507"/>
    </row>
    <row r="4508" spans="3:4">
      <c r="C4508"/>
      <c r="D4508"/>
    </row>
    <row r="4509" spans="3:4">
      <c r="C4509"/>
      <c r="D4509"/>
    </row>
    <row r="4510" spans="3:4">
      <c r="C4510"/>
      <c r="D4510"/>
    </row>
    <row r="4511" spans="3:4">
      <c r="C4511"/>
      <c r="D4511"/>
    </row>
    <row r="4512" spans="3:4">
      <c r="C4512"/>
      <c r="D4512"/>
    </row>
    <row r="4513" spans="3:4">
      <c r="C4513"/>
      <c r="D4513"/>
    </row>
    <row r="4514" spans="3:4">
      <c r="C4514"/>
      <c r="D4514"/>
    </row>
    <row r="4515" spans="3:4">
      <c r="C4515"/>
      <c r="D4515"/>
    </row>
    <row r="4516" spans="3:4">
      <c r="C4516"/>
      <c r="D4516"/>
    </row>
    <row r="4517" spans="3:4">
      <c r="C4517"/>
      <c r="D4517"/>
    </row>
    <row r="4518" spans="3:4">
      <c r="C4518"/>
      <c r="D4518"/>
    </row>
    <row r="4519" spans="3:4">
      <c r="C4519"/>
      <c r="D4519"/>
    </row>
    <row r="4520" spans="3:4">
      <c r="C4520"/>
      <c r="D4520"/>
    </row>
    <row r="4521" spans="3:4">
      <c r="C4521"/>
      <c r="D4521"/>
    </row>
    <row r="4522" spans="3:4">
      <c r="C4522"/>
      <c r="D4522"/>
    </row>
    <row r="4523" spans="3:4">
      <c r="C4523"/>
      <c r="D4523"/>
    </row>
    <row r="4524" spans="3:4">
      <c r="C4524"/>
      <c r="D4524"/>
    </row>
    <row r="4525" spans="3:4">
      <c r="C4525"/>
      <c r="D4525"/>
    </row>
    <row r="4526" spans="3:4">
      <c r="C4526"/>
      <c r="D4526"/>
    </row>
    <row r="4527" spans="3:4">
      <c r="C4527"/>
      <c r="D4527"/>
    </row>
    <row r="4528" spans="3:4">
      <c r="C4528"/>
      <c r="D4528"/>
    </row>
    <row r="4529" spans="3:4">
      <c r="C4529"/>
      <c r="D4529"/>
    </row>
    <row r="4530" spans="3:4">
      <c r="C4530"/>
      <c r="D4530"/>
    </row>
    <row r="4531" spans="3:4">
      <c r="C4531"/>
      <c r="D4531"/>
    </row>
    <row r="4532" spans="3:4">
      <c r="C4532"/>
      <c r="D4532"/>
    </row>
    <row r="4533" spans="3:4">
      <c r="C4533"/>
      <c r="D4533"/>
    </row>
    <row r="4534" spans="3:4">
      <c r="C4534"/>
      <c r="D4534"/>
    </row>
    <row r="4535" spans="3:4">
      <c r="C4535"/>
      <c r="D4535"/>
    </row>
    <row r="4536" spans="3:4">
      <c r="C4536"/>
      <c r="D4536"/>
    </row>
    <row r="4537" spans="3:4">
      <c r="C4537"/>
      <c r="D4537"/>
    </row>
    <row r="4538" spans="3:4">
      <c r="C4538"/>
      <c r="D4538"/>
    </row>
    <row r="4539" spans="3:4">
      <c r="C4539"/>
      <c r="D4539"/>
    </row>
    <row r="4540" spans="3:4">
      <c r="C4540"/>
      <c r="D4540"/>
    </row>
    <row r="4541" spans="3:4">
      <c r="C4541"/>
      <c r="D4541"/>
    </row>
    <row r="4542" spans="3:4">
      <c r="C4542"/>
      <c r="D4542"/>
    </row>
    <row r="4543" spans="3:4">
      <c r="C4543"/>
      <c r="D4543"/>
    </row>
    <row r="4544" spans="3:4">
      <c r="C4544"/>
      <c r="D4544"/>
    </row>
    <row r="4545" spans="3:4">
      <c r="C4545"/>
      <c r="D4545"/>
    </row>
    <row r="4546" spans="3:4">
      <c r="C4546"/>
      <c r="D4546"/>
    </row>
    <row r="4547" spans="3:4">
      <c r="C4547"/>
      <c r="D4547"/>
    </row>
    <row r="4548" spans="3:4">
      <c r="C4548"/>
      <c r="D4548"/>
    </row>
    <row r="4549" spans="3:4">
      <c r="C4549"/>
      <c r="D4549"/>
    </row>
    <row r="4550" spans="3:4">
      <c r="C4550"/>
      <c r="D4550"/>
    </row>
    <row r="4551" spans="3:4">
      <c r="C4551"/>
      <c r="D4551"/>
    </row>
    <row r="4552" spans="3:4">
      <c r="C4552"/>
      <c r="D4552"/>
    </row>
    <row r="4553" spans="3:4">
      <c r="C4553"/>
      <c r="D4553"/>
    </row>
    <row r="4554" spans="3:4">
      <c r="C4554"/>
      <c r="D4554"/>
    </row>
    <row r="4555" spans="3:4">
      <c r="C4555"/>
      <c r="D4555"/>
    </row>
    <row r="4556" spans="3:4">
      <c r="C4556"/>
      <c r="D4556"/>
    </row>
    <row r="4557" spans="3:4">
      <c r="C4557"/>
      <c r="D4557"/>
    </row>
    <row r="4558" spans="3:4">
      <c r="C4558"/>
      <c r="D4558"/>
    </row>
    <row r="4559" spans="3:4">
      <c r="C4559"/>
      <c r="D4559"/>
    </row>
    <row r="4560" spans="3:4">
      <c r="C4560"/>
      <c r="D4560"/>
    </row>
    <row r="4561" spans="3:4">
      <c r="C4561"/>
      <c r="D4561"/>
    </row>
    <row r="4562" spans="3:4">
      <c r="C4562"/>
      <c r="D4562"/>
    </row>
    <row r="4563" spans="3:4">
      <c r="C4563"/>
      <c r="D4563"/>
    </row>
    <row r="4564" spans="3:4">
      <c r="C4564"/>
      <c r="D4564"/>
    </row>
    <row r="4565" spans="3:4">
      <c r="C4565"/>
      <c r="D4565"/>
    </row>
    <row r="4566" spans="3:4">
      <c r="C4566"/>
      <c r="D4566"/>
    </row>
    <row r="4567" spans="3:4">
      <c r="C4567"/>
      <c r="D4567"/>
    </row>
    <row r="4568" spans="3:4">
      <c r="C4568"/>
      <c r="D4568"/>
    </row>
    <row r="4569" spans="3:4">
      <c r="C4569"/>
      <c r="D4569"/>
    </row>
    <row r="4570" spans="3:4">
      <c r="C4570"/>
      <c r="D4570"/>
    </row>
    <row r="4571" spans="3:4">
      <c r="C4571"/>
      <c r="D4571"/>
    </row>
    <row r="4572" spans="3:4">
      <c r="C4572"/>
      <c r="D4572"/>
    </row>
    <row r="4573" spans="3:4">
      <c r="C4573"/>
      <c r="D4573"/>
    </row>
    <row r="4574" spans="3:4">
      <c r="C4574"/>
      <c r="D4574"/>
    </row>
    <row r="4575" spans="3:4">
      <c r="C4575"/>
      <c r="D4575"/>
    </row>
    <row r="4576" spans="3:4">
      <c r="C4576"/>
      <c r="D4576"/>
    </row>
    <row r="4577" spans="3:4">
      <c r="C4577"/>
      <c r="D4577"/>
    </row>
    <row r="4578" spans="3:4">
      <c r="C4578"/>
      <c r="D4578"/>
    </row>
    <row r="4579" spans="3:4">
      <c r="C4579"/>
      <c r="D4579"/>
    </row>
    <row r="4580" spans="3:4">
      <c r="C4580"/>
      <c r="D4580"/>
    </row>
    <row r="4581" spans="3:4">
      <c r="C4581"/>
      <c r="D4581"/>
    </row>
    <row r="4582" spans="3:4">
      <c r="C4582"/>
      <c r="D4582"/>
    </row>
    <row r="4583" spans="3:4">
      <c r="C4583"/>
      <c r="D4583"/>
    </row>
    <row r="4584" spans="3:4">
      <c r="C4584"/>
      <c r="D4584"/>
    </row>
    <row r="4585" spans="3:4">
      <c r="C4585"/>
      <c r="D4585"/>
    </row>
    <row r="4586" spans="3:4">
      <c r="C4586"/>
      <c r="D4586"/>
    </row>
    <row r="4587" spans="3:4">
      <c r="C4587"/>
      <c r="D4587"/>
    </row>
    <row r="4588" spans="3:4">
      <c r="C4588"/>
      <c r="D4588"/>
    </row>
    <row r="4589" spans="3:4">
      <c r="C4589"/>
      <c r="D4589"/>
    </row>
    <row r="4590" spans="3:4">
      <c r="C4590"/>
      <c r="D4590"/>
    </row>
    <row r="4591" spans="3:4">
      <c r="C4591"/>
      <c r="D4591"/>
    </row>
    <row r="4592" spans="3:4">
      <c r="C4592"/>
      <c r="D4592"/>
    </row>
    <row r="4593" spans="3:4">
      <c r="C4593"/>
      <c r="D4593"/>
    </row>
    <row r="4594" spans="3:4">
      <c r="C4594"/>
      <c r="D4594"/>
    </row>
    <row r="4595" spans="3:4">
      <c r="C4595"/>
      <c r="D4595"/>
    </row>
    <row r="4596" spans="3:4">
      <c r="C4596"/>
      <c r="D4596"/>
    </row>
    <row r="4597" spans="3:4">
      <c r="C4597"/>
      <c r="D4597"/>
    </row>
    <row r="4598" spans="3:4">
      <c r="C4598"/>
      <c r="D4598"/>
    </row>
    <row r="4599" spans="3:4">
      <c r="C4599"/>
      <c r="D4599"/>
    </row>
    <row r="4600" spans="3:4">
      <c r="C4600"/>
      <c r="D4600"/>
    </row>
    <row r="4601" spans="3:4">
      <c r="C4601"/>
      <c r="D4601"/>
    </row>
    <row r="4602" spans="3:4">
      <c r="C4602"/>
      <c r="D4602"/>
    </row>
    <row r="4603" spans="3:4">
      <c r="C4603"/>
      <c r="D4603"/>
    </row>
    <row r="4604" spans="3:4">
      <c r="C4604"/>
      <c r="D4604"/>
    </row>
    <row r="4605" spans="3:4">
      <c r="C4605"/>
      <c r="D4605"/>
    </row>
    <row r="4606" spans="3:4">
      <c r="C4606"/>
      <c r="D4606"/>
    </row>
    <row r="4607" spans="3:4">
      <c r="C4607"/>
      <c r="D4607"/>
    </row>
    <row r="4608" spans="3:4">
      <c r="C4608"/>
      <c r="D4608"/>
    </row>
    <row r="4609" spans="3:4">
      <c r="C4609"/>
      <c r="D4609"/>
    </row>
    <row r="4610" spans="3:4">
      <c r="C4610"/>
      <c r="D4610"/>
    </row>
    <row r="4611" spans="3:4">
      <c r="C4611"/>
      <c r="D4611"/>
    </row>
    <row r="4612" spans="3:4">
      <c r="C4612"/>
      <c r="D4612"/>
    </row>
    <row r="4613" spans="3:4">
      <c r="C4613"/>
      <c r="D4613"/>
    </row>
    <row r="4614" spans="3:4">
      <c r="C4614"/>
      <c r="D4614"/>
    </row>
    <row r="4615" spans="3:4">
      <c r="C4615"/>
      <c r="D4615"/>
    </row>
    <row r="4616" spans="3:4">
      <c r="C4616"/>
      <c r="D4616"/>
    </row>
    <row r="4617" spans="3:4">
      <c r="C4617"/>
      <c r="D4617"/>
    </row>
    <row r="4618" spans="3:4">
      <c r="C4618"/>
      <c r="D4618"/>
    </row>
    <row r="4619" spans="3:4">
      <c r="C4619"/>
      <c r="D4619"/>
    </row>
    <row r="4620" spans="3:4">
      <c r="C4620"/>
      <c r="D4620"/>
    </row>
    <row r="4621" spans="3:4">
      <c r="C4621"/>
      <c r="D4621"/>
    </row>
    <row r="4622" spans="3:4">
      <c r="C4622"/>
      <c r="D4622"/>
    </row>
    <row r="4623" spans="3:4">
      <c r="C4623"/>
      <c r="D4623"/>
    </row>
    <row r="4624" spans="3:4">
      <c r="C4624"/>
      <c r="D4624"/>
    </row>
    <row r="4625" spans="3:4">
      <c r="C4625"/>
      <c r="D4625"/>
    </row>
    <row r="4626" spans="3:4">
      <c r="C4626"/>
      <c r="D4626"/>
    </row>
    <row r="4627" spans="3:4">
      <c r="C4627"/>
      <c r="D4627"/>
    </row>
    <row r="4628" spans="3:4">
      <c r="C4628"/>
      <c r="D4628"/>
    </row>
    <row r="4629" spans="3:4">
      <c r="C4629"/>
      <c r="D4629"/>
    </row>
    <row r="4630" spans="3:4">
      <c r="C4630"/>
      <c r="D4630"/>
    </row>
    <row r="4631" spans="3:4">
      <c r="C4631"/>
      <c r="D4631"/>
    </row>
    <row r="4632" spans="3:4">
      <c r="C4632"/>
      <c r="D4632"/>
    </row>
    <row r="4633" spans="3:4">
      <c r="C4633"/>
      <c r="D4633"/>
    </row>
    <row r="4634" spans="3:4">
      <c r="C4634"/>
      <c r="D4634"/>
    </row>
    <row r="4635" spans="3:4">
      <c r="C4635"/>
      <c r="D4635"/>
    </row>
    <row r="4636" spans="3:4">
      <c r="C4636"/>
      <c r="D4636"/>
    </row>
    <row r="4637" spans="3:4">
      <c r="C4637"/>
      <c r="D4637"/>
    </row>
    <row r="4638" spans="3:4">
      <c r="C4638"/>
      <c r="D4638"/>
    </row>
    <row r="4639" spans="3:4">
      <c r="C4639"/>
      <c r="D4639"/>
    </row>
    <row r="4640" spans="3:4">
      <c r="C4640"/>
      <c r="D4640"/>
    </row>
    <row r="4641" spans="3:4">
      <c r="C4641"/>
      <c r="D4641"/>
    </row>
    <row r="4642" spans="3:4">
      <c r="C4642"/>
      <c r="D4642"/>
    </row>
    <row r="4643" spans="3:4">
      <c r="C4643"/>
      <c r="D4643"/>
    </row>
    <row r="4644" spans="3:4">
      <c r="C4644"/>
      <c r="D4644"/>
    </row>
    <row r="4645" spans="3:4">
      <c r="C4645"/>
      <c r="D4645"/>
    </row>
    <row r="4646" spans="3:4">
      <c r="C4646"/>
      <c r="D4646"/>
    </row>
    <row r="4647" spans="3:4">
      <c r="C4647"/>
      <c r="D4647"/>
    </row>
    <row r="4648" spans="3:4">
      <c r="C4648"/>
      <c r="D4648"/>
    </row>
    <row r="4649" spans="3:4">
      <c r="C4649"/>
      <c r="D4649"/>
    </row>
    <row r="4650" spans="3:4">
      <c r="C4650"/>
      <c r="D4650"/>
    </row>
    <row r="4651" spans="3:4">
      <c r="C4651"/>
      <c r="D4651"/>
    </row>
    <row r="4652" spans="3:4">
      <c r="C4652"/>
      <c r="D4652"/>
    </row>
    <row r="4653" spans="3:4">
      <c r="C4653"/>
      <c r="D4653"/>
    </row>
    <row r="4654" spans="3:4">
      <c r="C4654"/>
      <c r="D4654"/>
    </row>
    <row r="4655" spans="3:4">
      <c r="C4655"/>
      <c r="D4655"/>
    </row>
    <row r="4656" spans="3:4">
      <c r="C4656"/>
      <c r="D4656"/>
    </row>
    <row r="4657" spans="3:4">
      <c r="C4657"/>
      <c r="D4657"/>
    </row>
    <row r="4658" spans="3:4">
      <c r="C4658"/>
      <c r="D4658"/>
    </row>
    <row r="4659" spans="3:4">
      <c r="C4659"/>
      <c r="D4659"/>
    </row>
    <row r="4660" spans="3:4">
      <c r="C4660"/>
      <c r="D4660"/>
    </row>
    <row r="4661" spans="3:4">
      <c r="C4661"/>
      <c r="D4661"/>
    </row>
    <row r="4662" spans="3:4">
      <c r="C4662"/>
      <c r="D4662"/>
    </row>
    <row r="4663" spans="3:4">
      <c r="C4663"/>
      <c r="D4663"/>
    </row>
    <row r="4664" spans="3:4">
      <c r="C4664"/>
      <c r="D4664"/>
    </row>
    <row r="4665" spans="3:4">
      <c r="C4665"/>
      <c r="D4665"/>
    </row>
    <row r="4666" spans="3:4">
      <c r="C4666"/>
      <c r="D4666"/>
    </row>
    <row r="4667" spans="3:4">
      <c r="C4667"/>
      <c r="D4667"/>
    </row>
    <row r="4668" spans="3:4">
      <c r="C4668"/>
      <c r="D4668"/>
    </row>
    <row r="4669" spans="3:4">
      <c r="C4669"/>
      <c r="D4669"/>
    </row>
    <row r="4670" spans="3:4">
      <c r="C4670"/>
      <c r="D4670"/>
    </row>
    <row r="4671" spans="3:4">
      <c r="C4671"/>
      <c r="D4671"/>
    </row>
    <row r="4672" spans="3:4">
      <c r="C4672"/>
      <c r="D4672"/>
    </row>
    <row r="4673" spans="3:4">
      <c r="C4673"/>
      <c r="D4673"/>
    </row>
    <row r="4674" spans="3:4">
      <c r="C4674"/>
      <c r="D4674"/>
    </row>
    <row r="4675" spans="3:4">
      <c r="C4675"/>
      <c r="D4675"/>
    </row>
    <row r="4676" spans="3:4">
      <c r="C4676"/>
      <c r="D4676"/>
    </row>
    <row r="4677" spans="3:4">
      <c r="C4677"/>
      <c r="D4677"/>
    </row>
    <row r="4678" spans="3:4">
      <c r="C4678"/>
      <c r="D4678"/>
    </row>
    <row r="4679" spans="3:4">
      <c r="C4679"/>
      <c r="D4679"/>
    </row>
    <row r="4680" spans="3:4">
      <c r="C4680"/>
      <c r="D4680"/>
    </row>
    <row r="4681" spans="3:4">
      <c r="C4681"/>
      <c r="D4681"/>
    </row>
    <row r="4682" spans="3:4">
      <c r="C4682"/>
      <c r="D4682"/>
    </row>
    <row r="4683" spans="3:4">
      <c r="C4683"/>
      <c r="D4683"/>
    </row>
    <row r="4684" spans="3:4">
      <c r="C4684"/>
      <c r="D4684"/>
    </row>
    <row r="4685" spans="3:4">
      <c r="C4685"/>
      <c r="D4685"/>
    </row>
    <row r="4686" spans="3:4">
      <c r="C4686"/>
      <c r="D4686"/>
    </row>
    <row r="4687" spans="3:4">
      <c r="C4687"/>
      <c r="D4687"/>
    </row>
    <row r="4688" spans="3:4">
      <c r="C4688"/>
      <c r="D4688"/>
    </row>
    <row r="4689" spans="3:4">
      <c r="C4689"/>
      <c r="D4689"/>
    </row>
    <row r="4690" spans="3:4">
      <c r="C4690"/>
      <c r="D4690"/>
    </row>
    <row r="4691" spans="3:4">
      <c r="C4691"/>
      <c r="D4691"/>
    </row>
    <row r="4692" spans="3:4">
      <c r="C4692"/>
      <c r="D4692"/>
    </row>
    <row r="4693" spans="3:4">
      <c r="C4693"/>
      <c r="D4693"/>
    </row>
    <row r="4694" spans="3:4">
      <c r="C4694"/>
      <c r="D4694"/>
    </row>
    <row r="4695" spans="3:4">
      <c r="C4695"/>
      <c r="D4695"/>
    </row>
    <row r="4696" spans="3:4">
      <c r="C4696"/>
      <c r="D4696"/>
    </row>
    <row r="4697" spans="3:4">
      <c r="C4697"/>
      <c r="D4697"/>
    </row>
    <row r="4698" spans="3:4">
      <c r="C4698"/>
      <c r="D4698"/>
    </row>
    <row r="4699" spans="3:4">
      <c r="C4699"/>
      <c r="D4699"/>
    </row>
    <row r="4700" spans="3:4">
      <c r="C4700"/>
      <c r="D4700"/>
    </row>
    <row r="4701" spans="3:4">
      <c r="C4701"/>
      <c r="D4701"/>
    </row>
    <row r="4702" spans="3:4">
      <c r="C4702"/>
      <c r="D4702"/>
    </row>
    <row r="4703" spans="3:4">
      <c r="C4703"/>
      <c r="D4703"/>
    </row>
    <row r="4704" spans="3:4">
      <c r="C4704"/>
      <c r="D4704"/>
    </row>
    <row r="4705" spans="3:4">
      <c r="C4705"/>
      <c r="D4705"/>
    </row>
    <row r="4706" spans="3:4">
      <c r="C4706"/>
      <c r="D4706"/>
    </row>
    <row r="4707" spans="3:4">
      <c r="C4707"/>
      <c r="D4707"/>
    </row>
    <row r="4708" spans="3:4">
      <c r="C4708"/>
      <c r="D4708"/>
    </row>
    <row r="4709" spans="3:4">
      <c r="C4709"/>
      <c r="D4709"/>
    </row>
    <row r="4710" spans="3:4">
      <c r="C4710"/>
      <c r="D4710"/>
    </row>
    <row r="4711" spans="3:4">
      <c r="C4711"/>
      <c r="D4711"/>
    </row>
    <row r="4712" spans="3:4">
      <c r="C4712"/>
      <c r="D4712"/>
    </row>
    <row r="4713" spans="3:4">
      <c r="C4713"/>
      <c r="D4713"/>
    </row>
    <row r="4714" spans="3:4">
      <c r="C4714"/>
      <c r="D4714"/>
    </row>
    <row r="4715" spans="3:4">
      <c r="C4715"/>
      <c r="D4715"/>
    </row>
    <row r="4716" spans="3:4">
      <c r="C4716"/>
      <c r="D4716"/>
    </row>
    <row r="4717" spans="3:4">
      <c r="C4717"/>
      <c r="D4717"/>
    </row>
    <row r="4718" spans="3:4">
      <c r="C4718"/>
      <c r="D4718"/>
    </row>
    <row r="4719" spans="3:4">
      <c r="C4719"/>
      <c r="D4719"/>
    </row>
    <row r="4720" spans="3:4">
      <c r="C4720"/>
      <c r="D4720"/>
    </row>
    <row r="4721" spans="3:4">
      <c r="C4721"/>
      <c r="D4721"/>
    </row>
    <row r="4722" spans="3:4">
      <c r="C4722"/>
      <c r="D4722"/>
    </row>
    <row r="4723" spans="3:4">
      <c r="C4723"/>
      <c r="D4723"/>
    </row>
    <row r="4724" spans="3:4">
      <c r="C4724"/>
      <c r="D4724"/>
    </row>
    <row r="4725" spans="3:4">
      <c r="C4725"/>
      <c r="D4725"/>
    </row>
    <row r="4726" spans="3:4">
      <c r="C4726"/>
      <c r="D4726"/>
    </row>
    <row r="4727" spans="3:4">
      <c r="C4727"/>
      <c r="D4727"/>
    </row>
    <row r="4728" spans="3:4">
      <c r="C4728"/>
      <c r="D4728"/>
    </row>
    <row r="4729" spans="3:4">
      <c r="C4729"/>
      <c r="D4729"/>
    </row>
    <row r="4730" spans="3:4">
      <c r="C4730"/>
      <c r="D4730"/>
    </row>
    <row r="4731" spans="3:4">
      <c r="C4731"/>
      <c r="D4731"/>
    </row>
    <row r="4732" spans="3:4">
      <c r="C4732"/>
      <c r="D4732"/>
    </row>
    <row r="4733" spans="3:4">
      <c r="C4733"/>
      <c r="D4733"/>
    </row>
    <row r="4734" spans="3:4">
      <c r="C4734"/>
      <c r="D4734"/>
    </row>
    <row r="4735" spans="3:4">
      <c r="C4735"/>
      <c r="D4735"/>
    </row>
    <row r="4736" spans="3:4">
      <c r="C4736"/>
      <c r="D4736"/>
    </row>
    <row r="4737" spans="3:4">
      <c r="C4737"/>
      <c r="D4737"/>
    </row>
    <row r="4738" spans="3:4">
      <c r="C4738"/>
      <c r="D4738"/>
    </row>
    <row r="4739" spans="3:4">
      <c r="C4739"/>
      <c r="D4739"/>
    </row>
    <row r="4740" spans="3:4">
      <c r="C4740"/>
      <c r="D4740"/>
    </row>
    <row r="4741" spans="3:4">
      <c r="C4741"/>
      <c r="D4741"/>
    </row>
    <row r="4742" spans="3:4">
      <c r="C4742"/>
      <c r="D4742"/>
    </row>
    <row r="4743" spans="3:4">
      <c r="C4743"/>
      <c r="D4743"/>
    </row>
    <row r="4744" spans="3:4">
      <c r="C4744"/>
      <c r="D4744"/>
    </row>
    <row r="4745" spans="3:4">
      <c r="C4745"/>
      <c r="D4745"/>
    </row>
    <row r="4746" spans="3:4">
      <c r="C4746"/>
      <c r="D4746"/>
    </row>
    <row r="4747" spans="3:4">
      <c r="C4747"/>
      <c r="D4747"/>
    </row>
    <row r="4748" spans="3:4">
      <c r="C4748"/>
      <c r="D4748"/>
    </row>
    <row r="4749" spans="3:4">
      <c r="C4749"/>
      <c r="D4749"/>
    </row>
    <row r="4750" spans="3:4">
      <c r="C4750"/>
      <c r="D4750"/>
    </row>
    <row r="4751" spans="3:4">
      <c r="C4751"/>
      <c r="D4751"/>
    </row>
    <row r="4752" spans="3:4">
      <c r="C4752"/>
      <c r="D4752"/>
    </row>
    <row r="4753" spans="3:4">
      <c r="C4753"/>
      <c r="D4753"/>
    </row>
    <row r="4754" spans="3:4">
      <c r="C4754"/>
      <c r="D4754"/>
    </row>
    <row r="4755" spans="3:4">
      <c r="C4755"/>
      <c r="D4755"/>
    </row>
    <row r="4756" spans="3:4">
      <c r="C4756"/>
      <c r="D4756"/>
    </row>
    <row r="4757" spans="3:4">
      <c r="C4757"/>
      <c r="D4757"/>
    </row>
    <row r="4758" spans="3:4">
      <c r="C4758"/>
      <c r="D4758"/>
    </row>
    <row r="4759" spans="3:4">
      <c r="C4759"/>
      <c r="D4759"/>
    </row>
    <row r="4760" spans="3:4">
      <c r="C4760"/>
      <c r="D4760"/>
    </row>
    <row r="4761" spans="3:4">
      <c r="C4761"/>
      <c r="D4761"/>
    </row>
    <row r="4762" spans="3:4">
      <c r="C4762"/>
      <c r="D4762"/>
    </row>
    <row r="4763" spans="3:4">
      <c r="C4763"/>
      <c r="D4763"/>
    </row>
    <row r="4764" spans="3:4">
      <c r="C4764"/>
      <c r="D4764"/>
    </row>
    <row r="4765" spans="3:4">
      <c r="C4765"/>
      <c r="D4765"/>
    </row>
    <row r="4766" spans="3:4">
      <c r="C4766"/>
      <c r="D4766"/>
    </row>
    <row r="4767" spans="3:4">
      <c r="C4767"/>
      <c r="D4767"/>
    </row>
    <row r="4768" spans="3:4">
      <c r="C4768"/>
      <c r="D4768"/>
    </row>
    <row r="4769" spans="3:4">
      <c r="C4769"/>
      <c r="D4769"/>
    </row>
    <row r="4770" spans="3:4">
      <c r="C4770"/>
      <c r="D4770"/>
    </row>
    <row r="4771" spans="3:4">
      <c r="C4771"/>
      <c r="D4771"/>
    </row>
    <row r="4772" spans="3:4">
      <c r="C4772"/>
      <c r="D4772"/>
    </row>
    <row r="4773" spans="3:4">
      <c r="C4773"/>
      <c r="D4773"/>
    </row>
    <row r="4774" spans="3:4">
      <c r="C4774"/>
      <c r="D4774"/>
    </row>
    <row r="4775" spans="3:4">
      <c r="C4775"/>
      <c r="D4775"/>
    </row>
    <row r="4776" spans="3:4">
      <c r="C4776"/>
      <c r="D4776"/>
    </row>
    <row r="4777" spans="3:4">
      <c r="C4777"/>
      <c r="D4777"/>
    </row>
    <row r="4778" spans="3:4">
      <c r="C4778"/>
      <c r="D4778"/>
    </row>
    <row r="4779" spans="3:4">
      <c r="C4779"/>
      <c r="D4779"/>
    </row>
    <row r="4780" spans="3:4">
      <c r="C4780"/>
      <c r="D4780"/>
    </row>
    <row r="4781" spans="3:4">
      <c r="C4781"/>
      <c r="D4781"/>
    </row>
    <row r="4782" spans="3:4">
      <c r="C4782"/>
      <c r="D4782"/>
    </row>
    <row r="4783" spans="3:4">
      <c r="C4783"/>
      <c r="D4783"/>
    </row>
    <row r="4784" spans="3:4">
      <c r="C4784"/>
      <c r="D4784"/>
    </row>
    <row r="4785" spans="3:4">
      <c r="C4785"/>
      <c r="D4785"/>
    </row>
    <row r="4786" spans="3:4">
      <c r="C4786"/>
      <c r="D4786"/>
    </row>
    <row r="4787" spans="3:4">
      <c r="C4787"/>
      <c r="D4787"/>
    </row>
    <row r="4788" spans="3:4">
      <c r="C4788"/>
      <c r="D4788"/>
    </row>
    <row r="4789" spans="3:4">
      <c r="C4789"/>
      <c r="D4789"/>
    </row>
    <row r="4790" spans="3:4">
      <c r="C4790"/>
      <c r="D4790"/>
    </row>
    <row r="4791" spans="3:4">
      <c r="C4791"/>
      <c r="D4791"/>
    </row>
    <row r="4792" spans="3:4">
      <c r="C4792"/>
      <c r="D4792"/>
    </row>
    <row r="4793" spans="3:4">
      <c r="C4793"/>
      <c r="D4793"/>
    </row>
    <row r="4794" spans="3:4">
      <c r="C4794"/>
      <c r="D4794"/>
    </row>
    <row r="4795" spans="3:4">
      <c r="C4795"/>
      <c r="D4795"/>
    </row>
    <row r="4796" spans="3:4">
      <c r="C4796"/>
      <c r="D4796"/>
    </row>
    <row r="4797" spans="3:4">
      <c r="C4797"/>
      <c r="D4797"/>
    </row>
    <row r="4798" spans="3:4">
      <c r="C4798"/>
      <c r="D4798"/>
    </row>
    <row r="4799" spans="3:4">
      <c r="C4799"/>
      <c r="D4799"/>
    </row>
    <row r="4800" spans="3:4">
      <c r="C4800"/>
      <c r="D4800"/>
    </row>
    <row r="4801" spans="3:4">
      <c r="C4801"/>
      <c r="D4801"/>
    </row>
    <row r="4802" spans="3:4">
      <c r="C4802"/>
      <c r="D4802"/>
    </row>
    <row r="4803" spans="3:4">
      <c r="C4803"/>
      <c r="D4803"/>
    </row>
    <row r="4804" spans="3:4">
      <c r="C4804"/>
      <c r="D4804"/>
    </row>
    <row r="4805" spans="3:4">
      <c r="C4805"/>
      <c r="D4805"/>
    </row>
    <row r="4806" spans="3:4">
      <c r="C4806"/>
      <c r="D4806"/>
    </row>
    <row r="4807" spans="3:4">
      <c r="C4807"/>
      <c r="D4807"/>
    </row>
    <row r="4808" spans="3:4">
      <c r="C4808"/>
      <c r="D4808"/>
    </row>
    <row r="4809" spans="3:4">
      <c r="C4809"/>
      <c r="D4809"/>
    </row>
    <row r="4810" spans="3:4">
      <c r="C4810"/>
      <c r="D4810"/>
    </row>
    <row r="4811" spans="3:4">
      <c r="C4811"/>
      <c r="D4811"/>
    </row>
    <row r="4812" spans="3:4">
      <c r="C4812"/>
      <c r="D4812"/>
    </row>
    <row r="4813" spans="3:4">
      <c r="C4813"/>
      <c r="D4813"/>
    </row>
    <row r="4814" spans="3:4">
      <c r="C4814"/>
      <c r="D4814"/>
    </row>
    <row r="4815" spans="3:4">
      <c r="C4815"/>
      <c r="D4815"/>
    </row>
    <row r="4816" spans="3:4">
      <c r="C4816"/>
      <c r="D4816"/>
    </row>
    <row r="4817" spans="3:4">
      <c r="C4817"/>
      <c r="D4817"/>
    </row>
    <row r="4818" spans="3:4">
      <c r="C4818"/>
      <c r="D4818"/>
    </row>
    <row r="4819" spans="3:4">
      <c r="C4819"/>
      <c r="D4819"/>
    </row>
    <row r="4820" spans="3:4">
      <c r="C4820"/>
      <c r="D4820"/>
    </row>
    <row r="4821" spans="3:4">
      <c r="C4821"/>
      <c r="D4821"/>
    </row>
    <row r="4822" spans="3:4">
      <c r="C4822"/>
      <c r="D4822"/>
    </row>
    <row r="4823" spans="3:4">
      <c r="C4823"/>
      <c r="D4823"/>
    </row>
    <row r="4824" spans="3:4">
      <c r="C4824"/>
      <c r="D4824"/>
    </row>
    <row r="4825" spans="3:4">
      <c r="C4825"/>
      <c r="D4825"/>
    </row>
    <row r="4826" spans="3:4">
      <c r="C4826"/>
      <c r="D4826"/>
    </row>
    <row r="4827" spans="3:4">
      <c r="C4827"/>
      <c r="D4827"/>
    </row>
    <row r="4828" spans="3:4">
      <c r="C4828"/>
      <c r="D4828"/>
    </row>
    <row r="4829" spans="3:4">
      <c r="C4829"/>
      <c r="D4829"/>
    </row>
    <row r="4830" spans="3:4">
      <c r="C4830"/>
      <c r="D4830"/>
    </row>
    <row r="4831" spans="3:4">
      <c r="C4831"/>
      <c r="D4831"/>
    </row>
    <row r="4832" spans="3:4">
      <c r="C4832"/>
      <c r="D4832"/>
    </row>
    <row r="4833" spans="3:4">
      <c r="C4833"/>
      <c r="D4833"/>
    </row>
    <row r="4834" spans="3:4">
      <c r="C4834"/>
      <c r="D4834"/>
    </row>
    <row r="4835" spans="3:4">
      <c r="C4835"/>
      <c r="D4835"/>
    </row>
    <row r="4836" spans="3:4">
      <c r="C4836"/>
      <c r="D4836"/>
    </row>
    <row r="4837" spans="3:4">
      <c r="C4837"/>
      <c r="D4837"/>
    </row>
    <row r="4838" spans="3:4">
      <c r="C4838"/>
      <c r="D4838"/>
    </row>
    <row r="4839" spans="3:4">
      <c r="C4839"/>
      <c r="D4839"/>
    </row>
    <row r="4840" spans="3:4">
      <c r="C4840"/>
      <c r="D4840"/>
    </row>
    <row r="4841" spans="3:4">
      <c r="C4841"/>
      <c r="D4841"/>
    </row>
    <row r="4842" spans="3:4">
      <c r="C4842"/>
      <c r="D4842"/>
    </row>
    <row r="4843" spans="3:4">
      <c r="C4843"/>
      <c r="D4843"/>
    </row>
    <row r="4844" spans="3:4">
      <c r="C4844"/>
      <c r="D4844"/>
    </row>
    <row r="4845" spans="3:4">
      <c r="C4845"/>
      <c r="D4845"/>
    </row>
    <row r="4846" spans="3:4">
      <c r="C4846"/>
      <c r="D4846"/>
    </row>
    <row r="4847" spans="3:4">
      <c r="C4847"/>
      <c r="D4847"/>
    </row>
    <row r="4848" spans="3:4">
      <c r="C4848"/>
      <c r="D4848"/>
    </row>
    <row r="4849" spans="3:4">
      <c r="C4849"/>
      <c r="D4849"/>
    </row>
    <row r="4850" spans="3:4">
      <c r="C4850"/>
      <c r="D4850"/>
    </row>
    <row r="4851" spans="3:4">
      <c r="C4851"/>
      <c r="D4851"/>
    </row>
    <row r="4852" spans="3:4">
      <c r="C4852"/>
      <c r="D4852"/>
    </row>
    <row r="4853" spans="3:4">
      <c r="C4853"/>
      <c r="D4853"/>
    </row>
    <row r="4854" spans="3:4">
      <c r="C4854"/>
      <c r="D4854"/>
    </row>
    <row r="4855" spans="3:4">
      <c r="C4855"/>
      <c r="D4855"/>
    </row>
    <row r="4856" spans="3:4">
      <c r="C4856"/>
      <c r="D4856"/>
    </row>
    <row r="4857" spans="3:4">
      <c r="C4857"/>
      <c r="D4857"/>
    </row>
    <row r="4858" spans="3:4">
      <c r="C4858"/>
      <c r="D4858"/>
    </row>
    <row r="4859" spans="3:4">
      <c r="C4859"/>
      <c r="D4859"/>
    </row>
    <row r="4860" spans="3:4">
      <c r="C4860"/>
      <c r="D4860"/>
    </row>
    <row r="4861" spans="3:4">
      <c r="C4861"/>
      <c r="D4861"/>
    </row>
    <row r="4862" spans="3:4">
      <c r="C4862"/>
      <c r="D4862"/>
    </row>
    <row r="4863" spans="3:4">
      <c r="C4863"/>
      <c r="D4863"/>
    </row>
    <row r="4864" spans="3:4">
      <c r="C4864"/>
      <c r="D4864"/>
    </row>
    <row r="4865" spans="3:4">
      <c r="C4865"/>
      <c r="D4865"/>
    </row>
    <row r="4866" spans="3:4">
      <c r="C4866"/>
      <c r="D4866"/>
    </row>
    <row r="4867" spans="3:4">
      <c r="C4867"/>
      <c r="D4867"/>
    </row>
    <row r="4868" spans="3:4">
      <c r="C4868"/>
      <c r="D4868"/>
    </row>
    <row r="4869" spans="3:4">
      <c r="C4869"/>
      <c r="D4869"/>
    </row>
    <row r="4870" spans="3:4">
      <c r="C4870"/>
      <c r="D4870"/>
    </row>
    <row r="4871" spans="3:4">
      <c r="C4871"/>
      <c r="D4871"/>
    </row>
    <row r="4872" spans="3:4">
      <c r="C4872"/>
      <c r="D4872"/>
    </row>
    <row r="4873" spans="3:4">
      <c r="C4873"/>
      <c r="D4873"/>
    </row>
    <row r="4874" spans="3:4">
      <c r="C4874"/>
      <c r="D4874"/>
    </row>
    <row r="4875" spans="3:4">
      <c r="C4875"/>
      <c r="D4875"/>
    </row>
    <row r="4876" spans="3:4">
      <c r="C4876"/>
      <c r="D4876"/>
    </row>
    <row r="4877" spans="3:4">
      <c r="C4877"/>
      <c r="D4877"/>
    </row>
    <row r="4878" spans="3:4">
      <c r="C4878"/>
      <c r="D4878"/>
    </row>
    <row r="4879" spans="3:4">
      <c r="C4879"/>
      <c r="D4879"/>
    </row>
    <row r="4880" spans="3:4">
      <c r="C4880"/>
      <c r="D4880"/>
    </row>
    <row r="4881" spans="3:4">
      <c r="C4881"/>
      <c r="D4881"/>
    </row>
    <row r="4882" spans="3:4">
      <c r="C4882"/>
      <c r="D4882"/>
    </row>
    <row r="4883" spans="3:4">
      <c r="C4883"/>
      <c r="D4883"/>
    </row>
    <row r="4884" spans="3:4">
      <c r="C4884"/>
      <c r="D4884"/>
    </row>
    <row r="4885" spans="3:4">
      <c r="C4885"/>
      <c r="D4885"/>
    </row>
    <row r="4886" spans="3:4">
      <c r="C4886"/>
      <c r="D4886"/>
    </row>
    <row r="4887" spans="3:4">
      <c r="C4887"/>
      <c r="D4887"/>
    </row>
    <row r="4888" spans="3:4">
      <c r="C4888"/>
      <c r="D4888"/>
    </row>
    <row r="4889" spans="3:4">
      <c r="C4889"/>
      <c r="D4889"/>
    </row>
    <row r="4890" spans="3:4">
      <c r="C4890"/>
      <c r="D4890"/>
    </row>
    <row r="4891" spans="3:4">
      <c r="C4891"/>
      <c r="D4891"/>
    </row>
    <row r="4892" spans="3:4">
      <c r="C4892"/>
      <c r="D4892"/>
    </row>
    <row r="4893" spans="3:4">
      <c r="C4893"/>
      <c r="D4893"/>
    </row>
    <row r="4894" spans="3:4">
      <c r="C4894"/>
      <c r="D4894"/>
    </row>
    <row r="4895" spans="3:4">
      <c r="C4895"/>
      <c r="D4895"/>
    </row>
    <row r="4896" spans="3:4">
      <c r="C4896"/>
      <c r="D4896"/>
    </row>
    <row r="4897" spans="3:4">
      <c r="C4897"/>
      <c r="D4897"/>
    </row>
    <row r="4898" spans="3:4">
      <c r="C4898"/>
      <c r="D4898"/>
    </row>
    <row r="4899" spans="3:4">
      <c r="C4899"/>
      <c r="D4899"/>
    </row>
    <row r="4900" spans="3:4">
      <c r="C4900"/>
      <c r="D4900"/>
    </row>
    <row r="4901" spans="3:4">
      <c r="C4901"/>
      <c r="D4901"/>
    </row>
    <row r="4902" spans="3:4">
      <c r="C4902"/>
      <c r="D4902"/>
    </row>
    <row r="4903" spans="3:4">
      <c r="C4903"/>
      <c r="D4903"/>
    </row>
    <row r="4904" spans="3:4">
      <c r="C4904"/>
      <c r="D4904"/>
    </row>
    <row r="4905" spans="3:4">
      <c r="C4905"/>
      <c r="D4905"/>
    </row>
    <row r="4906" spans="3:4">
      <c r="C4906"/>
      <c r="D4906"/>
    </row>
    <row r="4907" spans="3:4">
      <c r="C4907"/>
      <c r="D4907"/>
    </row>
    <row r="4908" spans="3:4">
      <c r="C4908"/>
      <c r="D4908"/>
    </row>
    <row r="4909" spans="3:4">
      <c r="C4909"/>
      <c r="D4909"/>
    </row>
    <row r="4910" spans="3:4">
      <c r="C4910"/>
      <c r="D4910"/>
    </row>
    <row r="4911" spans="3:4">
      <c r="C4911"/>
      <c r="D4911"/>
    </row>
    <row r="4912" spans="3:4">
      <c r="C4912"/>
      <c r="D4912"/>
    </row>
    <row r="4913" spans="3:4">
      <c r="C4913"/>
      <c r="D4913"/>
    </row>
    <row r="4914" spans="3:4">
      <c r="C4914"/>
      <c r="D4914"/>
    </row>
    <row r="4915" spans="3:4">
      <c r="C4915"/>
      <c r="D4915"/>
    </row>
    <row r="4916" spans="3:4">
      <c r="C4916"/>
      <c r="D4916"/>
    </row>
    <row r="4917" spans="3:4">
      <c r="C4917"/>
      <c r="D4917"/>
    </row>
    <row r="4918" spans="3:4">
      <c r="C4918"/>
      <c r="D4918"/>
    </row>
    <row r="4919" spans="3:4">
      <c r="C4919"/>
      <c r="D4919"/>
    </row>
    <row r="4920" spans="3:4">
      <c r="C4920"/>
      <c r="D4920"/>
    </row>
    <row r="4921" spans="3:4">
      <c r="C4921"/>
      <c r="D4921"/>
    </row>
    <row r="4922" spans="3:4">
      <c r="C4922"/>
      <c r="D4922"/>
    </row>
    <row r="4923" spans="3:4">
      <c r="C4923"/>
      <c r="D4923"/>
    </row>
    <row r="4924" spans="3:4">
      <c r="C4924"/>
      <c r="D4924"/>
    </row>
    <row r="4925" spans="3:4">
      <c r="C4925"/>
      <c r="D4925"/>
    </row>
    <row r="4926" spans="3:4">
      <c r="C4926"/>
      <c r="D4926"/>
    </row>
    <row r="4927" spans="3:4">
      <c r="C4927"/>
      <c r="D4927"/>
    </row>
    <row r="4928" spans="3:4">
      <c r="C4928"/>
      <c r="D4928"/>
    </row>
    <row r="4929" spans="3:4">
      <c r="C4929"/>
      <c r="D4929"/>
    </row>
    <row r="4930" spans="3:4">
      <c r="C4930"/>
      <c r="D4930"/>
    </row>
    <row r="4931" spans="3:4">
      <c r="C4931"/>
      <c r="D4931"/>
    </row>
    <row r="4932" spans="3:4">
      <c r="C4932"/>
      <c r="D4932"/>
    </row>
    <row r="4933" spans="3:4">
      <c r="C4933"/>
      <c r="D4933"/>
    </row>
    <row r="4934" spans="3:4">
      <c r="C4934"/>
      <c r="D4934"/>
    </row>
    <row r="4935" spans="3:4">
      <c r="C4935"/>
      <c r="D4935"/>
    </row>
    <row r="4936" spans="3:4">
      <c r="C4936"/>
      <c r="D4936"/>
    </row>
    <row r="4937" spans="3:4">
      <c r="C4937"/>
      <c r="D4937"/>
    </row>
    <row r="4938" spans="3:4">
      <c r="C4938"/>
      <c r="D4938"/>
    </row>
    <row r="4939" spans="3:4">
      <c r="C4939"/>
      <c r="D4939"/>
    </row>
    <row r="4940" spans="3:4">
      <c r="C4940"/>
      <c r="D4940"/>
    </row>
    <row r="4941" spans="3:4">
      <c r="C4941"/>
      <c r="D4941"/>
    </row>
    <row r="4942" spans="3:4">
      <c r="C4942"/>
      <c r="D4942"/>
    </row>
    <row r="4943" spans="3:4">
      <c r="C4943"/>
      <c r="D4943"/>
    </row>
    <row r="4944" spans="3:4">
      <c r="C4944"/>
      <c r="D4944"/>
    </row>
    <row r="4945" spans="3:4">
      <c r="C4945"/>
      <c r="D4945"/>
    </row>
    <row r="4946" spans="3:4">
      <c r="C4946"/>
      <c r="D4946"/>
    </row>
    <row r="4947" spans="3:4">
      <c r="C4947"/>
      <c r="D4947"/>
    </row>
    <row r="4948" spans="3:4">
      <c r="C4948"/>
      <c r="D4948"/>
    </row>
    <row r="4949" spans="3:4">
      <c r="C4949"/>
      <c r="D4949"/>
    </row>
    <row r="4950" spans="3:4">
      <c r="C4950"/>
      <c r="D4950"/>
    </row>
    <row r="4951" spans="3:4">
      <c r="C4951"/>
      <c r="D4951"/>
    </row>
    <row r="4952" spans="3:4">
      <c r="C4952"/>
      <c r="D4952"/>
    </row>
    <row r="4953" spans="3:4">
      <c r="C4953"/>
      <c r="D4953"/>
    </row>
    <row r="4954" spans="3:4">
      <c r="C4954"/>
      <c r="D4954"/>
    </row>
    <row r="4955" spans="3:4">
      <c r="C4955"/>
      <c r="D4955"/>
    </row>
    <row r="4956" spans="3:4">
      <c r="C4956"/>
      <c r="D4956"/>
    </row>
    <row r="4957" spans="3:4">
      <c r="C4957"/>
      <c r="D4957"/>
    </row>
    <row r="4958" spans="3:4">
      <c r="C4958"/>
      <c r="D4958"/>
    </row>
    <row r="4959" spans="3:4">
      <c r="C4959"/>
      <c r="D4959"/>
    </row>
    <row r="4960" spans="3:4">
      <c r="C4960"/>
      <c r="D4960"/>
    </row>
    <row r="4961" spans="3:4">
      <c r="C4961"/>
      <c r="D4961"/>
    </row>
    <row r="4962" spans="3:4">
      <c r="C4962"/>
      <c r="D4962"/>
    </row>
    <row r="4963" spans="3:4">
      <c r="C4963"/>
      <c r="D4963"/>
    </row>
    <row r="4964" spans="3:4">
      <c r="C4964"/>
      <c r="D4964"/>
    </row>
    <row r="4965" spans="3:4">
      <c r="C4965"/>
      <c r="D4965"/>
    </row>
    <row r="4966" spans="3:4">
      <c r="C4966"/>
      <c r="D4966"/>
    </row>
    <row r="4967" spans="3:4">
      <c r="C4967"/>
      <c r="D4967"/>
    </row>
    <row r="4968" spans="3:4">
      <c r="C4968"/>
      <c r="D4968"/>
    </row>
    <row r="4969" spans="3:4">
      <c r="C4969"/>
      <c r="D4969"/>
    </row>
    <row r="4970" spans="3:4">
      <c r="C4970"/>
      <c r="D4970"/>
    </row>
    <row r="4971" spans="3:4">
      <c r="C4971"/>
      <c r="D4971"/>
    </row>
    <row r="4972" spans="3:4">
      <c r="C4972"/>
      <c r="D4972"/>
    </row>
    <row r="4973" spans="3:4">
      <c r="C4973"/>
      <c r="D4973"/>
    </row>
    <row r="4974" spans="3:4">
      <c r="C4974"/>
      <c r="D4974"/>
    </row>
    <row r="4975" spans="3:4">
      <c r="C4975"/>
      <c r="D4975"/>
    </row>
    <row r="4976" spans="3:4">
      <c r="C4976"/>
      <c r="D4976"/>
    </row>
    <row r="4977" spans="3:4">
      <c r="C4977"/>
      <c r="D4977"/>
    </row>
    <row r="4978" spans="3:4">
      <c r="C4978"/>
      <c r="D4978"/>
    </row>
    <row r="4979" spans="3:4">
      <c r="C4979"/>
      <c r="D4979"/>
    </row>
    <row r="4980" spans="3:4">
      <c r="C4980"/>
      <c r="D4980"/>
    </row>
    <row r="4981" spans="3:4">
      <c r="C4981"/>
      <c r="D4981"/>
    </row>
    <row r="4982" spans="3:4">
      <c r="C4982"/>
      <c r="D4982"/>
    </row>
    <row r="4983" spans="3:4">
      <c r="C4983"/>
      <c r="D4983"/>
    </row>
    <row r="4984" spans="3:4">
      <c r="C4984"/>
      <c r="D4984"/>
    </row>
    <row r="4985" spans="3:4">
      <c r="C4985"/>
      <c r="D4985"/>
    </row>
    <row r="4986" spans="3:4">
      <c r="C4986"/>
      <c r="D4986"/>
    </row>
    <row r="4987" spans="3:4">
      <c r="C4987"/>
      <c r="D4987"/>
    </row>
    <row r="4988" spans="3:4">
      <c r="C4988"/>
      <c r="D4988"/>
    </row>
    <row r="4989" spans="3:4">
      <c r="C4989"/>
      <c r="D4989"/>
    </row>
    <row r="4990" spans="3:4">
      <c r="C4990"/>
      <c r="D4990"/>
    </row>
    <row r="4991" spans="3:4">
      <c r="C4991"/>
      <c r="D4991"/>
    </row>
    <row r="4992" spans="3:4">
      <c r="C4992"/>
      <c r="D4992"/>
    </row>
    <row r="4993" spans="3:4">
      <c r="C4993"/>
      <c r="D4993"/>
    </row>
    <row r="4994" spans="3:4">
      <c r="C4994"/>
      <c r="D4994"/>
    </row>
    <row r="4995" spans="3:4">
      <c r="C4995"/>
      <c r="D4995"/>
    </row>
    <row r="4996" spans="3:4">
      <c r="C4996"/>
      <c r="D4996"/>
    </row>
    <row r="4997" spans="3:4">
      <c r="C4997"/>
      <c r="D4997"/>
    </row>
    <row r="4998" spans="3:4">
      <c r="C4998"/>
      <c r="D4998"/>
    </row>
    <row r="4999" spans="3:4">
      <c r="C4999"/>
      <c r="D4999"/>
    </row>
    <row r="5000" spans="3:4">
      <c r="C5000"/>
      <c r="D5000"/>
    </row>
    <row r="5001" spans="3:4">
      <c r="C5001"/>
      <c r="D5001"/>
    </row>
    <row r="5002" spans="3:4">
      <c r="C5002"/>
      <c r="D5002"/>
    </row>
    <row r="5003" spans="3:4">
      <c r="C5003"/>
      <c r="D5003"/>
    </row>
    <row r="5004" spans="3:4">
      <c r="C5004"/>
      <c r="D5004"/>
    </row>
    <row r="5005" spans="3:4">
      <c r="C5005"/>
      <c r="D5005"/>
    </row>
    <row r="5006" spans="3:4">
      <c r="C5006"/>
      <c r="D5006"/>
    </row>
    <row r="5007" spans="3:4">
      <c r="C5007"/>
      <c r="D5007"/>
    </row>
    <row r="5008" spans="3:4">
      <c r="C5008"/>
      <c r="D5008"/>
    </row>
    <row r="5009" spans="3:4">
      <c r="C5009"/>
      <c r="D5009"/>
    </row>
    <row r="5010" spans="3:4">
      <c r="C5010"/>
      <c r="D5010"/>
    </row>
    <row r="5011" spans="3:4">
      <c r="C5011"/>
      <c r="D5011"/>
    </row>
    <row r="5012" spans="3:4">
      <c r="C5012"/>
      <c r="D5012"/>
    </row>
    <row r="5013" spans="3:4">
      <c r="C5013"/>
      <c r="D5013"/>
    </row>
    <row r="5014" spans="3:4">
      <c r="C5014"/>
      <c r="D5014"/>
    </row>
    <row r="5015" spans="3:4">
      <c r="C5015"/>
      <c r="D5015"/>
    </row>
    <row r="5016" spans="3:4">
      <c r="C5016"/>
      <c r="D5016"/>
    </row>
    <row r="5017" spans="3:4">
      <c r="C5017"/>
      <c r="D5017"/>
    </row>
    <row r="5018" spans="3:4">
      <c r="C5018"/>
      <c r="D5018"/>
    </row>
    <row r="5019" spans="3:4">
      <c r="C5019"/>
      <c r="D5019"/>
    </row>
    <row r="5020" spans="3:4">
      <c r="C5020"/>
      <c r="D5020"/>
    </row>
    <row r="5021" spans="3:4">
      <c r="C5021"/>
      <c r="D5021"/>
    </row>
    <row r="5022" spans="3:4">
      <c r="C5022"/>
      <c r="D5022"/>
    </row>
    <row r="5023" spans="3:4">
      <c r="C5023"/>
      <c r="D5023"/>
    </row>
    <row r="5024" spans="3:4">
      <c r="C5024"/>
      <c r="D5024"/>
    </row>
    <row r="5025" spans="3:4">
      <c r="C5025"/>
      <c r="D5025"/>
    </row>
    <row r="5026" spans="3:4">
      <c r="C5026"/>
      <c r="D5026"/>
    </row>
    <row r="5027" spans="3:4">
      <c r="C5027"/>
      <c r="D5027"/>
    </row>
    <row r="5028" spans="3:4">
      <c r="C5028"/>
      <c r="D5028"/>
    </row>
    <row r="5029" spans="3:4">
      <c r="C5029"/>
      <c r="D5029"/>
    </row>
    <row r="5030" spans="3:4">
      <c r="C5030"/>
      <c r="D5030"/>
    </row>
    <row r="5031" spans="3:4">
      <c r="C5031"/>
      <c r="D5031"/>
    </row>
    <row r="5032" spans="3:4">
      <c r="C5032"/>
      <c r="D5032"/>
    </row>
    <row r="5033" spans="3:4">
      <c r="C5033"/>
      <c r="D5033"/>
    </row>
    <row r="5034" spans="3:4">
      <c r="C5034"/>
      <c r="D5034"/>
    </row>
    <row r="5035" spans="3:4">
      <c r="C5035"/>
      <c r="D5035"/>
    </row>
    <row r="5036" spans="3:4">
      <c r="C5036"/>
      <c r="D5036"/>
    </row>
    <row r="5037" spans="3:4">
      <c r="C5037"/>
      <c r="D5037"/>
    </row>
    <row r="5038" spans="3:4">
      <c r="C5038"/>
      <c r="D5038"/>
    </row>
    <row r="5039" spans="3:4">
      <c r="C5039"/>
      <c r="D5039"/>
    </row>
    <row r="5040" spans="3:4">
      <c r="C5040"/>
      <c r="D5040"/>
    </row>
    <row r="5041" spans="3:4">
      <c r="C5041"/>
      <c r="D5041"/>
    </row>
    <row r="5042" spans="3:4">
      <c r="C5042"/>
      <c r="D5042"/>
    </row>
    <row r="5043" spans="3:4">
      <c r="C5043"/>
      <c r="D5043"/>
    </row>
    <row r="5044" spans="3:4">
      <c r="C5044"/>
      <c r="D5044"/>
    </row>
    <row r="5045" spans="3:4">
      <c r="C5045"/>
      <c r="D5045"/>
    </row>
    <row r="5046" spans="3:4">
      <c r="C5046"/>
      <c r="D5046"/>
    </row>
    <row r="5047" spans="3:4">
      <c r="C5047"/>
      <c r="D5047"/>
    </row>
    <row r="5048" spans="3:4">
      <c r="C5048"/>
      <c r="D5048"/>
    </row>
    <row r="5049" spans="3:4">
      <c r="C5049"/>
      <c r="D5049"/>
    </row>
    <row r="5050" spans="3:4">
      <c r="C5050"/>
      <c r="D5050"/>
    </row>
    <row r="5051" spans="3:4">
      <c r="C5051"/>
      <c r="D5051"/>
    </row>
    <row r="5052" spans="3:4">
      <c r="C5052"/>
      <c r="D5052"/>
    </row>
    <row r="5053" spans="3:4">
      <c r="C5053"/>
      <c r="D5053"/>
    </row>
    <row r="5054" spans="3:4">
      <c r="C5054"/>
      <c r="D5054"/>
    </row>
    <row r="5055" spans="3:4">
      <c r="C5055"/>
      <c r="D5055"/>
    </row>
    <row r="5056" spans="3:4">
      <c r="C5056"/>
      <c r="D5056"/>
    </row>
    <row r="5057" spans="3:4">
      <c r="C5057"/>
      <c r="D5057"/>
    </row>
    <row r="5058" spans="3:4">
      <c r="C5058"/>
      <c r="D5058"/>
    </row>
    <row r="5059" spans="3:4">
      <c r="C5059"/>
      <c r="D5059"/>
    </row>
    <row r="5060" spans="3:4">
      <c r="C5060"/>
      <c r="D5060"/>
    </row>
    <row r="5061" spans="3:4">
      <c r="C5061"/>
      <c r="D5061"/>
    </row>
    <row r="5062" spans="3:4">
      <c r="C5062"/>
      <c r="D5062"/>
    </row>
    <row r="5063" spans="3:4">
      <c r="C5063"/>
      <c r="D5063"/>
    </row>
    <row r="5064" spans="3:4">
      <c r="C5064"/>
      <c r="D5064"/>
    </row>
    <row r="5065" spans="3:4">
      <c r="C5065"/>
      <c r="D5065"/>
    </row>
    <row r="5066" spans="3:4">
      <c r="C5066"/>
      <c r="D5066"/>
    </row>
    <row r="5067" spans="3:4">
      <c r="C5067"/>
      <c r="D5067"/>
    </row>
    <row r="5068" spans="3:4">
      <c r="C5068"/>
      <c r="D5068"/>
    </row>
    <row r="5069" spans="3:4">
      <c r="C5069"/>
      <c r="D5069"/>
    </row>
    <row r="5070" spans="3:4">
      <c r="C5070"/>
      <c r="D5070"/>
    </row>
    <row r="5071" spans="3:4">
      <c r="C5071"/>
      <c r="D5071"/>
    </row>
    <row r="5072" spans="3:4">
      <c r="C5072"/>
      <c r="D5072"/>
    </row>
    <row r="5073" spans="3:4">
      <c r="C5073"/>
      <c r="D5073"/>
    </row>
    <row r="5074" spans="3:4">
      <c r="C5074"/>
      <c r="D5074"/>
    </row>
    <row r="5075" spans="3:4">
      <c r="C5075"/>
      <c r="D5075"/>
    </row>
    <row r="5076" spans="3:4">
      <c r="C5076"/>
      <c r="D5076"/>
    </row>
    <row r="5077" spans="3:4">
      <c r="C5077"/>
      <c r="D5077"/>
    </row>
    <row r="5078" spans="3:4">
      <c r="C5078"/>
      <c r="D5078"/>
    </row>
    <row r="5079" spans="3:4">
      <c r="C5079"/>
      <c r="D5079"/>
    </row>
    <row r="5080" spans="3:4">
      <c r="C5080"/>
      <c r="D5080"/>
    </row>
    <row r="5081" spans="3:4">
      <c r="C5081"/>
      <c r="D5081"/>
    </row>
    <row r="5082" spans="3:4">
      <c r="C5082"/>
      <c r="D5082"/>
    </row>
    <row r="5083" spans="3:4">
      <c r="C5083"/>
      <c r="D5083"/>
    </row>
    <row r="5084" spans="3:4">
      <c r="C5084"/>
      <c r="D5084"/>
    </row>
    <row r="5085" spans="3:4">
      <c r="C5085"/>
      <c r="D5085"/>
    </row>
    <row r="5086" spans="3:4">
      <c r="C5086"/>
      <c r="D5086"/>
    </row>
    <row r="5087" spans="3:4">
      <c r="C5087"/>
      <c r="D5087"/>
    </row>
    <row r="5088" spans="3:4">
      <c r="C5088"/>
      <c r="D5088"/>
    </row>
    <row r="5089" spans="3:4">
      <c r="C5089"/>
      <c r="D5089"/>
    </row>
    <row r="5090" spans="3:4">
      <c r="C5090"/>
      <c r="D5090"/>
    </row>
    <row r="5091" spans="3:4">
      <c r="C5091"/>
      <c r="D5091"/>
    </row>
    <row r="5092" spans="3:4">
      <c r="C5092"/>
      <c r="D5092"/>
    </row>
    <row r="5093" spans="3:4">
      <c r="C5093"/>
      <c r="D5093"/>
    </row>
    <row r="5094" spans="3:4">
      <c r="C5094"/>
      <c r="D5094"/>
    </row>
    <row r="5095" spans="3:4">
      <c r="C5095"/>
      <c r="D5095"/>
    </row>
    <row r="5096" spans="3:4">
      <c r="C5096"/>
      <c r="D5096"/>
    </row>
    <row r="5097" spans="3:4">
      <c r="C5097"/>
      <c r="D5097"/>
    </row>
    <row r="5098" spans="3:4">
      <c r="C5098"/>
      <c r="D5098"/>
    </row>
    <row r="5099" spans="3:4">
      <c r="C5099"/>
      <c r="D5099"/>
    </row>
    <row r="5100" spans="3:4">
      <c r="C5100"/>
      <c r="D5100"/>
    </row>
    <row r="5101" spans="3:4">
      <c r="C5101"/>
      <c r="D5101"/>
    </row>
    <row r="5102" spans="3:4">
      <c r="C5102"/>
      <c r="D5102"/>
    </row>
    <row r="5103" spans="3:4">
      <c r="C5103"/>
      <c r="D5103"/>
    </row>
    <row r="5104" spans="3:4">
      <c r="C5104"/>
      <c r="D5104"/>
    </row>
    <row r="5105" spans="3:4">
      <c r="C5105"/>
      <c r="D5105"/>
    </row>
    <row r="5106" spans="3:4">
      <c r="C5106"/>
      <c r="D5106"/>
    </row>
    <row r="5107" spans="3:4">
      <c r="C5107"/>
      <c r="D5107"/>
    </row>
    <row r="5108" spans="3:4">
      <c r="C5108"/>
      <c r="D5108"/>
    </row>
    <row r="5109" spans="3:4">
      <c r="C5109"/>
      <c r="D5109"/>
    </row>
    <row r="5110" spans="3:4">
      <c r="C5110"/>
      <c r="D5110"/>
    </row>
    <row r="5111" spans="3:4">
      <c r="C5111"/>
      <c r="D5111"/>
    </row>
    <row r="5112" spans="3:4">
      <c r="C5112"/>
      <c r="D5112"/>
    </row>
    <row r="5113" spans="3:4">
      <c r="C5113"/>
      <c r="D5113"/>
    </row>
    <row r="5114" spans="3:4">
      <c r="C5114"/>
      <c r="D5114"/>
    </row>
    <row r="5115" spans="3:4">
      <c r="C5115"/>
      <c r="D5115"/>
    </row>
    <row r="5116" spans="3:4">
      <c r="C5116"/>
      <c r="D5116"/>
    </row>
    <row r="5117" spans="3:4">
      <c r="C5117"/>
      <c r="D5117"/>
    </row>
    <row r="5118" spans="3:4">
      <c r="C5118"/>
      <c r="D5118"/>
    </row>
    <row r="5119" spans="3:4">
      <c r="C5119"/>
      <c r="D5119"/>
    </row>
    <row r="5120" spans="3:4">
      <c r="C5120"/>
      <c r="D5120"/>
    </row>
    <row r="5121" spans="3:4">
      <c r="C5121"/>
      <c r="D5121"/>
    </row>
    <row r="5122" spans="3:4">
      <c r="C5122"/>
      <c r="D5122"/>
    </row>
    <row r="5123" spans="3:4">
      <c r="C5123"/>
      <c r="D5123"/>
    </row>
    <row r="5124" spans="3:4">
      <c r="C5124"/>
      <c r="D5124"/>
    </row>
    <row r="5125" spans="3:4">
      <c r="C5125"/>
      <c r="D5125"/>
    </row>
    <row r="5126" spans="3:4">
      <c r="C5126"/>
      <c r="D5126"/>
    </row>
    <row r="5127" spans="3:4">
      <c r="C5127"/>
      <c r="D5127"/>
    </row>
    <row r="5128" spans="3:4">
      <c r="C5128"/>
      <c r="D5128"/>
    </row>
    <row r="5129" spans="3:4">
      <c r="C5129"/>
      <c r="D5129"/>
    </row>
    <row r="5130" spans="3:4">
      <c r="C5130"/>
      <c r="D5130"/>
    </row>
    <row r="5131" spans="3:4">
      <c r="C5131"/>
      <c r="D5131"/>
    </row>
    <row r="5132" spans="3:4">
      <c r="C5132"/>
      <c r="D5132"/>
    </row>
    <row r="5133" spans="3:4">
      <c r="C5133"/>
      <c r="D5133"/>
    </row>
    <row r="5134" spans="3:4">
      <c r="C5134"/>
      <c r="D5134"/>
    </row>
    <row r="5135" spans="3:4">
      <c r="C5135"/>
      <c r="D5135"/>
    </row>
    <row r="5136" spans="3:4">
      <c r="C5136"/>
      <c r="D5136"/>
    </row>
    <row r="5137" spans="3:4">
      <c r="C5137"/>
      <c r="D5137"/>
    </row>
    <row r="5138" spans="3:4">
      <c r="C5138"/>
      <c r="D5138"/>
    </row>
    <row r="5139" spans="3:4">
      <c r="C5139"/>
      <c r="D5139"/>
    </row>
    <row r="5140" spans="3:4">
      <c r="C5140"/>
      <c r="D5140"/>
    </row>
    <row r="5141" spans="3:4">
      <c r="C5141"/>
      <c r="D5141"/>
    </row>
    <row r="5142" spans="3:4">
      <c r="C5142"/>
      <c r="D5142"/>
    </row>
    <row r="5143" spans="3:4">
      <c r="C5143"/>
      <c r="D5143"/>
    </row>
    <row r="5144" spans="3:4">
      <c r="C5144"/>
      <c r="D5144"/>
    </row>
    <row r="5145" spans="3:4">
      <c r="C5145"/>
      <c r="D5145"/>
    </row>
    <row r="5146" spans="3:4">
      <c r="C5146"/>
      <c r="D5146"/>
    </row>
    <row r="5147" spans="3:4">
      <c r="C5147"/>
      <c r="D5147"/>
    </row>
    <row r="5148" spans="3:4">
      <c r="C5148"/>
      <c r="D5148"/>
    </row>
    <row r="5149" spans="3:4">
      <c r="C5149"/>
      <c r="D5149"/>
    </row>
    <row r="5150" spans="3:4">
      <c r="C5150"/>
      <c r="D5150"/>
    </row>
    <row r="5151" spans="3:4">
      <c r="C5151"/>
      <c r="D5151"/>
    </row>
    <row r="5152" spans="3:4">
      <c r="C5152"/>
      <c r="D5152"/>
    </row>
    <row r="5153" spans="3:4">
      <c r="C5153"/>
      <c r="D5153"/>
    </row>
    <row r="5154" spans="3:4">
      <c r="C5154"/>
      <c r="D5154"/>
    </row>
    <row r="5155" spans="3:4">
      <c r="C5155"/>
      <c r="D5155"/>
    </row>
    <row r="5156" spans="3:4">
      <c r="C5156"/>
      <c r="D5156"/>
    </row>
    <row r="5157" spans="3:4">
      <c r="C5157"/>
      <c r="D5157"/>
    </row>
    <row r="5158" spans="3:4">
      <c r="C5158"/>
      <c r="D5158"/>
    </row>
    <row r="5159" spans="3:4">
      <c r="C5159"/>
      <c r="D5159"/>
    </row>
    <row r="5160" spans="3:4">
      <c r="C5160"/>
      <c r="D5160"/>
    </row>
    <row r="5161" spans="3:4">
      <c r="C5161"/>
      <c r="D5161"/>
    </row>
    <row r="5162" spans="3:4">
      <c r="C5162"/>
      <c r="D5162"/>
    </row>
    <row r="5163" spans="3:4">
      <c r="C5163"/>
      <c r="D5163"/>
    </row>
    <row r="5164" spans="3:4">
      <c r="C5164"/>
      <c r="D5164"/>
    </row>
    <row r="5165" spans="3:4">
      <c r="C5165"/>
      <c r="D5165"/>
    </row>
    <row r="5166" spans="3:4">
      <c r="C5166"/>
      <c r="D5166"/>
    </row>
    <row r="5167" spans="3:4">
      <c r="C5167"/>
      <c r="D5167"/>
    </row>
    <row r="5168" spans="3:4">
      <c r="C5168"/>
      <c r="D5168"/>
    </row>
    <row r="5169" spans="3:4">
      <c r="C5169"/>
      <c r="D5169"/>
    </row>
    <row r="5170" spans="3:4">
      <c r="C5170"/>
      <c r="D5170"/>
    </row>
    <row r="5171" spans="3:4">
      <c r="C5171"/>
      <c r="D5171"/>
    </row>
    <row r="5172" spans="3:4">
      <c r="C5172"/>
      <c r="D5172"/>
    </row>
    <row r="5173" spans="3:4">
      <c r="C5173"/>
      <c r="D5173"/>
    </row>
    <row r="5174" spans="3:4">
      <c r="C5174"/>
      <c r="D5174"/>
    </row>
    <row r="5175" spans="3:4">
      <c r="C5175"/>
      <c r="D5175"/>
    </row>
    <row r="5176" spans="3:4">
      <c r="C5176"/>
      <c r="D5176"/>
    </row>
    <row r="5177" spans="3:4">
      <c r="C5177"/>
      <c r="D5177"/>
    </row>
    <row r="5178" spans="3:4">
      <c r="C5178"/>
      <c r="D5178"/>
    </row>
    <row r="5179" spans="3:4">
      <c r="C5179"/>
      <c r="D5179"/>
    </row>
    <row r="5180" spans="3:4">
      <c r="C5180"/>
      <c r="D5180"/>
    </row>
    <row r="5181" spans="3:4">
      <c r="C5181"/>
      <c r="D5181"/>
    </row>
    <row r="5182" spans="3:4">
      <c r="C5182"/>
      <c r="D5182"/>
    </row>
    <row r="5183" spans="3:4">
      <c r="C5183"/>
      <c r="D5183"/>
    </row>
    <row r="5184" spans="3:4">
      <c r="C5184"/>
      <c r="D5184"/>
    </row>
    <row r="5185" spans="3:4">
      <c r="C5185"/>
      <c r="D5185"/>
    </row>
    <row r="5186" spans="3:4">
      <c r="C5186"/>
      <c r="D5186"/>
    </row>
    <row r="5187" spans="3:4">
      <c r="C5187"/>
      <c r="D5187"/>
    </row>
    <row r="5188" spans="3:4">
      <c r="C5188"/>
      <c r="D5188"/>
    </row>
    <row r="5189" spans="3:4">
      <c r="C5189"/>
      <c r="D5189"/>
    </row>
    <row r="5190" spans="3:4">
      <c r="C5190"/>
      <c r="D5190"/>
    </row>
    <row r="5191" spans="3:4">
      <c r="C5191"/>
      <c r="D5191"/>
    </row>
    <row r="5192" spans="3:4">
      <c r="C5192"/>
      <c r="D5192"/>
    </row>
    <row r="5193" spans="3:4">
      <c r="C5193"/>
      <c r="D5193"/>
    </row>
    <row r="5194" spans="3:4">
      <c r="C5194"/>
      <c r="D5194"/>
    </row>
    <row r="5195" spans="3:4">
      <c r="C5195"/>
      <c r="D5195"/>
    </row>
    <row r="5196" spans="3:4">
      <c r="C5196"/>
      <c r="D5196"/>
    </row>
    <row r="5197" spans="3:4">
      <c r="C5197"/>
      <c r="D5197"/>
    </row>
    <row r="5198" spans="3:4">
      <c r="C5198"/>
      <c r="D5198"/>
    </row>
    <row r="5199" spans="3:4">
      <c r="C5199"/>
      <c r="D5199"/>
    </row>
    <row r="5200" spans="3:4">
      <c r="C5200"/>
      <c r="D5200"/>
    </row>
    <row r="5201" spans="3:4">
      <c r="C5201"/>
      <c r="D5201"/>
    </row>
    <row r="5202" spans="3:4">
      <c r="C5202"/>
      <c r="D5202"/>
    </row>
    <row r="5203" spans="3:4">
      <c r="C5203"/>
      <c r="D5203"/>
    </row>
    <row r="5204" spans="3:4">
      <c r="C5204"/>
      <c r="D5204"/>
    </row>
    <row r="5205" spans="3:4">
      <c r="C5205"/>
      <c r="D5205"/>
    </row>
    <row r="5206" spans="3:4">
      <c r="C5206"/>
      <c r="D5206"/>
    </row>
    <row r="5207" spans="3:4">
      <c r="C5207"/>
      <c r="D5207"/>
    </row>
    <row r="5208" spans="3:4">
      <c r="C5208"/>
      <c r="D5208"/>
    </row>
    <row r="5209" spans="3:4">
      <c r="C5209"/>
      <c r="D5209"/>
    </row>
    <row r="5210" spans="3:4">
      <c r="C5210"/>
      <c r="D5210"/>
    </row>
    <row r="5211" spans="3:4">
      <c r="C5211"/>
      <c r="D5211"/>
    </row>
    <row r="5212" spans="3:4">
      <c r="C5212"/>
      <c r="D5212"/>
    </row>
    <row r="5213" spans="3:4">
      <c r="C5213"/>
      <c r="D5213"/>
    </row>
    <row r="5214" spans="3:4">
      <c r="C5214"/>
      <c r="D5214"/>
    </row>
    <row r="5215" spans="3:4">
      <c r="C5215"/>
      <c r="D5215"/>
    </row>
    <row r="5216" spans="3:4">
      <c r="C5216"/>
      <c r="D5216"/>
    </row>
    <row r="5217" spans="3:4">
      <c r="C5217"/>
      <c r="D5217"/>
    </row>
    <row r="5218" spans="3:4">
      <c r="C5218"/>
      <c r="D5218"/>
    </row>
    <row r="5219" spans="3:4">
      <c r="C5219"/>
      <c r="D5219"/>
    </row>
    <row r="5220" spans="3:4">
      <c r="C5220"/>
      <c r="D5220"/>
    </row>
    <row r="5221" spans="3:4">
      <c r="C5221"/>
      <c r="D5221"/>
    </row>
    <row r="5222" spans="3:4">
      <c r="C5222"/>
      <c r="D5222"/>
    </row>
    <row r="5223" spans="3:4">
      <c r="C5223"/>
      <c r="D5223"/>
    </row>
    <row r="5224" spans="3:4">
      <c r="C5224"/>
      <c r="D5224"/>
    </row>
    <row r="5225" spans="3:4">
      <c r="C5225"/>
      <c r="D5225"/>
    </row>
    <row r="5226" spans="3:4">
      <c r="C5226"/>
      <c r="D5226"/>
    </row>
    <row r="5227" spans="3:4">
      <c r="C5227"/>
      <c r="D5227"/>
    </row>
    <row r="5228" spans="3:4">
      <c r="C5228"/>
      <c r="D5228"/>
    </row>
    <row r="5229" spans="3:4">
      <c r="C5229"/>
      <c r="D5229"/>
    </row>
    <row r="5230" spans="3:4">
      <c r="C5230"/>
      <c r="D5230"/>
    </row>
    <row r="5231" spans="3:4">
      <c r="C5231"/>
      <c r="D5231"/>
    </row>
    <row r="5232" spans="3:4">
      <c r="C5232"/>
      <c r="D5232"/>
    </row>
    <row r="5233" spans="3:4">
      <c r="C5233"/>
      <c r="D5233"/>
    </row>
    <row r="5234" spans="3:4">
      <c r="C5234"/>
      <c r="D5234"/>
    </row>
    <row r="5235" spans="3:4">
      <c r="C5235"/>
      <c r="D5235"/>
    </row>
    <row r="5236" spans="3:4">
      <c r="C5236"/>
      <c r="D5236"/>
    </row>
    <row r="5237" spans="3:4">
      <c r="C5237"/>
      <c r="D5237"/>
    </row>
    <row r="5238" spans="3:4">
      <c r="C5238"/>
      <c r="D5238"/>
    </row>
    <row r="5239" spans="3:4">
      <c r="C5239"/>
      <c r="D5239"/>
    </row>
    <row r="5240" spans="3:4">
      <c r="C5240"/>
      <c r="D5240"/>
    </row>
    <row r="5241" spans="3:4">
      <c r="C5241"/>
      <c r="D5241"/>
    </row>
    <row r="5242" spans="3:4">
      <c r="C5242"/>
      <c r="D5242"/>
    </row>
    <row r="5243" spans="3:4">
      <c r="C5243"/>
      <c r="D5243"/>
    </row>
    <row r="5244" spans="3:4">
      <c r="C5244"/>
      <c r="D5244"/>
    </row>
    <row r="5245" spans="3:4">
      <c r="C5245"/>
      <c r="D5245"/>
    </row>
    <row r="5246" spans="3:4">
      <c r="C5246"/>
      <c r="D5246"/>
    </row>
    <row r="5247" spans="3:4">
      <c r="C5247"/>
      <c r="D5247"/>
    </row>
    <row r="5248" spans="3:4">
      <c r="C5248"/>
      <c r="D5248"/>
    </row>
    <row r="5249" spans="3:4">
      <c r="C5249"/>
      <c r="D5249"/>
    </row>
    <row r="5250" spans="3:4">
      <c r="C5250"/>
      <c r="D5250"/>
    </row>
    <row r="5251" spans="3:4">
      <c r="C5251"/>
      <c r="D5251"/>
    </row>
    <row r="5252" spans="3:4">
      <c r="C5252"/>
      <c r="D5252"/>
    </row>
    <row r="5253" spans="3:4">
      <c r="C5253"/>
      <c r="D5253"/>
    </row>
    <row r="5254" spans="3:4">
      <c r="C5254"/>
      <c r="D5254"/>
    </row>
    <row r="5255" spans="3:4">
      <c r="C5255"/>
      <c r="D5255"/>
    </row>
    <row r="5256" spans="3:4">
      <c r="C5256"/>
      <c r="D5256"/>
    </row>
    <row r="5257" spans="3:4">
      <c r="C5257"/>
      <c r="D5257"/>
    </row>
    <row r="5258" spans="3:4">
      <c r="C5258"/>
      <c r="D5258"/>
    </row>
    <row r="5259" spans="3:4">
      <c r="C5259"/>
      <c r="D5259"/>
    </row>
    <row r="5260" spans="3:4">
      <c r="C5260"/>
      <c r="D5260"/>
    </row>
    <row r="5261" spans="3:4">
      <c r="C5261"/>
      <c r="D5261"/>
    </row>
    <row r="5262" spans="3:4">
      <c r="C5262"/>
      <c r="D5262"/>
    </row>
    <row r="5263" spans="3:4">
      <c r="C5263"/>
      <c r="D5263"/>
    </row>
    <row r="5264" spans="3:4">
      <c r="C5264"/>
      <c r="D5264"/>
    </row>
    <row r="5265" spans="3:4">
      <c r="C5265"/>
      <c r="D5265"/>
    </row>
    <row r="5266" spans="3:4">
      <c r="C5266"/>
      <c r="D5266"/>
    </row>
    <row r="5267" spans="3:4">
      <c r="C5267"/>
      <c r="D5267"/>
    </row>
    <row r="5268" spans="3:4">
      <c r="C5268"/>
      <c r="D5268"/>
    </row>
    <row r="5269" spans="3:4">
      <c r="C5269"/>
      <c r="D5269"/>
    </row>
    <row r="5270" spans="3:4">
      <c r="C5270"/>
      <c r="D5270"/>
    </row>
    <row r="5271" spans="3:4">
      <c r="C5271"/>
      <c r="D5271"/>
    </row>
    <row r="5272" spans="3:4">
      <c r="C5272"/>
      <c r="D5272"/>
    </row>
    <row r="5273" spans="3:4">
      <c r="C5273"/>
      <c r="D5273"/>
    </row>
    <row r="5274" spans="3:4">
      <c r="C5274"/>
      <c r="D5274"/>
    </row>
    <row r="5275" spans="3:4">
      <c r="C5275"/>
      <c r="D5275"/>
    </row>
    <row r="5276" spans="3:4">
      <c r="C5276"/>
      <c r="D5276"/>
    </row>
    <row r="5277" spans="3:4">
      <c r="C5277"/>
      <c r="D5277"/>
    </row>
    <row r="5278" spans="3:4">
      <c r="C5278"/>
      <c r="D5278"/>
    </row>
    <row r="5279" spans="3:4">
      <c r="C5279"/>
      <c r="D5279"/>
    </row>
    <row r="5280" spans="3:4">
      <c r="C5280"/>
      <c r="D5280"/>
    </row>
    <row r="5281" spans="3:4">
      <c r="C5281"/>
      <c r="D5281"/>
    </row>
    <row r="5282" spans="3:4">
      <c r="C5282"/>
      <c r="D5282"/>
    </row>
    <row r="5283" spans="3:4">
      <c r="C5283"/>
      <c r="D5283"/>
    </row>
    <row r="5284" spans="3:4">
      <c r="C5284"/>
      <c r="D5284"/>
    </row>
    <row r="5285" spans="3:4">
      <c r="C5285"/>
      <c r="D5285"/>
    </row>
    <row r="5286" spans="3:4">
      <c r="C5286"/>
      <c r="D5286"/>
    </row>
    <row r="5287" spans="3:4">
      <c r="C5287"/>
      <c r="D5287"/>
    </row>
    <row r="5288" spans="3:4">
      <c r="C5288"/>
      <c r="D5288"/>
    </row>
    <row r="5289" spans="3:4">
      <c r="C5289"/>
      <c r="D5289"/>
    </row>
    <row r="5290" spans="3:4">
      <c r="C5290"/>
      <c r="D5290"/>
    </row>
    <row r="5291" spans="3:4">
      <c r="C5291"/>
      <c r="D5291"/>
    </row>
    <row r="5292" spans="3:4">
      <c r="C5292"/>
      <c r="D5292"/>
    </row>
    <row r="5293" spans="3:4">
      <c r="C5293"/>
      <c r="D5293"/>
    </row>
    <row r="5294" spans="3:4">
      <c r="C5294"/>
      <c r="D5294"/>
    </row>
    <row r="5295" spans="3:4">
      <c r="C5295"/>
      <c r="D5295"/>
    </row>
    <row r="5296" spans="3:4">
      <c r="C5296"/>
      <c r="D5296"/>
    </row>
    <row r="5297" spans="3:4">
      <c r="C5297"/>
      <c r="D5297"/>
    </row>
    <row r="5298" spans="3:4">
      <c r="C5298"/>
      <c r="D5298"/>
    </row>
    <row r="5299" spans="3:4">
      <c r="C5299"/>
      <c r="D5299"/>
    </row>
    <row r="5300" spans="3:4">
      <c r="C5300"/>
      <c r="D5300"/>
    </row>
    <row r="5301" spans="3:4">
      <c r="C5301"/>
      <c r="D5301"/>
    </row>
    <row r="5302" spans="3:4">
      <c r="C5302"/>
      <c r="D5302"/>
    </row>
    <row r="5303" spans="3:4">
      <c r="C5303"/>
      <c r="D5303"/>
    </row>
    <row r="5304" spans="3:4">
      <c r="C5304"/>
      <c r="D5304"/>
    </row>
    <row r="5305" spans="3:4">
      <c r="C5305"/>
      <c r="D5305"/>
    </row>
    <row r="5306" spans="3:4">
      <c r="C5306"/>
      <c r="D5306"/>
    </row>
    <row r="5307" spans="3:4">
      <c r="C5307"/>
      <c r="D5307"/>
    </row>
    <row r="5308" spans="3:4">
      <c r="C5308"/>
      <c r="D5308"/>
    </row>
    <row r="5309" spans="3:4">
      <c r="C5309"/>
      <c r="D5309"/>
    </row>
    <row r="5310" spans="3:4">
      <c r="C5310"/>
      <c r="D5310"/>
    </row>
    <row r="5311" spans="3:4">
      <c r="C5311"/>
      <c r="D5311"/>
    </row>
    <row r="5312" spans="3:4">
      <c r="C5312"/>
      <c r="D5312"/>
    </row>
    <row r="5313" spans="3:4">
      <c r="C5313"/>
      <c r="D5313"/>
    </row>
    <row r="5314" spans="3:4">
      <c r="C5314"/>
      <c r="D5314"/>
    </row>
    <row r="5315" spans="3:4">
      <c r="C5315"/>
      <c r="D5315"/>
    </row>
    <row r="5316" spans="3:4">
      <c r="C5316"/>
      <c r="D5316"/>
    </row>
    <row r="5317" spans="3:4">
      <c r="C5317"/>
      <c r="D5317"/>
    </row>
    <row r="5318" spans="3:4">
      <c r="C5318"/>
      <c r="D5318"/>
    </row>
    <row r="5319" spans="3:4">
      <c r="C5319"/>
      <c r="D5319"/>
    </row>
    <row r="5320" spans="3:4">
      <c r="C5320"/>
      <c r="D5320"/>
    </row>
    <row r="5321" spans="3:4">
      <c r="C5321"/>
      <c r="D5321"/>
    </row>
    <row r="5322" spans="3:4">
      <c r="C5322"/>
      <c r="D5322"/>
    </row>
    <row r="5323" spans="3:4">
      <c r="C5323"/>
      <c r="D5323"/>
    </row>
    <row r="5324" spans="3:4">
      <c r="C5324"/>
      <c r="D5324"/>
    </row>
    <row r="5325" spans="3:4">
      <c r="C5325"/>
      <c r="D5325"/>
    </row>
    <row r="5326" spans="3:4">
      <c r="C5326"/>
      <c r="D5326"/>
    </row>
    <row r="5327" spans="3:4">
      <c r="C5327"/>
      <c r="D5327"/>
    </row>
    <row r="5328" spans="3:4">
      <c r="C5328"/>
      <c r="D5328"/>
    </row>
    <row r="5329" spans="3:4">
      <c r="C5329"/>
      <c r="D5329"/>
    </row>
    <row r="5330" spans="3:4">
      <c r="C5330"/>
      <c r="D5330"/>
    </row>
    <row r="5331" spans="3:4">
      <c r="C5331"/>
      <c r="D5331"/>
    </row>
    <row r="5332" spans="3:4">
      <c r="C5332"/>
      <c r="D5332"/>
    </row>
    <row r="5333" spans="3:4">
      <c r="C5333"/>
      <c r="D5333"/>
    </row>
    <row r="5334" spans="3:4">
      <c r="C5334"/>
      <c r="D5334"/>
    </row>
    <row r="5335" spans="3:4">
      <c r="C5335"/>
      <c r="D5335"/>
    </row>
    <row r="5336" spans="3:4">
      <c r="C5336"/>
      <c r="D5336"/>
    </row>
    <row r="5337" spans="3:4">
      <c r="C5337"/>
      <c r="D5337"/>
    </row>
    <row r="5338" spans="3:4">
      <c r="C5338"/>
      <c r="D5338"/>
    </row>
    <row r="5339" spans="3:4">
      <c r="C5339"/>
      <c r="D5339"/>
    </row>
    <row r="5340" spans="3:4">
      <c r="C5340"/>
      <c r="D5340"/>
    </row>
    <row r="5341" spans="3:4">
      <c r="C5341"/>
      <c r="D5341"/>
    </row>
    <row r="5342" spans="3:4">
      <c r="C5342"/>
      <c r="D5342"/>
    </row>
    <row r="5343" spans="3:4">
      <c r="C5343"/>
      <c r="D5343"/>
    </row>
    <row r="5344" spans="3:4">
      <c r="C5344"/>
      <c r="D5344"/>
    </row>
    <row r="5345" spans="3:4">
      <c r="C5345"/>
      <c r="D5345"/>
    </row>
    <row r="5346" spans="3:4">
      <c r="C5346"/>
      <c r="D5346"/>
    </row>
    <row r="5347" spans="3:4">
      <c r="C5347"/>
      <c r="D5347"/>
    </row>
    <row r="5348" spans="3:4">
      <c r="C5348"/>
      <c r="D5348"/>
    </row>
    <row r="5349" spans="3:4">
      <c r="C5349"/>
      <c r="D5349"/>
    </row>
    <row r="5350" spans="3:4">
      <c r="C5350"/>
      <c r="D5350"/>
    </row>
    <row r="5351" spans="3:4">
      <c r="C5351"/>
      <c r="D5351"/>
    </row>
    <row r="5352" spans="3:4">
      <c r="C5352"/>
      <c r="D5352"/>
    </row>
    <row r="5353" spans="3:4">
      <c r="C5353"/>
      <c r="D5353"/>
    </row>
    <row r="5354" spans="3:4">
      <c r="C5354"/>
      <c r="D5354"/>
    </row>
    <row r="5355" spans="3:4">
      <c r="C5355"/>
      <c r="D5355"/>
    </row>
    <row r="5356" spans="3:4">
      <c r="C5356"/>
      <c r="D5356"/>
    </row>
    <row r="5357" spans="3:4">
      <c r="C5357"/>
      <c r="D5357"/>
    </row>
    <row r="5358" spans="3:4">
      <c r="C5358"/>
      <c r="D5358"/>
    </row>
    <row r="5359" spans="3:4">
      <c r="C5359"/>
      <c r="D5359"/>
    </row>
    <row r="5360" spans="3:4">
      <c r="C5360"/>
      <c r="D5360"/>
    </row>
    <row r="5361" spans="3:4">
      <c r="C5361"/>
      <c r="D5361"/>
    </row>
    <row r="5362" spans="3:4">
      <c r="C5362"/>
      <c r="D5362"/>
    </row>
    <row r="5363" spans="3:4">
      <c r="C5363"/>
      <c r="D5363"/>
    </row>
    <row r="5364" spans="3:4">
      <c r="C5364"/>
      <c r="D5364"/>
    </row>
    <row r="5365" spans="3:4">
      <c r="C5365"/>
      <c r="D5365"/>
    </row>
    <row r="5366" spans="3:4">
      <c r="C5366"/>
      <c r="D5366"/>
    </row>
    <row r="5367" spans="3:4">
      <c r="C5367"/>
      <c r="D5367"/>
    </row>
    <row r="5368" spans="3:4">
      <c r="C5368"/>
      <c r="D5368"/>
    </row>
    <row r="5369" spans="3:4">
      <c r="C5369"/>
      <c r="D5369"/>
    </row>
    <row r="5370" spans="3:4">
      <c r="C5370"/>
      <c r="D5370"/>
    </row>
    <row r="5371" spans="3:4">
      <c r="C5371"/>
      <c r="D5371"/>
    </row>
    <row r="5372" spans="3:4">
      <c r="C5372"/>
      <c r="D5372"/>
    </row>
    <row r="5373" spans="3:4">
      <c r="C5373"/>
      <c r="D5373"/>
    </row>
    <row r="5374" spans="3:4">
      <c r="C5374"/>
      <c r="D5374"/>
    </row>
    <row r="5375" spans="3:4">
      <c r="C5375"/>
      <c r="D5375"/>
    </row>
    <row r="5376" spans="3:4">
      <c r="C5376"/>
      <c r="D5376"/>
    </row>
    <row r="5377" spans="3:4">
      <c r="C5377"/>
      <c r="D5377"/>
    </row>
    <row r="5378" spans="3:4">
      <c r="C5378"/>
      <c r="D5378"/>
    </row>
    <row r="5379" spans="3:4">
      <c r="C5379"/>
      <c r="D5379"/>
    </row>
    <row r="5380" spans="3:4">
      <c r="C5380"/>
      <c r="D5380"/>
    </row>
    <row r="5381" spans="3:4">
      <c r="C5381"/>
      <c r="D5381"/>
    </row>
    <row r="5382" spans="3:4">
      <c r="C5382"/>
      <c r="D5382"/>
    </row>
    <row r="5383" spans="3:4">
      <c r="C5383"/>
      <c r="D5383"/>
    </row>
    <row r="5384" spans="3:4">
      <c r="C5384"/>
      <c r="D5384"/>
    </row>
    <row r="5385" spans="3:4">
      <c r="C5385"/>
      <c r="D5385"/>
    </row>
    <row r="5386" spans="3:4">
      <c r="C5386"/>
      <c r="D5386"/>
    </row>
    <row r="5387" spans="3:4">
      <c r="C5387"/>
      <c r="D5387"/>
    </row>
    <row r="5388" spans="3:4">
      <c r="C5388"/>
      <c r="D5388"/>
    </row>
    <row r="5389" spans="3:4">
      <c r="C5389"/>
      <c r="D5389"/>
    </row>
    <row r="5390" spans="3:4">
      <c r="C5390"/>
      <c r="D5390"/>
    </row>
    <row r="5391" spans="3:4">
      <c r="C5391"/>
      <c r="D5391"/>
    </row>
    <row r="5392" spans="3:4">
      <c r="C5392"/>
      <c r="D5392"/>
    </row>
    <row r="5393" spans="3:4">
      <c r="C5393"/>
      <c r="D5393"/>
    </row>
    <row r="5394" spans="3:4">
      <c r="C5394"/>
      <c r="D5394"/>
    </row>
    <row r="5395" spans="3:4">
      <c r="C5395"/>
      <c r="D5395"/>
    </row>
    <row r="5396" spans="3:4">
      <c r="C5396"/>
      <c r="D5396"/>
    </row>
    <row r="5397" spans="3:4">
      <c r="C5397"/>
      <c r="D5397"/>
    </row>
    <row r="5398" spans="3:4">
      <c r="C5398"/>
      <c r="D5398"/>
    </row>
    <row r="5399" spans="3:4">
      <c r="C5399"/>
      <c r="D5399"/>
    </row>
    <row r="5400" spans="3:4">
      <c r="C5400"/>
      <c r="D5400"/>
    </row>
    <row r="5401" spans="3:4">
      <c r="C5401"/>
      <c r="D5401"/>
    </row>
    <row r="5402" spans="3:4">
      <c r="C5402"/>
      <c r="D5402"/>
    </row>
    <row r="5403" spans="3:4">
      <c r="C5403"/>
      <c r="D5403"/>
    </row>
    <row r="5404" spans="3:4">
      <c r="C5404"/>
      <c r="D5404"/>
    </row>
    <row r="5405" spans="3:4">
      <c r="C5405"/>
      <c r="D5405"/>
    </row>
    <row r="5406" spans="3:4">
      <c r="C5406"/>
      <c r="D5406"/>
    </row>
    <row r="5407" spans="3:4">
      <c r="C5407"/>
      <c r="D5407"/>
    </row>
    <row r="5408" spans="3:4">
      <c r="C5408"/>
      <c r="D5408"/>
    </row>
    <row r="5409" spans="3:4">
      <c r="C5409"/>
      <c r="D5409"/>
    </row>
    <row r="5410" spans="3:4">
      <c r="C5410"/>
      <c r="D5410"/>
    </row>
    <row r="5411" spans="3:4">
      <c r="C5411"/>
      <c r="D5411"/>
    </row>
    <row r="5412" spans="3:4">
      <c r="C5412"/>
      <c r="D5412"/>
    </row>
    <row r="5413" spans="3:4">
      <c r="C5413"/>
      <c r="D5413"/>
    </row>
    <row r="5414" spans="3:4">
      <c r="C5414"/>
      <c r="D5414"/>
    </row>
    <row r="5415" spans="3:4">
      <c r="C5415"/>
      <c r="D5415"/>
    </row>
    <row r="5416" spans="3:4">
      <c r="C5416"/>
      <c r="D5416"/>
    </row>
    <row r="5417" spans="3:4">
      <c r="C5417"/>
      <c r="D5417"/>
    </row>
    <row r="5418" spans="3:4">
      <c r="C5418"/>
      <c r="D5418"/>
    </row>
    <row r="5419" spans="3:4">
      <c r="C5419"/>
      <c r="D5419"/>
    </row>
    <row r="5420" spans="3:4">
      <c r="C5420"/>
      <c r="D5420"/>
    </row>
    <row r="5421" spans="3:4">
      <c r="C5421"/>
      <c r="D5421"/>
    </row>
    <row r="5422" spans="3:4">
      <c r="C5422"/>
      <c r="D5422"/>
    </row>
    <row r="5423" spans="3:4">
      <c r="C5423"/>
      <c r="D5423"/>
    </row>
    <row r="5424" spans="3:4">
      <c r="C5424"/>
      <c r="D5424"/>
    </row>
    <row r="5425" spans="3:4">
      <c r="C5425"/>
      <c r="D5425"/>
    </row>
    <row r="5426" spans="3:4">
      <c r="C5426"/>
      <c r="D5426"/>
    </row>
    <row r="5427" spans="3:4">
      <c r="C5427"/>
      <c r="D5427"/>
    </row>
    <row r="5428" spans="3:4">
      <c r="C5428"/>
      <c r="D5428"/>
    </row>
    <row r="5429" spans="3:4">
      <c r="C5429"/>
      <c r="D5429"/>
    </row>
    <row r="5430" spans="3:4">
      <c r="C5430"/>
      <c r="D5430"/>
    </row>
    <row r="5431" spans="3:4">
      <c r="C5431"/>
      <c r="D5431"/>
    </row>
    <row r="5432" spans="3:4">
      <c r="C5432"/>
      <c r="D5432"/>
    </row>
    <row r="5433" spans="3:4">
      <c r="C5433"/>
      <c r="D5433"/>
    </row>
    <row r="5434" spans="3:4">
      <c r="C5434"/>
      <c r="D5434"/>
    </row>
    <row r="5435" spans="3:4">
      <c r="C5435"/>
      <c r="D5435"/>
    </row>
    <row r="5436" spans="3:4">
      <c r="C5436"/>
      <c r="D5436"/>
    </row>
    <row r="5437" spans="3:4">
      <c r="C5437"/>
      <c r="D5437"/>
    </row>
    <row r="5438" spans="3:4">
      <c r="C5438"/>
      <c r="D5438"/>
    </row>
    <row r="5439" spans="3:4">
      <c r="C5439"/>
      <c r="D5439"/>
    </row>
    <row r="5440" spans="3:4">
      <c r="C5440"/>
      <c r="D5440"/>
    </row>
    <row r="5441" spans="3:4">
      <c r="C5441"/>
      <c r="D5441"/>
    </row>
    <row r="5442" spans="3:4">
      <c r="C5442"/>
      <c r="D5442"/>
    </row>
    <row r="5443" spans="3:4">
      <c r="C5443"/>
      <c r="D5443"/>
    </row>
    <row r="5444" spans="3:4">
      <c r="C5444"/>
      <c r="D5444"/>
    </row>
    <row r="5445" spans="3:4">
      <c r="C5445"/>
      <c r="D5445"/>
    </row>
    <row r="5446" spans="3:4">
      <c r="C5446"/>
      <c r="D5446"/>
    </row>
    <row r="5447" spans="3:4">
      <c r="C5447"/>
      <c r="D5447"/>
    </row>
    <row r="5448" spans="3:4">
      <c r="C5448"/>
      <c r="D5448"/>
    </row>
    <row r="5449" spans="3:4">
      <c r="C5449"/>
      <c r="D5449"/>
    </row>
    <row r="5450" spans="3:4">
      <c r="C5450"/>
      <c r="D5450"/>
    </row>
    <row r="5451" spans="3:4">
      <c r="C5451"/>
      <c r="D5451"/>
    </row>
    <row r="5452" spans="3:4">
      <c r="C5452"/>
      <c r="D5452"/>
    </row>
    <row r="5453" spans="3:4">
      <c r="C5453"/>
      <c r="D5453"/>
    </row>
    <row r="5454" spans="3:4">
      <c r="C5454"/>
      <c r="D5454"/>
    </row>
    <row r="5455" spans="3:4">
      <c r="C5455"/>
      <c r="D5455"/>
    </row>
    <row r="5456" spans="3:4">
      <c r="C5456"/>
      <c r="D5456"/>
    </row>
    <row r="5457" spans="3:4">
      <c r="C5457"/>
      <c r="D5457"/>
    </row>
    <row r="5458" spans="3:4">
      <c r="C5458"/>
      <c r="D5458"/>
    </row>
    <row r="5459" spans="3:4">
      <c r="C5459"/>
      <c r="D5459"/>
    </row>
    <row r="5460" spans="3:4">
      <c r="C5460"/>
      <c r="D5460"/>
    </row>
    <row r="5461" spans="3:4">
      <c r="C5461"/>
      <c r="D5461"/>
    </row>
    <row r="5462" spans="3:4">
      <c r="C5462"/>
      <c r="D5462"/>
    </row>
    <row r="5463" spans="3:4">
      <c r="C5463"/>
      <c r="D5463"/>
    </row>
    <row r="5464" spans="3:4">
      <c r="C5464"/>
      <c r="D5464"/>
    </row>
    <row r="5465" spans="3:4">
      <c r="C5465"/>
      <c r="D5465"/>
    </row>
    <row r="5466" spans="3:4">
      <c r="C5466"/>
      <c r="D5466"/>
    </row>
    <row r="5467" spans="3:4">
      <c r="C5467"/>
      <c r="D5467"/>
    </row>
    <row r="5468" spans="3:4">
      <c r="C5468"/>
      <c r="D5468"/>
    </row>
    <row r="5469" spans="3:4">
      <c r="C5469"/>
      <c r="D5469"/>
    </row>
    <row r="5470" spans="3:4">
      <c r="C5470"/>
      <c r="D5470"/>
    </row>
    <row r="5471" spans="3:4">
      <c r="C5471"/>
      <c r="D5471"/>
    </row>
    <row r="5472" spans="3:4">
      <c r="C5472"/>
      <c r="D5472"/>
    </row>
    <row r="5473" spans="3:4">
      <c r="C5473"/>
      <c r="D5473"/>
    </row>
    <row r="5474" spans="3:4">
      <c r="C5474"/>
      <c r="D5474"/>
    </row>
    <row r="5475" spans="3:4">
      <c r="C5475"/>
      <c r="D5475"/>
    </row>
    <row r="5476" spans="3:4">
      <c r="C5476"/>
      <c r="D5476"/>
    </row>
    <row r="5477" spans="3:4">
      <c r="C5477"/>
      <c r="D5477"/>
    </row>
    <row r="5478" spans="3:4">
      <c r="C5478"/>
      <c r="D5478"/>
    </row>
    <row r="5479" spans="3:4">
      <c r="C5479"/>
      <c r="D5479"/>
    </row>
    <row r="5480" spans="3:4">
      <c r="C5480"/>
      <c r="D5480"/>
    </row>
    <row r="5481" spans="3:4">
      <c r="C5481"/>
      <c r="D5481"/>
    </row>
    <row r="5482" spans="3:4">
      <c r="C5482"/>
      <c r="D5482"/>
    </row>
    <row r="5483" spans="3:4">
      <c r="C5483"/>
      <c r="D5483"/>
    </row>
    <row r="5484" spans="3:4">
      <c r="C5484"/>
      <c r="D5484"/>
    </row>
    <row r="5485" spans="3:4">
      <c r="C5485"/>
      <c r="D5485"/>
    </row>
    <row r="5486" spans="3:4">
      <c r="C5486"/>
      <c r="D5486"/>
    </row>
    <row r="5487" spans="3:4">
      <c r="C5487"/>
      <c r="D5487"/>
    </row>
    <row r="5488" spans="3:4">
      <c r="C5488"/>
      <c r="D5488"/>
    </row>
    <row r="5489" spans="3:4">
      <c r="C5489"/>
      <c r="D5489"/>
    </row>
    <row r="5490" spans="3:4">
      <c r="C5490"/>
      <c r="D5490"/>
    </row>
    <row r="5491" spans="3:4">
      <c r="C5491"/>
      <c r="D5491"/>
    </row>
    <row r="5492" spans="3:4">
      <c r="C5492"/>
      <c r="D5492"/>
    </row>
    <row r="5493" spans="3:4">
      <c r="C5493"/>
      <c r="D5493"/>
    </row>
    <row r="5494" spans="3:4">
      <c r="C5494"/>
      <c r="D5494"/>
    </row>
    <row r="5495" spans="3:4">
      <c r="C5495"/>
      <c r="D5495"/>
    </row>
    <row r="5496" spans="3:4">
      <c r="C5496"/>
      <c r="D5496"/>
    </row>
    <row r="5497" spans="3:4">
      <c r="C5497"/>
      <c r="D5497"/>
    </row>
    <row r="5498" spans="3:4">
      <c r="C5498"/>
      <c r="D5498"/>
    </row>
    <row r="5499" spans="3:4">
      <c r="C5499"/>
      <c r="D5499"/>
    </row>
    <row r="5500" spans="3:4">
      <c r="C5500"/>
      <c r="D5500"/>
    </row>
    <row r="5501" spans="3:4">
      <c r="C5501"/>
      <c r="D5501"/>
    </row>
    <row r="5502" spans="3:4">
      <c r="C5502"/>
      <c r="D5502"/>
    </row>
    <row r="5503" spans="3:4">
      <c r="C5503"/>
      <c r="D5503"/>
    </row>
    <row r="5504" spans="3:4">
      <c r="C5504"/>
      <c r="D5504"/>
    </row>
    <row r="5505" spans="3:4">
      <c r="C5505"/>
      <c r="D5505"/>
    </row>
    <row r="5506" spans="3:4">
      <c r="C5506"/>
      <c r="D5506"/>
    </row>
    <row r="5507" spans="3:4">
      <c r="C5507"/>
      <c r="D5507"/>
    </row>
    <row r="5508" spans="3:4">
      <c r="C5508"/>
      <c r="D5508"/>
    </row>
    <row r="5509" spans="3:4">
      <c r="C5509"/>
      <c r="D5509"/>
    </row>
    <row r="5510" spans="3:4">
      <c r="C5510"/>
      <c r="D5510"/>
    </row>
    <row r="5511" spans="3:4">
      <c r="C5511"/>
      <c r="D5511"/>
    </row>
    <row r="5512" spans="3:4">
      <c r="C5512"/>
      <c r="D5512"/>
    </row>
    <row r="5513" spans="3:4">
      <c r="C5513"/>
      <c r="D5513"/>
    </row>
    <row r="5514" spans="3:4">
      <c r="C5514"/>
      <c r="D5514"/>
    </row>
    <row r="5515" spans="3:4">
      <c r="C5515"/>
      <c r="D5515"/>
    </row>
    <row r="5516" spans="3:4">
      <c r="C5516"/>
      <c r="D5516"/>
    </row>
    <row r="5517" spans="3:4">
      <c r="C5517"/>
      <c r="D5517"/>
    </row>
    <row r="5518" spans="3:4">
      <c r="C5518"/>
      <c r="D5518"/>
    </row>
    <row r="5519" spans="3:4">
      <c r="C5519"/>
      <c r="D5519"/>
    </row>
    <row r="5520" spans="3:4">
      <c r="C5520"/>
      <c r="D5520"/>
    </row>
    <row r="5521" spans="3:4">
      <c r="C5521"/>
      <c r="D5521"/>
    </row>
    <row r="5522" spans="3:4">
      <c r="C5522"/>
      <c r="D5522"/>
    </row>
    <row r="5523" spans="3:4">
      <c r="C5523"/>
      <c r="D5523"/>
    </row>
    <row r="5524" spans="3:4">
      <c r="C5524"/>
      <c r="D5524"/>
    </row>
    <row r="5525" spans="3:4">
      <c r="C5525"/>
      <c r="D5525"/>
    </row>
    <row r="5526" spans="3:4">
      <c r="C5526"/>
      <c r="D5526"/>
    </row>
    <row r="5527" spans="3:4">
      <c r="C5527"/>
      <c r="D5527"/>
    </row>
    <row r="5528" spans="3:4">
      <c r="C5528"/>
      <c r="D5528"/>
    </row>
    <row r="5529" spans="3:4">
      <c r="C5529"/>
      <c r="D5529"/>
    </row>
    <row r="5530" spans="3:4">
      <c r="C5530"/>
      <c r="D5530"/>
    </row>
    <row r="5531" spans="3:4">
      <c r="C5531"/>
      <c r="D5531"/>
    </row>
    <row r="5532" spans="3:4">
      <c r="C5532"/>
      <c r="D5532"/>
    </row>
    <row r="5533" spans="3:4">
      <c r="C5533"/>
      <c r="D5533"/>
    </row>
    <row r="5534" spans="3:4">
      <c r="C5534"/>
      <c r="D5534"/>
    </row>
    <row r="5535" spans="3:4">
      <c r="C5535"/>
      <c r="D5535"/>
    </row>
    <row r="5536" spans="3:4">
      <c r="C5536"/>
      <c r="D5536"/>
    </row>
    <row r="5537" spans="3:4">
      <c r="C5537"/>
      <c r="D5537"/>
    </row>
    <row r="5538" spans="3:4">
      <c r="C5538"/>
      <c r="D5538"/>
    </row>
    <row r="5539" spans="3:4">
      <c r="C5539"/>
      <c r="D5539"/>
    </row>
    <row r="5540" spans="3:4">
      <c r="C5540"/>
      <c r="D5540"/>
    </row>
    <row r="5541" spans="3:4">
      <c r="C5541"/>
      <c r="D5541"/>
    </row>
    <row r="5542" spans="3:4">
      <c r="C5542"/>
      <c r="D5542"/>
    </row>
    <row r="5543" spans="3:4">
      <c r="C5543"/>
      <c r="D5543"/>
    </row>
    <row r="5544" spans="3:4">
      <c r="C5544"/>
      <c r="D5544"/>
    </row>
    <row r="5545" spans="3:4">
      <c r="C5545"/>
      <c r="D5545"/>
    </row>
    <row r="5546" spans="3:4">
      <c r="C5546"/>
      <c r="D5546"/>
    </row>
    <row r="5547" spans="3:4">
      <c r="C5547"/>
      <c r="D5547"/>
    </row>
    <row r="5548" spans="3:4">
      <c r="C5548"/>
      <c r="D5548"/>
    </row>
    <row r="5549" spans="3:4">
      <c r="C5549"/>
      <c r="D5549"/>
    </row>
    <row r="5550" spans="3:4">
      <c r="C5550"/>
      <c r="D5550"/>
    </row>
    <row r="5551" spans="3:4">
      <c r="C5551"/>
      <c r="D5551"/>
    </row>
    <row r="5552" spans="3:4">
      <c r="C5552"/>
      <c r="D5552"/>
    </row>
    <row r="5553" spans="3:4">
      <c r="C5553"/>
      <c r="D5553"/>
    </row>
    <row r="5554" spans="3:4">
      <c r="C5554"/>
      <c r="D5554"/>
    </row>
    <row r="5555" spans="3:4">
      <c r="C5555"/>
      <c r="D5555"/>
    </row>
    <row r="5556" spans="3:4">
      <c r="C5556"/>
      <c r="D5556"/>
    </row>
    <row r="5557" spans="3:4">
      <c r="C5557"/>
      <c r="D5557"/>
    </row>
    <row r="5558" spans="3:4">
      <c r="C5558"/>
      <c r="D5558"/>
    </row>
    <row r="5559" spans="3:4">
      <c r="C5559"/>
      <c r="D5559"/>
    </row>
    <row r="5560" spans="3:4">
      <c r="C5560"/>
      <c r="D5560"/>
    </row>
    <row r="5561" spans="3:4">
      <c r="C5561"/>
      <c r="D5561"/>
    </row>
    <row r="5562" spans="3:4">
      <c r="C5562"/>
      <c r="D5562"/>
    </row>
    <row r="5563" spans="3:4">
      <c r="C5563"/>
      <c r="D5563"/>
    </row>
    <row r="5564" spans="3:4">
      <c r="C5564"/>
      <c r="D5564"/>
    </row>
    <row r="5565" spans="3:4">
      <c r="C5565"/>
      <c r="D5565"/>
    </row>
    <row r="5566" spans="3:4">
      <c r="C5566"/>
      <c r="D5566"/>
    </row>
    <row r="5567" spans="3:4">
      <c r="C5567"/>
      <c r="D5567"/>
    </row>
    <row r="5568" spans="3:4">
      <c r="C5568"/>
      <c r="D5568"/>
    </row>
    <row r="5569" spans="3:4">
      <c r="C5569"/>
      <c r="D5569"/>
    </row>
    <row r="5570" spans="3:4">
      <c r="C5570"/>
      <c r="D5570"/>
    </row>
    <row r="5571" spans="3:4">
      <c r="C5571"/>
      <c r="D5571"/>
    </row>
    <row r="5572" spans="3:4">
      <c r="C5572"/>
      <c r="D5572"/>
    </row>
    <row r="5573" spans="3:4">
      <c r="C5573"/>
      <c r="D5573"/>
    </row>
    <row r="5574" spans="3:4">
      <c r="C5574"/>
      <c r="D5574"/>
    </row>
    <row r="5575" spans="3:4">
      <c r="C5575"/>
      <c r="D5575"/>
    </row>
    <row r="5576" spans="3:4">
      <c r="C5576"/>
      <c r="D5576"/>
    </row>
    <row r="5577" spans="3:4">
      <c r="C5577"/>
      <c r="D5577"/>
    </row>
    <row r="5578" spans="3:4">
      <c r="C5578"/>
      <c r="D5578"/>
    </row>
    <row r="5579" spans="3:4">
      <c r="C5579"/>
      <c r="D5579"/>
    </row>
    <row r="5580" spans="3:4">
      <c r="C5580"/>
      <c r="D5580"/>
    </row>
    <row r="5581" spans="3:4">
      <c r="C5581"/>
      <c r="D5581"/>
    </row>
    <row r="5582" spans="3:4">
      <c r="C5582"/>
      <c r="D5582"/>
    </row>
    <row r="5583" spans="3:4">
      <c r="C5583"/>
      <c r="D5583"/>
    </row>
    <row r="5584" spans="3:4">
      <c r="C5584"/>
      <c r="D5584"/>
    </row>
    <row r="5585" spans="3:4">
      <c r="C5585"/>
      <c r="D5585"/>
    </row>
    <row r="5586" spans="3:4">
      <c r="C5586"/>
      <c r="D5586"/>
    </row>
    <row r="5587" spans="3:4">
      <c r="C5587"/>
      <c r="D5587"/>
    </row>
    <row r="5588" spans="3:4">
      <c r="C5588"/>
      <c r="D5588"/>
    </row>
    <row r="5589" spans="3:4">
      <c r="C5589"/>
      <c r="D5589"/>
    </row>
    <row r="5590" spans="3:4">
      <c r="C5590"/>
      <c r="D5590"/>
    </row>
    <row r="5591" spans="3:4">
      <c r="C5591"/>
      <c r="D5591"/>
    </row>
    <row r="5592" spans="3:4">
      <c r="C5592"/>
      <c r="D5592"/>
    </row>
    <row r="5593" spans="3:4">
      <c r="C5593"/>
      <c r="D5593"/>
    </row>
    <row r="5594" spans="3:4">
      <c r="C5594"/>
      <c r="D5594"/>
    </row>
    <row r="5595" spans="3:4">
      <c r="C5595"/>
      <c r="D5595"/>
    </row>
    <row r="5596" spans="3:4">
      <c r="C5596"/>
      <c r="D5596"/>
    </row>
    <row r="5597" spans="3:4">
      <c r="C5597"/>
      <c r="D5597"/>
    </row>
    <row r="5598" spans="3:4">
      <c r="C5598"/>
      <c r="D5598"/>
    </row>
    <row r="5599" spans="3:4">
      <c r="C5599"/>
      <c r="D5599"/>
    </row>
    <row r="5600" spans="3:4">
      <c r="C5600"/>
      <c r="D5600"/>
    </row>
    <row r="5601" spans="3:4">
      <c r="C5601"/>
      <c r="D5601"/>
    </row>
    <row r="5602" spans="3:4">
      <c r="C5602"/>
      <c r="D5602"/>
    </row>
    <row r="5603" spans="3:4">
      <c r="C5603"/>
      <c r="D5603"/>
    </row>
    <row r="5604" spans="3:4">
      <c r="C5604"/>
      <c r="D5604"/>
    </row>
    <row r="5605" spans="3:4">
      <c r="C5605"/>
      <c r="D5605"/>
    </row>
    <row r="5606" spans="3:4">
      <c r="C5606"/>
      <c r="D5606"/>
    </row>
    <row r="5607" spans="3:4">
      <c r="C5607"/>
      <c r="D5607"/>
    </row>
    <row r="5608" spans="3:4">
      <c r="C5608"/>
      <c r="D5608"/>
    </row>
    <row r="5609" spans="3:4">
      <c r="C5609"/>
      <c r="D5609"/>
    </row>
    <row r="5610" spans="3:4">
      <c r="C5610"/>
      <c r="D5610"/>
    </row>
    <row r="5611" spans="3:4">
      <c r="C5611"/>
      <c r="D5611"/>
    </row>
    <row r="5612" spans="3:4">
      <c r="C5612"/>
      <c r="D5612"/>
    </row>
    <row r="5613" spans="3:4">
      <c r="C5613"/>
      <c r="D5613"/>
    </row>
    <row r="5614" spans="3:4">
      <c r="C5614"/>
      <c r="D5614"/>
    </row>
    <row r="5615" spans="3:4">
      <c r="C5615"/>
      <c r="D5615"/>
    </row>
    <row r="5616" spans="3:4">
      <c r="C5616"/>
      <c r="D5616"/>
    </row>
    <row r="5617" spans="3:4">
      <c r="C5617"/>
      <c r="D5617"/>
    </row>
    <row r="5618" spans="3:4">
      <c r="C5618"/>
      <c r="D5618"/>
    </row>
    <row r="5619" spans="3:4">
      <c r="C5619"/>
      <c r="D5619"/>
    </row>
    <row r="5620" spans="3:4">
      <c r="C5620"/>
      <c r="D5620"/>
    </row>
    <row r="5621" spans="3:4">
      <c r="C5621"/>
      <c r="D5621"/>
    </row>
    <row r="5622" spans="3:4">
      <c r="C5622"/>
      <c r="D5622"/>
    </row>
    <row r="5623" spans="3:4">
      <c r="C5623"/>
      <c r="D5623"/>
    </row>
    <row r="5624" spans="3:4">
      <c r="C5624"/>
      <c r="D5624"/>
    </row>
    <row r="5625" spans="3:4">
      <c r="C5625"/>
      <c r="D5625"/>
    </row>
    <row r="5626" spans="3:4">
      <c r="C5626"/>
      <c r="D5626"/>
    </row>
    <row r="5627" spans="3:4">
      <c r="C5627"/>
      <c r="D5627"/>
    </row>
    <row r="5628" spans="3:4">
      <c r="C5628"/>
      <c r="D5628"/>
    </row>
    <row r="5629" spans="3:4">
      <c r="C5629"/>
      <c r="D5629"/>
    </row>
    <row r="5630" spans="3:4">
      <c r="C5630"/>
      <c r="D5630"/>
    </row>
    <row r="5631" spans="3:4">
      <c r="C5631"/>
      <c r="D5631"/>
    </row>
    <row r="5632" spans="3:4">
      <c r="C5632"/>
      <c r="D5632"/>
    </row>
    <row r="5633" spans="3:4">
      <c r="C5633"/>
      <c r="D5633"/>
    </row>
    <row r="5634" spans="3:4">
      <c r="C5634"/>
      <c r="D5634"/>
    </row>
    <row r="5635" spans="3:4">
      <c r="C5635"/>
      <c r="D5635"/>
    </row>
    <row r="5636" spans="3:4">
      <c r="C5636"/>
      <c r="D5636"/>
    </row>
    <row r="5637" spans="3:4">
      <c r="C5637"/>
      <c r="D5637"/>
    </row>
    <row r="5638" spans="3:4">
      <c r="C5638"/>
      <c r="D5638"/>
    </row>
    <row r="5639" spans="3:4">
      <c r="C5639"/>
      <c r="D5639"/>
    </row>
    <row r="5640" spans="3:4">
      <c r="C5640"/>
      <c r="D5640"/>
    </row>
    <row r="5641" spans="3:4">
      <c r="C5641"/>
      <c r="D5641"/>
    </row>
    <row r="5642" spans="3:4">
      <c r="C5642"/>
      <c r="D5642"/>
    </row>
    <row r="5643" spans="3:4">
      <c r="C5643"/>
      <c r="D5643"/>
    </row>
    <row r="5644" spans="3:4">
      <c r="C5644"/>
      <c r="D5644"/>
    </row>
    <row r="5645" spans="3:4">
      <c r="C5645"/>
      <c r="D5645"/>
    </row>
    <row r="5646" spans="3:4">
      <c r="C5646"/>
      <c r="D5646"/>
    </row>
    <row r="5647" spans="3:4">
      <c r="C5647"/>
      <c r="D5647"/>
    </row>
    <row r="5648" spans="3:4">
      <c r="C5648"/>
      <c r="D5648"/>
    </row>
    <row r="5649" spans="3:4">
      <c r="C5649"/>
      <c r="D5649"/>
    </row>
    <row r="5650" spans="3:4">
      <c r="C5650"/>
      <c r="D5650"/>
    </row>
    <row r="5651" spans="3:4">
      <c r="C5651"/>
      <c r="D5651"/>
    </row>
    <row r="5652" spans="3:4">
      <c r="C5652"/>
      <c r="D5652"/>
    </row>
    <row r="5653" spans="3:4">
      <c r="C5653"/>
      <c r="D5653"/>
    </row>
    <row r="5654" spans="3:4">
      <c r="C5654"/>
      <c r="D5654"/>
    </row>
    <row r="5655" spans="3:4">
      <c r="C5655"/>
      <c r="D5655"/>
    </row>
    <row r="5656" spans="3:4">
      <c r="C5656"/>
      <c r="D5656"/>
    </row>
    <row r="5657" spans="3:4">
      <c r="C5657"/>
      <c r="D5657"/>
    </row>
    <row r="5658" spans="3:4">
      <c r="C5658"/>
      <c r="D5658"/>
    </row>
    <row r="5659" spans="3:4">
      <c r="C5659"/>
      <c r="D5659"/>
    </row>
    <row r="5660" spans="3:4">
      <c r="C5660"/>
      <c r="D5660"/>
    </row>
    <row r="5661" spans="3:4">
      <c r="C5661"/>
      <c r="D5661"/>
    </row>
    <row r="5662" spans="3:4">
      <c r="C5662"/>
      <c r="D5662"/>
    </row>
    <row r="5663" spans="3:4">
      <c r="C5663"/>
      <c r="D5663"/>
    </row>
    <row r="5664" spans="3:4">
      <c r="C5664"/>
      <c r="D5664"/>
    </row>
    <row r="5665" spans="3:4">
      <c r="C5665"/>
      <c r="D5665"/>
    </row>
    <row r="5666" spans="3:4">
      <c r="C5666"/>
      <c r="D5666"/>
    </row>
    <row r="5667" spans="3:4">
      <c r="C5667"/>
      <c r="D5667"/>
    </row>
    <row r="5668" spans="3:4">
      <c r="C5668"/>
      <c r="D5668"/>
    </row>
    <row r="5669" spans="3:4">
      <c r="C5669"/>
      <c r="D5669"/>
    </row>
    <row r="5670" spans="3:4">
      <c r="C5670"/>
      <c r="D5670"/>
    </row>
    <row r="5671" spans="3:4">
      <c r="C5671"/>
      <c r="D5671"/>
    </row>
    <row r="5672" spans="3:4">
      <c r="C5672"/>
      <c r="D5672"/>
    </row>
    <row r="5673" spans="3:4">
      <c r="C5673"/>
      <c r="D5673"/>
    </row>
    <row r="5674" spans="3:4">
      <c r="C5674"/>
      <c r="D5674"/>
    </row>
    <row r="5675" spans="3:4">
      <c r="C5675"/>
      <c r="D5675"/>
    </row>
    <row r="5676" spans="3:4">
      <c r="C5676"/>
      <c r="D5676"/>
    </row>
    <row r="5677" spans="3:4">
      <c r="C5677"/>
      <c r="D5677"/>
    </row>
    <row r="5678" spans="3:4">
      <c r="C5678"/>
      <c r="D5678"/>
    </row>
    <row r="5679" spans="3:4">
      <c r="C5679"/>
      <c r="D5679"/>
    </row>
    <row r="5680" spans="3:4">
      <c r="C5680"/>
      <c r="D5680"/>
    </row>
    <row r="5681" spans="3:4">
      <c r="C5681"/>
      <c r="D5681"/>
    </row>
    <row r="5682" spans="3:4">
      <c r="C5682"/>
      <c r="D5682"/>
    </row>
    <row r="5683" spans="3:4">
      <c r="C5683"/>
      <c r="D5683"/>
    </row>
    <row r="5684" spans="3:4">
      <c r="C5684"/>
      <c r="D5684"/>
    </row>
    <row r="5685" spans="3:4">
      <c r="C5685"/>
      <c r="D5685"/>
    </row>
    <row r="5686" spans="3:4">
      <c r="C5686"/>
      <c r="D5686"/>
    </row>
    <row r="5687" spans="3:4">
      <c r="C5687"/>
      <c r="D5687"/>
    </row>
    <row r="5688" spans="3:4">
      <c r="C5688"/>
      <c r="D5688"/>
    </row>
    <row r="5689" spans="3:4">
      <c r="C5689"/>
      <c r="D5689"/>
    </row>
    <row r="5690" spans="3:4">
      <c r="C5690"/>
      <c r="D5690"/>
    </row>
    <row r="5691" spans="3:4">
      <c r="C5691"/>
      <c r="D5691"/>
    </row>
    <row r="5692" spans="3:4">
      <c r="C5692"/>
      <c r="D5692"/>
    </row>
    <row r="5693" spans="3:4">
      <c r="C5693"/>
      <c r="D5693"/>
    </row>
    <row r="5694" spans="3:4">
      <c r="C5694"/>
      <c r="D5694"/>
    </row>
    <row r="5695" spans="3:4">
      <c r="C5695"/>
      <c r="D5695"/>
    </row>
    <row r="5696" spans="3:4">
      <c r="C5696"/>
      <c r="D5696"/>
    </row>
    <row r="5697" spans="3:4">
      <c r="C5697"/>
      <c r="D5697"/>
    </row>
    <row r="5698" spans="3:4">
      <c r="C5698"/>
      <c r="D5698"/>
    </row>
    <row r="5699" spans="3:4">
      <c r="C5699"/>
      <c r="D5699"/>
    </row>
    <row r="5700" spans="3:4">
      <c r="C5700"/>
      <c r="D5700"/>
    </row>
    <row r="5701" spans="3:4">
      <c r="C5701"/>
      <c r="D5701"/>
    </row>
    <row r="5702" spans="3:4">
      <c r="C5702"/>
      <c r="D5702"/>
    </row>
    <row r="5703" spans="3:4">
      <c r="C5703"/>
      <c r="D5703"/>
    </row>
    <row r="5704" spans="3:4">
      <c r="C5704"/>
      <c r="D5704"/>
    </row>
    <row r="5705" spans="3:4">
      <c r="C5705"/>
      <c r="D5705"/>
    </row>
    <row r="5706" spans="3:4">
      <c r="C5706"/>
      <c r="D5706"/>
    </row>
    <row r="5707" spans="3:4">
      <c r="C5707"/>
      <c r="D5707"/>
    </row>
    <row r="5708" spans="3:4">
      <c r="C5708"/>
      <c r="D5708"/>
    </row>
    <row r="5709" spans="3:4">
      <c r="C5709"/>
      <c r="D5709"/>
    </row>
    <row r="5710" spans="3:4">
      <c r="C5710"/>
      <c r="D5710"/>
    </row>
    <row r="5711" spans="3:4">
      <c r="C5711"/>
      <c r="D5711"/>
    </row>
    <row r="5712" spans="3:4">
      <c r="C5712"/>
      <c r="D5712"/>
    </row>
    <row r="5713" spans="3:4">
      <c r="C5713"/>
      <c r="D5713"/>
    </row>
    <row r="5714" spans="3:4">
      <c r="C5714"/>
      <c r="D5714"/>
    </row>
    <row r="5715" spans="3:4">
      <c r="C5715"/>
      <c r="D5715"/>
    </row>
    <row r="5716" spans="3:4">
      <c r="C5716"/>
      <c r="D5716"/>
    </row>
    <row r="5717" spans="3:4">
      <c r="C5717"/>
      <c r="D5717"/>
    </row>
    <row r="5718" spans="3:4">
      <c r="C5718"/>
      <c r="D5718"/>
    </row>
    <row r="5719" spans="3:4">
      <c r="C5719"/>
      <c r="D5719"/>
    </row>
    <row r="5720" spans="3:4">
      <c r="C5720"/>
      <c r="D5720"/>
    </row>
    <row r="5721" spans="3:4">
      <c r="C5721"/>
      <c r="D5721"/>
    </row>
    <row r="5722" spans="3:4">
      <c r="C5722"/>
      <c r="D5722"/>
    </row>
    <row r="5723" spans="3:4">
      <c r="C5723"/>
      <c r="D5723"/>
    </row>
    <row r="5724" spans="3:4">
      <c r="C5724"/>
      <c r="D5724"/>
    </row>
    <row r="5725" spans="3:4">
      <c r="C5725"/>
      <c r="D5725"/>
    </row>
    <row r="5726" spans="3:4">
      <c r="C5726"/>
      <c r="D5726"/>
    </row>
    <row r="5727" spans="3:4">
      <c r="C5727"/>
      <c r="D5727"/>
    </row>
    <row r="5728" spans="3:4">
      <c r="C5728"/>
      <c r="D5728"/>
    </row>
    <row r="5729" spans="3:4">
      <c r="C5729"/>
      <c r="D5729"/>
    </row>
    <row r="5730" spans="3:4">
      <c r="C5730"/>
      <c r="D5730"/>
    </row>
    <row r="5731" spans="3:4">
      <c r="C5731"/>
      <c r="D5731"/>
    </row>
    <row r="5732" spans="3:4">
      <c r="C5732"/>
      <c r="D5732"/>
    </row>
    <row r="5733" spans="3:4">
      <c r="C5733"/>
      <c r="D5733"/>
    </row>
    <row r="5734" spans="3:4">
      <c r="C5734"/>
      <c r="D5734"/>
    </row>
    <row r="5735" spans="3:4">
      <c r="C5735"/>
      <c r="D5735"/>
    </row>
    <row r="5736" spans="3:4">
      <c r="C5736"/>
      <c r="D5736"/>
    </row>
    <row r="5737" spans="3:4">
      <c r="C5737"/>
      <c r="D5737"/>
    </row>
    <row r="5738" spans="3:4">
      <c r="C5738"/>
      <c r="D5738"/>
    </row>
    <row r="5739" spans="3:4">
      <c r="C5739"/>
      <c r="D5739"/>
    </row>
    <row r="5740" spans="3:4">
      <c r="C5740"/>
      <c r="D5740"/>
    </row>
    <row r="5741" spans="3:4">
      <c r="C5741"/>
      <c r="D5741"/>
    </row>
    <row r="5742" spans="3:4">
      <c r="C5742"/>
      <c r="D5742"/>
    </row>
    <row r="5743" spans="3:4">
      <c r="C5743"/>
      <c r="D5743"/>
    </row>
    <row r="5744" spans="3:4">
      <c r="C5744"/>
      <c r="D5744"/>
    </row>
    <row r="5745" spans="3:4">
      <c r="C5745"/>
      <c r="D5745"/>
    </row>
    <row r="5746" spans="3:4">
      <c r="C5746"/>
      <c r="D5746"/>
    </row>
    <row r="5747" spans="3:4">
      <c r="C5747"/>
      <c r="D5747"/>
    </row>
    <row r="5748" spans="3:4">
      <c r="C5748"/>
      <c r="D5748"/>
    </row>
    <row r="5749" spans="3:4">
      <c r="C5749"/>
      <c r="D5749"/>
    </row>
    <row r="5750" spans="3:4">
      <c r="C5750"/>
      <c r="D5750"/>
    </row>
    <row r="5751" spans="3:4">
      <c r="C5751"/>
      <c r="D5751"/>
    </row>
    <row r="5752" spans="3:4">
      <c r="C5752"/>
      <c r="D5752"/>
    </row>
    <row r="5753" spans="3:4">
      <c r="C5753"/>
      <c r="D5753"/>
    </row>
    <row r="5754" spans="3:4">
      <c r="C5754"/>
      <c r="D5754"/>
    </row>
    <row r="5755" spans="3:4">
      <c r="C5755"/>
      <c r="D5755"/>
    </row>
    <row r="5756" spans="3:4">
      <c r="C5756"/>
      <c r="D5756"/>
    </row>
    <row r="5757" spans="3:4">
      <c r="C5757"/>
      <c r="D5757"/>
    </row>
    <row r="5758" spans="3:4">
      <c r="C5758"/>
      <c r="D5758"/>
    </row>
    <row r="5759" spans="3:4">
      <c r="C5759"/>
      <c r="D5759"/>
    </row>
    <row r="5760" spans="3:4">
      <c r="C5760"/>
      <c r="D5760"/>
    </row>
    <row r="5761" spans="3:4">
      <c r="C5761"/>
      <c r="D5761"/>
    </row>
    <row r="5762" spans="3:4">
      <c r="C5762"/>
      <c r="D5762"/>
    </row>
    <row r="5763" spans="3:4">
      <c r="C5763"/>
      <c r="D5763"/>
    </row>
    <row r="5764" spans="3:4">
      <c r="C5764"/>
      <c r="D5764"/>
    </row>
    <row r="5765" spans="3:4">
      <c r="C5765"/>
      <c r="D5765"/>
    </row>
    <row r="5766" spans="3:4">
      <c r="C5766"/>
      <c r="D5766"/>
    </row>
    <row r="5767" spans="3:4">
      <c r="C5767"/>
      <c r="D5767"/>
    </row>
    <row r="5768" spans="3:4">
      <c r="C5768"/>
      <c r="D5768"/>
    </row>
    <row r="5769" spans="3:4">
      <c r="C5769"/>
      <c r="D5769"/>
    </row>
    <row r="5770" spans="3:4">
      <c r="C5770"/>
      <c r="D5770"/>
    </row>
    <row r="5771" spans="3:4">
      <c r="C5771"/>
      <c r="D5771"/>
    </row>
    <row r="5772" spans="3:4">
      <c r="C5772"/>
      <c r="D5772"/>
    </row>
    <row r="5773" spans="3:4">
      <c r="C5773"/>
      <c r="D5773"/>
    </row>
    <row r="5774" spans="3:4">
      <c r="C5774"/>
      <c r="D5774"/>
    </row>
    <row r="5775" spans="3:4">
      <c r="C5775"/>
      <c r="D5775"/>
    </row>
    <row r="5776" spans="3:4">
      <c r="C5776"/>
      <c r="D5776"/>
    </row>
    <row r="5777" spans="3:4">
      <c r="C5777"/>
      <c r="D5777"/>
    </row>
    <row r="5778" spans="3:4">
      <c r="C5778"/>
      <c r="D5778"/>
    </row>
    <row r="5779" spans="3:4">
      <c r="C5779"/>
      <c r="D5779"/>
    </row>
    <row r="5780" spans="3:4">
      <c r="C5780"/>
      <c r="D5780"/>
    </row>
    <row r="5781" spans="3:4">
      <c r="C5781"/>
      <c r="D5781"/>
    </row>
    <row r="5782" spans="3:4">
      <c r="C5782"/>
      <c r="D5782"/>
    </row>
    <row r="5783" spans="3:4">
      <c r="C5783"/>
      <c r="D5783"/>
    </row>
    <row r="5784" spans="3:4">
      <c r="C5784"/>
      <c r="D5784"/>
    </row>
    <row r="5785" spans="3:4">
      <c r="C5785"/>
      <c r="D5785"/>
    </row>
    <row r="5786" spans="3:4">
      <c r="C5786"/>
      <c r="D5786"/>
    </row>
    <row r="5787" spans="3:4">
      <c r="C5787"/>
      <c r="D5787"/>
    </row>
    <row r="5788" spans="3:4">
      <c r="C5788"/>
      <c r="D5788"/>
    </row>
    <row r="5789" spans="3:4">
      <c r="C5789"/>
      <c r="D5789"/>
    </row>
    <row r="5790" spans="3:4">
      <c r="C5790"/>
      <c r="D5790"/>
    </row>
    <row r="5791" spans="3:4">
      <c r="C5791"/>
      <c r="D5791"/>
    </row>
    <row r="5792" spans="3:4">
      <c r="C5792"/>
      <c r="D5792"/>
    </row>
    <row r="5793" spans="3:4">
      <c r="C5793"/>
      <c r="D5793"/>
    </row>
    <row r="5794" spans="3:4">
      <c r="C5794"/>
      <c r="D5794"/>
    </row>
    <row r="5795" spans="3:4">
      <c r="C5795"/>
      <c r="D5795"/>
    </row>
    <row r="5796" spans="3:4">
      <c r="C5796"/>
      <c r="D5796"/>
    </row>
    <row r="5797" spans="3:4">
      <c r="C5797"/>
      <c r="D5797"/>
    </row>
    <row r="5798" spans="3:4">
      <c r="C5798"/>
      <c r="D5798"/>
    </row>
    <row r="5799" spans="3:4">
      <c r="C5799"/>
      <c r="D5799"/>
    </row>
    <row r="5800" spans="3:4">
      <c r="C5800"/>
      <c r="D5800"/>
    </row>
    <row r="5801" spans="3:4">
      <c r="C5801"/>
      <c r="D5801"/>
    </row>
    <row r="5802" spans="3:4">
      <c r="C5802"/>
      <c r="D5802"/>
    </row>
    <row r="5803" spans="3:4">
      <c r="C5803"/>
      <c r="D5803"/>
    </row>
    <row r="5804" spans="3:4">
      <c r="C5804"/>
      <c r="D5804"/>
    </row>
    <row r="5805" spans="3:4">
      <c r="C5805"/>
      <c r="D5805"/>
    </row>
    <row r="5806" spans="3:4">
      <c r="C5806"/>
      <c r="D5806"/>
    </row>
    <row r="5807" spans="3:4">
      <c r="C5807"/>
      <c r="D5807"/>
    </row>
    <row r="5808" spans="3:4">
      <c r="C5808"/>
      <c r="D5808"/>
    </row>
    <row r="5809" spans="3:4">
      <c r="C5809"/>
      <c r="D5809"/>
    </row>
    <row r="5810" spans="3:4">
      <c r="C5810"/>
      <c r="D5810"/>
    </row>
    <row r="5811" spans="3:4">
      <c r="C5811"/>
      <c r="D5811"/>
    </row>
    <row r="5812" spans="3:4">
      <c r="C5812"/>
      <c r="D5812"/>
    </row>
    <row r="5813" spans="3:4">
      <c r="C5813"/>
      <c r="D5813"/>
    </row>
    <row r="5814" spans="3:4">
      <c r="C5814"/>
      <c r="D5814"/>
    </row>
    <row r="5815" spans="3:4">
      <c r="C5815"/>
      <c r="D5815"/>
    </row>
    <row r="5816" spans="3:4">
      <c r="C5816"/>
      <c r="D5816"/>
    </row>
    <row r="5817" spans="3:4">
      <c r="C5817"/>
      <c r="D5817"/>
    </row>
    <row r="5818" spans="3:4">
      <c r="C5818"/>
      <c r="D5818"/>
    </row>
    <row r="5819" spans="3:4">
      <c r="C5819"/>
      <c r="D5819"/>
    </row>
    <row r="5820" spans="3:4">
      <c r="C5820"/>
      <c r="D5820"/>
    </row>
    <row r="5821" spans="3:4">
      <c r="C5821"/>
      <c r="D5821"/>
    </row>
    <row r="5822" spans="3:4">
      <c r="C5822"/>
      <c r="D5822"/>
    </row>
    <row r="5823" spans="3:4">
      <c r="C5823"/>
      <c r="D5823"/>
    </row>
    <row r="5824" spans="3:4">
      <c r="C5824"/>
      <c r="D5824"/>
    </row>
    <row r="5825" spans="3:4">
      <c r="C5825"/>
      <c r="D5825"/>
    </row>
    <row r="5826" spans="3:4">
      <c r="C5826"/>
      <c r="D5826"/>
    </row>
    <row r="5827" spans="3:4">
      <c r="C5827"/>
      <c r="D5827"/>
    </row>
    <row r="5828" spans="3:4">
      <c r="C5828"/>
      <c r="D5828"/>
    </row>
    <row r="5829" spans="3:4">
      <c r="C5829"/>
      <c r="D5829"/>
    </row>
    <row r="5830" spans="3:4">
      <c r="C5830"/>
      <c r="D5830"/>
    </row>
    <row r="5831" spans="3:4">
      <c r="C5831"/>
      <c r="D5831"/>
    </row>
    <row r="5832" spans="3:4">
      <c r="C5832"/>
      <c r="D5832"/>
    </row>
    <row r="5833" spans="3:4">
      <c r="C5833"/>
      <c r="D5833"/>
    </row>
    <row r="5834" spans="3:4">
      <c r="C5834"/>
      <c r="D5834"/>
    </row>
    <row r="5835" spans="3:4">
      <c r="C5835"/>
      <c r="D5835"/>
    </row>
    <row r="5836" spans="3:4">
      <c r="C5836"/>
      <c r="D5836"/>
    </row>
    <row r="5837" spans="3:4">
      <c r="C5837"/>
      <c r="D5837"/>
    </row>
    <row r="5838" spans="3:4">
      <c r="C5838"/>
      <c r="D5838"/>
    </row>
    <row r="5839" spans="3:4">
      <c r="C5839"/>
      <c r="D5839"/>
    </row>
    <row r="5840" spans="3:4">
      <c r="C5840"/>
      <c r="D5840"/>
    </row>
    <row r="5841" spans="3:4">
      <c r="C5841"/>
      <c r="D5841"/>
    </row>
    <row r="5842" spans="3:4">
      <c r="C5842"/>
      <c r="D5842"/>
    </row>
    <row r="5843" spans="3:4">
      <c r="C5843"/>
      <c r="D5843"/>
    </row>
    <row r="5844" spans="3:4">
      <c r="C5844"/>
      <c r="D5844"/>
    </row>
    <row r="5845" spans="3:4">
      <c r="C5845"/>
      <c r="D5845"/>
    </row>
    <row r="5846" spans="3:4">
      <c r="C5846"/>
      <c r="D5846"/>
    </row>
    <row r="5847" spans="3:4">
      <c r="C5847"/>
      <c r="D5847"/>
    </row>
    <row r="5848" spans="3:4">
      <c r="C5848"/>
      <c r="D5848"/>
    </row>
    <row r="5849" spans="3:4">
      <c r="C5849"/>
      <c r="D5849"/>
    </row>
    <row r="5850" spans="3:4">
      <c r="C5850"/>
      <c r="D5850"/>
    </row>
    <row r="5851" spans="3:4">
      <c r="C5851"/>
      <c r="D5851"/>
    </row>
    <row r="5852" spans="3:4">
      <c r="C5852"/>
      <c r="D5852"/>
    </row>
    <row r="5853" spans="3:4">
      <c r="C5853"/>
      <c r="D5853"/>
    </row>
    <row r="5854" spans="3:4">
      <c r="C5854"/>
      <c r="D5854"/>
    </row>
    <row r="5855" spans="3:4">
      <c r="C5855"/>
      <c r="D5855"/>
    </row>
    <row r="5856" spans="3:4">
      <c r="C5856"/>
      <c r="D5856"/>
    </row>
    <row r="5857" spans="3:4">
      <c r="C5857"/>
      <c r="D5857"/>
    </row>
    <row r="5858" spans="3:4">
      <c r="C5858"/>
      <c r="D5858"/>
    </row>
    <row r="5859" spans="3:4">
      <c r="C5859"/>
      <c r="D5859"/>
    </row>
    <row r="5860" spans="3:4">
      <c r="C5860"/>
      <c r="D5860"/>
    </row>
    <row r="5861" spans="3:4">
      <c r="C5861"/>
      <c r="D5861"/>
    </row>
    <row r="5862" spans="3:4">
      <c r="C5862"/>
      <c r="D5862"/>
    </row>
    <row r="5863" spans="3:4">
      <c r="C5863"/>
      <c r="D5863"/>
    </row>
    <row r="5864" spans="3:4">
      <c r="C5864"/>
      <c r="D5864"/>
    </row>
    <row r="5865" spans="3:4">
      <c r="C5865"/>
      <c r="D5865"/>
    </row>
    <row r="5866" spans="3:4">
      <c r="C5866"/>
      <c r="D5866"/>
    </row>
    <row r="5867" spans="3:4">
      <c r="C5867"/>
      <c r="D5867"/>
    </row>
    <row r="5868" spans="3:4">
      <c r="C5868"/>
      <c r="D5868"/>
    </row>
    <row r="5869" spans="3:4">
      <c r="C5869"/>
      <c r="D5869"/>
    </row>
    <row r="5870" spans="3:4">
      <c r="C5870"/>
      <c r="D5870"/>
    </row>
    <row r="5871" spans="3:4">
      <c r="C5871"/>
      <c r="D5871"/>
    </row>
    <row r="5872" spans="3:4">
      <c r="C5872"/>
      <c r="D5872"/>
    </row>
    <row r="5873" spans="3:4">
      <c r="C5873"/>
      <c r="D5873"/>
    </row>
    <row r="5874" spans="3:4">
      <c r="C5874"/>
      <c r="D5874"/>
    </row>
    <row r="5875" spans="3:4">
      <c r="C5875"/>
      <c r="D5875"/>
    </row>
    <row r="5876" spans="3:4">
      <c r="C5876"/>
      <c r="D5876"/>
    </row>
    <row r="5877" spans="3:4">
      <c r="C5877"/>
      <c r="D5877"/>
    </row>
    <row r="5878" spans="3:4">
      <c r="C5878"/>
      <c r="D5878"/>
    </row>
    <row r="5879" spans="3:4">
      <c r="C5879"/>
      <c r="D5879"/>
    </row>
    <row r="5880" spans="3:4">
      <c r="C5880"/>
      <c r="D5880"/>
    </row>
    <row r="5881" spans="3:4">
      <c r="C5881"/>
      <c r="D5881"/>
    </row>
    <row r="5882" spans="3:4">
      <c r="C5882"/>
      <c r="D5882"/>
    </row>
    <row r="5883" spans="3:4">
      <c r="C5883"/>
      <c r="D5883"/>
    </row>
    <row r="5884" spans="3:4">
      <c r="C5884"/>
      <c r="D5884"/>
    </row>
    <row r="5885" spans="3:4">
      <c r="C5885"/>
      <c r="D5885"/>
    </row>
    <row r="5886" spans="3:4">
      <c r="C5886"/>
      <c r="D5886"/>
    </row>
    <row r="5887" spans="3:4">
      <c r="C5887"/>
      <c r="D5887"/>
    </row>
    <row r="5888" spans="3:4">
      <c r="C5888"/>
      <c r="D5888"/>
    </row>
    <row r="5889" spans="3:4">
      <c r="C5889"/>
      <c r="D5889"/>
    </row>
    <row r="5890" spans="3:4">
      <c r="C5890"/>
      <c r="D5890"/>
    </row>
    <row r="5891" spans="3:4">
      <c r="C5891"/>
      <c r="D5891"/>
    </row>
    <row r="5892" spans="3:4">
      <c r="C5892"/>
      <c r="D5892"/>
    </row>
    <row r="5893" spans="3:4">
      <c r="C5893"/>
      <c r="D5893"/>
    </row>
    <row r="5894" spans="3:4">
      <c r="C5894"/>
      <c r="D5894"/>
    </row>
    <row r="5895" spans="3:4">
      <c r="C5895"/>
      <c r="D5895"/>
    </row>
    <row r="5896" spans="3:4">
      <c r="C5896"/>
      <c r="D5896"/>
    </row>
    <row r="5897" spans="3:4">
      <c r="C5897"/>
      <c r="D5897"/>
    </row>
    <row r="5898" spans="3:4">
      <c r="C5898"/>
      <c r="D5898"/>
    </row>
    <row r="5899" spans="3:4">
      <c r="C5899"/>
      <c r="D5899"/>
    </row>
    <row r="5900" spans="3:4">
      <c r="C5900"/>
      <c r="D5900"/>
    </row>
    <row r="5901" spans="3:4">
      <c r="C5901"/>
      <c r="D5901"/>
    </row>
    <row r="5902" spans="3:4">
      <c r="C5902"/>
      <c r="D5902"/>
    </row>
    <row r="5903" spans="3:4">
      <c r="C5903"/>
      <c r="D5903"/>
    </row>
    <row r="5904" spans="3:4">
      <c r="C5904"/>
      <c r="D5904"/>
    </row>
    <row r="5905" spans="3:4">
      <c r="C5905"/>
      <c r="D5905"/>
    </row>
    <row r="5906" spans="3:4">
      <c r="C5906"/>
      <c r="D5906"/>
    </row>
    <row r="5907" spans="3:4">
      <c r="C5907"/>
      <c r="D5907"/>
    </row>
    <row r="5908" spans="3:4">
      <c r="C5908"/>
      <c r="D5908"/>
    </row>
    <row r="5909" spans="3:4">
      <c r="C5909"/>
      <c r="D5909"/>
    </row>
    <row r="5910" spans="3:4">
      <c r="C5910"/>
      <c r="D5910"/>
    </row>
    <row r="5911" spans="3:4">
      <c r="C5911"/>
      <c r="D5911"/>
    </row>
    <row r="5912" spans="3:4">
      <c r="C5912"/>
      <c r="D5912"/>
    </row>
    <row r="5913" spans="3:4">
      <c r="C5913"/>
      <c r="D5913"/>
    </row>
    <row r="5914" spans="3:4">
      <c r="C5914"/>
      <c r="D5914"/>
    </row>
    <row r="5915" spans="3:4">
      <c r="C5915"/>
      <c r="D5915"/>
    </row>
    <row r="5916" spans="3:4">
      <c r="C5916"/>
      <c r="D5916"/>
    </row>
    <row r="5917" spans="3:4">
      <c r="C5917"/>
      <c r="D5917"/>
    </row>
    <row r="5918" spans="3:4">
      <c r="C5918"/>
      <c r="D5918"/>
    </row>
    <row r="5919" spans="3:4">
      <c r="C5919"/>
      <c r="D5919"/>
    </row>
    <row r="5920" spans="3:4">
      <c r="C5920"/>
      <c r="D5920"/>
    </row>
    <row r="5921" spans="3:4">
      <c r="C5921"/>
      <c r="D5921"/>
    </row>
    <row r="5922" spans="3:4">
      <c r="C5922"/>
      <c r="D5922"/>
    </row>
    <row r="5923" spans="3:4">
      <c r="C5923"/>
      <c r="D5923"/>
    </row>
    <row r="5924" spans="3:4">
      <c r="C5924"/>
      <c r="D5924"/>
    </row>
    <row r="5925" spans="3:4">
      <c r="C5925"/>
      <c r="D5925"/>
    </row>
    <row r="5926" spans="3:4">
      <c r="C5926"/>
      <c r="D5926"/>
    </row>
    <row r="5927" spans="3:4">
      <c r="C5927"/>
      <c r="D5927"/>
    </row>
    <row r="5928" spans="3:4">
      <c r="C5928"/>
      <c r="D5928"/>
    </row>
    <row r="5929" spans="3:4">
      <c r="C5929"/>
      <c r="D5929"/>
    </row>
    <row r="5930" spans="3:4">
      <c r="C5930"/>
      <c r="D5930"/>
    </row>
    <row r="5931" spans="3:4">
      <c r="C5931"/>
      <c r="D5931"/>
    </row>
    <row r="5932" spans="3:4">
      <c r="C5932"/>
      <c r="D5932"/>
    </row>
    <row r="5933" spans="3:4">
      <c r="C5933"/>
      <c r="D5933"/>
    </row>
    <row r="5934" spans="3:4">
      <c r="C5934"/>
      <c r="D5934"/>
    </row>
    <row r="5935" spans="3:4">
      <c r="C5935"/>
      <c r="D5935"/>
    </row>
    <row r="5936" spans="3:4">
      <c r="C5936"/>
      <c r="D5936"/>
    </row>
    <row r="5937" spans="3:4">
      <c r="C5937"/>
      <c r="D5937"/>
    </row>
    <row r="5938" spans="3:4">
      <c r="C5938"/>
      <c r="D5938"/>
    </row>
    <row r="5939" spans="3:4">
      <c r="C5939"/>
      <c r="D5939"/>
    </row>
    <row r="5940" spans="3:4">
      <c r="C5940"/>
      <c r="D5940"/>
    </row>
    <row r="5941" spans="3:4">
      <c r="C5941"/>
      <c r="D5941"/>
    </row>
    <row r="5942" spans="3:4">
      <c r="C5942"/>
      <c r="D5942"/>
    </row>
    <row r="5943" spans="3:4">
      <c r="C5943"/>
      <c r="D5943"/>
    </row>
    <row r="5944" spans="3:4">
      <c r="C5944"/>
      <c r="D5944"/>
    </row>
    <row r="5945" spans="3:4">
      <c r="C5945"/>
      <c r="D5945"/>
    </row>
    <row r="5946" spans="3:4">
      <c r="C5946"/>
      <c r="D5946"/>
    </row>
    <row r="5947" spans="3:4">
      <c r="C5947"/>
      <c r="D5947"/>
    </row>
    <row r="5948" spans="3:4">
      <c r="C5948"/>
      <c r="D5948"/>
    </row>
    <row r="5949" spans="3:4">
      <c r="C5949"/>
      <c r="D5949"/>
    </row>
    <row r="5950" spans="3:4">
      <c r="C5950"/>
      <c r="D5950"/>
    </row>
    <row r="5951" spans="3:4">
      <c r="C5951"/>
      <c r="D5951"/>
    </row>
    <row r="5952" spans="3:4">
      <c r="C5952"/>
      <c r="D5952"/>
    </row>
    <row r="5953" spans="3:4">
      <c r="C5953"/>
      <c r="D5953"/>
    </row>
    <row r="5954" spans="3:4">
      <c r="C5954"/>
      <c r="D5954"/>
    </row>
    <row r="5955" spans="3:4">
      <c r="C5955"/>
      <c r="D5955"/>
    </row>
    <row r="5956" spans="3:4">
      <c r="C5956"/>
      <c r="D5956"/>
    </row>
    <row r="5957" spans="3:4">
      <c r="C5957"/>
      <c r="D5957"/>
    </row>
    <row r="5958" spans="3:4">
      <c r="C5958"/>
      <c r="D5958"/>
    </row>
    <row r="5959" spans="3:4">
      <c r="C5959"/>
      <c r="D5959"/>
    </row>
    <row r="5960" spans="3:4">
      <c r="C5960"/>
      <c r="D5960"/>
    </row>
    <row r="5961" spans="3:4">
      <c r="C5961"/>
      <c r="D5961"/>
    </row>
    <row r="5962" spans="3:4">
      <c r="C5962"/>
      <c r="D5962"/>
    </row>
    <row r="5963" spans="3:4">
      <c r="C5963"/>
      <c r="D5963"/>
    </row>
    <row r="5964" spans="3:4">
      <c r="C5964"/>
      <c r="D5964"/>
    </row>
    <row r="5965" spans="3:4">
      <c r="C5965"/>
      <c r="D5965"/>
    </row>
    <row r="5966" spans="3:4">
      <c r="C5966"/>
      <c r="D5966"/>
    </row>
    <row r="5967" spans="3:4">
      <c r="C5967"/>
      <c r="D5967"/>
    </row>
    <row r="5968" spans="3:4">
      <c r="C5968"/>
      <c r="D5968"/>
    </row>
    <row r="5969" spans="3:4">
      <c r="C5969"/>
      <c r="D5969"/>
    </row>
    <row r="5970" spans="3:4">
      <c r="C5970"/>
      <c r="D5970"/>
    </row>
    <row r="5971" spans="3:4">
      <c r="C5971"/>
      <c r="D5971"/>
    </row>
    <row r="5972" spans="3:4">
      <c r="C5972"/>
      <c r="D5972"/>
    </row>
    <row r="5973" spans="3:4">
      <c r="C5973"/>
      <c r="D5973"/>
    </row>
    <row r="5974" spans="3:4">
      <c r="C5974"/>
      <c r="D5974"/>
    </row>
    <row r="5975" spans="3:4">
      <c r="C5975"/>
      <c r="D5975"/>
    </row>
    <row r="5976" spans="3:4">
      <c r="C5976"/>
      <c r="D5976"/>
    </row>
    <row r="5977" spans="3:4">
      <c r="C5977"/>
      <c r="D5977"/>
    </row>
    <row r="5978" spans="3:4">
      <c r="C5978"/>
      <c r="D5978"/>
    </row>
    <row r="5979" spans="3:4">
      <c r="C5979"/>
      <c r="D5979"/>
    </row>
    <row r="5980" spans="3:4">
      <c r="C5980"/>
      <c r="D5980"/>
    </row>
    <row r="5981" spans="3:4">
      <c r="C5981"/>
      <c r="D5981"/>
    </row>
    <row r="5982" spans="3:4">
      <c r="C5982"/>
      <c r="D5982"/>
    </row>
    <row r="5983" spans="3:4">
      <c r="C5983"/>
      <c r="D5983"/>
    </row>
    <row r="5984" spans="3:4">
      <c r="C5984"/>
      <c r="D5984"/>
    </row>
    <row r="5985" spans="3:4">
      <c r="C5985"/>
      <c r="D5985"/>
    </row>
    <row r="5986" spans="3:4">
      <c r="C5986"/>
      <c r="D5986"/>
    </row>
    <row r="5987" spans="3:4">
      <c r="C5987"/>
      <c r="D5987"/>
    </row>
    <row r="5988" spans="3:4">
      <c r="C5988"/>
      <c r="D5988"/>
    </row>
    <row r="5989" spans="3:4">
      <c r="C5989"/>
      <c r="D5989"/>
    </row>
    <row r="5990" spans="3:4">
      <c r="C5990"/>
      <c r="D5990"/>
    </row>
    <row r="5991" spans="3:4">
      <c r="C5991"/>
      <c r="D5991"/>
    </row>
    <row r="5992" spans="3:4">
      <c r="C5992"/>
      <c r="D5992"/>
    </row>
    <row r="5993" spans="3:4">
      <c r="C5993"/>
      <c r="D5993"/>
    </row>
    <row r="5994" spans="3:4">
      <c r="C5994"/>
      <c r="D5994"/>
    </row>
    <row r="5995" spans="3:4">
      <c r="C5995"/>
      <c r="D5995"/>
    </row>
    <row r="5996" spans="3:4">
      <c r="C5996"/>
      <c r="D5996"/>
    </row>
    <row r="5997" spans="3:4">
      <c r="C5997"/>
      <c r="D5997"/>
    </row>
    <row r="5998" spans="3:4">
      <c r="C5998"/>
      <c r="D5998"/>
    </row>
    <row r="5999" spans="3:4">
      <c r="C5999"/>
      <c r="D5999"/>
    </row>
    <row r="6000" spans="3:4">
      <c r="C6000"/>
      <c r="D6000"/>
    </row>
    <row r="6001" spans="3:4">
      <c r="C6001"/>
      <c r="D6001"/>
    </row>
    <row r="6002" spans="3:4">
      <c r="C6002"/>
      <c r="D6002"/>
    </row>
    <row r="6003" spans="3:4">
      <c r="C6003"/>
      <c r="D6003"/>
    </row>
    <row r="6004" spans="3:4">
      <c r="C6004"/>
      <c r="D6004"/>
    </row>
    <row r="6005" spans="3:4">
      <c r="C6005"/>
      <c r="D6005"/>
    </row>
    <row r="6006" spans="3:4">
      <c r="C6006"/>
      <c r="D6006"/>
    </row>
    <row r="6007" spans="3:4">
      <c r="C6007"/>
      <c r="D6007"/>
    </row>
    <row r="6008" spans="3:4">
      <c r="C6008"/>
      <c r="D6008"/>
    </row>
    <row r="6009" spans="3:4">
      <c r="C6009"/>
      <c r="D6009"/>
    </row>
    <row r="6010" spans="3:4">
      <c r="C6010"/>
      <c r="D6010"/>
    </row>
    <row r="6011" spans="3:4">
      <c r="C6011"/>
      <c r="D6011"/>
    </row>
    <row r="6012" spans="3:4">
      <c r="C6012"/>
      <c r="D6012"/>
    </row>
    <row r="6013" spans="3:4">
      <c r="C6013"/>
      <c r="D6013"/>
    </row>
    <row r="6014" spans="3:4">
      <c r="C6014"/>
      <c r="D6014"/>
    </row>
    <row r="6015" spans="3:4">
      <c r="C6015"/>
      <c r="D6015"/>
    </row>
    <row r="6016" spans="3:4">
      <c r="C6016"/>
      <c r="D6016"/>
    </row>
    <row r="6017" spans="3:4">
      <c r="C6017"/>
      <c r="D6017"/>
    </row>
    <row r="6018" spans="3:4">
      <c r="C6018"/>
      <c r="D6018"/>
    </row>
    <row r="6019" spans="3:4">
      <c r="C6019"/>
      <c r="D6019"/>
    </row>
    <row r="6020" spans="3:4">
      <c r="C6020"/>
      <c r="D6020"/>
    </row>
    <row r="6021" spans="3:4">
      <c r="C6021"/>
      <c r="D6021"/>
    </row>
    <row r="6022" spans="3:4">
      <c r="C6022"/>
      <c r="D6022"/>
    </row>
    <row r="6023" spans="3:4">
      <c r="C6023"/>
      <c r="D6023"/>
    </row>
    <row r="6024" spans="3:4">
      <c r="C6024"/>
      <c r="D6024"/>
    </row>
    <row r="6025" spans="3:4">
      <c r="C6025"/>
      <c r="D6025"/>
    </row>
    <row r="6026" spans="3:4">
      <c r="C6026"/>
      <c r="D6026"/>
    </row>
    <row r="6027" spans="3:4">
      <c r="C6027"/>
      <c r="D6027"/>
    </row>
    <row r="6028" spans="3:4">
      <c r="C6028"/>
      <c r="D6028"/>
    </row>
    <row r="6029" spans="3:4">
      <c r="C6029"/>
      <c r="D6029"/>
    </row>
    <row r="6030" spans="3:4">
      <c r="C6030"/>
      <c r="D6030"/>
    </row>
    <row r="6031" spans="3:4">
      <c r="C6031"/>
      <c r="D6031"/>
    </row>
    <row r="6032" spans="3:4">
      <c r="C6032"/>
      <c r="D6032"/>
    </row>
    <row r="6033" spans="3:4">
      <c r="C6033"/>
      <c r="D6033"/>
    </row>
    <row r="6034" spans="3:4">
      <c r="C6034"/>
      <c r="D6034"/>
    </row>
    <row r="6035" spans="3:4">
      <c r="C6035"/>
      <c r="D6035"/>
    </row>
    <row r="6036" spans="3:4">
      <c r="C6036"/>
      <c r="D6036"/>
    </row>
    <row r="6037" spans="3:4">
      <c r="C6037"/>
      <c r="D6037"/>
    </row>
    <row r="6038" spans="3:4">
      <c r="C6038"/>
      <c r="D6038"/>
    </row>
    <row r="6039" spans="3:4">
      <c r="C6039"/>
      <c r="D6039"/>
    </row>
    <row r="6040" spans="3:4">
      <c r="C6040"/>
      <c r="D6040"/>
    </row>
    <row r="6041" spans="3:4">
      <c r="C6041"/>
      <c r="D6041"/>
    </row>
    <row r="6042" spans="3:4">
      <c r="C6042"/>
      <c r="D6042"/>
    </row>
    <row r="6043" spans="3:4">
      <c r="C6043"/>
      <c r="D6043"/>
    </row>
    <row r="6044" spans="3:4">
      <c r="C6044"/>
      <c r="D6044"/>
    </row>
    <row r="6045" spans="3:4">
      <c r="C6045"/>
      <c r="D6045"/>
    </row>
    <row r="6046" spans="3:4">
      <c r="C6046"/>
      <c r="D6046"/>
    </row>
    <row r="6047" spans="3:4">
      <c r="C6047"/>
      <c r="D6047"/>
    </row>
    <row r="6048" spans="3:4">
      <c r="C6048"/>
      <c r="D6048"/>
    </row>
    <row r="6049" spans="3:4">
      <c r="C6049"/>
      <c r="D6049"/>
    </row>
    <row r="6050" spans="3:4">
      <c r="C6050"/>
      <c r="D6050"/>
    </row>
    <row r="6051" spans="3:4">
      <c r="C6051"/>
      <c r="D6051"/>
    </row>
    <row r="6052" spans="3:4">
      <c r="C6052"/>
      <c r="D6052"/>
    </row>
    <row r="6053" spans="3:4">
      <c r="C6053"/>
      <c r="D6053"/>
    </row>
    <row r="6054" spans="3:4">
      <c r="C6054"/>
      <c r="D6054"/>
    </row>
    <row r="6055" spans="3:4">
      <c r="C6055"/>
      <c r="D6055"/>
    </row>
    <row r="6056" spans="3:4">
      <c r="C6056"/>
      <c r="D6056"/>
    </row>
    <row r="6057" spans="3:4">
      <c r="C6057"/>
      <c r="D6057"/>
    </row>
    <row r="6058" spans="3:4">
      <c r="C6058"/>
      <c r="D6058"/>
    </row>
    <row r="6059" spans="3:4">
      <c r="C6059"/>
      <c r="D6059"/>
    </row>
    <row r="6060" spans="3:4">
      <c r="C6060"/>
      <c r="D6060"/>
    </row>
    <row r="6061" spans="3:4">
      <c r="C6061"/>
      <c r="D6061"/>
    </row>
    <row r="6062" spans="3:4">
      <c r="C6062"/>
      <c r="D6062"/>
    </row>
    <row r="6063" spans="3:4">
      <c r="C6063"/>
      <c r="D6063"/>
    </row>
    <row r="6064" spans="3:4">
      <c r="C6064"/>
      <c r="D6064"/>
    </row>
    <row r="6065" spans="3:4">
      <c r="C6065"/>
      <c r="D6065"/>
    </row>
    <row r="6066" spans="3:4">
      <c r="C6066"/>
      <c r="D6066"/>
    </row>
    <row r="6067" spans="3:4">
      <c r="C6067"/>
      <c r="D6067"/>
    </row>
    <row r="6068" spans="3:4">
      <c r="C6068"/>
      <c r="D6068"/>
    </row>
    <row r="6069" spans="3:4">
      <c r="C6069"/>
      <c r="D6069"/>
    </row>
    <row r="6070" spans="3:4">
      <c r="C6070"/>
      <c r="D6070"/>
    </row>
    <row r="6071" spans="3:4">
      <c r="C6071"/>
      <c r="D6071"/>
    </row>
    <row r="6072" spans="3:4">
      <c r="C6072"/>
      <c r="D6072"/>
    </row>
    <row r="6073" spans="3:4">
      <c r="C6073"/>
      <c r="D6073"/>
    </row>
    <row r="6074" spans="3:4">
      <c r="C6074"/>
      <c r="D6074"/>
    </row>
    <row r="6075" spans="3:4">
      <c r="C6075"/>
      <c r="D6075"/>
    </row>
    <row r="6076" spans="3:4">
      <c r="C6076"/>
      <c r="D6076"/>
    </row>
    <row r="6077" spans="3:4">
      <c r="C6077"/>
      <c r="D6077"/>
    </row>
    <row r="6078" spans="3:4">
      <c r="C6078"/>
      <c r="D6078"/>
    </row>
    <row r="6079" spans="3:4">
      <c r="C6079"/>
      <c r="D6079"/>
    </row>
    <row r="6080" spans="3:4">
      <c r="C6080"/>
      <c r="D6080"/>
    </row>
    <row r="6081" spans="3:4">
      <c r="C6081"/>
      <c r="D6081"/>
    </row>
    <row r="6082" spans="3:4">
      <c r="C6082"/>
      <c r="D6082"/>
    </row>
    <row r="6083" spans="3:4">
      <c r="C6083"/>
      <c r="D6083"/>
    </row>
    <row r="6084" spans="3:4">
      <c r="C6084"/>
      <c r="D6084"/>
    </row>
    <row r="6085" spans="3:4">
      <c r="C6085"/>
      <c r="D6085"/>
    </row>
    <row r="6086" spans="3:4">
      <c r="C6086"/>
      <c r="D6086"/>
    </row>
    <row r="6087" spans="3:4">
      <c r="C6087"/>
      <c r="D6087"/>
    </row>
    <row r="6088" spans="3:4">
      <c r="C6088"/>
      <c r="D6088"/>
    </row>
    <row r="6089" spans="3:4">
      <c r="C6089"/>
      <c r="D6089"/>
    </row>
    <row r="6090" spans="3:4">
      <c r="C6090"/>
      <c r="D6090"/>
    </row>
    <row r="6091" spans="3:4">
      <c r="C6091"/>
      <c r="D6091"/>
    </row>
    <row r="6092" spans="3:4">
      <c r="C6092"/>
      <c r="D6092"/>
    </row>
    <row r="6093" spans="3:4">
      <c r="C6093"/>
      <c r="D6093"/>
    </row>
    <row r="6094" spans="3:4">
      <c r="C6094"/>
      <c r="D6094"/>
    </row>
    <row r="6095" spans="3:4">
      <c r="C6095"/>
      <c r="D6095"/>
    </row>
    <row r="6096" spans="3:4">
      <c r="C6096"/>
      <c r="D6096"/>
    </row>
    <row r="6097" spans="3:4">
      <c r="C6097"/>
      <c r="D6097"/>
    </row>
    <row r="6098" spans="3:4">
      <c r="C6098"/>
      <c r="D6098"/>
    </row>
    <row r="6099" spans="3:4">
      <c r="C6099"/>
      <c r="D6099"/>
    </row>
    <row r="6100" spans="3:4">
      <c r="C6100"/>
      <c r="D6100"/>
    </row>
    <row r="6101" spans="3:4">
      <c r="C6101"/>
      <c r="D6101"/>
    </row>
    <row r="6102" spans="3:4">
      <c r="C6102"/>
      <c r="D6102"/>
    </row>
    <row r="6103" spans="3:4">
      <c r="C6103"/>
      <c r="D6103"/>
    </row>
    <row r="6104" spans="3:4">
      <c r="C6104"/>
      <c r="D6104"/>
    </row>
    <row r="6105" spans="3:4">
      <c r="C6105"/>
      <c r="D6105"/>
    </row>
    <row r="6106" spans="3:4">
      <c r="C6106"/>
      <c r="D6106"/>
    </row>
    <row r="6107" spans="3:4">
      <c r="C6107"/>
      <c r="D6107"/>
    </row>
    <row r="6108" spans="3:4">
      <c r="C6108"/>
      <c r="D6108"/>
    </row>
    <row r="6109" spans="3:4">
      <c r="C6109"/>
      <c r="D6109"/>
    </row>
    <row r="6110" spans="3:4">
      <c r="C6110"/>
      <c r="D6110"/>
    </row>
    <row r="6111" spans="3:4">
      <c r="C6111"/>
      <c r="D6111"/>
    </row>
    <row r="6112" spans="3:4">
      <c r="C6112"/>
      <c r="D6112"/>
    </row>
    <row r="6113" spans="3:4">
      <c r="C6113"/>
      <c r="D6113"/>
    </row>
    <row r="6114" spans="3:4">
      <c r="C6114"/>
      <c r="D6114"/>
    </row>
    <row r="6115" spans="3:4">
      <c r="C6115"/>
      <c r="D6115"/>
    </row>
    <row r="6116" spans="3:4">
      <c r="C6116"/>
      <c r="D6116"/>
    </row>
    <row r="6117" spans="3:4">
      <c r="C6117"/>
      <c r="D6117"/>
    </row>
    <row r="6118" spans="3:4">
      <c r="C6118"/>
      <c r="D6118"/>
    </row>
    <row r="6119" spans="3:4">
      <c r="C6119"/>
      <c r="D6119"/>
    </row>
    <row r="6120" spans="3:4">
      <c r="C6120"/>
      <c r="D6120"/>
    </row>
    <row r="6121" spans="3:4">
      <c r="C6121"/>
      <c r="D6121"/>
    </row>
    <row r="6122" spans="3:4">
      <c r="C6122"/>
      <c r="D6122"/>
    </row>
    <row r="6123" spans="3:4">
      <c r="C6123"/>
      <c r="D6123"/>
    </row>
    <row r="6124" spans="3:4">
      <c r="C6124"/>
      <c r="D6124"/>
    </row>
    <row r="6125" spans="3:4">
      <c r="C6125"/>
      <c r="D6125"/>
    </row>
    <row r="6126" spans="3:4">
      <c r="C6126"/>
      <c r="D6126"/>
    </row>
    <row r="6127" spans="3:4">
      <c r="C6127"/>
      <c r="D6127"/>
    </row>
    <row r="6128" spans="3:4">
      <c r="C6128"/>
      <c r="D6128"/>
    </row>
    <row r="6129" spans="3:4">
      <c r="C6129"/>
      <c r="D6129"/>
    </row>
    <row r="6130" spans="3:4">
      <c r="C6130"/>
      <c r="D6130"/>
    </row>
    <row r="6131" spans="3:4">
      <c r="C6131"/>
      <c r="D6131"/>
    </row>
    <row r="6132" spans="3:4">
      <c r="C6132"/>
      <c r="D6132"/>
    </row>
    <row r="6133" spans="3:4">
      <c r="C6133"/>
      <c r="D6133"/>
    </row>
    <row r="6134" spans="3:4">
      <c r="C6134"/>
      <c r="D6134"/>
    </row>
    <row r="6135" spans="3:4">
      <c r="C6135"/>
      <c r="D6135"/>
    </row>
    <row r="6136" spans="3:4">
      <c r="C6136"/>
      <c r="D6136"/>
    </row>
    <row r="6137" spans="3:4">
      <c r="C6137"/>
      <c r="D6137"/>
    </row>
    <row r="6138" spans="3:4">
      <c r="C6138"/>
      <c r="D6138"/>
    </row>
    <row r="6139" spans="3:4">
      <c r="C6139"/>
      <c r="D6139"/>
    </row>
    <row r="6140" spans="3:4">
      <c r="C6140"/>
      <c r="D6140"/>
    </row>
    <row r="6141" spans="3:4">
      <c r="C6141"/>
      <c r="D6141"/>
    </row>
    <row r="6142" spans="3:4">
      <c r="C6142"/>
      <c r="D6142"/>
    </row>
    <row r="6143" spans="3:4">
      <c r="C6143"/>
      <c r="D6143"/>
    </row>
    <row r="6144" spans="3:4">
      <c r="C6144"/>
      <c r="D6144"/>
    </row>
    <row r="6145" spans="3:4">
      <c r="C6145"/>
      <c r="D6145"/>
    </row>
    <row r="6146" spans="3:4">
      <c r="C6146"/>
      <c r="D6146"/>
    </row>
    <row r="6147" spans="3:4">
      <c r="C6147"/>
      <c r="D6147"/>
    </row>
    <row r="6148" spans="3:4">
      <c r="C6148"/>
      <c r="D6148"/>
    </row>
    <row r="6149" spans="3:4">
      <c r="C6149"/>
      <c r="D6149"/>
    </row>
    <row r="6150" spans="3:4">
      <c r="C6150"/>
      <c r="D6150"/>
    </row>
    <row r="6151" spans="3:4">
      <c r="C6151"/>
      <c r="D6151"/>
    </row>
    <row r="6152" spans="3:4">
      <c r="C6152"/>
      <c r="D6152"/>
    </row>
    <row r="6153" spans="3:4">
      <c r="C6153"/>
      <c r="D6153"/>
    </row>
    <row r="6154" spans="3:4">
      <c r="C6154"/>
      <c r="D6154"/>
    </row>
    <row r="6155" spans="3:4">
      <c r="C6155"/>
      <c r="D6155"/>
    </row>
    <row r="6156" spans="3:4">
      <c r="C6156"/>
      <c r="D6156"/>
    </row>
    <row r="6157" spans="3:4">
      <c r="C6157"/>
      <c r="D6157"/>
    </row>
    <row r="6158" spans="3:4">
      <c r="C6158"/>
      <c r="D6158"/>
    </row>
    <row r="6159" spans="3:4">
      <c r="C6159"/>
      <c r="D6159"/>
    </row>
    <row r="6160" spans="3:4">
      <c r="C6160"/>
      <c r="D6160"/>
    </row>
    <row r="6161" spans="3:4">
      <c r="C6161"/>
      <c r="D6161"/>
    </row>
    <row r="6162" spans="3:4">
      <c r="C6162"/>
      <c r="D6162"/>
    </row>
    <row r="6163" spans="3:4">
      <c r="C6163"/>
      <c r="D6163"/>
    </row>
    <row r="6164" spans="3:4">
      <c r="C6164"/>
      <c r="D6164"/>
    </row>
    <row r="6165" spans="3:4">
      <c r="C6165"/>
      <c r="D6165"/>
    </row>
    <row r="6166" spans="3:4">
      <c r="C6166"/>
      <c r="D6166"/>
    </row>
    <row r="6167" spans="3:4">
      <c r="C6167"/>
      <c r="D6167"/>
    </row>
    <row r="6168" spans="3:4">
      <c r="C6168"/>
      <c r="D6168"/>
    </row>
    <row r="6169" spans="3:4">
      <c r="C6169"/>
      <c r="D6169"/>
    </row>
    <row r="6170" spans="3:4">
      <c r="C6170"/>
      <c r="D6170"/>
    </row>
    <row r="6171" spans="3:4">
      <c r="C6171"/>
      <c r="D6171"/>
    </row>
    <row r="6172" spans="3:4">
      <c r="C6172"/>
      <c r="D6172"/>
    </row>
    <row r="6173" spans="3:4">
      <c r="C6173"/>
      <c r="D6173"/>
    </row>
    <row r="6174" spans="3:4">
      <c r="C6174"/>
      <c r="D6174"/>
    </row>
    <row r="6175" spans="3:4">
      <c r="C6175"/>
      <c r="D6175"/>
    </row>
    <row r="6176" spans="3:4">
      <c r="C6176"/>
      <c r="D6176"/>
    </row>
    <row r="6177" spans="3:4">
      <c r="C6177"/>
      <c r="D6177"/>
    </row>
    <row r="6178" spans="3:4">
      <c r="C6178"/>
      <c r="D6178"/>
    </row>
    <row r="6179" spans="3:4">
      <c r="C6179"/>
      <c r="D6179"/>
    </row>
    <row r="6180" spans="3:4">
      <c r="C6180"/>
      <c r="D6180"/>
    </row>
    <row r="6181" spans="3:4">
      <c r="C6181"/>
      <c r="D6181"/>
    </row>
    <row r="6182" spans="3:4">
      <c r="C6182"/>
      <c r="D6182"/>
    </row>
    <row r="6183" spans="3:4">
      <c r="C6183"/>
      <c r="D6183"/>
    </row>
    <row r="6184" spans="3:4">
      <c r="C6184"/>
      <c r="D6184"/>
    </row>
    <row r="6185" spans="3:4">
      <c r="C6185"/>
      <c r="D6185"/>
    </row>
    <row r="6186" spans="3:4">
      <c r="C6186"/>
      <c r="D6186"/>
    </row>
    <row r="6187" spans="3:4">
      <c r="C6187"/>
      <c r="D6187"/>
    </row>
    <row r="6188" spans="3:4">
      <c r="C6188"/>
      <c r="D6188"/>
    </row>
    <row r="6189" spans="3:4">
      <c r="C6189"/>
      <c r="D6189"/>
    </row>
    <row r="6190" spans="3:4">
      <c r="C6190"/>
      <c r="D6190"/>
    </row>
    <row r="6191" spans="3:4">
      <c r="C6191"/>
      <c r="D6191"/>
    </row>
    <row r="6192" spans="3:4">
      <c r="C6192"/>
      <c r="D6192"/>
    </row>
    <row r="6193" spans="3:4">
      <c r="C6193"/>
      <c r="D6193"/>
    </row>
    <row r="6194" spans="3:4">
      <c r="C6194"/>
      <c r="D6194"/>
    </row>
    <row r="6195" spans="3:4">
      <c r="C6195"/>
      <c r="D6195"/>
    </row>
    <row r="6196" spans="3:4">
      <c r="C6196"/>
      <c r="D6196"/>
    </row>
    <row r="6197" spans="3:4">
      <c r="C6197"/>
      <c r="D6197"/>
    </row>
    <row r="6198" spans="3:4">
      <c r="C6198"/>
      <c r="D6198"/>
    </row>
    <row r="6199" spans="3:4">
      <c r="C6199"/>
      <c r="D6199"/>
    </row>
    <row r="6200" spans="3:4">
      <c r="C6200"/>
      <c r="D6200"/>
    </row>
    <row r="6201" spans="3:4">
      <c r="C6201"/>
      <c r="D6201"/>
    </row>
    <row r="6202" spans="3:4">
      <c r="C6202"/>
      <c r="D6202"/>
    </row>
    <row r="6203" spans="3:4">
      <c r="C6203"/>
      <c r="D6203"/>
    </row>
    <row r="6204" spans="3:4">
      <c r="C6204"/>
      <c r="D6204"/>
    </row>
    <row r="6205" spans="3:4">
      <c r="C6205"/>
      <c r="D6205"/>
    </row>
    <row r="6206" spans="3:4">
      <c r="C6206"/>
      <c r="D6206"/>
    </row>
    <row r="6207" spans="3:4">
      <c r="C6207"/>
      <c r="D6207"/>
    </row>
    <row r="6208" spans="3:4">
      <c r="C6208"/>
      <c r="D6208"/>
    </row>
    <row r="6209" spans="3:4">
      <c r="C6209"/>
      <c r="D6209"/>
    </row>
    <row r="6210" spans="3:4">
      <c r="C6210"/>
      <c r="D6210"/>
    </row>
    <row r="6211" spans="3:4">
      <c r="C6211"/>
      <c r="D6211"/>
    </row>
    <row r="6212" spans="3:4">
      <c r="C6212"/>
      <c r="D6212"/>
    </row>
    <row r="6213" spans="3:4">
      <c r="C6213"/>
      <c r="D6213"/>
    </row>
    <row r="6214" spans="3:4">
      <c r="C6214"/>
      <c r="D6214"/>
    </row>
    <row r="6215" spans="3:4">
      <c r="C6215"/>
      <c r="D6215"/>
    </row>
    <row r="6216" spans="3:4">
      <c r="C6216"/>
      <c r="D6216"/>
    </row>
    <row r="6217" spans="3:4">
      <c r="C6217"/>
      <c r="D6217"/>
    </row>
    <row r="6218" spans="3:4">
      <c r="C6218"/>
      <c r="D6218"/>
    </row>
    <row r="6219" spans="3:4">
      <c r="C6219"/>
      <c r="D6219"/>
    </row>
    <row r="6220" spans="3:4">
      <c r="C6220"/>
      <c r="D6220"/>
    </row>
    <row r="6221" spans="3:4">
      <c r="C6221"/>
      <c r="D6221"/>
    </row>
    <row r="6222" spans="3:4">
      <c r="C6222"/>
      <c r="D6222"/>
    </row>
    <row r="6223" spans="3:4">
      <c r="C6223"/>
      <c r="D6223"/>
    </row>
    <row r="6224" spans="3:4">
      <c r="C6224"/>
      <c r="D6224"/>
    </row>
    <row r="6225" spans="3:4">
      <c r="C6225"/>
      <c r="D6225"/>
    </row>
    <row r="6226" spans="3:4">
      <c r="C6226"/>
      <c r="D6226"/>
    </row>
    <row r="6227" spans="3:4">
      <c r="C6227"/>
      <c r="D6227"/>
    </row>
    <row r="6228" spans="3:4">
      <c r="C6228"/>
      <c r="D6228"/>
    </row>
    <row r="6229" spans="3:4">
      <c r="C6229"/>
      <c r="D6229"/>
    </row>
    <row r="6230" spans="3:4">
      <c r="C6230"/>
      <c r="D6230"/>
    </row>
    <row r="6231" spans="3:4">
      <c r="C6231"/>
      <c r="D6231"/>
    </row>
    <row r="6232" spans="3:4">
      <c r="C6232"/>
      <c r="D6232"/>
    </row>
    <row r="6233" spans="3:4">
      <c r="C6233"/>
      <c r="D6233"/>
    </row>
    <row r="6234" spans="3:4">
      <c r="C6234"/>
      <c r="D6234"/>
    </row>
    <row r="6235" spans="3:4">
      <c r="C6235"/>
      <c r="D6235"/>
    </row>
    <row r="6236" spans="3:4">
      <c r="C6236"/>
      <c r="D6236"/>
    </row>
    <row r="6237" spans="3:4">
      <c r="C6237"/>
      <c r="D6237"/>
    </row>
    <row r="6238" spans="3:4">
      <c r="C6238"/>
      <c r="D6238"/>
    </row>
    <row r="6239" spans="3:4">
      <c r="C6239"/>
      <c r="D6239"/>
    </row>
    <row r="6240" spans="3:4">
      <c r="C6240"/>
      <c r="D6240"/>
    </row>
    <row r="6241" spans="3:4">
      <c r="C6241"/>
      <c r="D6241"/>
    </row>
    <row r="6242" spans="3:4">
      <c r="C6242"/>
      <c r="D6242"/>
    </row>
    <row r="6243" spans="3:4">
      <c r="C6243"/>
      <c r="D6243"/>
    </row>
    <row r="6244" spans="3:4">
      <c r="C6244"/>
      <c r="D6244"/>
    </row>
    <row r="6245" spans="3:4">
      <c r="C6245"/>
      <c r="D6245"/>
    </row>
    <row r="6246" spans="3:4">
      <c r="C6246"/>
      <c r="D6246"/>
    </row>
    <row r="6247" spans="3:4">
      <c r="C6247"/>
      <c r="D6247"/>
    </row>
    <row r="6248" spans="3:4">
      <c r="C6248"/>
      <c r="D6248"/>
    </row>
    <row r="6249" spans="3:4">
      <c r="C6249"/>
      <c r="D6249"/>
    </row>
    <row r="6250" spans="3:4">
      <c r="C6250"/>
      <c r="D6250"/>
    </row>
    <row r="6251" spans="3:4">
      <c r="C6251"/>
      <c r="D6251"/>
    </row>
    <row r="6252" spans="3:4">
      <c r="C6252"/>
      <c r="D6252"/>
    </row>
    <row r="6253" spans="3:4">
      <c r="C6253"/>
      <c r="D6253"/>
    </row>
    <row r="6254" spans="3:4">
      <c r="C6254"/>
      <c r="D6254"/>
    </row>
    <row r="6255" spans="3:4">
      <c r="C6255"/>
      <c r="D6255"/>
    </row>
    <row r="6256" spans="3:4">
      <c r="C6256"/>
      <c r="D6256"/>
    </row>
    <row r="6257" spans="3:4">
      <c r="C6257"/>
      <c r="D6257"/>
    </row>
    <row r="6258" spans="3:4">
      <c r="C6258"/>
      <c r="D6258"/>
    </row>
    <row r="6259" spans="3:4">
      <c r="C6259"/>
      <c r="D6259"/>
    </row>
    <row r="6260" spans="3:4">
      <c r="C6260"/>
      <c r="D6260"/>
    </row>
    <row r="6261" spans="3:4">
      <c r="C6261"/>
      <c r="D6261"/>
    </row>
    <row r="6262" spans="3:4">
      <c r="C6262"/>
      <c r="D6262"/>
    </row>
    <row r="6263" spans="3:4">
      <c r="C6263"/>
      <c r="D6263"/>
    </row>
    <row r="6264" spans="3:4">
      <c r="C6264"/>
      <c r="D6264"/>
    </row>
    <row r="6265" spans="3:4">
      <c r="C6265"/>
      <c r="D6265"/>
    </row>
    <row r="6266" spans="3:4">
      <c r="C6266"/>
      <c r="D6266"/>
    </row>
    <row r="6267" spans="3:4">
      <c r="C6267"/>
      <c r="D6267"/>
    </row>
    <row r="6268" spans="3:4">
      <c r="C6268"/>
      <c r="D6268"/>
    </row>
    <row r="6269" spans="3:4">
      <c r="C6269"/>
      <c r="D6269"/>
    </row>
    <row r="6270" spans="3:4">
      <c r="C6270"/>
      <c r="D6270"/>
    </row>
    <row r="6271" spans="3:4">
      <c r="C6271"/>
      <c r="D6271"/>
    </row>
    <row r="6272" spans="3:4">
      <c r="C6272"/>
      <c r="D6272"/>
    </row>
    <row r="6273" spans="3:4">
      <c r="C6273"/>
      <c r="D6273"/>
    </row>
    <row r="6274" spans="3:4">
      <c r="C6274"/>
      <c r="D6274"/>
    </row>
    <row r="6275" spans="3:4">
      <c r="C6275"/>
      <c r="D6275"/>
    </row>
    <row r="6276" spans="3:4">
      <c r="C6276"/>
      <c r="D6276"/>
    </row>
    <row r="6277" spans="3:4">
      <c r="C6277"/>
      <c r="D6277"/>
    </row>
    <row r="6278" spans="3:4">
      <c r="C6278"/>
      <c r="D6278"/>
    </row>
    <row r="6279" spans="3:4">
      <c r="C6279"/>
      <c r="D6279"/>
    </row>
    <row r="6280" spans="3:4">
      <c r="C6280"/>
      <c r="D6280"/>
    </row>
    <row r="6281" spans="3:4">
      <c r="C6281"/>
      <c r="D6281"/>
    </row>
    <row r="6282" spans="3:4">
      <c r="C6282"/>
      <c r="D6282"/>
    </row>
    <row r="6283" spans="3:4">
      <c r="C6283"/>
      <c r="D6283"/>
    </row>
    <row r="6284" spans="3:4">
      <c r="C6284"/>
      <c r="D6284"/>
    </row>
    <row r="6285" spans="3:4">
      <c r="C6285"/>
      <c r="D6285"/>
    </row>
    <row r="6286" spans="3:4">
      <c r="C6286"/>
      <c r="D6286"/>
    </row>
    <row r="6287" spans="3:4">
      <c r="C6287"/>
      <c r="D6287"/>
    </row>
    <row r="6288" spans="3:4">
      <c r="C6288"/>
      <c r="D6288"/>
    </row>
    <row r="6289" spans="3:4">
      <c r="C6289"/>
      <c r="D6289"/>
    </row>
    <row r="6290" spans="3:4">
      <c r="C6290"/>
      <c r="D6290"/>
    </row>
    <row r="6291" spans="3:4">
      <c r="C6291"/>
      <c r="D6291"/>
    </row>
    <row r="6292" spans="3:4">
      <c r="C6292"/>
      <c r="D6292"/>
    </row>
    <row r="6293" spans="3:4">
      <c r="C6293"/>
      <c r="D6293"/>
    </row>
    <row r="6294" spans="3:4">
      <c r="C6294"/>
      <c r="D6294"/>
    </row>
    <row r="6295" spans="3:4">
      <c r="C6295"/>
      <c r="D6295"/>
    </row>
    <row r="6296" spans="3:4">
      <c r="C6296"/>
      <c r="D6296"/>
    </row>
    <row r="6297" spans="3:4">
      <c r="C6297"/>
      <c r="D6297"/>
    </row>
    <row r="6298" spans="3:4">
      <c r="C6298"/>
      <c r="D6298"/>
    </row>
    <row r="6299" spans="3:4">
      <c r="C6299"/>
      <c r="D6299"/>
    </row>
    <row r="6300" spans="3:4">
      <c r="C6300"/>
      <c r="D6300"/>
    </row>
    <row r="6301" spans="3:4">
      <c r="C6301"/>
      <c r="D6301"/>
    </row>
    <row r="6302" spans="3:4">
      <c r="C6302"/>
      <c r="D6302"/>
    </row>
    <row r="6303" spans="3:4">
      <c r="C6303"/>
      <c r="D6303"/>
    </row>
    <row r="6304" spans="3:4">
      <c r="C6304"/>
      <c r="D6304"/>
    </row>
    <row r="6305" spans="3:4">
      <c r="C6305"/>
      <c r="D6305"/>
    </row>
    <row r="6306" spans="3:4">
      <c r="C6306"/>
      <c r="D6306"/>
    </row>
    <row r="6307" spans="3:4">
      <c r="C6307"/>
      <c r="D6307"/>
    </row>
    <row r="6308" spans="3:4">
      <c r="C6308"/>
      <c r="D6308"/>
    </row>
    <row r="6309" spans="3:4">
      <c r="C6309"/>
      <c r="D6309"/>
    </row>
    <row r="6310" spans="3:4">
      <c r="C6310"/>
      <c r="D6310"/>
    </row>
    <row r="6311" spans="3:4">
      <c r="C6311"/>
      <c r="D6311"/>
    </row>
    <row r="6312" spans="3:4">
      <c r="C6312"/>
      <c r="D6312"/>
    </row>
    <row r="6313" spans="3:4">
      <c r="C6313"/>
      <c r="D6313"/>
    </row>
    <row r="6314" spans="3:4">
      <c r="C6314"/>
      <c r="D6314"/>
    </row>
    <row r="6315" spans="3:4">
      <c r="C6315"/>
      <c r="D6315"/>
    </row>
    <row r="6316" spans="3:4">
      <c r="C6316"/>
      <c r="D6316"/>
    </row>
    <row r="6317" spans="3:4">
      <c r="C6317"/>
      <c r="D6317"/>
    </row>
    <row r="6318" spans="3:4">
      <c r="C6318"/>
      <c r="D6318"/>
    </row>
    <row r="6319" spans="3:4">
      <c r="C6319"/>
      <c r="D6319"/>
    </row>
    <row r="6320" spans="3:4">
      <c r="C6320"/>
      <c r="D6320"/>
    </row>
    <row r="6321" spans="3:4">
      <c r="C6321"/>
      <c r="D6321"/>
    </row>
    <row r="6322" spans="3:4">
      <c r="C6322"/>
      <c r="D6322"/>
    </row>
    <row r="6323" spans="3:4">
      <c r="C6323"/>
      <c r="D6323"/>
    </row>
    <row r="6324" spans="3:4">
      <c r="C6324"/>
      <c r="D6324"/>
    </row>
    <row r="6325" spans="3:4">
      <c r="C6325"/>
      <c r="D6325"/>
    </row>
    <row r="6326" spans="3:4">
      <c r="C6326"/>
      <c r="D6326"/>
    </row>
    <row r="6327" spans="3:4">
      <c r="C6327"/>
      <c r="D6327"/>
    </row>
    <row r="6328" spans="3:4">
      <c r="C6328"/>
      <c r="D6328"/>
    </row>
    <row r="6329" spans="3:4">
      <c r="C6329"/>
      <c r="D6329"/>
    </row>
    <row r="6330" spans="3:4">
      <c r="C6330"/>
      <c r="D6330"/>
    </row>
    <row r="6331" spans="3:4">
      <c r="C6331"/>
      <c r="D6331"/>
    </row>
    <row r="6332" spans="3:4">
      <c r="C6332"/>
      <c r="D6332"/>
    </row>
    <row r="6333" spans="3:4">
      <c r="C6333"/>
      <c r="D6333"/>
    </row>
    <row r="6334" spans="3:4">
      <c r="C6334"/>
      <c r="D6334"/>
    </row>
    <row r="6335" spans="3:4">
      <c r="C6335"/>
      <c r="D6335"/>
    </row>
    <row r="6336" spans="3:4">
      <c r="C6336"/>
      <c r="D6336"/>
    </row>
    <row r="6337" spans="3:4">
      <c r="C6337"/>
      <c r="D6337"/>
    </row>
    <row r="6338" spans="3:4">
      <c r="C6338"/>
      <c r="D6338"/>
    </row>
    <row r="6339" spans="3:4">
      <c r="C6339"/>
      <c r="D6339"/>
    </row>
    <row r="6340" spans="3:4">
      <c r="C6340"/>
      <c r="D6340"/>
    </row>
    <row r="6341" spans="3:4">
      <c r="C6341"/>
      <c r="D6341"/>
    </row>
    <row r="6342" spans="3:4">
      <c r="C6342"/>
      <c r="D6342"/>
    </row>
    <row r="6343" spans="3:4">
      <c r="C6343"/>
      <c r="D6343"/>
    </row>
    <row r="6344" spans="3:4">
      <c r="C6344"/>
      <c r="D6344"/>
    </row>
    <row r="6345" spans="3:4">
      <c r="C6345"/>
      <c r="D6345"/>
    </row>
    <row r="6346" spans="3:4">
      <c r="C6346"/>
      <c r="D6346"/>
    </row>
    <row r="6347" spans="3:4">
      <c r="C6347"/>
      <c r="D6347"/>
    </row>
    <row r="6348" spans="3:4">
      <c r="C6348"/>
      <c r="D6348"/>
    </row>
    <row r="6349" spans="3:4">
      <c r="C6349"/>
      <c r="D6349"/>
    </row>
    <row r="6350" spans="3:4">
      <c r="C6350"/>
      <c r="D6350"/>
    </row>
    <row r="6351" spans="3:4">
      <c r="C6351"/>
      <c r="D6351"/>
    </row>
    <row r="6352" spans="3:4">
      <c r="C6352"/>
      <c r="D6352"/>
    </row>
    <row r="6353" spans="3:4">
      <c r="C6353"/>
      <c r="D6353"/>
    </row>
    <row r="6354" spans="3:4">
      <c r="C6354"/>
      <c r="D6354"/>
    </row>
    <row r="6355" spans="3:4">
      <c r="C6355"/>
      <c r="D6355"/>
    </row>
    <row r="6356" spans="3:4">
      <c r="C6356"/>
      <c r="D6356"/>
    </row>
    <row r="6357" spans="3:4">
      <c r="C6357"/>
      <c r="D6357"/>
    </row>
    <row r="6358" spans="3:4">
      <c r="C6358"/>
      <c r="D6358"/>
    </row>
    <row r="6359" spans="3:4">
      <c r="C6359"/>
      <c r="D6359"/>
    </row>
    <row r="6360" spans="3:4">
      <c r="C6360"/>
      <c r="D6360"/>
    </row>
    <row r="6361" spans="3:4">
      <c r="C6361"/>
      <c r="D6361"/>
    </row>
    <row r="6362" spans="3:4">
      <c r="C6362"/>
      <c r="D6362"/>
    </row>
    <row r="6363" spans="3:4">
      <c r="C6363"/>
      <c r="D6363"/>
    </row>
    <row r="6364" spans="3:4">
      <c r="C6364"/>
      <c r="D6364"/>
    </row>
    <row r="6365" spans="3:4">
      <c r="C6365"/>
      <c r="D6365"/>
    </row>
    <row r="6366" spans="3:4">
      <c r="C6366"/>
      <c r="D6366"/>
    </row>
    <row r="6367" spans="3:4">
      <c r="C6367"/>
      <c r="D6367"/>
    </row>
    <row r="6368" spans="3:4">
      <c r="C6368"/>
      <c r="D6368"/>
    </row>
    <row r="6369" spans="3:4">
      <c r="C6369"/>
      <c r="D6369"/>
    </row>
    <row r="6370" spans="3:4">
      <c r="C6370"/>
      <c r="D6370"/>
    </row>
    <row r="6371" spans="3:4">
      <c r="C6371"/>
      <c r="D6371"/>
    </row>
    <row r="6372" spans="3:4">
      <c r="C6372"/>
      <c r="D6372"/>
    </row>
    <row r="6373" spans="3:4">
      <c r="C6373"/>
      <c r="D6373"/>
    </row>
    <row r="6374" spans="3:4">
      <c r="C6374"/>
      <c r="D6374"/>
    </row>
    <row r="6375" spans="3:4">
      <c r="C6375"/>
      <c r="D6375"/>
    </row>
    <row r="6376" spans="3:4">
      <c r="C6376"/>
      <c r="D6376"/>
    </row>
    <row r="6377" spans="3:4">
      <c r="C6377"/>
      <c r="D6377"/>
    </row>
    <row r="6378" spans="3:4">
      <c r="C6378"/>
      <c r="D6378"/>
    </row>
    <row r="6379" spans="3:4">
      <c r="C6379"/>
      <c r="D6379"/>
    </row>
    <row r="6380" spans="3:4">
      <c r="C6380"/>
      <c r="D6380"/>
    </row>
    <row r="6381" spans="3:4">
      <c r="C6381"/>
      <c r="D6381"/>
    </row>
    <row r="6382" spans="3:4">
      <c r="C6382"/>
      <c r="D6382"/>
    </row>
    <row r="6383" spans="3:4">
      <c r="C6383"/>
      <c r="D6383"/>
    </row>
    <row r="6384" spans="3:4">
      <c r="C6384"/>
      <c r="D6384"/>
    </row>
    <row r="6385" spans="3:4">
      <c r="C6385"/>
      <c r="D6385"/>
    </row>
    <row r="6386" spans="3:4">
      <c r="C6386"/>
      <c r="D6386"/>
    </row>
    <row r="6387" spans="3:4">
      <c r="C6387"/>
      <c r="D6387"/>
    </row>
    <row r="6388" spans="3:4">
      <c r="C6388"/>
      <c r="D6388"/>
    </row>
    <row r="6389" spans="3:4">
      <c r="C6389"/>
      <c r="D6389"/>
    </row>
    <row r="6390" spans="3:4">
      <c r="C6390"/>
      <c r="D6390"/>
    </row>
    <row r="6391" spans="3:4">
      <c r="C6391"/>
      <c r="D6391"/>
    </row>
    <row r="6392" spans="3:4">
      <c r="C6392"/>
      <c r="D6392"/>
    </row>
    <row r="6393" spans="3:4">
      <c r="C6393"/>
      <c r="D6393"/>
    </row>
    <row r="6394" spans="3:4">
      <c r="C6394"/>
      <c r="D6394"/>
    </row>
    <row r="6395" spans="3:4">
      <c r="C6395"/>
      <c r="D6395"/>
    </row>
    <row r="6396" spans="3:4">
      <c r="C6396"/>
      <c r="D6396"/>
    </row>
    <row r="6397" spans="3:4">
      <c r="C6397"/>
      <c r="D6397"/>
    </row>
    <row r="6398" spans="3:4">
      <c r="C6398"/>
      <c r="D6398"/>
    </row>
    <row r="6399" spans="3:4">
      <c r="C6399"/>
      <c r="D6399"/>
    </row>
    <row r="6400" spans="3:4">
      <c r="C6400"/>
      <c r="D6400"/>
    </row>
    <row r="6401" spans="3:4">
      <c r="C6401"/>
      <c r="D6401"/>
    </row>
    <row r="6402" spans="3:4">
      <c r="C6402"/>
      <c r="D6402"/>
    </row>
    <row r="6403" spans="3:4">
      <c r="C6403"/>
      <c r="D6403"/>
    </row>
    <row r="6404" spans="3:4">
      <c r="C6404"/>
      <c r="D6404"/>
    </row>
    <row r="6405" spans="3:4">
      <c r="C6405"/>
      <c r="D6405"/>
    </row>
    <row r="6406" spans="3:4">
      <c r="C6406"/>
      <c r="D6406"/>
    </row>
    <row r="6407" spans="3:4">
      <c r="C6407"/>
      <c r="D6407"/>
    </row>
    <row r="6408" spans="3:4">
      <c r="C6408"/>
      <c r="D6408"/>
    </row>
    <row r="6409" spans="3:4">
      <c r="C6409"/>
      <c r="D6409"/>
    </row>
    <row r="6410" spans="3:4">
      <c r="C6410"/>
      <c r="D6410"/>
    </row>
    <row r="6411" spans="3:4">
      <c r="C6411"/>
      <c r="D6411"/>
    </row>
    <row r="6412" spans="3:4">
      <c r="C6412"/>
      <c r="D6412"/>
    </row>
    <row r="6413" spans="3:4">
      <c r="C6413"/>
      <c r="D6413"/>
    </row>
    <row r="6414" spans="3:4">
      <c r="C6414"/>
      <c r="D6414"/>
    </row>
    <row r="6415" spans="3:4">
      <c r="C6415"/>
      <c r="D6415"/>
    </row>
    <row r="6416" spans="3:4">
      <c r="C6416"/>
      <c r="D6416"/>
    </row>
    <row r="6417" spans="3:4">
      <c r="C6417"/>
      <c r="D6417"/>
    </row>
    <row r="6418" spans="3:4">
      <c r="C6418"/>
      <c r="D6418"/>
    </row>
    <row r="6419" spans="3:4">
      <c r="C6419"/>
      <c r="D6419"/>
    </row>
    <row r="6420" spans="3:4">
      <c r="C6420"/>
      <c r="D6420"/>
    </row>
    <row r="6421" spans="3:4">
      <c r="C6421"/>
      <c r="D6421"/>
    </row>
    <row r="6422" spans="3:4">
      <c r="C6422"/>
      <c r="D6422"/>
    </row>
    <row r="6423" spans="3:4">
      <c r="C6423"/>
      <c r="D6423"/>
    </row>
    <row r="6424" spans="3:4">
      <c r="C6424"/>
      <c r="D6424"/>
    </row>
    <row r="6425" spans="3:4">
      <c r="C6425"/>
      <c r="D6425"/>
    </row>
    <row r="6426" spans="3:4">
      <c r="C6426"/>
      <c r="D6426"/>
    </row>
    <row r="6427" spans="3:4">
      <c r="C6427"/>
      <c r="D6427"/>
    </row>
    <row r="6428" spans="3:4">
      <c r="C6428"/>
      <c r="D6428"/>
    </row>
    <row r="6429" spans="3:4">
      <c r="C6429"/>
      <c r="D6429"/>
    </row>
    <row r="6430" spans="3:4">
      <c r="C6430"/>
      <c r="D6430"/>
    </row>
    <row r="6431" spans="3:4">
      <c r="C6431"/>
      <c r="D6431"/>
    </row>
    <row r="6432" spans="3:4">
      <c r="C6432"/>
      <c r="D6432"/>
    </row>
    <row r="6433" spans="3:4">
      <c r="C6433"/>
      <c r="D6433"/>
    </row>
    <row r="6434" spans="3:4">
      <c r="C6434"/>
      <c r="D6434"/>
    </row>
    <row r="6435" spans="3:4">
      <c r="C6435"/>
      <c r="D6435"/>
    </row>
    <row r="6436" spans="3:4">
      <c r="C6436"/>
      <c r="D6436"/>
    </row>
    <row r="6437" spans="3:4">
      <c r="C6437"/>
      <c r="D6437"/>
    </row>
    <row r="6438" spans="3:4">
      <c r="C6438"/>
      <c r="D6438"/>
    </row>
    <row r="6439" spans="3:4">
      <c r="C6439"/>
      <c r="D6439"/>
    </row>
    <row r="6440" spans="3:4">
      <c r="C6440"/>
      <c r="D6440"/>
    </row>
    <row r="6441" spans="3:4">
      <c r="C6441"/>
      <c r="D6441"/>
    </row>
    <row r="6442" spans="3:4">
      <c r="C6442"/>
      <c r="D6442"/>
    </row>
    <row r="6443" spans="3:4">
      <c r="C6443"/>
      <c r="D6443"/>
    </row>
    <row r="6444" spans="3:4">
      <c r="C6444"/>
      <c r="D6444"/>
    </row>
    <row r="6445" spans="3:4">
      <c r="C6445"/>
      <c r="D6445"/>
    </row>
    <row r="6446" spans="3:4">
      <c r="C6446"/>
      <c r="D6446"/>
    </row>
    <row r="6447" spans="3:4">
      <c r="C6447"/>
      <c r="D6447"/>
    </row>
    <row r="6448" spans="3:4">
      <c r="C6448"/>
      <c r="D6448"/>
    </row>
    <row r="6449" spans="3:4">
      <c r="C6449"/>
      <c r="D6449"/>
    </row>
    <row r="6450" spans="3:4">
      <c r="C6450"/>
      <c r="D6450"/>
    </row>
    <row r="6451" spans="3:4">
      <c r="C6451"/>
      <c r="D6451"/>
    </row>
    <row r="6452" spans="3:4">
      <c r="C6452"/>
      <c r="D6452"/>
    </row>
    <row r="6453" spans="3:4">
      <c r="C6453"/>
      <c r="D6453"/>
    </row>
    <row r="6454" spans="3:4">
      <c r="C6454"/>
      <c r="D6454"/>
    </row>
    <row r="6455" spans="3:4">
      <c r="C6455"/>
      <c r="D6455"/>
    </row>
    <row r="6456" spans="3:4">
      <c r="C6456"/>
      <c r="D6456"/>
    </row>
    <row r="6457" spans="3:4">
      <c r="C6457"/>
      <c r="D6457"/>
    </row>
    <row r="6458" spans="3:4">
      <c r="C6458"/>
      <c r="D6458"/>
    </row>
    <row r="6459" spans="3:4">
      <c r="C6459"/>
      <c r="D6459"/>
    </row>
    <row r="6460" spans="3:4">
      <c r="C6460"/>
      <c r="D6460"/>
    </row>
    <row r="6461" spans="3:4">
      <c r="C6461"/>
      <c r="D6461"/>
    </row>
    <row r="6462" spans="3:4">
      <c r="C6462"/>
      <c r="D6462"/>
    </row>
    <row r="6463" spans="3:4">
      <c r="C6463"/>
      <c r="D6463"/>
    </row>
    <row r="6464" spans="3:4">
      <c r="C6464"/>
      <c r="D6464"/>
    </row>
    <row r="6465" spans="3:4">
      <c r="C6465"/>
      <c r="D6465"/>
    </row>
    <row r="6466" spans="3:4">
      <c r="C6466"/>
      <c r="D6466"/>
    </row>
    <row r="6467" spans="3:4">
      <c r="C6467"/>
      <c r="D6467"/>
    </row>
    <row r="6468" spans="3:4">
      <c r="C6468"/>
      <c r="D6468"/>
    </row>
    <row r="6469" spans="3:4">
      <c r="C6469"/>
      <c r="D6469"/>
    </row>
    <row r="6470" spans="3:4">
      <c r="C6470"/>
      <c r="D6470"/>
    </row>
    <row r="6471" spans="3:4">
      <c r="C6471"/>
      <c r="D6471"/>
    </row>
    <row r="6472" spans="3:4">
      <c r="C6472"/>
      <c r="D6472"/>
    </row>
    <row r="6473" spans="3:4">
      <c r="C6473"/>
      <c r="D6473"/>
    </row>
    <row r="6474" spans="3:4">
      <c r="C6474"/>
      <c r="D6474"/>
    </row>
    <row r="6475" spans="3:4">
      <c r="C6475"/>
      <c r="D6475"/>
    </row>
    <row r="6476" spans="3:4">
      <c r="C6476"/>
      <c r="D6476"/>
    </row>
    <row r="6477" spans="3:4">
      <c r="C6477"/>
      <c r="D6477"/>
    </row>
    <row r="6478" spans="3:4">
      <c r="C6478"/>
      <c r="D6478"/>
    </row>
    <row r="6479" spans="3:4">
      <c r="C6479"/>
      <c r="D6479"/>
    </row>
    <row r="6480" spans="3:4">
      <c r="C6480"/>
      <c r="D6480"/>
    </row>
    <row r="6481" spans="3:4">
      <c r="C6481"/>
      <c r="D6481"/>
    </row>
    <row r="6482" spans="3:4">
      <c r="C6482"/>
      <c r="D6482"/>
    </row>
    <row r="6483" spans="3:4">
      <c r="C6483"/>
      <c r="D6483"/>
    </row>
    <row r="6484" spans="3:4">
      <c r="C6484"/>
      <c r="D6484"/>
    </row>
    <row r="6485" spans="3:4">
      <c r="C6485"/>
      <c r="D6485"/>
    </row>
    <row r="6486" spans="3:4">
      <c r="C6486"/>
      <c r="D6486"/>
    </row>
    <row r="6487" spans="3:4">
      <c r="C6487"/>
      <c r="D6487"/>
    </row>
    <row r="6488" spans="3:4">
      <c r="C6488"/>
      <c r="D6488"/>
    </row>
    <row r="6489" spans="3:4">
      <c r="C6489"/>
      <c r="D6489"/>
    </row>
    <row r="6490" spans="3:4">
      <c r="C6490"/>
      <c r="D6490"/>
    </row>
    <row r="6491" spans="3:4">
      <c r="C6491"/>
      <c r="D6491"/>
    </row>
    <row r="6492" spans="3:4">
      <c r="C6492"/>
      <c r="D6492"/>
    </row>
    <row r="6493" spans="3:4">
      <c r="C6493"/>
      <c r="D6493"/>
    </row>
    <row r="6494" spans="3:4">
      <c r="C6494"/>
      <c r="D6494"/>
    </row>
    <row r="6495" spans="3:4">
      <c r="C6495"/>
      <c r="D6495"/>
    </row>
    <row r="6496" spans="3:4">
      <c r="C6496"/>
      <c r="D6496"/>
    </row>
    <row r="6497" spans="3:4">
      <c r="C6497"/>
      <c r="D6497"/>
    </row>
    <row r="6498" spans="3:4">
      <c r="C6498"/>
      <c r="D6498"/>
    </row>
    <row r="6499" spans="3:4">
      <c r="C6499"/>
      <c r="D6499"/>
    </row>
    <row r="6500" spans="3:4">
      <c r="C6500"/>
      <c r="D6500"/>
    </row>
    <row r="6501" spans="3:4">
      <c r="C6501"/>
      <c r="D6501"/>
    </row>
    <row r="6502" spans="3:4">
      <c r="C6502"/>
      <c r="D6502"/>
    </row>
    <row r="6503" spans="3:4">
      <c r="C6503"/>
      <c r="D6503"/>
    </row>
    <row r="6504" spans="3:4">
      <c r="C6504"/>
      <c r="D6504"/>
    </row>
    <row r="6505" spans="3:4">
      <c r="C6505"/>
      <c r="D6505"/>
    </row>
    <row r="6506" spans="3:4">
      <c r="C6506"/>
      <c r="D6506"/>
    </row>
    <row r="6507" spans="3:4">
      <c r="C6507"/>
      <c r="D6507"/>
    </row>
    <row r="6508" spans="3:4">
      <c r="C6508"/>
      <c r="D6508"/>
    </row>
    <row r="6509" spans="3:4">
      <c r="C6509"/>
      <c r="D6509"/>
    </row>
    <row r="6510" spans="3:4">
      <c r="C6510"/>
      <c r="D6510"/>
    </row>
    <row r="6511" spans="3:4">
      <c r="C6511"/>
      <c r="D6511"/>
    </row>
    <row r="6512" spans="3:4">
      <c r="C6512"/>
      <c r="D6512"/>
    </row>
    <row r="6513" spans="3:4">
      <c r="C6513"/>
      <c r="D6513"/>
    </row>
    <row r="6514" spans="3:4">
      <c r="C6514"/>
      <c r="D6514"/>
    </row>
    <row r="6515" spans="3:4">
      <c r="C6515"/>
      <c r="D6515"/>
    </row>
    <row r="6516" spans="3:4">
      <c r="C6516"/>
      <c r="D6516"/>
    </row>
    <row r="6517" spans="3:4">
      <c r="C6517"/>
      <c r="D6517"/>
    </row>
    <row r="6518" spans="3:4">
      <c r="C6518"/>
      <c r="D6518"/>
    </row>
    <row r="6519" spans="3:4">
      <c r="C6519"/>
      <c r="D6519"/>
    </row>
    <row r="6520" spans="3:4">
      <c r="C6520"/>
      <c r="D6520"/>
    </row>
    <row r="6521" spans="3:4">
      <c r="C6521"/>
      <c r="D6521"/>
    </row>
    <row r="6522" spans="3:4">
      <c r="C6522"/>
      <c r="D6522"/>
    </row>
    <row r="6523" spans="3:4">
      <c r="C6523"/>
      <c r="D6523"/>
    </row>
    <row r="6524" spans="3:4">
      <c r="C6524"/>
      <c r="D6524"/>
    </row>
    <row r="6525" spans="3:4">
      <c r="C6525"/>
      <c r="D6525"/>
    </row>
    <row r="6526" spans="3:4">
      <c r="C6526"/>
      <c r="D6526"/>
    </row>
    <row r="6527" spans="3:4">
      <c r="C6527"/>
      <c r="D6527"/>
    </row>
    <row r="6528" spans="3:4">
      <c r="C6528"/>
      <c r="D6528"/>
    </row>
    <row r="6529" spans="3:4">
      <c r="C6529"/>
      <c r="D6529"/>
    </row>
    <row r="6530" spans="3:4">
      <c r="C6530"/>
      <c r="D6530"/>
    </row>
    <row r="6531" spans="3:4">
      <c r="C6531"/>
      <c r="D6531"/>
    </row>
    <row r="6532" spans="3:4">
      <c r="C6532"/>
      <c r="D6532"/>
    </row>
    <row r="6533" spans="3:4">
      <c r="C6533"/>
      <c r="D6533"/>
    </row>
    <row r="6534" spans="3:4">
      <c r="C6534"/>
      <c r="D6534"/>
    </row>
    <row r="6535" spans="3:4">
      <c r="C6535"/>
      <c r="D6535"/>
    </row>
    <row r="6536" spans="3:4">
      <c r="C6536"/>
      <c r="D6536"/>
    </row>
    <row r="6537" spans="3:4">
      <c r="C6537"/>
      <c r="D6537"/>
    </row>
    <row r="6538" spans="3:4">
      <c r="C6538"/>
      <c r="D6538"/>
    </row>
    <row r="6539" spans="3:4">
      <c r="C6539"/>
      <c r="D6539"/>
    </row>
    <row r="6540" spans="3:4">
      <c r="C6540"/>
      <c r="D6540"/>
    </row>
    <row r="6541" spans="3:4">
      <c r="C6541"/>
      <c r="D6541"/>
    </row>
    <row r="6542" spans="3:4">
      <c r="C6542"/>
      <c r="D6542"/>
    </row>
    <row r="6543" spans="3:4">
      <c r="C6543"/>
      <c r="D6543"/>
    </row>
    <row r="6544" spans="3:4">
      <c r="C6544"/>
      <c r="D6544"/>
    </row>
    <row r="6545" spans="3:4">
      <c r="C6545"/>
      <c r="D6545"/>
    </row>
    <row r="6546" spans="3:4">
      <c r="C6546"/>
      <c r="D6546"/>
    </row>
    <row r="6547" spans="3:4">
      <c r="C6547"/>
      <c r="D6547"/>
    </row>
    <row r="6548" spans="3:4">
      <c r="C6548"/>
      <c r="D6548"/>
    </row>
    <row r="6549" spans="3:4">
      <c r="C6549"/>
      <c r="D6549"/>
    </row>
    <row r="6550" spans="3:4">
      <c r="C6550"/>
      <c r="D6550"/>
    </row>
    <row r="6551" spans="3:4">
      <c r="C6551"/>
      <c r="D6551"/>
    </row>
    <row r="6552" spans="3:4">
      <c r="C6552"/>
      <c r="D6552"/>
    </row>
    <row r="6553" spans="3:4">
      <c r="C6553"/>
      <c r="D6553"/>
    </row>
    <row r="6554" spans="3:4">
      <c r="C6554"/>
      <c r="D6554"/>
    </row>
    <row r="6555" spans="3:4">
      <c r="C6555"/>
      <c r="D6555"/>
    </row>
    <row r="6556" spans="3:4">
      <c r="C6556"/>
      <c r="D6556"/>
    </row>
    <row r="6557" spans="3:4">
      <c r="C6557"/>
      <c r="D6557"/>
    </row>
    <row r="6558" spans="3:4">
      <c r="C6558"/>
      <c r="D6558"/>
    </row>
    <row r="6559" spans="3:4">
      <c r="C6559"/>
      <c r="D6559"/>
    </row>
    <row r="6560" spans="3:4">
      <c r="C6560"/>
      <c r="D6560"/>
    </row>
    <row r="6561" spans="3:4">
      <c r="C6561"/>
      <c r="D6561"/>
    </row>
    <row r="6562" spans="3:4">
      <c r="C6562"/>
      <c r="D6562"/>
    </row>
    <row r="6563" spans="3:4">
      <c r="C6563"/>
      <c r="D6563"/>
    </row>
    <row r="6564" spans="3:4">
      <c r="C6564"/>
      <c r="D6564"/>
    </row>
    <row r="6565" spans="3:4">
      <c r="C6565"/>
      <c r="D6565"/>
    </row>
    <row r="6566" spans="3:4">
      <c r="C6566"/>
      <c r="D6566"/>
    </row>
    <row r="6567" spans="3:4">
      <c r="C6567"/>
      <c r="D6567"/>
    </row>
    <row r="6568" spans="3:4">
      <c r="C6568"/>
      <c r="D6568"/>
    </row>
    <row r="6569" spans="3:4">
      <c r="C6569"/>
      <c r="D6569"/>
    </row>
    <row r="6570" spans="3:4">
      <c r="C6570"/>
      <c r="D6570"/>
    </row>
    <row r="6571" spans="3:4">
      <c r="C6571"/>
      <c r="D6571"/>
    </row>
    <row r="6572" spans="3:4">
      <c r="C6572"/>
      <c r="D6572"/>
    </row>
    <row r="6573" spans="3:4">
      <c r="C6573"/>
      <c r="D6573"/>
    </row>
    <row r="6574" spans="3:4">
      <c r="C6574"/>
      <c r="D6574"/>
    </row>
    <row r="6575" spans="3:4">
      <c r="C6575"/>
      <c r="D6575"/>
    </row>
    <row r="6576" spans="3:4">
      <c r="C6576"/>
      <c r="D6576"/>
    </row>
    <row r="6577" spans="3:4">
      <c r="C6577"/>
      <c r="D6577"/>
    </row>
    <row r="6578" spans="3:4">
      <c r="C6578"/>
      <c r="D6578"/>
    </row>
    <row r="6579" spans="3:4">
      <c r="C6579"/>
      <c r="D6579"/>
    </row>
    <row r="6580" spans="3:4">
      <c r="C6580"/>
      <c r="D6580"/>
    </row>
    <row r="6581" spans="3:4">
      <c r="C6581"/>
      <c r="D6581"/>
    </row>
    <row r="6582" spans="3:4">
      <c r="C6582"/>
      <c r="D6582"/>
    </row>
    <row r="6583" spans="3:4">
      <c r="C6583"/>
      <c r="D6583"/>
    </row>
    <row r="6584" spans="3:4">
      <c r="C6584"/>
      <c r="D6584"/>
    </row>
    <row r="6585" spans="3:4">
      <c r="C6585"/>
      <c r="D6585"/>
    </row>
    <row r="6586" spans="3:4">
      <c r="C6586"/>
      <c r="D6586"/>
    </row>
    <row r="6587" spans="3:4">
      <c r="C6587"/>
      <c r="D6587"/>
    </row>
    <row r="6588" spans="3:4">
      <c r="C6588"/>
      <c r="D6588"/>
    </row>
    <row r="6589" spans="3:4">
      <c r="C6589"/>
      <c r="D6589"/>
    </row>
    <row r="6590" spans="3:4">
      <c r="C6590"/>
      <c r="D6590"/>
    </row>
    <row r="6591" spans="3:4">
      <c r="C6591"/>
      <c r="D6591"/>
    </row>
    <row r="6592" spans="3:4">
      <c r="C6592"/>
      <c r="D6592"/>
    </row>
    <row r="6593" spans="3:4">
      <c r="C6593"/>
      <c r="D6593"/>
    </row>
    <row r="6594" spans="3:4">
      <c r="C6594"/>
      <c r="D6594"/>
    </row>
    <row r="6595" spans="3:4">
      <c r="C6595"/>
      <c r="D6595"/>
    </row>
    <row r="6596" spans="3:4">
      <c r="C6596"/>
      <c r="D6596"/>
    </row>
    <row r="6597" spans="3:4">
      <c r="C6597"/>
      <c r="D6597"/>
    </row>
    <row r="6598" spans="3:4">
      <c r="C6598"/>
      <c r="D6598"/>
    </row>
    <row r="6599" spans="3:4">
      <c r="C6599"/>
      <c r="D6599"/>
    </row>
    <row r="6600" spans="3:4">
      <c r="C6600"/>
      <c r="D6600"/>
    </row>
    <row r="6601" spans="3:4">
      <c r="C6601"/>
      <c r="D6601"/>
    </row>
    <row r="6602" spans="3:4">
      <c r="C6602"/>
      <c r="D6602"/>
    </row>
    <row r="6603" spans="3:4">
      <c r="C6603"/>
      <c r="D6603"/>
    </row>
    <row r="6604" spans="3:4">
      <c r="C6604"/>
      <c r="D6604"/>
    </row>
    <row r="6605" spans="3:4">
      <c r="C6605"/>
      <c r="D6605"/>
    </row>
    <row r="6606" spans="3:4">
      <c r="C6606"/>
      <c r="D6606"/>
    </row>
    <row r="6607" spans="3:4">
      <c r="C6607"/>
      <c r="D6607"/>
    </row>
    <row r="6608" spans="3:4">
      <c r="C6608"/>
      <c r="D6608"/>
    </row>
    <row r="6609" spans="3:4">
      <c r="C6609"/>
      <c r="D6609"/>
    </row>
    <row r="6610" spans="3:4">
      <c r="C6610"/>
      <c r="D6610"/>
    </row>
    <row r="6611" spans="3:4">
      <c r="C6611"/>
      <c r="D6611"/>
    </row>
    <row r="6612" spans="3:4">
      <c r="C6612"/>
      <c r="D6612"/>
    </row>
    <row r="6613" spans="3:4">
      <c r="C6613"/>
      <c r="D6613"/>
    </row>
    <row r="6614" spans="3:4">
      <c r="C6614"/>
      <c r="D6614"/>
    </row>
    <row r="6615" spans="3:4">
      <c r="C6615"/>
      <c r="D6615"/>
    </row>
    <row r="6616" spans="3:4">
      <c r="C6616"/>
      <c r="D6616"/>
    </row>
    <row r="6617" spans="3:4">
      <c r="C6617"/>
      <c r="D6617"/>
    </row>
    <row r="6618" spans="3:4">
      <c r="C6618"/>
      <c r="D6618"/>
    </row>
    <row r="6619" spans="3:4">
      <c r="C6619"/>
      <c r="D6619"/>
    </row>
    <row r="6620" spans="3:4">
      <c r="C6620"/>
      <c r="D6620"/>
    </row>
    <row r="6621" spans="3:4">
      <c r="C6621"/>
      <c r="D6621"/>
    </row>
    <row r="6622" spans="3:4">
      <c r="C6622"/>
      <c r="D6622"/>
    </row>
    <row r="6623" spans="3:4">
      <c r="C6623"/>
      <c r="D6623"/>
    </row>
    <row r="6624" spans="3:4">
      <c r="C6624"/>
      <c r="D6624"/>
    </row>
    <row r="6625" spans="3:4">
      <c r="C6625"/>
      <c r="D6625"/>
    </row>
    <row r="6626" spans="3:4">
      <c r="C6626"/>
      <c r="D6626"/>
    </row>
    <row r="6627" spans="3:4">
      <c r="C6627"/>
      <c r="D6627"/>
    </row>
    <row r="6628" spans="3:4">
      <c r="C6628"/>
      <c r="D6628"/>
    </row>
    <row r="6629" spans="3:4">
      <c r="C6629"/>
      <c r="D6629"/>
    </row>
    <row r="6630" spans="3:4">
      <c r="C6630"/>
      <c r="D6630"/>
    </row>
    <row r="6631" spans="3:4">
      <c r="C6631"/>
      <c r="D6631"/>
    </row>
    <row r="6632" spans="3:4">
      <c r="C6632"/>
      <c r="D6632"/>
    </row>
    <row r="6633" spans="3:4">
      <c r="C6633"/>
      <c r="D6633"/>
    </row>
    <row r="6634" spans="3:4">
      <c r="C6634"/>
      <c r="D6634"/>
    </row>
    <row r="6635" spans="3:4">
      <c r="C6635"/>
      <c r="D6635"/>
    </row>
    <row r="6636" spans="3:4">
      <c r="C6636"/>
      <c r="D6636"/>
    </row>
    <row r="6637" spans="3:4">
      <c r="C6637"/>
      <c r="D6637"/>
    </row>
    <row r="6638" spans="3:4">
      <c r="C6638"/>
      <c r="D6638"/>
    </row>
    <row r="6639" spans="3:4">
      <c r="C6639"/>
      <c r="D6639"/>
    </row>
    <row r="6640" spans="3:4">
      <c r="C6640"/>
      <c r="D6640"/>
    </row>
    <row r="6641" spans="3:4">
      <c r="C6641"/>
      <c r="D6641"/>
    </row>
    <row r="6642" spans="3:4">
      <c r="C6642"/>
      <c r="D6642"/>
    </row>
    <row r="6643" spans="3:4">
      <c r="C6643"/>
      <c r="D6643"/>
    </row>
    <row r="6644" spans="3:4">
      <c r="C6644"/>
      <c r="D6644"/>
    </row>
    <row r="6645" spans="3:4">
      <c r="C6645"/>
      <c r="D6645"/>
    </row>
    <row r="6646" spans="3:4">
      <c r="C6646"/>
      <c r="D6646"/>
    </row>
    <row r="6647" spans="3:4">
      <c r="C6647"/>
      <c r="D6647"/>
    </row>
    <row r="6648" spans="3:4">
      <c r="C6648"/>
      <c r="D6648"/>
    </row>
    <row r="6649" spans="3:4">
      <c r="C6649"/>
      <c r="D6649"/>
    </row>
    <row r="6650" spans="3:4">
      <c r="C6650"/>
      <c r="D6650"/>
    </row>
    <row r="6651" spans="3:4">
      <c r="C6651"/>
      <c r="D6651"/>
    </row>
    <row r="6652" spans="3:4">
      <c r="C6652"/>
      <c r="D6652"/>
    </row>
    <row r="6653" spans="3:4">
      <c r="C6653"/>
      <c r="D6653"/>
    </row>
    <row r="6654" spans="3:4">
      <c r="C6654"/>
      <c r="D6654"/>
    </row>
    <row r="6655" spans="3:4">
      <c r="C6655"/>
      <c r="D6655"/>
    </row>
    <row r="6656" spans="3:4">
      <c r="C6656"/>
      <c r="D6656"/>
    </row>
    <row r="6657" spans="3:4">
      <c r="C6657"/>
      <c r="D6657"/>
    </row>
    <row r="6658" spans="3:4">
      <c r="C6658"/>
      <c r="D6658"/>
    </row>
    <row r="6659" spans="3:4">
      <c r="C6659"/>
      <c r="D6659"/>
    </row>
    <row r="6660" spans="3:4">
      <c r="C6660"/>
      <c r="D6660"/>
    </row>
    <row r="6661" spans="3:4">
      <c r="C6661"/>
      <c r="D6661"/>
    </row>
    <row r="6662" spans="3:4">
      <c r="C6662"/>
      <c r="D6662"/>
    </row>
    <row r="6663" spans="3:4">
      <c r="C6663"/>
      <c r="D6663"/>
    </row>
    <row r="6664" spans="3:4">
      <c r="C6664"/>
      <c r="D6664"/>
    </row>
    <row r="6665" spans="3:4">
      <c r="C6665"/>
      <c r="D6665"/>
    </row>
    <row r="6666" spans="3:4">
      <c r="C6666"/>
      <c r="D6666"/>
    </row>
    <row r="6667" spans="3:4">
      <c r="C6667"/>
      <c r="D6667"/>
    </row>
    <row r="6668" spans="3:4">
      <c r="C6668"/>
      <c r="D6668"/>
    </row>
    <row r="6669" spans="3:4">
      <c r="C6669"/>
      <c r="D6669"/>
    </row>
    <row r="6670" spans="3:4">
      <c r="C6670"/>
      <c r="D6670"/>
    </row>
    <row r="6671" spans="3:4">
      <c r="C6671"/>
      <c r="D6671"/>
    </row>
    <row r="6672" spans="3:4">
      <c r="C6672"/>
      <c r="D6672"/>
    </row>
    <row r="6673" spans="3:4">
      <c r="C6673"/>
      <c r="D6673"/>
    </row>
    <row r="6674" spans="3:4">
      <c r="C6674"/>
      <c r="D6674"/>
    </row>
    <row r="6675" spans="3:4">
      <c r="C6675"/>
      <c r="D6675"/>
    </row>
    <row r="6676" spans="3:4">
      <c r="C6676"/>
      <c r="D6676"/>
    </row>
    <row r="6677" spans="3:4">
      <c r="C6677"/>
      <c r="D6677"/>
    </row>
    <row r="6678" spans="3:4">
      <c r="C6678"/>
      <c r="D6678"/>
    </row>
    <row r="6679" spans="3:4">
      <c r="C6679"/>
      <c r="D6679"/>
    </row>
    <row r="6680" spans="3:4">
      <c r="C6680"/>
      <c r="D6680"/>
    </row>
    <row r="6681" spans="3:4">
      <c r="C6681"/>
      <c r="D6681"/>
    </row>
    <row r="6682" spans="3:4">
      <c r="C6682"/>
      <c r="D6682"/>
    </row>
    <row r="6683" spans="3:4">
      <c r="C6683"/>
      <c r="D6683"/>
    </row>
    <row r="6684" spans="3:4">
      <c r="C6684"/>
      <c r="D6684"/>
    </row>
    <row r="6685" spans="3:4">
      <c r="C6685"/>
      <c r="D6685"/>
    </row>
    <row r="6686" spans="3:4">
      <c r="C6686"/>
      <c r="D6686"/>
    </row>
    <row r="6687" spans="3:4">
      <c r="C6687"/>
      <c r="D6687"/>
    </row>
    <row r="6688" spans="3:4">
      <c r="C6688"/>
      <c r="D6688"/>
    </row>
    <row r="6689" spans="3:4">
      <c r="C6689"/>
      <c r="D6689"/>
    </row>
    <row r="6690" spans="3:4">
      <c r="C6690"/>
      <c r="D6690"/>
    </row>
    <row r="6691" spans="3:4">
      <c r="C6691"/>
      <c r="D6691"/>
    </row>
    <row r="6692" spans="3:4">
      <c r="C6692"/>
      <c r="D6692"/>
    </row>
    <row r="6693" spans="3:4">
      <c r="C6693"/>
      <c r="D6693"/>
    </row>
    <row r="6694" spans="3:4">
      <c r="C6694"/>
      <c r="D6694"/>
    </row>
    <row r="6695" spans="3:4">
      <c r="C6695"/>
      <c r="D6695"/>
    </row>
    <row r="6696" spans="3:4">
      <c r="C6696"/>
      <c r="D6696"/>
    </row>
    <row r="6697" spans="3:4">
      <c r="C6697"/>
      <c r="D6697"/>
    </row>
    <row r="6698" spans="3:4">
      <c r="C6698"/>
      <c r="D6698"/>
    </row>
    <row r="6699" spans="3:4">
      <c r="C6699"/>
      <c r="D6699"/>
    </row>
    <row r="6700" spans="3:4">
      <c r="C6700"/>
      <c r="D6700"/>
    </row>
    <row r="6701" spans="3:4">
      <c r="C6701"/>
      <c r="D6701"/>
    </row>
    <row r="6702" spans="3:4">
      <c r="C6702"/>
      <c r="D6702"/>
    </row>
    <row r="6703" spans="3:4">
      <c r="C6703"/>
      <c r="D6703"/>
    </row>
    <row r="6704" spans="3:4">
      <c r="C6704"/>
      <c r="D6704"/>
    </row>
    <row r="6705" spans="3:4">
      <c r="C6705"/>
      <c r="D6705"/>
    </row>
    <row r="6706" spans="3:4">
      <c r="C6706"/>
      <c r="D6706"/>
    </row>
    <row r="6707" spans="3:4">
      <c r="C6707"/>
      <c r="D6707"/>
    </row>
    <row r="6708" spans="3:4">
      <c r="C6708"/>
      <c r="D6708"/>
    </row>
    <row r="6709" spans="3:4">
      <c r="C6709"/>
      <c r="D6709"/>
    </row>
    <row r="6710" spans="3:4">
      <c r="C6710"/>
      <c r="D6710"/>
    </row>
    <row r="6711" spans="3:4">
      <c r="C6711"/>
      <c r="D6711"/>
    </row>
    <row r="6712" spans="3:4">
      <c r="C6712"/>
      <c r="D6712"/>
    </row>
    <row r="6713" spans="3:4">
      <c r="C6713"/>
      <c r="D6713"/>
    </row>
    <row r="6714" spans="3:4">
      <c r="C6714"/>
      <c r="D6714"/>
    </row>
    <row r="6715" spans="3:4">
      <c r="C6715"/>
      <c r="D6715"/>
    </row>
    <row r="6716" spans="3:4">
      <c r="C6716"/>
      <c r="D6716"/>
    </row>
    <row r="6717" spans="3:4">
      <c r="C6717"/>
      <c r="D6717"/>
    </row>
    <row r="6718" spans="3:4">
      <c r="C6718"/>
      <c r="D6718"/>
    </row>
    <row r="6719" spans="3:4">
      <c r="C6719"/>
      <c r="D6719"/>
    </row>
    <row r="6720" spans="3:4">
      <c r="C6720"/>
      <c r="D6720"/>
    </row>
    <row r="6721" spans="3:4">
      <c r="C6721"/>
      <c r="D6721"/>
    </row>
    <row r="6722" spans="3:4">
      <c r="C6722"/>
      <c r="D6722"/>
    </row>
    <row r="6723" spans="3:4">
      <c r="C6723"/>
      <c r="D6723"/>
    </row>
    <row r="6724" spans="3:4">
      <c r="C6724"/>
      <c r="D6724"/>
    </row>
    <row r="6725" spans="3:4">
      <c r="C6725"/>
      <c r="D6725"/>
    </row>
    <row r="6726" spans="3:4">
      <c r="C6726"/>
      <c r="D6726"/>
    </row>
    <row r="6727" spans="3:4">
      <c r="C6727"/>
      <c r="D6727"/>
    </row>
    <row r="6728" spans="3:4">
      <c r="C6728"/>
      <c r="D6728"/>
    </row>
    <row r="6729" spans="3:4">
      <c r="C6729"/>
      <c r="D6729"/>
    </row>
    <row r="6730" spans="3:4">
      <c r="C6730"/>
      <c r="D6730"/>
    </row>
    <row r="6731" spans="3:4">
      <c r="C6731"/>
      <c r="D6731"/>
    </row>
    <row r="6732" spans="3:4">
      <c r="C6732"/>
      <c r="D6732"/>
    </row>
    <row r="6733" spans="3:4">
      <c r="C6733"/>
      <c r="D6733"/>
    </row>
    <row r="6734" spans="3:4">
      <c r="C6734"/>
      <c r="D6734"/>
    </row>
    <row r="6735" spans="3:4">
      <c r="C6735"/>
      <c r="D6735"/>
    </row>
    <row r="6736" spans="3:4">
      <c r="C6736"/>
      <c r="D6736"/>
    </row>
    <row r="6737" spans="3:4">
      <c r="C6737"/>
      <c r="D6737"/>
    </row>
    <row r="6738" spans="3:4">
      <c r="C6738"/>
      <c r="D6738"/>
    </row>
    <row r="6739" spans="3:4">
      <c r="C6739"/>
      <c r="D6739"/>
    </row>
    <row r="6740" spans="3:4">
      <c r="C6740"/>
      <c r="D6740"/>
    </row>
    <row r="6741" spans="3:4">
      <c r="C6741"/>
      <c r="D6741"/>
    </row>
    <row r="6742" spans="3:4">
      <c r="C6742"/>
      <c r="D6742"/>
    </row>
    <row r="6743" spans="3:4">
      <c r="C6743"/>
      <c r="D6743"/>
    </row>
    <row r="6744" spans="3:4">
      <c r="C6744"/>
      <c r="D6744"/>
    </row>
    <row r="6745" spans="3:4">
      <c r="C6745"/>
      <c r="D6745"/>
    </row>
    <row r="6746" spans="3:4">
      <c r="C6746"/>
      <c r="D6746"/>
    </row>
    <row r="6747" spans="3:4">
      <c r="C6747"/>
      <c r="D6747"/>
    </row>
    <row r="6748" spans="3:4">
      <c r="C6748"/>
      <c r="D6748"/>
    </row>
    <row r="6749" spans="3:4">
      <c r="C6749"/>
      <c r="D6749"/>
    </row>
    <row r="6750" spans="3:4">
      <c r="C6750"/>
      <c r="D6750"/>
    </row>
    <row r="6751" spans="3:4">
      <c r="C6751"/>
      <c r="D6751"/>
    </row>
    <row r="6752" spans="3:4">
      <c r="C6752"/>
      <c r="D6752"/>
    </row>
    <row r="6753" spans="3:4">
      <c r="C6753"/>
      <c r="D6753"/>
    </row>
    <row r="6754" spans="3:4">
      <c r="C6754"/>
      <c r="D6754"/>
    </row>
    <row r="6755" spans="3:4">
      <c r="C6755"/>
      <c r="D6755"/>
    </row>
    <row r="6756" spans="3:4">
      <c r="C6756"/>
      <c r="D6756"/>
    </row>
    <row r="6757" spans="3:4">
      <c r="C6757"/>
      <c r="D6757"/>
    </row>
    <row r="6758" spans="3:4">
      <c r="C6758"/>
      <c r="D6758"/>
    </row>
    <row r="6759" spans="3:4">
      <c r="C6759"/>
      <c r="D6759"/>
    </row>
    <row r="6760" spans="3:4">
      <c r="C6760"/>
      <c r="D6760"/>
    </row>
    <row r="6761" spans="3:4">
      <c r="C6761"/>
      <c r="D6761"/>
    </row>
    <row r="6762" spans="3:4">
      <c r="C6762"/>
      <c r="D6762"/>
    </row>
    <row r="6763" spans="3:4">
      <c r="C6763"/>
      <c r="D6763"/>
    </row>
    <row r="6764" spans="3:4">
      <c r="C6764"/>
      <c r="D6764"/>
    </row>
    <row r="6765" spans="3:4">
      <c r="C6765"/>
      <c r="D6765"/>
    </row>
    <row r="6766" spans="3:4">
      <c r="C6766"/>
      <c r="D6766"/>
    </row>
    <row r="6767" spans="3:4">
      <c r="C6767"/>
      <c r="D6767"/>
    </row>
    <row r="6768" spans="3:4">
      <c r="C6768"/>
      <c r="D6768"/>
    </row>
    <row r="6769" spans="3:4">
      <c r="C6769"/>
      <c r="D6769"/>
    </row>
    <row r="6770" spans="3:4">
      <c r="C6770"/>
      <c r="D6770"/>
    </row>
    <row r="6771" spans="3:4">
      <c r="C6771"/>
      <c r="D6771"/>
    </row>
    <row r="6772" spans="3:4">
      <c r="C6772"/>
      <c r="D6772"/>
    </row>
    <row r="6773" spans="3:4">
      <c r="C6773"/>
      <c r="D6773"/>
    </row>
    <row r="6774" spans="3:4">
      <c r="C6774"/>
      <c r="D6774"/>
    </row>
    <row r="6775" spans="3:4">
      <c r="C6775"/>
      <c r="D6775"/>
    </row>
    <row r="6776" spans="3:4">
      <c r="C6776"/>
      <c r="D6776"/>
    </row>
    <row r="6777" spans="3:4">
      <c r="C6777"/>
      <c r="D6777"/>
    </row>
    <row r="6778" spans="3:4">
      <c r="C6778"/>
      <c r="D6778"/>
    </row>
    <row r="6779" spans="3:4">
      <c r="C6779"/>
      <c r="D6779"/>
    </row>
    <row r="6780" spans="3:4">
      <c r="C6780"/>
      <c r="D6780"/>
    </row>
    <row r="6781" spans="3:4">
      <c r="C6781"/>
      <c r="D6781"/>
    </row>
    <row r="6782" spans="3:4">
      <c r="C6782"/>
      <c r="D6782"/>
    </row>
    <row r="6783" spans="3:4">
      <c r="C6783"/>
      <c r="D6783"/>
    </row>
    <row r="6784" spans="3:4">
      <c r="C6784"/>
      <c r="D6784"/>
    </row>
    <row r="6785" spans="3:4">
      <c r="C6785"/>
      <c r="D6785"/>
    </row>
    <row r="6786" spans="3:4">
      <c r="C6786"/>
      <c r="D6786"/>
    </row>
    <row r="6787" spans="3:4">
      <c r="C6787"/>
      <c r="D6787"/>
    </row>
    <row r="6788" spans="3:4">
      <c r="C6788"/>
      <c r="D6788"/>
    </row>
    <row r="6789" spans="3:4">
      <c r="C6789"/>
      <c r="D6789"/>
    </row>
    <row r="6790" spans="3:4">
      <c r="C6790"/>
      <c r="D6790"/>
    </row>
    <row r="6791" spans="3:4">
      <c r="C6791"/>
      <c r="D6791"/>
    </row>
    <row r="6792" spans="3:4">
      <c r="C6792"/>
      <c r="D6792"/>
    </row>
    <row r="6793" spans="3:4">
      <c r="C6793"/>
      <c r="D6793"/>
    </row>
    <row r="6794" spans="3:4">
      <c r="C6794"/>
      <c r="D6794"/>
    </row>
    <row r="6795" spans="3:4">
      <c r="C6795"/>
      <c r="D6795"/>
    </row>
    <row r="6796" spans="3:4">
      <c r="C6796"/>
      <c r="D6796"/>
    </row>
    <row r="6797" spans="3:4">
      <c r="C6797"/>
      <c r="D6797"/>
    </row>
    <row r="6798" spans="3:4">
      <c r="C6798"/>
      <c r="D6798"/>
    </row>
    <row r="6799" spans="3:4">
      <c r="C6799"/>
      <c r="D6799"/>
    </row>
    <row r="6800" spans="3:4">
      <c r="C6800"/>
      <c r="D6800"/>
    </row>
    <row r="6801" spans="3:4">
      <c r="C6801"/>
      <c r="D6801"/>
    </row>
    <row r="6802" spans="3:4">
      <c r="C6802"/>
      <c r="D6802"/>
    </row>
    <row r="6803" spans="3:4">
      <c r="C6803"/>
      <c r="D6803"/>
    </row>
    <row r="6804" spans="3:4">
      <c r="C6804"/>
      <c r="D6804"/>
    </row>
    <row r="6805" spans="3:4">
      <c r="C6805"/>
      <c r="D6805"/>
    </row>
    <row r="6806" spans="3:4">
      <c r="C6806"/>
      <c r="D6806"/>
    </row>
    <row r="6807" spans="3:4">
      <c r="C6807"/>
      <c r="D6807"/>
    </row>
    <row r="6808" spans="3:4">
      <c r="C6808"/>
      <c r="D6808"/>
    </row>
    <row r="6809" spans="3:4">
      <c r="C6809"/>
      <c r="D6809"/>
    </row>
    <row r="6810" spans="3:4">
      <c r="C6810"/>
      <c r="D6810"/>
    </row>
    <row r="6811" spans="3:4">
      <c r="C6811"/>
      <c r="D6811"/>
    </row>
    <row r="6812" spans="3:4">
      <c r="C6812"/>
      <c r="D6812"/>
    </row>
    <row r="6813" spans="3:4">
      <c r="C6813"/>
      <c r="D6813"/>
    </row>
    <row r="6814" spans="3:4">
      <c r="C6814"/>
      <c r="D6814"/>
    </row>
    <row r="6815" spans="3:4">
      <c r="C6815"/>
      <c r="D6815"/>
    </row>
    <row r="6816" spans="3:4">
      <c r="C6816"/>
      <c r="D6816"/>
    </row>
    <row r="6817" spans="3:4">
      <c r="C6817"/>
      <c r="D6817"/>
    </row>
    <row r="6818" spans="3:4">
      <c r="C6818"/>
      <c r="D6818"/>
    </row>
    <row r="6819" spans="3:4">
      <c r="C6819"/>
      <c r="D6819"/>
    </row>
    <row r="6820" spans="3:4">
      <c r="C6820"/>
      <c r="D6820"/>
    </row>
    <row r="6821" spans="3:4">
      <c r="C6821"/>
      <c r="D6821"/>
    </row>
    <row r="6822" spans="3:4">
      <c r="C6822"/>
      <c r="D6822"/>
    </row>
    <row r="6823" spans="3:4">
      <c r="C6823"/>
      <c r="D6823"/>
    </row>
    <row r="6824" spans="3:4">
      <c r="C6824"/>
      <c r="D6824"/>
    </row>
    <row r="6825" spans="3:4">
      <c r="C6825"/>
      <c r="D6825"/>
    </row>
    <row r="6826" spans="3:4">
      <c r="C6826"/>
      <c r="D6826"/>
    </row>
    <row r="6827" spans="3:4">
      <c r="C6827"/>
      <c r="D6827"/>
    </row>
    <row r="6828" spans="3:4">
      <c r="C6828"/>
      <c r="D6828"/>
    </row>
    <row r="6829" spans="3:4">
      <c r="C6829"/>
      <c r="D6829"/>
    </row>
    <row r="6830" spans="3:4">
      <c r="C6830"/>
      <c r="D6830"/>
    </row>
    <row r="6831" spans="3:4">
      <c r="C6831"/>
      <c r="D6831"/>
    </row>
    <row r="6832" spans="3:4">
      <c r="C6832"/>
      <c r="D6832"/>
    </row>
    <row r="6833" spans="3:4">
      <c r="C6833"/>
      <c r="D6833"/>
    </row>
    <row r="6834" spans="3:4">
      <c r="C6834"/>
      <c r="D6834"/>
    </row>
    <row r="6835" spans="3:4">
      <c r="C6835"/>
      <c r="D6835"/>
    </row>
    <row r="6836" spans="3:4">
      <c r="C6836"/>
      <c r="D6836"/>
    </row>
    <row r="6837" spans="3:4">
      <c r="C6837"/>
      <c r="D6837"/>
    </row>
    <row r="6838" spans="3:4">
      <c r="C6838"/>
      <c r="D6838"/>
    </row>
    <row r="6839" spans="3:4">
      <c r="C6839"/>
      <c r="D6839"/>
    </row>
    <row r="6840" spans="3:4">
      <c r="C6840"/>
      <c r="D6840"/>
    </row>
    <row r="6841" spans="3:4">
      <c r="C6841"/>
      <c r="D6841"/>
    </row>
    <row r="6842" spans="3:4">
      <c r="C6842"/>
      <c r="D6842"/>
    </row>
    <row r="6843" spans="3:4">
      <c r="C6843"/>
      <c r="D6843"/>
    </row>
    <row r="6844" spans="3:4">
      <c r="C6844"/>
      <c r="D6844"/>
    </row>
    <row r="6845" spans="3:4">
      <c r="C6845"/>
      <c r="D6845"/>
    </row>
    <row r="6846" spans="3:4">
      <c r="C6846"/>
      <c r="D6846"/>
    </row>
    <row r="6847" spans="3:4">
      <c r="C6847"/>
      <c r="D6847"/>
    </row>
    <row r="6848" spans="3:4">
      <c r="C6848"/>
      <c r="D6848"/>
    </row>
    <row r="6849" spans="3:4">
      <c r="C6849"/>
      <c r="D6849"/>
    </row>
    <row r="6850" spans="3:4">
      <c r="C6850"/>
      <c r="D6850"/>
    </row>
    <row r="6851" spans="3:4">
      <c r="C6851"/>
      <c r="D6851"/>
    </row>
    <row r="6852" spans="3:4">
      <c r="C6852"/>
      <c r="D6852"/>
    </row>
    <row r="6853" spans="3:4">
      <c r="C6853"/>
      <c r="D6853"/>
    </row>
    <row r="6854" spans="3:4">
      <c r="C6854"/>
      <c r="D6854"/>
    </row>
    <row r="6855" spans="3:4">
      <c r="C6855"/>
      <c r="D6855"/>
    </row>
    <row r="6856" spans="3:4">
      <c r="C6856"/>
      <c r="D6856"/>
    </row>
    <row r="6857" spans="3:4">
      <c r="C6857"/>
      <c r="D6857"/>
    </row>
    <row r="6858" spans="3:4">
      <c r="C6858"/>
      <c r="D6858"/>
    </row>
    <row r="6859" spans="3:4">
      <c r="C6859"/>
      <c r="D6859"/>
    </row>
    <row r="6860" spans="3:4">
      <c r="C6860"/>
      <c r="D6860"/>
    </row>
    <row r="6861" spans="3:4">
      <c r="C6861"/>
      <c r="D6861"/>
    </row>
    <row r="6862" spans="3:4">
      <c r="C6862"/>
      <c r="D6862"/>
    </row>
    <row r="6863" spans="3:4">
      <c r="C6863"/>
      <c r="D6863"/>
    </row>
    <row r="6864" spans="3:4">
      <c r="C6864"/>
      <c r="D6864"/>
    </row>
    <row r="6865" spans="3:4">
      <c r="C6865"/>
      <c r="D6865"/>
    </row>
    <row r="6866" spans="3:4">
      <c r="C6866"/>
      <c r="D6866"/>
    </row>
    <row r="6867" spans="3:4">
      <c r="C6867"/>
      <c r="D6867"/>
    </row>
    <row r="6868" spans="3:4">
      <c r="C6868"/>
      <c r="D6868"/>
    </row>
    <row r="6869" spans="3:4">
      <c r="C6869"/>
      <c r="D6869"/>
    </row>
    <row r="6870" spans="3:4">
      <c r="C6870"/>
      <c r="D6870"/>
    </row>
    <row r="6871" spans="3:4">
      <c r="C6871"/>
      <c r="D6871"/>
    </row>
    <row r="6872" spans="3:4">
      <c r="C6872"/>
      <c r="D6872"/>
    </row>
    <row r="6873" spans="3:4">
      <c r="C6873"/>
      <c r="D6873"/>
    </row>
    <row r="6874" spans="3:4">
      <c r="C6874"/>
      <c r="D6874"/>
    </row>
    <row r="6875" spans="3:4">
      <c r="C6875"/>
      <c r="D6875"/>
    </row>
    <row r="6876" spans="3:4">
      <c r="C6876"/>
      <c r="D6876"/>
    </row>
    <row r="6877" spans="3:4">
      <c r="C6877"/>
      <c r="D6877"/>
    </row>
    <row r="6878" spans="3:4">
      <c r="C6878"/>
      <c r="D6878"/>
    </row>
    <row r="6879" spans="3:4">
      <c r="C6879"/>
      <c r="D6879"/>
    </row>
    <row r="6880" spans="3:4">
      <c r="C6880"/>
      <c r="D6880"/>
    </row>
    <row r="6881" spans="3:4">
      <c r="C6881"/>
      <c r="D6881"/>
    </row>
    <row r="6882" spans="3:4">
      <c r="C6882"/>
      <c r="D6882"/>
    </row>
    <row r="6883" spans="3:4">
      <c r="C6883"/>
      <c r="D6883"/>
    </row>
    <row r="6884" spans="3:4">
      <c r="C6884"/>
      <c r="D6884"/>
    </row>
    <row r="6885" spans="3:4">
      <c r="C6885"/>
      <c r="D6885"/>
    </row>
    <row r="6886" spans="3:4">
      <c r="C6886"/>
      <c r="D6886"/>
    </row>
    <row r="6887" spans="3:4">
      <c r="C6887"/>
      <c r="D6887"/>
    </row>
    <row r="6888" spans="3:4">
      <c r="C6888"/>
      <c r="D6888"/>
    </row>
    <row r="6889" spans="3:4">
      <c r="C6889"/>
      <c r="D6889"/>
    </row>
    <row r="6890" spans="3:4">
      <c r="C6890"/>
      <c r="D6890"/>
    </row>
    <row r="6891" spans="3:4">
      <c r="C6891"/>
      <c r="D6891"/>
    </row>
    <row r="6892" spans="3:4">
      <c r="C6892"/>
      <c r="D6892"/>
    </row>
    <row r="6893" spans="3:4">
      <c r="C6893"/>
      <c r="D6893"/>
    </row>
    <row r="6894" spans="3:4">
      <c r="C6894"/>
      <c r="D6894"/>
    </row>
    <row r="6895" spans="3:4">
      <c r="C6895"/>
      <c r="D6895"/>
    </row>
    <row r="6896" spans="3:4">
      <c r="C6896"/>
      <c r="D6896"/>
    </row>
    <row r="6897" spans="3:4">
      <c r="C6897"/>
      <c r="D6897"/>
    </row>
    <row r="6898" spans="3:4">
      <c r="C6898"/>
      <c r="D6898"/>
    </row>
    <row r="6899" spans="3:4">
      <c r="C6899"/>
      <c r="D6899"/>
    </row>
    <row r="6900" spans="3:4">
      <c r="C6900"/>
      <c r="D6900"/>
    </row>
    <row r="6901" spans="3:4">
      <c r="C6901"/>
      <c r="D6901"/>
    </row>
    <row r="6902" spans="3:4">
      <c r="C6902"/>
      <c r="D6902"/>
    </row>
    <row r="6903" spans="3:4">
      <c r="C6903"/>
      <c r="D6903"/>
    </row>
    <row r="6904" spans="3:4">
      <c r="C6904"/>
      <c r="D6904"/>
    </row>
    <row r="6905" spans="3:4">
      <c r="C6905"/>
      <c r="D6905"/>
    </row>
    <row r="6906" spans="3:4">
      <c r="C6906"/>
      <c r="D6906"/>
    </row>
    <row r="6907" spans="3:4">
      <c r="C6907"/>
      <c r="D6907"/>
    </row>
    <row r="6908" spans="3:4">
      <c r="C6908"/>
      <c r="D6908"/>
    </row>
    <row r="6909" spans="3:4">
      <c r="C6909"/>
      <c r="D6909"/>
    </row>
    <row r="6910" spans="3:4">
      <c r="C6910"/>
      <c r="D6910"/>
    </row>
    <row r="6911" spans="3:4">
      <c r="C6911"/>
      <c r="D6911"/>
    </row>
    <row r="6912" spans="3:4">
      <c r="C6912"/>
      <c r="D6912"/>
    </row>
    <row r="6913" spans="3:4">
      <c r="C6913"/>
      <c r="D6913"/>
    </row>
    <row r="6914" spans="3:4">
      <c r="C6914"/>
      <c r="D6914"/>
    </row>
    <row r="6915" spans="3:4">
      <c r="C6915"/>
      <c r="D6915"/>
    </row>
    <row r="6916" spans="3:4">
      <c r="C6916"/>
      <c r="D6916"/>
    </row>
    <row r="6917" spans="3:4">
      <c r="C6917"/>
      <c r="D6917"/>
    </row>
    <row r="6918" spans="3:4">
      <c r="C6918"/>
      <c r="D6918"/>
    </row>
    <row r="6919" spans="3:4">
      <c r="C6919"/>
      <c r="D6919"/>
    </row>
    <row r="6920" spans="3:4">
      <c r="C6920"/>
      <c r="D6920"/>
    </row>
    <row r="6921" spans="3:4">
      <c r="C6921"/>
      <c r="D6921"/>
    </row>
    <row r="6922" spans="3:4">
      <c r="C6922"/>
      <c r="D6922"/>
    </row>
    <row r="6923" spans="3:4">
      <c r="C6923"/>
      <c r="D6923"/>
    </row>
    <row r="6924" spans="3:4">
      <c r="C6924"/>
      <c r="D6924"/>
    </row>
    <row r="6925" spans="3:4">
      <c r="C6925"/>
      <c r="D6925"/>
    </row>
    <row r="6926" spans="3:4">
      <c r="C6926"/>
      <c r="D6926"/>
    </row>
    <row r="6927" spans="3:4">
      <c r="C6927"/>
      <c r="D6927"/>
    </row>
    <row r="6928" spans="3:4">
      <c r="C6928"/>
      <c r="D6928"/>
    </row>
    <row r="6929" spans="3:4">
      <c r="C6929"/>
      <c r="D6929"/>
    </row>
    <row r="6930" spans="3:4">
      <c r="C6930"/>
      <c r="D6930"/>
    </row>
    <row r="6931" spans="3:4">
      <c r="C6931"/>
      <c r="D6931"/>
    </row>
    <row r="6932" spans="3:4">
      <c r="C6932"/>
      <c r="D6932"/>
    </row>
    <row r="6933" spans="3:4">
      <c r="C6933"/>
      <c r="D6933"/>
    </row>
    <row r="6934" spans="3:4">
      <c r="C6934"/>
      <c r="D6934"/>
    </row>
    <row r="6935" spans="3:4">
      <c r="C6935"/>
      <c r="D6935"/>
    </row>
    <row r="6936" spans="3:4">
      <c r="C6936"/>
      <c r="D6936"/>
    </row>
    <row r="6937" spans="3:4">
      <c r="C6937"/>
      <c r="D6937"/>
    </row>
    <row r="6938" spans="3:4">
      <c r="C6938"/>
      <c r="D6938"/>
    </row>
    <row r="6939" spans="3:4">
      <c r="C6939"/>
      <c r="D6939"/>
    </row>
    <row r="6940" spans="3:4">
      <c r="C6940"/>
      <c r="D6940"/>
    </row>
    <row r="6941" spans="3:4">
      <c r="C6941"/>
      <c r="D6941"/>
    </row>
    <row r="6942" spans="3:4">
      <c r="C6942"/>
      <c r="D6942"/>
    </row>
    <row r="6943" spans="3:4">
      <c r="C6943"/>
      <c r="D6943"/>
    </row>
    <row r="6944" spans="3:4">
      <c r="C6944"/>
      <c r="D6944"/>
    </row>
    <row r="6945" spans="3:4">
      <c r="C6945"/>
      <c r="D6945"/>
    </row>
    <row r="6946" spans="3:4">
      <c r="C6946"/>
      <c r="D6946"/>
    </row>
    <row r="6947" spans="3:4">
      <c r="C6947"/>
      <c r="D6947"/>
    </row>
    <row r="6948" spans="3:4">
      <c r="C6948"/>
      <c r="D6948"/>
    </row>
    <row r="6949" spans="3:4">
      <c r="C6949"/>
      <c r="D6949"/>
    </row>
    <row r="6950" spans="3:4">
      <c r="C6950"/>
      <c r="D6950"/>
    </row>
    <row r="6951" spans="3:4">
      <c r="C6951"/>
      <c r="D6951"/>
    </row>
    <row r="6952" spans="3:4">
      <c r="C6952"/>
      <c r="D6952"/>
    </row>
    <row r="6953" spans="3:4">
      <c r="C6953"/>
      <c r="D6953"/>
    </row>
    <row r="6954" spans="3:4">
      <c r="C6954"/>
      <c r="D6954"/>
    </row>
    <row r="6955" spans="3:4">
      <c r="C6955"/>
      <c r="D6955"/>
    </row>
    <row r="6956" spans="3:4">
      <c r="C6956"/>
      <c r="D6956"/>
    </row>
    <row r="6957" spans="3:4">
      <c r="C6957"/>
      <c r="D6957"/>
    </row>
    <row r="6958" spans="3:4">
      <c r="C6958"/>
      <c r="D6958"/>
    </row>
    <row r="6959" spans="3:4">
      <c r="C6959"/>
      <c r="D6959"/>
    </row>
    <row r="6960" spans="3:4">
      <c r="C6960"/>
      <c r="D6960"/>
    </row>
    <row r="6961" spans="3:4">
      <c r="C6961"/>
      <c r="D6961"/>
    </row>
    <row r="6962" spans="3:4">
      <c r="C6962"/>
      <c r="D6962"/>
    </row>
    <row r="6963" spans="3:4">
      <c r="C6963"/>
      <c r="D6963"/>
    </row>
    <row r="6964" spans="3:4">
      <c r="C6964"/>
      <c r="D6964"/>
    </row>
    <row r="6965" spans="3:4">
      <c r="C6965"/>
      <c r="D6965"/>
    </row>
    <row r="6966" spans="3:4">
      <c r="C6966"/>
      <c r="D6966"/>
    </row>
    <row r="6967" spans="3:4">
      <c r="C6967"/>
      <c r="D6967"/>
    </row>
    <row r="6968" spans="3:4">
      <c r="C6968"/>
      <c r="D6968"/>
    </row>
    <row r="6969" spans="3:4">
      <c r="C6969"/>
      <c r="D6969"/>
    </row>
    <row r="6970" spans="3:4">
      <c r="C6970"/>
      <c r="D6970"/>
    </row>
    <row r="6971" spans="3:4">
      <c r="C6971"/>
      <c r="D6971"/>
    </row>
    <row r="6972" spans="3:4">
      <c r="C6972"/>
      <c r="D6972"/>
    </row>
    <row r="6973" spans="3:4">
      <c r="C6973"/>
      <c r="D6973"/>
    </row>
    <row r="6974" spans="3:4">
      <c r="C6974"/>
      <c r="D6974"/>
    </row>
    <row r="6975" spans="3:4">
      <c r="C6975"/>
      <c r="D6975"/>
    </row>
    <row r="6976" spans="3:4">
      <c r="C6976"/>
      <c r="D6976"/>
    </row>
    <row r="6977" spans="3:4">
      <c r="C6977"/>
      <c r="D6977"/>
    </row>
    <row r="6978" spans="3:4">
      <c r="C6978"/>
      <c r="D6978"/>
    </row>
    <row r="6979" spans="3:4">
      <c r="C6979"/>
      <c r="D6979"/>
    </row>
    <row r="6980" spans="3:4">
      <c r="C6980"/>
      <c r="D6980"/>
    </row>
    <row r="6981" spans="3:4">
      <c r="C6981"/>
      <c r="D6981"/>
    </row>
    <row r="6982" spans="3:4">
      <c r="C6982"/>
      <c r="D6982"/>
    </row>
    <row r="6983" spans="3:4">
      <c r="C6983"/>
      <c r="D6983"/>
    </row>
    <row r="6984" spans="3:4">
      <c r="C6984"/>
      <c r="D6984"/>
    </row>
    <row r="6985" spans="3:4">
      <c r="C6985"/>
      <c r="D6985"/>
    </row>
    <row r="6986" spans="3:4">
      <c r="C6986"/>
      <c r="D6986"/>
    </row>
    <row r="6987" spans="3:4">
      <c r="C6987"/>
      <c r="D6987"/>
    </row>
    <row r="6988" spans="3:4">
      <c r="C6988"/>
      <c r="D6988"/>
    </row>
    <row r="6989" spans="3:4">
      <c r="C6989"/>
      <c r="D6989"/>
    </row>
    <row r="6990" spans="3:4">
      <c r="C6990"/>
      <c r="D6990"/>
    </row>
    <row r="6991" spans="3:4">
      <c r="C6991"/>
      <c r="D6991"/>
    </row>
    <row r="6992" spans="3:4">
      <c r="C6992"/>
      <c r="D6992"/>
    </row>
    <row r="6993" spans="3:4">
      <c r="C6993"/>
      <c r="D6993"/>
    </row>
    <row r="6994" spans="3:4">
      <c r="C6994"/>
      <c r="D6994"/>
    </row>
    <row r="6995" spans="3:4">
      <c r="C6995"/>
      <c r="D6995"/>
    </row>
    <row r="6996" spans="3:4">
      <c r="C6996"/>
      <c r="D6996"/>
    </row>
    <row r="6997" spans="3:4">
      <c r="C6997"/>
      <c r="D6997"/>
    </row>
    <row r="6998" spans="3:4">
      <c r="C6998"/>
      <c r="D6998"/>
    </row>
    <row r="6999" spans="3:4">
      <c r="C6999"/>
      <c r="D6999"/>
    </row>
    <row r="7000" spans="3:4">
      <c r="C7000"/>
      <c r="D7000"/>
    </row>
    <row r="7001" spans="3:4">
      <c r="C7001"/>
      <c r="D7001"/>
    </row>
    <row r="7002" spans="3:4">
      <c r="C7002"/>
      <c r="D7002"/>
    </row>
    <row r="7003" spans="3:4">
      <c r="C7003"/>
      <c r="D7003"/>
    </row>
    <row r="7004" spans="3:4">
      <c r="C7004"/>
      <c r="D7004"/>
    </row>
    <row r="7005" spans="3:4">
      <c r="C7005"/>
      <c r="D7005"/>
    </row>
    <row r="7006" spans="3:4">
      <c r="C7006"/>
      <c r="D7006"/>
    </row>
    <row r="7007" spans="3:4">
      <c r="C7007"/>
      <c r="D7007"/>
    </row>
    <row r="7008" spans="3:4">
      <c r="C7008"/>
      <c r="D7008"/>
    </row>
    <row r="7009" spans="3:4">
      <c r="C7009"/>
      <c r="D7009"/>
    </row>
    <row r="7010" spans="3:4">
      <c r="C7010"/>
      <c r="D7010"/>
    </row>
    <row r="7011" spans="3:4">
      <c r="C7011"/>
      <c r="D7011"/>
    </row>
    <row r="7012" spans="3:4">
      <c r="C7012"/>
      <c r="D7012"/>
    </row>
    <row r="7013" spans="3:4">
      <c r="C7013"/>
      <c r="D7013"/>
    </row>
    <row r="7014" spans="3:4">
      <c r="C7014"/>
      <c r="D7014"/>
    </row>
    <row r="7015" spans="3:4">
      <c r="C7015"/>
      <c r="D7015"/>
    </row>
    <row r="7016" spans="3:4">
      <c r="C7016"/>
      <c r="D7016"/>
    </row>
    <row r="7017" spans="3:4">
      <c r="C7017"/>
      <c r="D7017"/>
    </row>
    <row r="7018" spans="3:4">
      <c r="C7018"/>
      <c r="D7018"/>
    </row>
    <row r="7019" spans="3:4">
      <c r="C7019"/>
      <c r="D7019"/>
    </row>
    <row r="7020" spans="3:4">
      <c r="C7020"/>
      <c r="D7020"/>
    </row>
    <row r="7021" spans="3:4">
      <c r="C7021"/>
      <c r="D7021"/>
    </row>
    <row r="7022" spans="3:4">
      <c r="C7022"/>
      <c r="D7022"/>
    </row>
    <row r="7023" spans="3:4">
      <c r="C7023"/>
      <c r="D7023"/>
    </row>
    <row r="7024" spans="3:4">
      <c r="C7024"/>
      <c r="D7024"/>
    </row>
    <row r="7025" spans="3:4">
      <c r="C7025"/>
      <c r="D7025"/>
    </row>
    <row r="7026" spans="3:4">
      <c r="C7026"/>
      <c r="D7026"/>
    </row>
    <row r="7027" spans="3:4">
      <c r="C7027"/>
      <c r="D7027"/>
    </row>
    <row r="7028" spans="3:4">
      <c r="C7028"/>
      <c r="D7028"/>
    </row>
    <row r="7029" spans="3:4">
      <c r="C7029"/>
      <c r="D7029"/>
    </row>
    <row r="7030" spans="3:4">
      <c r="C7030"/>
      <c r="D7030"/>
    </row>
    <row r="7031" spans="3:4">
      <c r="C7031"/>
      <c r="D7031"/>
    </row>
    <row r="7032" spans="3:4">
      <c r="C7032"/>
      <c r="D7032"/>
    </row>
    <row r="7033" spans="3:4">
      <c r="C7033"/>
      <c r="D7033"/>
    </row>
    <row r="7034" spans="3:4">
      <c r="C7034"/>
      <c r="D7034"/>
    </row>
    <row r="7035" spans="3:4">
      <c r="C7035"/>
      <c r="D7035"/>
    </row>
    <row r="7036" spans="3:4">
      <c r="C7036"/>
      <c r="D7036"/>
    </row>
    <row r="7037" spans="3:4">
      <c r="C7037"/>
      <c r="D7037"/>
    </row>
    <row r="7038" spans="3:4">
      <c r="C7038"/>
      <c r="D7038"/>
    </row>
    <row r="7039" spans="3:4">
      <c r="C7039"/>
      <c r="D7039"/>
    </row>
    <row r="7040" spans="3:4">
      <c r="C7040"/>
      <c r="D7040"/>
    </row>
    <row r="7041" spans="3:4">
      <c r="C7041"/>
      <c r="D7041"/>
    </row>
    <row r="7042" spans="3:4">
      <c r="C7042"/>
      <c r="D7042"/>
    </row>
    <row r="7043" spans="3:4">
      <c r="C7043"/>
      <c r="D7043"/>
    </row>
    <row r="7044" spans="3:4">
      <c r="C7044"/>
      <c r="D7044"/>
    </row>
    <row r="7045" spans="3:4">
      <c r="C7045"/>
      <c r="D7045"/>
    </row>
    <row r="7046" spans="3:4">
      <c r="C7046"/>
      <c r="D7046"/>
    </row>
    <row r="7047" spans="3:4">
      <c r="C7047"/>
      <c r="D7047"/>
    </row>
    <row r="7048" spans="3:4">
      <c r="C7048"/>
      <c r="D7048"/>
    </row>
    <row r="7049" spans="3:4">
      <c r="C7049"/>
      <c r="D7049"/>
    </row>
    <row r="7050" spans="3:4">
      <c r="C7050"/>
      <c r="D7050"/>
    </row>
    <row r="7051" spans="3:4">
      <c r="C7051"/>
      <c r="D7051"/>
    </row>
    <row r="7052" spans="3:4">
      <c r="C7052"/>
      <c r="D7052"/>
    </row>
    <row r="7053" spans="3:4">
      <c r="C7053"/>
      <c r="D7053"/>
    </row>
    <row r="7054" spans="3:4">
      <c r="C7054"/>
      <c r="D7054"/>
    </row>
    <row r="7055" spans="3:4">
      <c r="C7055"/>
      <c r="D7055"/>
    </row>
    <row r="7056" spans="3:4">
      <c r="C7056"/>
      <c r="D7056"/>
    </row>
    <row r="7057" spans="3:4">
      <c r="C7057"/>
      <c r="D7057"/>
    </row>
    <row r="7058" spans="3:4">
      <c r="C7058"/>
      <c r="D7058"/>
    </row>
    <row r="7059" spans="3:4">
      <c r="C7059"/>
      <c r="D7059"/>
    </row>
    <row r="7060" spans="3:4">
      <c r="C7060"/>
      <c r="D7060"/>
    </row>
    <row r="7061" spans="3:4">
      <c r="C7061"/>
      <c r="D7061"/>
    </row>
    <row r="7062" spans="3:4">
      <c r="C7062"/>
      <c r="D7062"/>
    </row>
    <row r="7063" spans="3:4">
      <c r="C7063"/>
      <c r="D7063"/>
    </row>
    <row r="7064" spans="3:4">
      <c r="C7064"/>
      <c r="D7064"/>
    </row>
    <row r="7065" spans="3:4">
      <c r="C7065"/>
      <c r="D7065"/>
    </row>
    <row r="7066" spans="3:4">
      <c r="C7066"/>
      <c r="D7066"/>
    </row>
    <row r="7067" spans="3:4">
      <c r="C7067"/>
      <c r="D7067"/>
    </row>
    <row r="7068" spans="3:4">
      <c r="C7068"/>
      <c r="D7068"/>
    </row>
    <row r="7069" spans="3:4">
      <c r="C7069"/>
      <c r="D7069"/>
    </row>
    <row r="7070" spans="3:4">
      <c r="C7070"/>
      <c r="D7070"/>
    </row>
    <row r="7071" spans="3:4">
      <c r="C7071"/>
      <c r="D7071"/>
    </row>
    <row r="7072" spans="3:4">
      <c r="C7072"/>
      <c r="D7072"/>
    </row>
    <row r="7073" spans="3:4">
      <c r="C7073"/>
      <c r="D7073"/>
    </row>
    <row r="7074" spans="3:4">
      <c r="C7074"/>
      <c r="D7074"/>
    </row>
    <row r="7075" spans="3:4">
      <c r="C7075"/>
      <c r="D7075"/>
    </row>
    <row r="7076" spans="3:4">
      <c r="C7076"/>
      <c r="D7076"/>
    </row>
    <row r="7077" spans="3:4">
      <c r="C7077"/>
      <c r="D7077"/>
    </row>
    <row r="7078" spans="3:4">
      <c r="C7078"/>
      <c r="D7078"/>
    </row>
    <row r="7079" spans="3:4">
      <c r="C7079"/>
      <c r="D7079"/>
    </row>
    <row r="7080" spans="3:4">
      <c r="C7080"/>
      <c r="D7080"/>
    </row>
    <row r="7081" spans="3:4">
      <c r="C7081"/>
      <c r="D7081"/>
    </row>
    <row r="7082" spans="3:4">
      <c r="C7082"/>
      <c r="D7082"/>
    </row>
    <row r="7083" spans="3:4">
      <c r="C7083"/>
      <c r="D7083"/>
    </row>
    <row r="7084" spans="3:4">
      <c r="C7084"/>
      <c r="D7084"/>
    </row>
    <row r="7085" spans="3:4">
      <c r="C7085"/>
      <c r="D7085"/>
    </row>
    <row r="7086" spans="3:4">
      <c r="C7086"/>
      <c r="D7086"/>
    </row>
    <row r="7087" spans="3:4">
      <c r="C7087"/>
      <c r="D7087"/>
    </row>
    <row r="7088" spans="3:4">
      <c r="C7088"/>
      <c r="D7088"/>
    </row>
    <row r="7089" spans="3:4">
      <c r="C7089"/>
      <c r="D7089"/>
    </row>
    <row r="7090" spans="3:4">
      <c r="C7090"/>
      <c r="D7090"/>
    </row>
    <row r="7091" spans="3:4">
      <c r="C7091"/>
      <c r="D7091"/>
    </row>
    <row r="7092" spans="3:4">
      <c r="C7092"/>
      <c r="D7092"/>
    </row>
    <row r="7093" spans="3:4">
      <c r="C7093"/>
      <c r="D7093"/>
    </row>
    <row r="7094" spans="3:4">
      <c r="C7094"/>
      <c r="D7094"/>
    </row>
    <row r="7095" spans="3:4">
      <c r="C7095"/>
      <c r="D7095"/>
    </row>
    <row r="7096" spans="3:4">
      <c r="C7096"/>
      <c r="D7096"/>
    </row>
    <row r="7097" spans="3:4">
      <c r="C7097"/>
      <c r="D7097"/>
    </row>
    <row r="7098" spans="3:4">
      <c r="C7098"/>
      <c r="D7098"/>
    </row>
    <row r="7099" spans="3:4">
      <c r="C7099"/>
      <c r="D7099"/>
    </row>
    <row r="7100" spans="3:4">
      <c r="C7100"/>
      <c r="D7100"/>
    </row>
    <row r="7101" spans="3:4">
      <c r="C7101"/>
      <c r="D7101"/>
    </row>
    <row r="7102" spans="3:4">
      <c r="C7102"/>
      <c r="D7102"/>
    </row>
    <row r="7103" spans="3:4">
      <c r="C7103"/>
      <c r="D7103"/>
    </row>
    <row r="7104" spans="3:4">
      <c r="C7104"/>
      <c r="D7104"/>
    </row>
    <row r="7105" spans="3:4">
      <c r="C7105"/>
      <c r="D7105"/>
    </row>
    <row r="7106" spans="3:4">
      <c r="C7106"/>
      <c r="D7106"/>
    </row>
    <row r="7107" spans="3:4">
      <c r="C7107"/>
      <c r="D7107"/>
    </row>
    <row r="7108" spans="3:4">
      <c r="C7108"/>
      <c r="D7108"/>
    </row>
    <row r="7109" spans="3:4">
      <c r="C7109"/>
      <c r="D7109"/>
    </row>
    <row r="7110" spans="3:4">
      <c r="C7110"/>
      <c r="D7110"/>
    </row>
    <row r="7111" spans="3:4">
      <c r="C7111"/>
      <c r="D7111"/>
    </row>
    <row r="7112" spans="3:4">
      <c r="C7112"/>
      <c r="D7112"/>
    </row>
    <row r="7113" spans="3:4">
      <c r="C7113"/>
      <c r="D7113"/>
    </row>
    <row r="7114" spans="3:4">
      <c r="C7114"/>
      <c r="D7114"/>
    </row>
    <row r="7115" spans="3:4">
      <c r="C7115"/>
      <c r="D7115"/>
    </row>
    <row r="7116" spans="3:4">
      <c r="C7116"/>
      <c r="D7116"/>
    </row>
    <row r="7117" spans="3:4">
      <c r="C7117"/>
      <c r="D7117"/>
    </row>
    <row r="7118" spans="3:4">
      <c r="C7118"/>
      <c r="D7118"/>
    </row>
    <row r="7119" spans="3:4">
      <c r="C7119"/>
      <c r="D7119"/>
    </row>
    <row r="7120" spans="3:4">
      <c r="C7120"/>
      <c r="D7120"/>
    </row>
    <row r="7121" spans="3:4">
      <c r="C7121"/>
      <c r="D7121"/>
    </row>
    <row r="7122" spans="3:4">
      <c r="C7122"/>
      <c r="D7122"/>
    </row>
    <row r="7123" spans="3:4">
      <c r="C7123"/>
      <c r="D7123"/>
    </row>
    <row r="7124" spans="3:4">
      <c r="C7124"/>
      <c r="D7124"/>
    </row>
    <row r="7125" spans="3:4">
      <c r="C7125"/>
      <c r="D7125"/>
    </row>
    <row r="7126" spans="3:4">
      <c r="C7126"/>
      <c r="D7126"/>
    </row>
    <row r="7127" spans="3:4">
      <c r="C7127"/>
      <c r="D7127"/>
    </row>
    <row r="7128" spans="3:4">
      <c r="C7128"/>
      <c r="D7128"/>
    </row>
    <row r="7129" spans="3:4">
      <c r="C7129"/>
      <c r="D7129"/>
    </row>
    <row r="7130" spans="3:4">
      <c r="C7130"/>
      <c r="D7130"/>
    </row>
    <row r="7131" spans="3:4">
      <c r="C7131"/>
      <c r="D7131"/>
    </row>
    <row r="7132" spans="3:4">
      <c r="C7132"/>
      <c r="D7132"/>
    </row>
    <row r="7133" spans="3:4">
      <c r="C7133"/>
      <c r="D7133"/>
    </row>
    <row r="7134" spans="3:4">
      <c r="C7134"/>
      <c r="D7134"/>
    </row>
    <row r="7135" spans="3:4">
      <c r="C7135"/>
      <c r="D7135"/>
    </row>
    <row r="7136" spans="3:4">
      <c r="C7136"/>
      <c r="D7136"/>
    </row>
    <row r="7137" spans="3:4">
      <c r="C7137"/>
      <c r="D7137"/>
    </row>
    <row r="7138" spans="3:4">
      <c r="C7138"/>
      <c r="D7138"/>
    </row>
    <row r="7139" spans="3:4">
      <c r="C7139"/>
      <c r="D7139"/>
    </row>
    <row r="7140" spans="3:4">
      <c r="C7140"/>
      <c r="D7140"/>
    </row>
    <row r="7141" spans="3:4">
      <c r="C7141"/>
      <c r="D7141"/>
    </row>
    <row r="7142" spans="3:4">
      <c r="C7142"/>
      <c r="D7142"/>
    </row>
    <row r="7143" spans="3:4">
      <c r="C7143"/>
      <c r="D7143"/>
    </row>
    <row r="7144" spans="3:4">
      <c r="C7144"/>
      <c r="D7144"/>
    </row>
    <row r="7145" spans="3:4">
      <c r="C7145"/>
      <c r="D7145"/>
    </row>
    <row r="7146" spans="3:4">
      <c r="C7146"/>
      <c r="D7146"/>
    </row>
    <row r="7147" spans="3:4">
      <c r="C7147"/>
      <c r="D7147"/>
    </row>
    <row r="7148" spans="3:4">
      <c r="C7148"/>
      <c r="D7148"/>
    </row>
    <row r="7149" spans="3:4">
      <c r="C7149"/>
      <c r="D7149"/>
    </row>
    <row r="7150" spans="3:4">
      <c r="C7150"/>
      <c r="D7150"/>
    </row>
    <row r="7151" spans="3:4">
      <c r="C7151"/>
      <c r="D7151"/>
    </row>
    <row r="7152" spans="3:4">
      <c r="C7152"/>
      <c r="D7152"/>
    </row>
    <row r="7153" spans="3:4">
      <c r="C7153"/>
      <c r="D7153"/>
    </row>
    <row r="7154" spans="3:4">
      <c r="C7154"/>
      <c r="D7154"/>
    </row>
    <row r="7155" spans="3:4">
      <c r="C7155"/>
      <c r="D7155"/>
    </row>
    <row r="7156" spans="3:4">
      <c r="C7156"/>
      <c r="D7156"/>
    </row>
    <row r="7157" spans="3:4">
      <c r="C7157"/>
      <c r="D7157"/>
    </row>
    <row r="7158" spans="3:4">
      <c r="C7158"/>
      <c r="D7158"/>
    </row>
    <row r="7159" spans="3:4">
      <c r="C7159"/>
      <c r="D7159"/>
    </row>
    <row r="7160" spans="3:4">
      <c r="C7160"/>
      <c r="D7160"/>
    </row>
    <row r="7161" spans="3:4">
      <c r="C7161"/>
      <c r="D7161"/>
    </row>
    <row r="7162" spans="3:4">
      <c r="C7162"/>
      <c r="D7162"/>
    </row>
    <row r="7163" spans="3:4">
      <c r="C7163"/>
      <c r="D7163"/>
    </row>
    <row r="7164" spans="3:4">
      <c r="C7164"/>
      <c r="D7164"/>
    </row>
    <row r="7165" spans="3:4">
      <c r="C7165"/>
      <c r="D7165"/>
    </row>
    <row r="7166" spans="3:4">
      <c r="C7166"/>
      <c r="D7166"/>
    </row>
    <row r="7167" spans="3:4">
      <c r="C7167"/>
      <c r="D7167"/>
    </row>
    <row r="7168" spans="3:4">
      <c r="C7168"/>
      <c r="D7168"/>
    </row>
    <row r="7169" spans="3:4">
      <c r="C7169"/>
      <c r="D7169"/>
    </row>
    <row r="7170" spans="3:4">
      <c r="C7170"/>
      <c r="D7170"/>
    </row>
    <row r="7171" spans="3:4">
      <c r="C7171"/>
      <c r="D7171"/>
    </row>
    <row r="7172" spans="3:4">
      <c r="C7172"/>
      <c r="D7172"/>
    </row>
    <row r="7173" spans="3:4">
      <c r="C7173"/>
      <c r="D7173"/>
    </row>
    <row r="7174" spans="3:4">
      <c r="C7174"/>
      <c r="D7174"/>
    </row>
    <row r="7175" spans="3:4">
      <c r="C7175"/>
      <c r="D7175"/>
    </row>
    <row r="7176" spans="3:4">
      <c r="C7176"/>
      <c r="D7176"/>
    </row>
    <row r="7177" spans="3:4">
      <c r="C7177"/>
      <c r="D7177"/>
    </row>
    <row r="7178" spans="3:4">
      <c r="C7178"/>
      <c r="D7178"/>
    </row>
    <row r="7179" spans="3:4">
      <c r="C7179"/>
      <c r="D7179"/>
    </row>
    <row r="7180" spans="3:4">
      <c r="C7180"/>
      <c r="D7180"/>
    </row>
    <row r="7181" spans="3:4">
      <c r="C7181"/>
      <c r="D7181"/>
    </row>
    <row r="7182" spans="3:4">
      <c r="C7182"/>
      <c r="D7182"/>
    </row>
    <row r="7183" spans="3:4">
      <c r="C7183"/>
      <c r="D7183"/>
    </row>
    <row r="7184" spans="3:4">
      <c r="C7184"/>
      <c r="D7184"/>
    </row>
    <row r="7185" spans="3:4">
      <c r="C7185"/>
      <c r="D7185"/>
    </row>
    <row r="7186" spans="3:4">
      <c r="C7186"/>
      <c r="D7186"/>
    </row>
    <row r="7187" spans="3:4">
      <c r="C7187"/>
      <c r="D7187"/>
    </row>
    <row r="7188" spans="3:4">
      <c r="C7188"/>
      <c r="D7188"/>
    </row>
    <row r="7189" spans="3:4">
      <c r="C7189"/>
      <c r="D7189"/>
    </row>
    <row r="7190" spans="3:4">
      <c r="C7190"/>
      <c r="D7190"/>
    </row>
    <row r="7191" spans="3:4">
      <c r="C7191"/>
      <c r="D7191"/>
    </row>
    <row r="7192" spans="3:4">
      <c r="C7192"/>
      <c r="D7192"/>
    </row>
    <row r="7193" spans="3:4">
      <c r="C7193"/>
      <c r="D7193"/>
    </row>
    <row r="7194" spans="3:4">
      <c r="C7194"/>
      <c r="D7194"/>
    </row>
    <row r="7195" spans="3:4">
      <c r="C7195"/>
      <c r="D7195"/>
    </row>
    <row r="7196" spans="3:4">
      <c r="C7196"/>
      <c r="D7196"/>
    </row>
    <row r="7197" spans="3:4">
      <c r="C7197"/>
      <c r="D7197"/>
    </row>
    <row r="7198" spans="3:4">
      <c r="C7198"/>
      <c r="D7198"/>
    </row>
    <row r="7199" spans="3:4">
      <c r="C7199"/>
      <c r="D7199"/>
    </row>
    <row r="7200" spans="3:4">
      <c r="C7200"/>
      <c r="D7200"/>
    </row>
    <row r="7201" spans="3:4">
      <c r="C7201"/>
      <c r="D7201"/>
    </row>
    <row r="7202" spans="3:4">
      <c r="C7202"/>
      <c r="D7202"/>
    </row>
    <row r="7203" spans="3:4">
      <c r="C7203"/>
      <c r="D7203"/>
    </row>
    <row r="7204" spans="3:4">
      <c r="C7204"/>
      <c r="D7204"/>
    </row>
    <row r="7205" spans="3:4">
      <c r="C7205"/>
      <c r="D7205"/>
    </row>
    <row r="7206" spans="3:4">
      <c r="C7206"/>
      <c r="D7206"/>
    </row>
    <row r="7207" spans="3:4">
      <c r="C7207"/>
      <c r="D7207"/>
    </row>
    <row r="7208" spans="3:4">
      <c r="C7208"/>
      <c r="D7208"/>
    </row>
    <row r="7209" spans="3:4">
      <c r="C7209"/>
      <c r="D7209"/>
    </row>
    <row r="7210" spans="3:4">
      <c r="C7210"/>
      <c r="D7210"/>
    </row>
    <row r="7211" spans="3:4">
      <c r="C7211"/>
      <c r="D7211"/>
    </row>
    <row r="7212" spans="3:4">
      <c r="C7212"/>
      <c r="D7212"/>
    </row>
    <row r="7213" spans="3:4">
      <c r="C7213"/>
      <c r="D7213"/>
    </row>
    <row r="7214" spans="3:4">
      <c r="C7214"/>
      <c r="D7214"/>
    </row>
    <row r="7215" spans="3:4">
      <c r="C7215"/>
      <c r="D7215"/>
    </row>
    <row r="7216" spans="3:4">
      <c r="C7216"/>
      <c r="D7216"/>
    </row>
    <row r="7217" spans="3:4">
      <c r="C7217"/>
      <c r="D7217"/>
    </row>
    <row r="7218" spans="3:4">
      <c r="C7218"/>
      <c r="D7218"/>
    </row>
    <row r="7219" spans="3:4">
      <c r="C7219"/>
      <c r="D7219"/>
    </row>
    <row r="7220" spans="3:4">
      <c r="C7220"/>
      <c r="D7220"/>
    </row>
    <row r="7221" spans="3:4">
      <c r="C7221"/>
      <c r="D7221"/>
    </row>
    <row r="7222" spans="3:4">
      <c r="C7222"/>
      <c r="D7222"/>
    </row>
    <row r="7223" spans="3:4">
      <c r="C7223"/>
      <c r="D7223"/>
    </row>
    <row r="7224" spans="3:4">
      <c r="C7224"/>
      <c r="D7224"/>
    </row>
    <row r="7225" spans="3:4">
      <c r="C7225"/>
      <c r="D7225"/>
    </row>
    <row r="7226" spans="3:4">
      <c r="C7226"/>
      <c r="D7226"/>
    </row>
    <row r="7227" spans="3:4">
      <c r="C7227"/>
      <c r="D7227"/>
    </row>
    <row r="7228" spans="3:4">
      <c r="C7228"/>
      <c r="D7228"/>
    </row>
    <row r="7229" spans="3:4">
      <c r="C7229"/>
      <c r="D7229"/>
    </row>
    <row r="7230" spans="3:4">
      <c r="C7230"/>
      <c r="D7230"/>
    </row>
    <row r="7231" spans="3:4">
      <c r="C7231"/>
      <c r="D7231"/>
    </row>
    <row r="7232" spans="3:4">
      <c r="C7232"/>
      <c r="D7232"/>
    </row>
    <row r="7233" spans="3:4">
      <c r="C7233"/>
      <c r="D7233"/>
    </row>
    <row r="7234" spans="3:4">
      <c r="C7234"/>
      <c r="D7234"/>
    </row>
    <row r="7235" spans="3:4">
      <c r="C7235"/>
      <c r="D7235"/>
    </row>
    <row r="7236" spans="3:4">
      <c r="C7236"/>
      <c r="D7236"/>
    </row>
    <row r="7237" spans="3:4">
      <c r="C7237"/>
      <c r="D7237"/>
    </row>
    <row r="7238" spans="3:4">
      <c r="C7238"/>
      <c r="D7238"/>
    </row>
    <row r="7239" spans="3:4">
      <c r="C7239"/>
      <c r="D7239"/>
    </row>
    <row r="7240" spans="3:4">
      <c r="C7240"/>
      <c r="D7240"/>
    </row>
    <row r="7241" spans="3:4">
      <c r="C7241"/>
      <c r="D7241"/>
    </row>
    <row r="7242" spans="3:4">
      <c r="C7242"/>
      <c r="D7242"/>
    </row>
    <row r="7243" spans="3:4">
      <c r="C7243"/>
      <c r="D7243"/>
    </row>
    <row r="7244" spans="3:4">
      <c r="C7244"/>
      <c r="D7244"/>
    </row>
    <row r="7245" spans="3:4">
      <c r="C7245"/>
      <c r="D7245"/>
    </row>
    <row r="7246" spans="3:4">
      <c r="C7246"/>
      <c r="D7246"/>
    </row>
    <row r="7247" spans="3:4">
      <c r="C7247"/>
      <c r="D7247"/>
    </row>
    <row r="7248" spans="3:4">
      <c r="C7248"/>
      <c r="D7248"/>
    </row>
    <row r="7249" spans="3:4">
      <c r="C7249"/>
      <c r="D7249"/>
    </row>
    <row r="7250" spans="3:4">
      <c r="C7250"/>
      <c r="D7250"/>
    </row>
    <row r="7251" spans="3:4">
      <c r="C7251"/>
      <c r="D7251"/>
    </row>
    <row r="7252" spans="3:4">
      <c r="C7252"/>
      <c r="D7252"/>
    </row>
    <row r="7253" spans="3:4">
      <c r="C7253"/>
      <c r="D7253"/>
    </row>
    <row r="7254" spans="3:4">
      <c r="C7254"/>
      <c r="D7254"/>
    </row>
    <row r="7255" spans="3:4">
      <c r="C7255"/>
      <c r="D7255"/>
    </row>
    <row r="7256" spans="3:4">
      <c r="C7256"/>
      <c r="D7256"/>
    </row>
    <row r="7257" spans="3:4">
      <c r="C7257"/>
      <c r="D7257"/>
    </row>
    <row r="7258" spans="3:4">
      <c r="C7258"/>
      <c r="D7258"/>
    </row>
    <row r="7259" spans="3:4">
      <c r="C7259"/>
      <c r="D7259"/>
    </row>
    <row r="7260" spans="3:4">
      <c r="C7260"/>
      <c r="D7260"/>
    </row>
    <row r="7261" spans="3:4">
      <c r="C7261"/>
      <c r="D7261"/>
    </row>
    <row r="7262" spans="3:4">
      <c r="C7262"/>
      <c r="D7262"/>
    </row>
    <row r="7263" spans="3:4">
      <c r="C7263"/>
      <c r="D7263"/>
    </row>
    <row r="7264" spans="3:4">
      <c r="C7264"/>
      <c r="D7264"/>
    </row>
    <row r="7265" spans="3:4">
      <c r="C7265"/>
      <c r="D7265"/>
    </row>
    <row r="7266" spans="3:4">
      <c r="C7266"/>
      <c r="D7266"/>
    </row>
    <row r="7267" spans="3:4">
      <c r="C7267"/>
      <c r="D7267"/>
    </row>
    <row r="7268" spans="3:4">
      <c r="C7268"/>
      <c r="D7268"/>
    </row>
    <row r="7269" spans="3:4">
      <c r="C7269"/>
      <c r="D7269"/>
    </row>
    <row r="7270" spans="3:4">
      <c r="C7270"/>
      <c r="D7270"/>
    </row>
    <row r="7271" spans="3:4">
      <c r="C7271"/>
      <c r="D7271"/>
    </row>
    <row r="7272" spans="3:4">
      <c r="C7272"/>
      <c r="D7272"/>
    </row>
    <row r="7273" spans="3:4">
      <c r="C7273"/>
      <c r="D7273"/>
    </row>
    <row r="7274" spans="3:4">
      <c r="C7274"/>
      <c r="D7274"/>
    </row>
    <row r="7275" spans="3:4">
      <c r="C7275"/>
      <c r="D7275"/>
    </row>
    <row r="7276" spans="3:4">
      <c r="C7276"/>
      <c r="D7276"/>
    </row>
    <row r="7277" spans="3:4">
      <c r="C7277"/>
      <c r="D7277"/>
    </row>
    <row r="7278" spans="3:4">
      <c r="C7278"/>
      <c r="D7278"/>
    </row>
    <row r="7279" spans="3:4">
      <c r="C7279"/>
      <c r="D7279"/>
    </row>
    <row r="7280" spans="3:4">
      <c r="C7280"/>
      <c r="D7280"/>
    </row>
    <row r="7281" spans="3:4">
      <c r="C7281"/>
      <c r="D7281"/>
    </row>
    <row r="7282" spans="3:4">
      <c r="C7282"/>
      <c r="D7282"/>
    </row>
    <row r="7283" spans="3:4">
      <c r="C7283"/>
      <c r="D7283"/>
    </row>
    <row r="7284" spans="3:4">
      <c r="C7284"/>
      <c r="D7284"/>
    </row>
    <row r="7285" spans="3:4">
      <c r="C7285"/>
      <c r="D7285"/>
    </row>
    <row r="7286" spans="3:4">
      <c r="C7286"/>
      <c r="D7286"/>
    </row>
    <row r="7287" spans="3:4">
      <c r="C7287"/>
      <c r="D7287"/>
    </row>
    <row r="7288" spans="3:4">
      <c r="C7288"/>
      <c r="D7288"/>
    </row>
    <row r="7289" spans="3:4">
      <c r="C7289"/>
      <c r="D7289"/>
    </row>
    <row r="7290" spans="3:4">
      <c r="C7290"/>
      <c r="D7290"/>
    </row>
    <row r="7291" spans="3:4">
      <c r="C7291"/>
      <c r="D7291"/>
    </row>
    <row r="7292" spans="3:4">
      <c r="C7292"/>
      <c r="D7292"/>
    </row>
    <row r="7293" spans="3:4">
      <c r="C7293"/>
      <c r="D7293"/>
    </row>
    <row r="7294" spans="3:4">
      <c r="C7294"/>
      <c r="D7294"/>
    </row>
    <row r="7295" spans="3:4">
      <c r="C7295"/>
      <c r="D7295"/>
    </row>
    <row r="7296" spans="3:4">
      <c r="C7296"/>
      <c r="D7296"/>
    </row>
    <row r="7297" spans="3:4">
      <c r="C7297"/>
      <c r="D7297"/>
    </row>
    <row r="7298" spans="3:4">
      <c r="C7298"/>
      <c r="D7298"/>
    </row>
    <row r="7299" spans="3:4">
      <c r="C7299"/>
      <c r="D7299"/>
    </row>
    <row r="7300" spans="3:4">
      <c r="C7300"/>
      <c r="D7300"/>
    </row>
    <row r="7301" spans="3:4">
      <c r="C7301"/>
      <c r="D7301"/>
    </row>
    <row r="7302" spans="3:4">
      <c r="C7302"/>
      <c r="D7302"/>
    </row>
    <row r="7303" spans="3:4">
      <c r="C7303"/>
      <c r="D7303"/>
    </row>
    <row r="7304" spans="3:4">
      <c r="C7304"/>
      <c r="D7304"/>
    </row>
    <row r="7305" spans="3:4">
      <c r="C7305"/>
      <c r="D7305"/>
    </row>
    <row r="7306" spans="3:4">
      <c r="C7306"/>
      <c r="D7306"/>
    </row>
    <row r="7307" spans="3:4">
      <c r="C7307"/>
      <c r="D7307"/>
    </row>
    <row r="7308" spans="3:4">
      <c r="C7308"/>
      <c r="D7308"/>
    </row>
    <row r="7309" spans="3:4">
      <c r="C7309"/>
      <c r="D7309"/>
    </row>
    <row r="7310" spans="3:4">
      <c r="C7310"/>
      <c r="D7310"/>
    </row>
    <row r="7311" spans="3:4">
      <c r="C7311"/>
      <c r="D7311"/>
    </row>
    <row r="7312" spans="3:4">
      <c r="C7312"/>
      <c r="D7312"/>
    </row>
    <row r="7313" spans="3:4">
      <c r="C7313"/>
      <c r="D7313"/>
    </row>
    <row r="7314" spans="3:4">
      <c r="C7314"/>
      <c r="D7314"/>
    </row>
    <row r="7315" spans="3:4">
      <c r="C7315"/>
      <c r="D7315"/>
    </row>
    <row r="7316" spans="3:4">
      <c r="C7316"/>
      <c r="D7316"/>
    </row>
    <row r="7317" spans="3:4">
      <c r="C7317"/>
      <c r="D7317"/>
    </row>
    <row r="7318" spans="3:4">
      <c r="C7318"/>
      <c r="D7318"/>
    </row>
    <row r="7319" spans="3:4">
      <c r="C7319"/>
      <c r="D7319"/>
    </row>
    <row r="7320" spans="3:4">
      <c r="C7320"/>
      <c r="D7320"/>
    </row>
    <row r="7321" spans="3:4">
      <c r="C7321"/>
      <c r="D7321"/>
    </row>
    <row r="7322" spans="3:4">
      <c r="C7322"/>
      <c r="D7322"/>
    </row>
    <row r="7323" spans="3:4">
      <c r="C7323"/>
      <c r="D7323"/>
    </row>
    <row r="7324" spans="3:4">
      <c r="C7324"/>
      <c r="D7324"/>
    </row>
    <row r="7325" spans="3:4">
      <c r="C7325"/>
      <c r="D7325"/>
    </row>
    <row r="7326" spans="3:4">
      <c r="C7326"/>
      <c r="D7326"/>
    </row>
    <row r="7327" spans="3:4">
      <c r="C7327"/>
      <c r="D7327"/>
    </row>
    <row r="7328" spans="3:4">
      <c r="C7328"/>
      <c r="D7328"/>
    </row>
    <row r="7329" spans="3:4">
      <c r="C7329"/>
      <c r="D7329"/>
    </row>
    <row r="7330" spans="3:4">
      <c r="C7330"/>
      <c r="D7330"/>
    </row>
    <row r="7331" spans="3:4">
      <c r="C7331"/>
      <c r="D7331"/>
    </row>
    <row r="7332" spans="3:4">
      <c r="C7332"/>
      <c r="D7332"/>
    </row>
    <row r="7333" spans="3:4">
      <c r="C7333"/>
      <c r="D7333"/>
    </row>
    <row r="7334" spans="3:4">
      <c r="C7334"/>
      <c r="D7334"/>
    </row>
    <row r="7335" spans="3:4">
      <c r="C7335"/>
      <c r="D7335"/>
    </row>
    <row r="7336" spans="3:4">
      <c r="C7336"/>
      <c r="D7336"/>
    </row>
    <row r="7337" spans="3:4">
      <c r="C7337"/>
      <c r="D7337"/>
    </row>
    <row r="7338" spans="3:4">
      <c r="C7338"/>
      <c r="D7338"/>
    </row>
    <row r="7339" spans="3:4">
      <c r="C7339"/>
      <c r="D7339"/>
    </row>
    <row r="7340" spans="3:4">
      <c r="C7340"/>
      <c r="D7340"/>
    </row>
    <row r="7341" spans="3:4">
      <c r="C7341"/>
      <c r="D7341"/>
    </row>
    <row r="7342" spans="3:4">
      <c r="C7342"/>
      <c r="D7342"/>
    </row>
    <row r="7343" spans="3:4">
      <c r="C7343"/>
      <c r="D7343"/>
    </row>
    <row r="7344" spans="3:4">
      <c r="C7344"/>
      <c r="D7344"/>
    </row>
    <row r="7345" spans="3:4">
      <c r="C7345"/>
      <c r="D7345"/>
    </row>
    <row r="7346" spans="3:4">
      <c r="C7346"/>
      <c r="D7346"/>
    </row>
    <row r="7347" spans="3:4">
      <c r="C7347"/>
      <c r="D7347"/>
    </row>
    <row r="7348" spans="3:4">
      <c r="C7348"/>
      <c r="D7348"/>
    </row>
    <row r="7349" spans="3:4">
      <c r="C7349"/>
      <c r="D7349"/>
    </row>
    <row r="7350" spans="3:4">
      <c r="C7350"/>
      <c r="D7350"/>
    </row>
    <row r="7351" spans="3:4">
      <c r="C7351"/>
      <c r="D7351"/>
    </row>
    <row r="7352" spans="3:4">
      <c r="C7352"/>
      <c r="D7352"/>
    </row>
    <row r="7353" spans="3:4">
      <c r="C7353"/>
      <c r="D7353"/>
    </row>
    <row r="7354" spans="3:4">
      <c r="C7354"/>
      <c r="D7354"/>
    </row>
    <row r="7355" spans="3:4">
      <c r="C7355"/>
      <c r="D7355"/>
    </row>
    <row r="7356" spans="3:4">
      <c r="C7356"/>
      <c r="D7356"/>
    </row>
    <row r="7357" spans="3:4">
      <c r="C7357"/>
      <c r="D7357"/>
    </row>
    <row r="7358" spans="3:4">
      <c r="C7358"/>
      <c r="D7358"/>
    </row>
    <row r="7359" spans="3:4">
      <c r="C7359"/>
      <c r="D7359"/>
    </row>
    <row r="7360" spans="3:4">
      <c r="C7360"/>
      <c r="D7360"/>
    </row>
    <row r="7361" spans="3:4">
      <c r="C7361"/>
      <c r="D7361"/>
    </row>
    <row r="7362" spans="3:4">
      <c r="C7362"/>
      <c r="D7362"/>
    </row>
    <row r="7363" spans="3:4">
      <c r="C7363"/>
      <c r="D7363"/>
    </row>
    <row r="7364" spans="3:4">
      <c r="C7364"/>
      <c r="D7364"/>
    </row>
    <row r="7365" spans="3:4">
      <c r="C7365"/>
      <c r="D7365"/>
    </row>
    <row r="7366" spans="3:4">
      <c r="C7366"/>
      <c r="D7366"/>
    </row>
    <row r="7367" spans="3:4">
      <c r="C7367"/>
      <c r="D7367"/>
    </row>
    <row r="7368" spans="3:4">
      <c r="C7368"/>
      <c r="D7368"/>
    </row>
    <row r="7369" spans="3:4">
      <c r="C7369"/>
      <c r="D7369"/>
    </row>
    <row r="7370" spans="3:4">
      <c r="C7370"/>
      <c r="D7370"/>
    </row>
    <row r="7371" spans="3:4">
      <c r="C7371"/>
      <c r="D7371"/>
    </row>
    <row r="7372" spans="3:4">
      <c r="C7372"/>
      <c r="D7372"/>
    </row>
    <row r="7373" spans="3:4">
      <c r="C7373"/>
      <c r="D7373"/>
    </row>
    <row r="7374" spans="3:4">
      <c r="C7374"/>
      <c r="D7374"/>
    </row>
    <row r="7375" spans="3:4">
      <c r="C7375"/>
      <c r="D7375"/>
    </row>
    <row r="7376" spans="3:4">
      <c r="C7376"/>
      <c r="D7376"/>
    </row>
    <row r="7377" spans="3:4">
      <c r="C7377"/>
      <c r="D7377"/>
    </row>
    <row r="7378" spans="3:4">
      <c r="C7378"/>
      <c r="D7378"/>
    </row>
    <row r="7379" spans="3:4">
      <c r="C7379"/>
      <c r="D7379"/>
    </row>
    <row r="7380" spans="3:4">
      <c r="C7380"/>
      <c r="D7380"/>
    </row>
    <row r="7381" spans="3:4">
      <c r="C7381"/>
      <c r="D7381"/>
    </row>
    <row r="7382" spans="3:4">
      <c r="C7382"/>
      <c r="D7382"/>
    </row>
    <row r="7383" spans="3:4">
      <c r="C7383"/>
      <c r="D7383"/>
    </row>
    <row r="7384" spans="3:4">
      <c r="C7384"/>
      <c r="D7384"/>
    </row>
    <row r="7385" spans="3:4">
      <c r="C7385"/>
      <c r="D7385"/>
    </row>
    <row r="7386" spans="3:4">
      <c r="C7386"/>
      <c r="D7386"/>
    </row>
    <row r="7387" spans="3:4">
      <c r="C7387"/>
      <c r="D7387"/>
    </row>
    <row r="7388" spans="3:4">
      <c r="C7388"/>
      <c r="D7388"/>
    </row>
    <row r="7389" spans="3:4">
      <c r="C7389"/>
      <c r="D7389"/>
    </row>
    <row r="7390" spans="3:4">
      <c r="C7390"/>
      <c r="D7390"/>
    </row>
    <row r="7391" spans="3:4">
      <c r="C7391"/>
      <c r="D7391"/>
    </row>
    <row r="7392" spans="3:4">
      <c r="C7392"/>
      <c r="D7392"/>
    </row>
    <row r="7393" spans="3:4">
      <c r="C7393"/>
      <c r="D7393"/>
    </row>
    <row r="7394" spans="3:4">
      <c r="C7394"/>
      <c r="D7394"/>
    </row>
    <row r="7395" spans="3:4">
      <c r="C7395"/>
      <c r="D7395"/>
    </row>
    <row r="7396" spans="3:4">
      <c r="C7396"/>
      <c r="D7396"/>
    </row>
    <row r="7397" spans="3:4">
      <c r="C7397"/>
      <c r="D7397"/>
    </row>
    <row r="7398" spans="3:4">
      <c r="C7398"/>
      <c r="D7398"/>
    </row>
    <row r="7399" spans="3:4">
      <c r="C7399"/>
      <c r="D7399"/>
    </row>
    <row r="7400" spans="3:4">
      <c r="C7400"/>
      <c r="D7400"/>
    </row>
    <row r="7401" spans="3:4">
      <c r="C7401"/>
      <c r="D7401"/>
    </row>
    <row r="7402" spans="3:4">
      <c r="C7402"/>
      <c r="D7402"/>
    </row>
    <row r="7403" spans="3:4">
      <c r="C7403"/>
      <c r="D7403"/>
    </row>
    <row r="7404" spans="3:4">
      <c r="C7404"/>
      <c r="D7404"/>
    </row>
    <row r="7405" spans="3:4">
      <c r="C7405"/>
      <c r="D7405"/>
    </row>
    <row r="7406" spans="3:4">
      <c r="C7406"/>
      <c r="D7406"/>
    </row>
    <row r="7407" spans="3:4">
      <c r="C7407"/>
      <c r="D7407"/>
    </row>
    <row r="7408" spans="3:4">
      <c r="C7408"/>
      <c r="D7408"/>
    </row>
    <row r="7409" spans="3:4">
      <c r="C7409"/>
      <c r="D7409"/>
    </row>
    <row r="7410" spans="3:4">
      <c r="C7410"/>
      <c r="D7410"/>
    </row>
    <row r="7411" spans="3:4">
      <c r="C7411"/>
      <c r="D7411"/>
    </row>
    <row r="7412" spans="3:4">
      <c r="C7412"/>
      <c r="D7412"/>
    </row>
    <row r="7413" spans="3:4">
      <c r="C7413"/>
      <c r="D7413"/>
    </row>
    <row r="7414" spans="3:4">
      <c r="C7414"/>
      <c r="D7414"/>
    </row>
    <row r="7415" spans="3:4">
      <c r="C7415"/>
      <c r="D7415"/>
    </row>
    <row r="7416" spans="3:4">
      <c r="C7416"/>
      <c r="D7416"/>
    </row>
    <row r="7417" spans="3:4">
      <c r="C7417"/>
      <c r="D7417"/>
    </row>
    <row r="7418" spans="3:4">
      <c r="C7418"/>
      <c r="D7418"/>
    </row>
    <row r="7419" spans="3:4">
      <c r="C7419"/>
      <c r="D7419"/>
    </row>
    <row r="7420" spans="3:4">
      <c r="C7420"/>
      <c r="D7420"/>
    </row>
    <row r="7421" spans="3:4">
      <c r="C7421"/>
      <c r="D7421"/>
    </row>
    <row r="7422" spans="3:4">
      <c r="C7422"/>
      <c r="D7422"/>
    </row>
    <row r="7423" spans="3:4">
      <c r="C7423"/>
      <c r="D7423"/>
    </row>
    <row r="7424" spans="3:4">
      <c r="C7424"/>
      <c r="D7424"/>
    </row>
    <row r="7425" spans="3:4">
      <c r="C7425"/>
      <c r="D7425"/>
    </row>
    <row r="7426" spans="3:4">
      <c r="C7426"/>
      <c r="D7426"/>
    </row>
    <row r="7427" spans="3:4">
      <c r="C7427"/>
      <c r="D7427"/>
    </row>
    <row r="7428" spans="3:4">
      <c r="C7428"/>
      <c r="D7428"/>
    </row>
    <row r="7429" spans="3:4">
      <c r="C7429"/>
      <c r="D7429"/>
    </row>
    <row r="7430" spans="3:4">
      <c r="C7430"/>
      <c r="D7430"/>
    </row>
    <row r="7431" spans="3:4">
      <c r="C7431"/>
      <c r="D7431"/>
    </row>
    <row r="7432" spans="3:4">
      <c r="C7432"/>
      <c r="D7432"/>
    </row>
    <row r="7433" spans="3:4">
      <c r="C7433"/>
      <c r="D7433"/>
    </row>
    <row r="7434" spans="3:4">
      <c r="C7434"/>
      <c r="D7434"/>
    </row>
    <row r="7435" spans="3:4">
      <c r="C7435"/>
      <c r="D7435"/>
    </row>
    <row r="7436" spans="3:4">
      <c r="C7436"/>
      <c r="D7436"/>
    </row>
    <row r="7437" spans="3:4">
      <c r="C7437"/>
      <c r="D7437"/>
    </row>
    <row r="7438" spans="3:4">
      <c r="C7438"/>
      <c r="D7438"/>
    </row>
    <row r="7439" spans="3:4">
      <c r="C7439"/>
      <c r="D7439"/>
    </row>
    <row r="7440" spans="3:4">
      <c r="C7440"/>
      <c r="D7440"/>
    </row>
    <row r="7441" spans="3:4">
      <c r="C7441"/>
      <c r="D7441"/>
    </row>
    <row r="7442" spans="3:4">
      <c r="C7442"/>
      <c r="D7442"/>
    </row>
    <row r="7443" spans="3:4">
      <c r="C7443"/>
      <c r="D7443"/>
    </row>
    <row r="7444" spans="3:4">
      <c r="C7444"/>
      <c r="D7444"/>
    </row>
    <row r="7445" spans="3:4">
      <c r="C7445"/>
      <c r="D7445"/>
    </row>
    <row r="7446" spans="3:4">
      <c r="C7446"/>
      <c r="D7446"/>
    </row>
    <row r="7447" spans="3:4">
      <c r="C7447"/>
      <c r="D7447"/>
    </row>
    <row r="7448" spans="3:4">
      <c r="C7448"/>
      <c r="D7448"/>
    </row>
    <row r="7449" spans="3:4">
      <c r="C7449"/>
      <c r="D7449"/>
    </row>
    <row r="7450" spans="3:4">
      <c r="C7450"/>
      <c r="D7450"/>
    </row>
    <row r="7451" spans="3:4">
      <c r="C7451"/>
      <c r="D7451"/>
    </row>
    <row r="7452" spans="3:4">
      <c r="C7452"/>
      <c r="D7452"/>
    </row>
    <row r="7453" spans="3:4">
      <c r="C7453"/>
      <c r="D7453"/>
    </row>
    <row r="7454" spans="3:4">
      <c r="C7454"/>
      <c r="D7454"/>
    </row>
    <row r="7455" spans="3:4">
      <c r="C7455"/>
      <c r="D7455"/>
    </row>
    <row r="7456" spans="3:4">
      <c r="C7456"/>
      <c r="D7456"/>
    </row>
    <row r="7457" spans="3:4">
      <c r="C7457"/>
      <c r="D7457"/>
    </row>
    <row r="7458" spans="3:4">
      <c r="C7458"/>
      <c r="D7458"/>
    </row>
    <row r="7459" spans="3:4">
      <c r="C7459"/>
      <c r="D7459"/>
    </row>
    <row r="7460" spans="3:4">
      <c r="C7460"/>
      <c r="D7460"/>
    </row>
    <row r="7461" spans="3:4">
      <c r="C7461"/>
      <c r="D7461"/>
    </row>
    <row r="7462" spans="3:4">
      <c r="C7462"/>
      <c r="D7462"/>
    </row>
    <row r="7463" spans="3:4">
      <c r="C7463"/>
      <c r="D7463"/>
    </row>
    <row r="7464" spans="3:4">
      <c r="C7464"/>
      <c r="D7464"/>
    </row>
    <row r="7465" spans="3:4">
      <c r="C7465"/>
      <c r="D7465"/>
    </row>
    <row r="7466" spans="3:4">
      <c r="C7466"/>
      <c r="D7466"/>
    </row>
    <row r="7467" spans="3:4">
      <c r="C7467"/>
      <c r="D7467"/>
    </row>
    <row r="7468" spans="3:4">
      <c r="C7468"/>
      <c r="D7468"/>
    </row>
    <row r="7469" spans="3:4">
      <c r="C7469"/>
      <c r="D7469"/>
    </row>
    <row r="7470" spans="3:4">
      <c r="C7470"/>
      <c r="D7470"/>
    </row>
    <row r="7471" spans="3:4">
      <c r="C7471"/>
      <c r="D7471"/>
    </row>
    <row r="7472" spans="3:4">
      <c r="C7472"/>
      <c r="D7472"/>
    </row>
    <row r="7473" spans="3:4">
      <c r="C7473"/>
      <c r="D7473"/>
    </row>
    <row r="7474" spans="3:4">
      <c r="C7474"/>
      <c r="D7474"/>
    </row>
    <row r="7475" spans="3:4">
      <c r="C7475"/>
      <c r="D7475"/>
    </row>
    <row r="7476" spans="3:4">
      <c r="C7476"/>
      <c r="D7476"/>
    </row>
    <row r="7477" spans="3:4">
      <c r="C7477"/>
      <c r="D7477"/>
    </row>
    <row r="7478" spans="3:4">
      <c r="C7478"/>
      <c r="D7478"/>
    </row>
    <row r="7479" spans="3:4">
      <c r="C7479"/>
      <c r="D7479"/>
    </row>
    <row r="7480" spans="3:4">
      <c r="C7480"/>
      <c r="D7480"/>
    </row>
    <row r="7481" spans="3:4">
      <c r="C7481"/>
      <c r="D7481"/>
    </row>
    <row r="7482" spans="3:4">
      <c r="C7482"/>
      <c r="D7482"/>
    </row>
    <row r="7483" spans="3:4">
      <c r="C7483"/>
      <c r="D7483"/>
    </row>
    <row r="7484" spans="3:4">
      <c r="C7484"/>
      <c r="D7484"/>
    </row>
    <row r="7485" spans="3:4">
      <c r="C7485"/>
      <c r="D7485"/>
    </row>
    <row r="7486" spans="3:4">
      <c r="C7486"/>
      <c r="D7486"/>
    </row>
    <row r="7487" spans="3:4">
      <c r="C7487"/>
      <c r="D7487"/>
    </row>
    <row r="7488" spans="3:4">
      <c r="C7488"/>
      <c r="D7488"/>
    </row>
    <row r="7489" spans="3:4">
      <c r="C7489"/>
      <c r="D7489"/>
    </row>
    <row r="7490" spans="3:4">
      <c r="C7490"/>
      <c r="D7490"/>
    </row>
    <row r="7491" spans="3:4">
      <c r="C7491"/>
      <c r="D7491"/>
    </row>
    <row r="7492" spans="3:4">
      <c r="C7492"/>
      <c r="D7492"/>
    </row>
    <row r="7493" spans="3:4">
      <c r="C7493"/>
      <c r="D7493"/>
    </row>
    <row r="7494" spans="3:4">
      <c r="C7494"/>
      <c r="D7494"/>
    </row>
    <row r="7495" spans="3:4">
      <c r="C7495"/>
      <c r="D7495"/>
    </row>
    <row r="7496" spans="3:4">
      <c r="C7496"/>
      <c r="D7496"/>
    </row>
    <row r="7497" spans="3:4">
      <c r="C7497"/>
      <c r="D7497"/>
    </row>
    <row r="7498" spans="3:4">
      <c r="C7498"/>
      <c r="D7498"/>
    </row>
    <row r="7499" spans="3:4">
      <c r="C7499"/>
      <c r="D7499"/>
    </row>
    <row r="7500" spans="3:4">
      <c r="C7500"/>
      <c r="D7500"/>
    </row>
    <row r="7501" spans="3:4">
      <c r="C7501"/>
      <c r="D7501"/>
    </row>
    <row r="7502" spans="3:4">
      <c r="C7502"/>
      <c r="D7502"/>
    </row>
    <row r="7503" spans="3:4">
      <c r="C7503"/>
      <c r="D7503"/>
    </row>
    <row r="7504" spans="3:4">
      <c r="C7504"/>
      <c r="D7504"/>
    </row>
    <row r="7505" spans="3:4">
      <c r="C7505"/>
      <c r="D7505"/>
    </row>
    <row r="7506" spans="3:4">
      <c r="C7506"/>
      <c r="D7506"/>
    </row>
    <row r="7507" spans="3:4">
      <c r="C7507"/>
      <c r="D7507"/>
    </row>
    <row r="7508" spans="3:4">
      <c r="C7508"/>
      <c r="D7508"/>
    </row>
    <row r="7509" spans="3:4">
      <c r="C7509"/>
      <c r="D7509"/>
    </row>
    <row r="7510" spans="3:4">
      <c r="C7510"/>
      <c r="D7510"/>
    </row>
    <row r="7511" spans="3:4">
      <c r="C7511"/>
      <c r="D7511"/>
    </row>
    <row r="7512" spans="3:4">
      <c r="C7512"/>
      <c r="D7512"/>
    </row>
    <row r="7513" spans="3:4">
      <c r="C7513"/>
      <c r="D7513"/>
    </row>
    <row r="7514" spans="3:4">
      <c r="C7514"/>
      <c r="D7514"/>
    </row>
    <row r="7515" spans="3:4">
      <c r="C7515"/>
      <c r="D7515"/>
    </row>
    <row r="7516" spans="3:4">
      <c r="C7516"/>
      <c r="D7516"/>
    </row>
    <row r="7517" spans="3:4">
      <c r="C7517"/>
      <c r="D7517"/>
    </row>
    <row r="7518" spans="3:4">
      <c r="C7518"/>
      <c r="D7518"/>
    </row>
    <row r="7519" spans="3:4">
      <c r="C7519"/>
      <c r="D7519"/>
    </row>
    <row r="7520" spans="3:4">
      <c r="C7520"/>
      <c r="D7520"/>
    </row>
    <row r="7521" spans="3:4">
      <c r="C7521"/>
      <c r="D7521"/>
    </row>
    <row r="7522" spans="3:4">
      <c r="C7522"/>
      <c r="D7522"/>
    </row>
    <row r="7523" spans="3:4">
      <c r="C7523"/>
      <c r="D7523"/>
    </row>
    <row r="7524" spans="3:4">
      <c r="C7524"/>
      <c r="D7524"/>
    </row>
    <row r="7525" spans="3:4">
      <c r="C7525"/>
      <c r="D7525"/>
    </row>
    <row r="7526" spans="3:4">
      <c r="C7526"/>
      <c r="D7526"/>
    </row>
    <row r="7527" spans="3:4">
      <c r="C7527"/>
      <c r="D7527"/>
    </row>
    <row r="7528" spans="3:4">
      <c r="C7528"/>
      <c r="D7528"/>
    </row>
    <row r="7529" spans="3:4">
      <c r="C7529"/>
      <c r="D7529"/>
    </row>
    <row r="7530" spans="3:4">
      <c r="C7530"/>
      <c r="D7530"/>
    </row>
    <row r="7531" spans="3:4">
      <c r="C7531"/>
      <c r="D7531"/>
    </row>
    <row r="7532" spans="3:4">
      <c r="C7532"/>
      <c r="D7532"/>
    </row>
    <row r="7533" spans="3:4">
      <c r="C7533"/>
      <c r="D7533"/>
    </row>
    <row r="7534" spans="3:4">
      <c r="C7534"/>
      <c r="D7534"/>
    </row>
    <row r="7535" spans="3:4">
      <c r="C7535"/>
      <c r="D7535"/>
    </row>
    <row r="7536" spans="3:4">
      <c r="C7536"/>
      <c r="D7536"/>
    </row>
    <row r="7537" spans="3:4">
      <c r="C7537"/>
      <c r="D7537"/>
    </row>
    <row r="7538" spans="3:4">
      <c r="C7538"/>
      <c r="D7538"/>
    </row>
    <row r="7539" spans="3:4">
      <c r="C7539"/>
      <c r="D7539"/>
    </row>
    <row r="7540" spans="3:4">
      <c r="C7540"/>
      <c r="D7540"/>
    </row>
    <row r="7541" spans="3:4">
      <c r="C7541"/>
      <c r="D7541"/>
    </row>
    <row r="7542" spans="3:4">
      <c r="C7542"/>
      <c r="D7542"/>
    </row>
    <row r="7543" spans="3:4">
      <c r="C7543"/>
      <c r="D7543"/>
    </row>
    <row r="7544" spans="3:4">
      <c r="C7544"/>
      <c r="D7544"/>
    </row>
    <row r="7545" spans="3:4">
      <c r="C7545"/>
      <c r="D7545"/>
    </row>
    <row r="7546" spans="3:4">
      <c r="C7546"/>
      <c r="D7546"/>
    </row>
    <row r="7547" spans="3:4">
      <c r="C7547"/>
      <c r="D7547"/>
    </row>
    <row r="7548" spans="3:4">
      <c r="C7548"/>
      <c r="D7548"/>
    </row>
    <row r="7549" spans="3:4">
      <c r="C7549"/>
      <c r="D7549"/>
    </row>
    <row r="7550" spans="3:4">
      <c r="C7550"/>
      <c r="D7550"/>
    </row>
    <row r="7551" spans="3:4">
      <c r="C7551"/>
      <c r="D7551"/>
    </row>
    <row r="7552" spans="3:4">
      <c r="C7552"/>
      <c r="D7552"/>
    </row>
    <row r="7553" spans="3:4">
      <c r="C7553"/>
      <c r="D7553"/>
    </row>
    <row r="7554" spans="3:4">
      <c r="C7554"/>
      <c r="D7554"/>
    </row>
    <row r="7555" spans="3:4">
      <c r="C7555"/>
      <c r="D7555"/>
    </row>
    <row r="7556" spans="3:4">
      <c r="C7556"/>
      <c r="D7556"/>
    </row>
    <row r="7557" spans="3:4">
      <c r="C7557"/>
      <c r="D7557"/>
    </row>
    <row r="7558" spans="3:4">
      <c r="C7558"/>
      <c r="D7558"/>
    </row>
    <row r="7559" spans="3:4">
      <c r="C7559"/>
      <c r="D7559"/>
    </row>
    <row r="7560" spans="3:4">
      <c r="C7560"/>
      <c r="D7560"/>
    </row>
    <row r="7561" spans="3:4">
      <c r="C7561"/>
      <c r="D7561"/>
    </row>
    <row r="7562" spans="3:4">
      <c r="C7562"/>
      <c r="D7562"/>
    </row>
    <row r="7563" spans="3:4">
      <c r="C7563"/>
      <c r="D7563"/>
    </row>
    <row r="7564" spans="3:4">
      <c r="C7564"/>
      <c r="D7564"/>
    </row>
    <row r="7565" spans="3:4">
      <c r="C7565"/>
      <c r="D7565"/>
    </row>
    <row r="7566" spans="3:4">
      <c r="C7566"/>
      <c r="D7566"/>
    </row>
    <row r="7567" spans="3:4">
      <c r="C7567"/>
      <c r="D7567"/>
    </row>
    <row r="7568" spans="3:4">
      <c r="C7568"/>
      <c r="D7568"/>
    </row>
    <row r="7569" spans="3:4">
      <c r="C7569"/>
      <c r="D7569"/>
    </row>
    <row r="7570" spans="3:4">
      <c r="C7570"/>
      <c r="D7570"/>
    </row>
    <row r="7571" spans="3:4">
      <c r="C7571"/>
      <c r="D7571"/>
    </row>
    <row r="7572" spans="3:4">
      <c r="C7572"/>
      <c r="D7572"/>
    </row>
    <row r="7573" spans="3:4">
      <c r="C7573"/>
      <c r="D7573"/>
    </row>
    <row r="7574" spans="3:4">
      <c r="C7574"/>
      <c r="D7574"/>
    </row>
    <row r="7575" spans="3:4">
      <c r="C7575"/>
      <c r="D7575"/>
    </row>
    <row r="7576" spans="3:4">
      <c r="C7576"/>
      <c r="D7576"/>
    </row>
    <row r="7577" spans="3:4">
      <c r="C7577"/>
      <c r="D7577"/>
    </row>
    <row r="7578" spans="3:4">
      <c r="C7578"/>
      <c r="D7578"/>
    </row>
    <row r="7579" spans="3:4">
      <c r="C7579"/>
      <c r="D7579"/>
    </row>
    <row r="7580" spans="3:4">
      <c r="C7580"/>
      <c r="D7580"/>
    </row>
    <row r="7581" spans="3:4">
      <c r="C7581"/>
      <c r="D7581"/>
    </row>
    <row r="7582" spans="3:4">
      <c r="C7582"/>
      <c r="D7582"/>
    </row>
    <row r="7583" spans="3:4">
      <c r="C7583"/>
      <c r="D7583"/>
    </row>
    <row r="7584" spans="3:4">
      <c r="C7584"/>
      <c r="D7584"/>
    </row>
    <row r="7585" spans="3:4">
      <c r="C7585"/>
      <c r="D7585"/>
    </row>
    <row r="7586" spans="3:4">
      <c r="C7586"/>
      <c r="D7586"/>
    </row>
    <row r="7587" spans="3:4">
      <c r="C7587"/>
      <c r="D7587"/>
    </row>
    <row r="7588" spans="3:4">
      <c r="C7588"/>
      <c r="D7588"/>
    </row>
    <row r="7589" spans="3:4">
      <c r="C7589"/>
      <c r="D7589"/>
    </row>
    <row r="7590" spans="3:4">
      <c r="C7590"/>
      <c r="D7590"/>
    </row>
    <row r="7591" spans="3:4">
      <c r="C7591"/>
      <c r="D7591"/>
    </row>
    <row r="7592" spans="3:4">
      <c r="C7592"/>
      <c r="D7592"/>
    </row>
    <row r="7593" spans="3:4">
      <c r="C7593"/>
      <c r="D7593"/>
    </row>
    <row r="7594" spans="3:4">
      <c r="C7594"/>
      <c r="D7594"/>
    </row>
    <row r="7595" spans="3:4">
      <c r="C7595"/>
      <c r="D7595"/>
    </row>
    <row r="7596" spans="3:4">
      <c r="C7596"/>
      <c r="D7596"/>
    </row>
    <row r="7597" spans="3:4">
      <c r="C7597"/>
      <c r="D7597"/>
    </row>
    <row r="7598" spans="3:4">
      <c r="C7598"/>
      <c r="D7598"/>
    </row>
    <row r="7599" spans="3:4">
      <c r="C7599"/>
      <c r="D7599"/>
    </row>
    <row r="7600" spans="3:4">
      <c r="C7600"/>
      <c r="D7600"/>
    </row>
    <row r="7601" spans="3:4">
      <c r="C7601"/>
      <c r="D7601"/>
    </row>
    <row r="7602" spans="3:4">
      <c r="C7602"/>
      <c r="D7602"/>
    </row>
    <row r="7603" spans="3:4">
      <c r="C7603"/>
      <c r="D7603"/>
    </row>
    <row r="7604" spans="3:4">
      <c r="C7604"/>
      <c r="D7604"/>
    </row>
    <row r="7605" spans="3:4">
      <c r="C7605"/>
      <c r="D7605"/>
    </row>
    <row r="7606" spans="3:4">
      <c r="C7606"/>
      <c r="D7606"/>
    </row>
    <row r="7607" spans="3:4">
      <c r="C7607"/>
      <c r="D7607"/>
    </row>
    <row r="7608" spans="3:4">
      <c r="C7608"/>
      <c r="D7608"/>
    </row>
    <row r="7609" spans="3:4">
      <c r="C7609"/>
      <c r="D7609"/>
    </row>
    <row r="7610" spans="3:4">
      <c r="C7610"/>
      <c r="D7610"/>
    </row>
    <row r="7611" spans="3:4">
      <c r="C7611"/>
      <c r="D7611"/>
    </row>
    <row r="7612" spans="3:4">
      <c r="C7612"/>
      <c r="D7612"/>
    </row>
    <row r="7613" spans="3:4">
      <c r="C7613"/>
      <c r="D7613"/>
    </row>
    <row r="7614" spans="3:4">
      <c r="C7614"/>
      <c r="D7614"/>
    </row>
    <row r="7615" spans="3:4">
      <c r="C7615"/>
      <c r="D7615"/>
    </row>
    <row r="7616" spans="3:4">
      <c r="C7616"/>
      <c r="D7616"/>
    </row>
    <row r="7617" spans="3:4">
      <c r="C7617"/>
      <c r="D7617"/>
    </row>
    <row r="7618" spans="3:4">
      <c r="C7618"/>
      <c r="D7618"/>
    </row>
    <row r="7619" spans="3:4">
      <c r="C7619"/>
      <c r="D7619"/>
    </row>
    <row r="7620" spans="3:4">
      <c r="C7620"/>
      <c r="D7620"/>
    </row>
    <row r="7621" spans="3:4">
      <c r="C7621"/>
      <c r="D7621"/>
    </row>
    <row r="7622" spans="3:4">
      <c r="C7622"/>
      <c r="D7622"/>
    </row>
    <row r="7623" spans="3:4">
      <c r="C7623"/>
      <c r="D7623"/>
    </row>
    <row r="7624" spans="3:4">
      <c r="C7624"/>
      <c r="D7624"/>
    </row>
    <row r="7625" spans="3:4">
      <c r="C7625"/>
      <c r="D7625"/>
    </row>
    <row r="7626" spans="3:4">
      <c r="C7626"/>
      <c r="D7626"/>
    </row>
    <row r="7627" spans="3:4">
      <c r="C7627"/>
      <c r="D7627"/>
    </row>
    <row r="7628" spans="3:4">
      <c r="C7628"/>
      <c r="D7628"/>
    </row>
    <row r="7629" spans="3:4">
      <c r="C7629"/>
      <c r="D7629"/>
    </row>
    <row r="7630" spans="3:4">
      <c r="C7630"/>
      <c r="D7630"/>
    </row>
    <row r="7631" spans="3:4">
      <c r="C7631"/>
      <c r="D7631"/>
    </row>
    <row r="7632" spans="3:4">
      <c r="C7632"/>
      <c r="D7632"/>
    </row>
    <row r="7633" spans="3:4">
      <c r="C7633"/>
      <c r="D7633"/>
    </row>
    <row r="7634" spans="3:4">
      <c r="C7634"/>
      <c r="D7634"/>
    </row>
    <row r="7635" spans="3:4">
      <c r="C7635"/>
      <c r="D7635"/>
    </row>
    <row r="7636" spans="3:4">
      <c r="C7636"/>
      <c r="D7636"/>
    </row>
    <row r="7637" spans="3:4">
      <c r="C7637"/>
      <c r="D7637"/>
    </row>
    <row r="7638" spans="3:4">
      <c r="C7638"/>
      <c r="D7638"/>
    </row>
    <row r="7639" spans="3:4">
      <c r="C7639"/>
      <c r="D7639"/>
    </row>
    <row r="7640" spans="3:4">
      <c r="C7640"/>
      <c r="D7640"/>
    </row>
    <row r="7641" spans="3:4">
      <c r="C7641"/>
      <c r="D7641"/>
    </row>
    <row r="7642" spans="3:4">
      <c r="C7642"/>
      <c r="D7642"/>
    </row>
    <row r="7643" spans="3:4">
      <c r="C7643"/>
      <c r="D7643"/>
    </row>
    <row r="7644" spans="3:4">
      <c r="C7644"/>
      <c r="D7644"/>
    </row>
    <row r="7645" spans="3:4">
      <c r="C7645"/>
      <c r="D7645"/>
    </row>
    <row r="7646" spans="3:4">
      <c r="C7646"/>
      <c r="D7646"/>
    </row>
    <row r="7647" spans="3:4">
      <c r="C7647"/>
      <c r="D7647"/>
    </row>
    <row r="7648" spans="3:4">
      <c r="C7648"/>
      <c r="D7648"/>
    </row>
    <row r="7649" spans="3:4">
      <c r="C7649"/>
      <c r="D7649"/>
    </row>
    <row r="7650" spans="3:4">
      <c r="C7650"/>
      <c r="D7650"/>
    </row>
    <row r="7651" spans="3:4">
      <c r="C7651"/>
      <c r="D7651"/>
    </row>
    <row r="7652" spans="3:4">
      <c r="C7652"/>
      <c r="D7652"/>
    </row>
    <row r="7653" spans="3:4">
      <c r="C7653"/>
      <c r="D7653"/>
    </row>
    <row r="7654" spans="3:4">
      <c r="C7654"/>
      <c r="D7654"/>
    </row>
    <row r="7655" spans="3:4">
      <c r="C7655"/>
      <c r="D7655"/>
    </row>
    <row r="7656" spans="3:4">
      <c r="C7656"/>
      <c r="D7656"/>
    </row>
    <row r="7657" spans="3:4">
      <c r="C7657"/>
      <c r="D7657"/>
    </row>
    <row r="7658" spans="3:4">
      <c r="C7658"/>
      <c r="D7658"/>
    </row>
    <row r="7659" spans="3:4">
      <c r="C7659"/>
      <c r="D7659"/>
    </row>
    <row r="7660" spans="3:4">
      <c r="C7660"/>
      <c r="D7660"/>
    </row>
    <row r="7661" spans="3:4">
      <c r="C7661"/>
      <c r="D7661"/>
    </row>
    <row r="7662" spans="3:4">
      <c r="C7662"/>
      <c r="D7662"/>
    </row>
    <row r="7663" spans="3:4">
      <c r="C7663"/>
      <c r="D7663"/>
    </row>
    <row r="7664" spans="3:4">
      <c r="C7664"/>
      <c r="D7664"/>
    </row>
    <row r="7665" spans="3:4">
      <c r="C7665"/>
      <c r="D7665"/>
    </row>
    <row r="7666" spans="3:4">
      <c r="C7666"/>
      <c r="D7666"/>
    </row>
    <row r="7667" spans="3:4">
      <c r="C7667"/>
      <c r="D7667"/>
    </row>
    <row r="7668" spans="3:4">
      <c r="C7668"/>
      <c r="D7668"/>
    </row>
    <row r="7669" spans="3:4">
      <c r="C7669"/>
      <c r="D7669"/>
    </row>
    <row r="7670" spans="3:4">
      <c r="C7670"/>
      <c r="D7670"/>
    </row>
    <row r="7671" spans="3:4">
      <c r="C7671"/>
      <c r="D7671"/>
    </row>
    <row r="7672" spans="3:4">
      <c r="C7672"/>
      <c r="D7672"/>
    </row>
    <row r="7673" spans="3:4">
      <c r="C7673"/>
      <c r="D7673"/>
    </row>
    <row r="7674" spans="3:4">
      <c r="C7674"/>
      <c r="D7674"/>
    </row>
    <row r="7675" spans="3:4">
      <c r="C7675"/>
      <c r="D7675"/>
    </row>
    <row r="7676" spans="3:4">
      <c r="C7676"/>
      <c r="D7676"/>
    </row>
    <row r="7677" spans="3:4">
      <c r="C7677"/>
      <c r="D7677"/>
    </row>
    <row r="7678" spans="3:4">
      <c r="C7678"/>
      <c r="D7678"/>
    </row>
    <row r="7679" spans="3:4">
      <c r="C7679"/>
      <c r="D7679"/>
    </row>
    <row r="7680" spans="3:4">
      <c r="C7680"/>
      <c r="D7680"/>
    </row>
    <row r="7681" spans="3:4">
      <c r="C7681"/>
      <c r="D7681"/>
    </row>
    <row r="7682" spans="3:4">
      <c r="C7682"/>
      <c r="D7682"/>
    </row>
    <row r="7683" spans="3:4">
      <c r="C7683"/>
      <c r="D7683"/>
    </row>
    <row r="7684" spans="3:4">
      <c r="C7684"/>
      <c r="D7684"/>
    </row>
    <row r="7685" spans="3:4">
      <c r="C7685"/>
      <c r="D7685"/>
    </row>
    <row r="7686" spans="3:4">
      <c r="C7686"/>
      <c r="D7686"/>
    </row>
    <row r="7687" spans="3:4">
      <c r="C7687"/>
      <c r="D7687"/>
    </row>
    <row r="7688" spans="3:4">
      <c r="C7688"/>
      <c r="D7688"/>
    </row>
    <row r="7689" spans="3:4">
      <c r="C7689"/>
      <c r="D7689"/>
    </row>
    <row r="7690" spans="3:4">
      <c r="C7690"/>
      <c r="D7690"/>
    </row>
    <row r="7691" spans="3:4">
      <c r="C7691"/>
      <c r="D7691"/>
    </row>
    <row r="7692" spans="3:4">
      <c r="C7692"/>
      <c r="D7692"/>
    </row>
    <row r="7693" spans="3:4">
      <c r="C7693"/>
      <c r="D7693"/>
    </row>
    <row r="7694" spans="3:4">
      <c r="C7694"/>
      <c r="D7694"/>
    </row>
    <row r="7695" spans="3:4">
      <c r="C7695"/>
      <c r="D7695"/>
    </row>
    <row r="7696" spans="3:4">
      <c r="C7696"/>
      <c r="D7696"/>
    </row>
    <row r="7697" spans="3:4">
      <c r="C7697"/>
      <c r="D7697"/>
    </row>
    <row r="7698" spans="3:4">
      <c r="C7698"/>
      <c r="D7698"/>
    </row>
    <row r="7699" spans="3:4">
      <c r="C7699"/>
      <c r="D7699"/>
    </row>
    <row r="7700" spans="3:4">
      <c r="C7700"/>
      <c r="D7700"/>
    </row>
    <row r="7701" spans="3:4">
      <c r="C7701"/>
      <c r="D7701"/>
    </row>
    <row r="7702" spans="3:4">
      <c r="C7702"/>
      <c r="D7702"/>
    </row>
    <row r="7703" spans="3:4">
      <c r="C7703"/>
      <c r="D7703"/>
    </row>
    <row r="7704" spans="3:4">
      <c r="C7704"/>
      <c r="D7704"/>
    </row>
    <row r="7705" spans="3:4">
      <c r="C7705"/>
      <c r="D7705"/>
    </row>
    <row r="7706" spans="3:4">
      <c r="C7706"/>
      <c r="D7706"/>
    </row>
    <row r="7707" spans="3:4">
      <c r="C7707"/>
      <c r="D7707"/>
    </row>
    <row r="7708" spans="3:4">
      <c r="C7708"/>
      <c r="D7708"/>
    </row>
    <row r="7709" spans="3:4">
      <c r="C7709"/>
      <c r="D7709"/>
    </row>
    <row r="7710" spans="3:4">
      <c r="C7710"/>
      <c r="D7710"/>
    </row>
    <row r="7711" spans="3:4">
      <c r="C7711"/>
      <c r="D7711"/>
    </row>
    <row r="7712" spans="3:4">
      <c r="C7712"/>
      <c r="D7712"/>
    </row>
    <row r="7713" spans="3:4">
      <c r="C7713"/>
      <c r="D7713"/>
    </row>
    <row r="7714" spans="3:4">
      <c r="C7714"/>
      <c r="D7714"/>
    </row>
    <row r="7715" spans="3:4">
      <c r="C7715"/>
      <c r="D7715"/>
    </row>
    <row r="7716" spans="3:4">
      <c r="C7716"/>
      <c r="D7716"/>
    </row>
    <row r="7717" spans="3:4">
      <c r="C7717"/>
      <c r="D7717"/>
    </row>
    <row r="7718" spans="3:4">
      <c r="C7718"/>
      <c r="D7718"/>
    </row>
    <row r="7719" spans="3:4">
      <c r="C7719"/>
      <c r="D7719"/>
    </row>
    <row r="7720" spans="3:4">
      <c r="C7720"/>
      <c r="D7720"/>
    </row>
    <row r="7721" spans="3:4">
      <c r="C7721"/>
      <c r="D7721"/>
    </row>
    <row r="7722" spans="3:4">
      <c r="C7722"/>
      <c r="D7722"/>
    </row>
    <row r="7723" spans="3:4">
      <c r="C7723"/>
      <c r="D7723"/>
    </row>
    <row r="7724" spans="3:4">
      <c r="C7724"/>
      <c r="D7724"/>
    </row>
    <row r="7725" spans="3:4">
      <c r="C7725"/>
      <c r="D7725"/>
    </row>
    <row r="7726" spans="3:4">
      <c r="C7726"/>
      <c r="D7726"/>
    </row>
    <row r="7727" spans="3:4">
      <c r="C7727"/>
      <c r="D7727"/>
    </row>
    <row r="7728" spans="3:4">
      <c r="C7728"/>
      <c r="D7728"/>
    </row>
    <row r="7729" spans="3:4">
      <c r="C7729"/>
      <c r="D7729"/>
    </row>
    <row r="7730" spans="3:4">
      <c r="C7730"/>
      <c r="D7730"/>
    </row>
    <row r="7731" spans="3:4">
      <c r="C7731"/>
      <c r="D7731"/>
    </row>
    <row r="7732" spans="3:4">
      <c r="C7732"/>
      <c r="D7732"/>
    </row>
    <row r="7733" spans="3:4">
      <c r="C7733"/>
      <c r="D7733"/>
    </row>
    <row r="7734" spans="3:4">
      <c r="C7734"/>
      <c r="D7734"/>
    </row>
    <row r="7735" spans="3:4">
      <c r="C7735"/>
      <c r="D7735"/>
    </row>
    <row r="7736" spans="3:4">
      <c r="C7736"/>
      <c r="D7736"/>
    </row>
    <row r="7737" spans="3:4">
      <c r="C7737"/>
      <c r="D7737"/>
    </row>
    <row r="7738" spans="3:4">
      <c r="C7738"/>
      <c r="D7738"/>
    </row>
    <row r="7739" spans="3:4">
      <c r="C7739"/>
      <c r="D7739"/>
    </row>
    <row r="7740" spans="3:4">
      <c r="C7740"/>
      <c r="D7740"/>
    </row>
    <row r="7741" spans="3:4">
      <c r="C7741"/>
      <c r="D7741"/>
    </row>
    <row r="7742" spans="3:4">
      <c r="C7742"/>
      <c r="D7742"/>
    </row>
    <row r="7743" spans="3:4">
      <c r="C7743"/>
      <c r="D7743"/>
    </row>
    <row r="7744" spans="3:4">
      <c r="C7744"/>
      <c r="D7744"/>
    </row>
    <row r="7745" spans="3:4">
      <c r="C7745"/>
      <c r="D7745"/>
    </row>
    <row r="7746" spans="3:4">
      <c r="C7746"/>
      <c r="D7746"/>
    </row>
    <row r="7747" spans="3:4">
      <c r="C7747"/>
      <c r="D7747"/>
    </row>
    <row r="7748" spans="3:4">
      <c r="C7748"/>
      <c r="D7748"/>
    </row>
    <row r="7749" spans="3:4">
      <c r="C7749"/>
      <c r="D7749"/>
    </row>
    <row r="7750" spans="3:4">
      <c r="C7750"/>
      <c r="D7750"/>
    </row>
    <row r="7751" spans="3:4">
      <c r="C7751"/>
      <c r="D7751"/>
    </row>
    <row r="7752" spans="3:4">
      <c r="C7752"/>
      <c r="D7752"/>
    </row>
    <row r="7753" spans="3:4">
      <c r="C7753"/>
      <c r="D7753"/>
    </row>
    <row r="7754" spans="3:4">
      <c r="C7754"/>
      <c r="D7754"/>
    </row>
    <row r="7755" spans="3:4">
      <c r="C7755"/>
      <c r="D7755"/>
    </row>
    <row r="7756" spans="3:4">
      <c r="C7756"/>
      <c r="D7756"/>
    </row>
    <row r="7757" spans="3:4">
      <c r="C7757"/>
      <c r="D7757"/>
    </row>
    <row r="7758" spans="3:4">
      <c r="C7758"/>
      <c r="D7758"/>
    </row>
    <row r="7759" spans="3:4">
      <c r="C7759"/>
      <c r="D7759"/>
    </row>
    <row r="7760" spans="3:4">
      <c r="C7760"/>
      <c r="D7760"/>
    </row>
    <row r="7761" spans="3:4">
      <c r="C7761"/>
      <c r="D7761"/>
    </row>
    <row r="7762" spans="3:4">
      <c r="C7762"/>
      <c r="D7762"/>
    </row>
    <row r="7763" spans="3:4">
      <c r="C7763"/>
      <c r="D7763"/>
    </row>
    <row r="7764" spans="3:4">
      <c r="C7764"/>
      <c r="D7764"/>
    </row>
    <row r="7765" spans="3:4">
      <c r="C7765"/>
      <c r="D7765"/>
    </row>
    <row r="7766" spans="3:4">
      <c r="C7766"/>
      <c r="D7766"/>
    </row>
    <row r="7767" spans="3:4">
      <c r="C7767"/>
      <c r="D7767"/>
    </row>
    <row r="7768" spans="3:4">
      <c r="C7768"/>
      <c r="D7768"/>
    </row>
    <row r="7769" spans="3:4">
      <c r="C7769"/>
      <c r="D7769"/>
    </row>
    <row r="7770" spans="3:4">
      <c r="C7770"/>
      <c r="D7770"/>
    </row>
    <row r="7771" spans="3:4">
      <c r="C7771"/>
      <c r="D7771"/>
    </row>
    <row r="7772" spans="3:4">
      <c r="C7772"/>
      <c r="D7772"/>
    </row>
    <row r="7773" spans="3:4">
      <c r="C7773"/>
      <c r="D7773"/>
    </row>
    <row r="7774" spans="3:4">
      <c r="C7774"/>
      <c r="D7774"/>
    </row>
    <row r="7775" spans="3:4">
      <c r="C7775"/>
      <c r="D7775"/>
    </row>
    <row r="7776" spans="3:4">
      <c r="C7776"/>
      <c r="D7776"/>
    </row>
    <row r="7777" spans="3:4">
      <c r="C7777"/>
      <c r="D7777"/>
    </row>
    <row r="7778" spans="3:4">
      <c r="C7778"/>
      <c r="D7778"/>
    </row>
    <row r="7779" spans="3:4">
      <c r="C7779"/>
      <c r="D7779"/>
    </row>
    <row r="7780" spans="3:4">
      <c r="C7780"/>
      <c r="D7780"/>
    </row>
    <row r="7781" spans="3:4">
      <c r="C7781"/>
      <c r="D7781"/>
    </row>
    <row r="7782" spans="3:4">
      <c r="C7782"/>
      <c r="D7782"/>
    </row>
    <row r="7783" spans="3:4">
      <c r="C7783"/>
      <c r="D7783"/>
    </row>
    <row r="7784" spans="3:4">
      <c r="C7784"/>
      <c r="D7784"/>
    </row>
    <row r="7785" spans="3:4">
      <c r="C7785"/>
      <c r="D7785"/>
    </row>
    <row r="7786" spans="3:4">
      <c r="C7786"/>
      <c r="D7786"/>
    </row>
    <row r="7787" spans="3:4">
      <c r="C7787"/>
      <c r="D7787"/>
    </row>
    <row r="7788" spans="3:4">
      <c r="C7788"/>
      <c r="D7788"/>
    </row>
    <row r="7789" spans="3:4">
      <c r="C7789"/>
      <c r="D7789"/>
    </row>
    <row r="7790" spans="3:4">
      <c r="C7790"/>
      <c r="D7790"/>
    </row>
    <row r="7791" spans="3:4">
      <c r="C7791"/>
      <c r="D7791"/>
    </row>
    <row r="7792" spans="3:4">
      <c r="C7792"/>
      <c r="D7792"/>
    </row>
    <row r="7793" spans="3:4">
      <c r="C7793"/>
      <c r="D7793"/>
    </row>
    <row r="7794" spans="3:4">
      <c r="C7794"/>
      <c r="D7794"/>
    </row>
    <row r="7795" spans="3:4">
      <c r="C7795"/>
      <c r="D7795"/>
    </row>
    <row r="7796" spans="3:4">
      <c r="C7796"/>
      <c r="D7796"/>
    </row>
    <row r="7797" spans="3:4">
      <c r="C7797"/>
      <c r="D7797"/>
    </row>
    <row r="7798" spans="3:4">
      <c r="C7798"/>
      <c r="D7798"/>
    </row>
    <row r="7799" spans="3:4">
      <c r="C7799"/>
      <c r="D7799"/>
    </row>
    <row r="7800" spans="3:4">
      <c r="C7800"/>
      <c r="D7800"/>
    </row>
    <row r="7801" spans="3:4">
      <c r="C7801"/>
      <c r="D7801"/>
    </row>
    <row r="7802" spans="3:4">
      <c r="C7802"/>
      <c r="D7802"/>
    </row>
    <row r="7803" spans="3:4">
      <c r="C7803"/>
      <c r="D7803"/>
    </row>
    <row r="7804" spans="3:4">
      <c r="C7804"/>
      <c r="D7804"/>
    </row>
    <row r="7805" spans="3:4">
      <c r="C7805"/>
      <c r="D7805"/>
    </row>
    <row r="7806" spans="3:4">
      <c r="C7806"/>
      <c r="D7806"/>
    </row>
    <row r="7807" spans="3:4">
      <c r="C7807"/>
      <c r="D7807"/>
    </row>
    <row r="7808" spans="3:4">
      <c r="C7808"/>
      <c r="D7808"/>
    </row>
    <row r="7809" spans="3:4">
      <c r="C7809"/>
      <c r="D7809"/>
    </row>
    <row r="7810" spans="3:4">
      <c r="C7810"/>
      <c r="D7810"/>
    </row>
    <row r="7811" spans="3:4">
      <c r="C7811"/>
      <c r="D7811"/>
    </row>
    <row r="7812" spans="3:4">
      <c r="C7812"/>
      <c r="D7812"/>
    </row>
    <row r="7813" spans="3:4">
      <c r="C7813"/>
      <c r="D7813"/>
    </row>
    <row r="7814" spans="3:4">
      <c r="C7814"/>
      <c r="D7814"/>
    </row>
    <row r="7815" spans="3:4">
      <c r="C7815"/>
      <c r="D7815"/>
    </row>
    <row r="7816" spans="3:4">
      <c r="C7816"/>
      <c r="D7816"/>
    </row>
    <row r="7817" spans="3:4">
      <c r="C7817"/>
      <c r="D7817"/>
    </row>
    <row r="7818" spans="3:4">
      <c r="C7818"/>
      <c r="D7818"/>
    </row>
    <row r="7819" spans="3:4">
      <c r="C7819"/>
      <c r="D7819"/>
    </row>
    <row r="7820" spans="3:4">
      <c r="C7820"/>
      <c r="D7820"/>
    </row>
    <row r="7821" spans="3:4">
      <c r="C7821"/>
      <c r="D7821"/>
    </row>
    <row r="7822" spans="3:4">
      <c r="C7822"/>
      <c r="D7822"/>
    </row>
    <row r="7823" spans="3:4">
      <c r="C7823"/>
      <c r="D7823"/>
    </row>
    <row r="7824" spans="3:4">
      <c r="C7824"/>
      <c r="D7824"/>
    </row>
    <row r="7825" spans="3:4">
      <c r="C7825"/>
      <c r="D7825"/>
    </row>
    <row r="7826" spans="3:4">
      <c r="C7826"/>
      <c r="D7826"/>
    </row>
    <row r="7827" spans="3:4">
      <c r="C7827"/>
      <c r="D7827"/>
    </row>
    <row r="7828" spans="3:4">
      <c r="C7828"/>
      <c r="D7828"/>
    </row>
    <row r="7829" spans="3:4">
      <c r="C7829"/>
      <c r="D7829"/>
    </row>
    <row r="7830" spans="3:4">
      <c r="C7830"/>
      <c r="D7830"/>
    </row>
    <row r="7831" spans="3:4">
      <c r="C7831"/>
      <c r="D7831"/>
    </row>
    <row r="7832" spans="3:4">
      <c r="C7832"/>
      <c r="D7832"/>
    </row>
    <row r="7833" spans="3:4">
      <c r="C7833"/>
      <c r="D7833"/>
    </row>
    <row r="7834" spans="3:4">
      <c r="C7834"/>
      <c r="D7834"/>
    </row>
    <row r="7835" spans="3:4">
      <c r="C7835"/>
      <c r="D7835"/>
    </row>
    <row r="7836" spans="3:4">
      <c r="C7836"/>
      <c r="D7836"/>
    </row>
    <row r="7837" spans="3:4">
      <c r="C7837"/>
      <c r="D7837"/>
    </row>
    <row r="7838" spans="3:4">
      <c r="C7838"/>
      <c r="D7838"/>
    </row>
    <row r="7839" spans="3:4">
      <c r="C7839"/>
      <c r="D7839"/>
    </row>
    <row r="7840" spans="3:4">
      <c r="C7840"/>
      <c r="D7840"/>
    </row>
    <row r="7841" spans="3:4">
      <c r="C7841"/>
      <c r="D7841"/>
    </row>
    <row r="7842" spans="3:4">
      <c r="C7842"/>
      <c r="D7842"/>
    </row>
    <row r="7843" spans="3:4">
      <c r="C7843"/>
      <c r="D7843"/>
    </row>
    <row r="7844" spans="3:4">
      <c r="C7844"/>
      <c r="D7844"/>
    </row>
    <row r="7845" spans="3:4">
      <c r="C7845"/>
      <c r="D7845"/>
    </row>
    <row r="7846" spans="3:4">
      <c r="C7846"/>
      <c r="D7846"/>
    </row>
    <row r="7847" spans="3:4">
      <c r="C7847"/>
      <c r="D7847"/>
    </row>
    <row r="7848" spans="3:4">
      <c r="C7848"/>
      <c r="D7848"/>
    </row>
    <row r="7849" spans="3:4">
      <c r="C7849"/>
      <c r="D7849"/>
    </row>
    <row r="7850" spans="3:4">
      <c r="C7850"/>
      <c r="D7850"/>
    </row>
    <row r="7851" spans="3:4">
      <c r="C7851"/>
      <c r="D7851"/>
    </row>
    <row r="7852" spans="3:4">
      <c r="C7852"/>
      <c r="D7852"/>
    </row>
    <row r="7853" spans="3:4">
      <c r="C7853"/>
      <c r="D7853"/>
    </row>
    <row r="7854" spans="3:4">
      <c r="C7854"/>
      <c r="D7854"/>
    </row>
    <row r="7855" spans="3:4">
      <c r="C7855"/>
      <c r="D7855"/>
    </row>
    <row r="7856" spans="3:4">
      <c r="C7856"/>
      <c r="D7856"/>
    </row>
    <row r="7857" spans="3:4">
      <c r="C7857"/>
      <c r="D7857"/>
    </row>
    <row r="7858" spans="3:4">
      <c r="C7858"/>
      <c r="D7858"/>
    </row>
    <row r="7859" spans="3:4">
      <c r="C7859"/>
      <c r="D7859"/>
    </row>
    <row r="7860" spans="3:4">
      <c r="C7860"/>
      <c r="D7860"/>
    </row>
    <row r="7861" spans="3:4">
      <c r="C7861"/>
      <c r="D7861"/>
    </row>
    <row r="7862" spans="3:4">
      <c r="C7862"/>
      <c r="D7862"/>
    </row>
    <row r="7863" spans="3:4">
      <c r="C7863"/>
      <c r="D7863"/>
    </row>
    <row r="7864" spans="3:4">
      <c r="C7864"/>
      <c r="D7864"/>
    </row>
    <row r="7865" spans="3:4">
      <c r="C7865"/>
      <c r="D7865"/>
    </row>
    <row r="7866" spans="3:4">
      <c r="C7866"/>
      <c r="D7866"/>
    </row>
    <row r="7867" spans="3:4">
      <c r="C7867"/>
      <c r="D7867"/>
    </row>
    <row r="7868" spans="3:4">
      <c r="C7868"/>
      <c r="D7868"/>
    </row>
    <row r="7869" spans="3:4">
      <c r="C7869"/>
      <c r="D7869"/>
    </row>
    <row r="7870" spans="3:4">
      <c r="C7870"/>
      <c r="D7870"/>
    </row>
    <row r="7871" spans="3:4">
      <c r="C7871"/>
      <c r="D7871"/>
    </row>
    <row r="7872" spans="3:4">
      <c r="C7872"/>
      <c r="D7872"/>
    </row>
    <row r="7873" spans="3:4">
      <c r="C7873"/>
      <c r="D7873"/>
    </row>
    <row r="7874" spans="3:4">
      <c r="C7874"/>
      <c r="D7874"/>
    </row>
    <row r="7875" spans="3:4">
      <c r="C7875"/>
      <c r="D7875"/>
    </row>
    <row r="7876" spans="3:4">
      <c r="C7876"/>
      <c r="D7876"/>
    </row>
    <row r="7877" spans="3:4">
      <c r="C7877"/>
      <c r="D7877"/>
    </row>
    <row r="7878" spans="3:4">
      <c r="C7878"/>
      <c r="D7878"/>
    </row>
    <row r="7879" spans="3:4">
      <c r="C7879"/>
      <c r="D7879"/>
    </row>
    <row r="7880" spans="3:4">
      <c r="C7880"/>
      <c r="D7880"/>
    </row>
    <row r="7881" spans="3:4">
      <c r="C7881"/>
      <c r="D7881"/>
    </row>
    <row r="7882" spans="3:4">
      <c r="C7882"/>
      <c r="D7882"/>
    </row>
    <row r="7883" spans="3:4">
      <c r="C7883"/>
      <c r="D7883"/>
    </row>
    <row r="7884" spans="3:4">
      <c r="C7884"/>
      <c r="D7884"/>
    </row>
    <row r="7885" spans="3:4">
      <c r="C7885"/>
      <c r="D7885"/>
    </row>
    <row r="7886" spans="3:4">
      <c r="C7886"/>
      <c r="D7886"/>
    </row>
    <row r="7887" spans="3:4">
      <c r="C7887"/>
      <c r="D7887"/>
    </row>
    <row r="7888" spans="3:4">
      <c r="C7888"/>
      <c r="D7888"/>
    </row>
    <row r="7889" spans="3:4">
      <c r="C7889"/>
      <c r="D7889"/>
    </row>
    <row r="7890" spans="3:4">
      <c r="C7890"/>
      <c r="D7890"/>
    </row>
    <row r="7891" spans="3:4">
      <c r="C7891"/>
      <c r="D7891"/>
    </row>
    <row r="7892" spans="3:4">
      <c r="C7892"/>
      <c r="D7892"/>
    </row>
    <row r="7893" spans="3:4">
      <c r="C7893"/>
      <c r="D7893"/>
    </row>
    <row r="7894" spans="3:4">
      <c r="C7894"/>
      <c r="D7894"/>
    </row>
    <row r="7895" spans="3:4">
      <c r="C7895"/>
      <c r="D7895"/>
    </row>
    <row r="7896" spans="3:4">
      <c r="C7896"/>
      <c r="D7896"/>
    </row>
    <row r="7897" spans="3:4">
      <c r="C7897"/>
      <c r="D7897"/>
    </row>
    <row r="7898" spans="3:4">
      <c r="C7898"/>
      <c r="D7898"/>
    </row>
    <row r="7899" spans="3:4">
      <c r="C7899"/>
      <c r="D7899"/>
    </row>
    <row r="7900" spans="3:4">
      <c r="C7900"/>
      <c r="D7900"/>
    </row>
    <row r="7901" spans="3:4">
      <c r="C7901"/>
      <c r="D7901"/>
    </row>
    <row r="7902" spans="3:4">
      <c r="C7902"/>
      <c r="D7902"/>
    </row>
    <row r="7903" spans="3:4">
      <c r="C7903"/>
      <c r="D7903"/>
    </row>
    <row r="7904" spans="3:4">
      <c r="C7904"/>
      <c r="D7904"/>
    </row>
    <row r="7905" spans="3:4">
      <c r="C7905"/>
      <c r="D7905"/>
    </row>
    <row r="7906" spans="3:4">
      <c r="C7906"/>
      <c r="D7906"/>
    </row>
    <row r="7907" spans="3:4">
      <c r="C7907"/>
      <c r="D7907"/>
    </row>
    <row r="7908" spans="3:4">
      <c r="C7908"/>
      <c r="D7908"/>
    </row>
    <row r="7909" spans="3:4">
      <c r="C7909"/>
      <c r="D7909"/>
    </row>
    <row r="7910" spans="3:4">
      <c r="C7910"/>
      <c r="D7910"/>
    </row>
    <row r="7911" spans="3:4">
      <c r="C7911"/>
      <c r="D7911"/>
    </row>
    <row r="7912" spans="3:4">
      <c r="C7912"/>
      <c r="D7912"/>
    </row>
    <row r="7913" spans="3:4">
      <c r="C7913"/>
      <c r="D7913"/>
    </row>
    <row r="7914" spans="3:4">
      <c r="C7914"/>
      <c r="D7914"/>
    </row>
    <row r="7915" spans="3:4">
      <c r="C7915"/>
      <c r="D7915"/>
    </row>
    <row r="7916" spans="3:4">
      <c r="C7916"/>
      <c r="D7916"/>
    </row>
    <row r="7917" spans="3:4">
      <c r="C7917"/>
      <c r="D7917"/>
    </row>
    <row r="7918" spans="3:4">
      <c r="C7918"/>
      <c r="D7918"/>
    </row>
    <row r="7919" spans="3:4">
      <c r="C7919"/>
      <c r="D7919"/>
    </row>
    <row r="7920" spans="3:4">
      <c r="C7920"/>
      <c r="D7920"/>
    </row>
    <row r="7921" spans="3:4">
      <c r="C7921"/>
      <c r="D7921"/>
    </row>
    <row r="7922" spans="3:4">
      <c r="C7922"/>
      <c r="D7922"/>
    </row>
    <row r="7923" spans="3:4">
      <c r="C7923"/>
      <c r="D7923"/>
    </row>
    <row r="7924" spans="3:4">
      <c r="C7924"/>
      <c r="D7924"/>
    </row>
    <row r="7925" spans="3:4">
      <c r="C7925"/>
      <c r="D7925"/>
    </row>
    <row r="7926" spans="3:4">
      <c r="C7926"/>
      <c r="D7926"/>
    </row>
    <row r="7927" spans="3:4">
      <c r="C7927"/>
      <c r="D7927"/>
    </row>
    <row r="7928" spans="3:4">
      <c r="C7928"/>
      <c r="D7928"/>
    </row>
    <row r="7929" spans="3:4">
      <c r="C7929"/>
      <c r="D7929"/>
    </row>
    <row r="7930" spans="3:4">
      <c r="C7930"/>
      <c r="D7930"/>
    </row>
    <row r="7931" spans="3:4">
      <c r="C7931"/>
      <c r="D7931"/>
    </row>
    <row r="7932" spans="3:4">
      <c r="C7932"/>
      <c r="D7932"/>
    </row>
    <row r="7933" spans="3:4">
      <c r="C7933"/>
      <c r="D7933"/>
    </row>
    <row r="7934" spans="3:4">
      <c r="C7934"/>
      <c r="D7934"/>
    </row>
    <row r="7935" spans="3:4">
      <c r="C7935"/>
      <c r="D7935"/>
    </row>
    <row r="7936" spans="3:4">
      <c r="C7936"/>
      <c r="D7936"/>
    </row>
    <row r="7937" spans="3:4">
      <c r="C7937"/>
      <c r="D7937"/>
    </row>
    <row r="7938" spans="3:4">
      <c r="C7938"/>
      <c r="D7938"/>
    </row>
    <row r="7939" spans="3:4">
      <c r="C7939"/>
      <c r="D7939"/>
    </row>
    <row r="7940" spans="3:4">
      <c r="C7940"/>
      <c r="D7940"/>
    </row>
    <row r="7941" spans="3:4">
      <c r="C7941"/>
      <c r="D7941"/>
    </row>
    <row r="7942" spans="3:4">
      <c r="C7942"/>
      <c r="D7942"/>
    </row>
    <row r="7943" spans="3:4">
      <c r="C7943"/>
      <c r="D7943"/>
    </row>
    <row r="7944" spans="3:4">
      <c r="C7944"/>
      <c r="D7944"/>
    </row>
    <row r="7945" spans="3:4">
      <c r="C7945"/>
      <c r="D7945"/>
    </row>
    <row r="7946" spans="3:4">
      <c r="C7946"/>
      <c r="D7946"/>
    </row>
    <row r="7947" spans="3:4">
      <c r="C7947"/>
      <c r="D7947"/>
    </row>
    <row r="7948" spans="3:4">
      <c r="C7948"/>
      <c r="D7948"/>
    </row>
    <row r="7949" spans="3:4">
      <c r="C7949"/>
      <c r="D7949"/>
    </row>
    <row r="7950" spans="3:4">
      <c r="C7950"/>
      <c r="D7950"/>
    </row>
    <row r="7951" spans="3:4">
      <c r="C7951"/>
      <c r="D7951"/>
    </row>
    <row r="7952" spans="3:4">
      <c r="C7952"/>
      <c r="D7952"/>
    </row>
    <row r="7953" spans="3:4">
      <c r="C7953"/>
      <c r="D7953"/>
    </row>
    <row r="7954" spans="3:4">
      <c r="C7954"/>
      <c r="D7954"/>
    </row>
    <row r="7955" spans="3:4">
      <c r="C7955"/>
      <c r="D7955"/>
    </row>
    <row r="7956" spans="3:4">
      <c r="C7956"/>
      <c r="D7956"/>
    </row>
    <row r="7957" spans="3:4">
      <c r="C7957"/>
      <c r="D7957"/>
    </row>
    <row r="7958" spans="3:4">
      <c r="C7958"/>
      <c r="D7958"/>
    </row>
    <row r="7959" spans="3:4">
      <c r="C7959"/>
      <c r="D7959"/>
    </row>
    <row r="7960" spans="3:4">
      <c r="C7960"/>
      <c r="D7960"/>
    </row>
    <row r="7961" spans="3:4">
      <c r="C7961"/>
      <c r="D7961"/>
    </row>
    <row r="7962" spans="3:4">
      <c r="C7962"/>
      <c r="D7962"/>
    </row>
    <row r="7963" spans="3:4">
      <c r="C7963"/>
      <c r="D7963"/>
    </row>
    <row r="7964" spans="3:4">
      <c r="C7964"/>
      <c r="D7964"/>
    </row>
    <row r="7965" spans="3:4">
      <c r="C7965"/>
      <c r="D7965"/>
    </row>
    <row r="7966" spans="3:4">
      <c r="C7966"/>
      <c r="D7966"/>
    </row>
    <row r="7967" spans="3:4">
      <c r="C7967"/>
      <c r="D7967"/>
    </row>
    <row r="7968" spans="3:4">
      <c r="C7968"/>
      <c r="D7968"/>
    </row>
    <row r="7969" spans="3:4">
      <c r="C7969"/>
      <c r="D7969"/>
    </row>
    <row r="7970" spans="3:4">
      <c r="C7970"/>
      <c r="D7970"/>
    </row>
    <row r="7971" spans="3:4">
      <c r="C7971"/>
      <c r="D7971"/>
    </row>
    <row r="7972" spans="3:4">
      <c r="C7972"/>
      <c r="D7972"/>
    </row>
    <row r="7973" spans="3:4">
      <c r="C7973"/>
      <c r="D7973"/>
    </row>
    <row r="7974" spans="3:4">
      <c r="C7974"/>
      <c r="D7974"/>
    </row>
    <row r="7975" spans="3:4">
      <c r="C7975"/>
      <c r="D7975"/>
    </row>
    <row r="7976" spans="3:4">
      <c r="C7976"/>
      <c r="D7976"/>
    </row>
    <row r="7977" spans="3:4">
      <c r="C7977"/>
      <c r="D7977"/>
    </row>
    <row r="7978" spans="3:4">
      <c r="C7978"/>
      <c r="D7978"/>
    </row>
    <row r="7979" spans="3:4">
      <c r="C7979"/>
      <c r="D7979"/>
    </row>
    <row r="7980" spans="3:4">
      <c r="C7980"/>
      <c r="D7980"/>
    </row>
    <row r="7981" spans="3:4">
      <c r="C7981"/>
      <c r="D7981"/>
    </row>
    <row r="7982" spans="3:4">
      <c r="C7982"/>
      <c r="D7982"/>
    </row>
    <row r="7983" spans="3:4">
      <c r="C7983"/>
      <c r="D7983"/>
    </row>
    <row r="7984" spans="3:4">
      <c r="C7984"/>
      <c r="D7984"/>
    </row>
    <row r="7985" spans="3:4">
      <c r="C7985"/>
      <c r="D7985"/>
    </row>
    <row r="7986" spans="3:4">
      <c r="C7986"/>
      <c r="D7986"/>
    </row>
    <row r="7987" spans="3:4">
      <c r="C7987"/>
      <c r="D7987"/>
    </row>
    <row r="7988" spans="3:4">
      <c r="C7988"/>
      <c r="D7988"/>
    </row>
    <row r="7989" spans="3:4">
      <c r="C7989"/>
      <c r="D7989"/>
    </row>
    <row r="7990" spans="3:4">
      <c r="C7990"/>
      <c r="D7990"/>
    </row>
    <row r="7991" spans="3:4">
      <c r="C7991"/>
      <c r="D7991"/>
    </row>
    <row r="7992" spans="3:4">
      <c r="C7992"/>
      <c r="D7992"/>
    </row>
    <row r="7993" spans="3:4">
      <c r="C7993"/>
      <c r="D7993"/>
    </row>
    <row r="7994" spans="3:4">
      <c r="C7994"/>
      <c r="D7994"/>
    </row>
    <row r="7995" spans="3:4">
      <c r="C7995"/>
      <c r="D7995"/>
    </row>
    <row r="7996" spans="3:4">
      <c r="C7996"/>
      <c r="D7996"/>
    </row>
    <row r="7997" spans="3:4">
      <c r="C7997"/>
      <c r="D7997"/>
    </row>
    <row r="7998" spans="3:4">
      <c r="C7998"/>
      <c r="D7998"/>
    </row>
    <row r="7999" spans="3:4">
      <c r="C7999"/>
      <c r="D7999"/>
    </row>
    <row r="8000" spans="3:4">
      <c r="C8000"/>
      <c r="D8000"/>
    </row>
    <row r="8001" spans="3:4">
      <c r="C8001"/>
      <c r="D8001"/>
    </row>
    <row r="8002" spans="3:4">
      <c r="C8002"/>
      <c r="D8002"/>
    </row>
    <row r="8003" spans="3:4">
      <c r="C8003"/>
      <c r="D8003"/>
    </row>
    <row r="8004" spans="3:4">
      <c r="C8004"/>
      <c r="D8004"/>
    </row>
    <row r="8005" spans="3:4">
      <c r="C8005"/>
      <c r="D8005"/>
    </row>
    <row r="8006" spans="3:4">
      <c r="C8006"/>
      <c r="D8006"/>
    </row>
    <row r="8007" spans="3:4">
      <c r="C8007"/>
      <c r="D8007"/>
    </row>
    <row r="8008" spans="3:4">
      <c r="C8008"/>
      <c r="D8008"/>
    </row>
    <row r="8009" spans="3:4">
      <c r="C8009"/>
      <c r="D8009"/>
    </row>
    <row r="8010" spans="3:4">
      <c r="C8010"/>
      <c r="D8010"/>
    </row>
    <row r="8011" spans="3:4">
      <c r="C8011"/>
      <c r="D8011"/>
    </row>
    <row r="8012" spans="3:4">
      <c r="C8012"/>
      <c r="D8012"/>
    </row>
    <row r="8013" spans="3:4">
      <c r="C8013"/>
      <c r="D8013"/>
    </row>
    <row r="8014" spans="3:4">
      <c r="C8014"/>
      <c r="D8014"/>
    </row>
    <row r="8015" spans="3:4">
      <c r="C8015"/>
      <c r="D8015"/>
    </row>
    <row r="8016" spans="3:4">
      <c r="C8016"/>
      <c r="D8016"/>
    </row>
    <row r="8017" spans="3:4">
      <c r="C8017"/>
      <c r="D8017"/>
    </row>
    <row r="8018" spans="3:4">
      <c r="C8018"/>
      <c r="D8018"/>
    </row>
    <row r="8019" spans="3:4">
      <c r="C8019"/>
      <c r="D8019"/>
    </row>
    <row r="8020" spans="3:4">
      <c r="C8020"/>
      <c r="D8020"/>
    </row>
    <row r="8021" spans="3:4">
      <c r="C8021"/>
      <c r="D8021"/>
    </row>
    <row r="8022" spans="3:4">
      <c r="C8022"/>
      <c r="D8022"/>
    </row>
    <row r="8023" spans="3:4">
      <c r="C8023"/>
      <c r="D8023"/>
    </row>
    <row r="8024" spans="3:4">
      <c r="C8024"/>
      <c r="D8024"/>
    </row>
    <row r="8025" spans="3:4">
      <c r="C8025"/>
      <c r="D8025"/>
    </row>
    <row r="8026" spans="3:4">
      <c r="C8026"/>
      <c r="D8026"/>
    </row>
    <row r="8027" spans="3:4">
      <c r="C8027"/>
      <c r="D8027"/>
    </row>
    <row r="8028" spans="3:4">
      <c r="C8028"/>
      <c r="D8028"/>
    </row>
    <row r="8029" spans="3:4">
      <c r="C8029"/>
      <c r="D8029"/>
    </row>
    <row r="8030" spans="3:4">
      <c r="C8030"/>
      <c r="D8030"/>
    </row>
    <row r="8031" spans="3:4">
      <c r="C8031"/>
      <c r="D8031"/>
    </row>
    <row r="8032" spans="3:4">
      <c r="C8032"/>
      <c r="D8032"/>
    </row>
    <row r="8033" spans="3:4">
      <c r="C8033"/>
      <c r="D8033"/>
    </row>
    <row r="8034" spans="3:4">
      <c r="C8034"/>
      <c r="D8034"/>
    </row>
    <row r="8035" spans="3:4">
      <c r="C8035"/>
      <c r="D8035"/>
    </row>
    <row r="8036" spans="3:4">
      <c r="C8036"/>
      <c r="D8036"/>
    </row>
    <row r="8037" spans="3:4">
      <c r="C8037"/>
      <c r="D8037"/>
    </row>
    <row r="8038" spans="3:4">
      <c r="C8038"/>
      <c r="D8038"/>
    </row>
    <row r="8039" spans="3:4">
      <c r="C8039"/>
      <c r="D8039"/>
    </row>
    <row r="8040" spans="3:4">
      <c r="C8040"/>
      <c r="D8040"/>
    </row>
    <row r="8041" spans="3:4">
      <c r="C8041"/>
      <c r="D8041"/>
    </row>
    <row r="8042" spans="3:4">
      <c r="C8042"/>
      <c r="D8042"/>
    </row>
    <row r="8043" spans="3:4">
      <c r="C8043"/>
      <c r="D8043"/>
    </row>
    <row r="8044" spans="3:4">
      <c r="C8044"/>
      <c r="D8044"/>
    </row>
    <row r="8045" spans="3:4">
      <c r="C8045"/>
      <c r="D8045"/>
    </row>
    <row r="8046" spans="3:4">
      <c r="C8046"/>
      <c r="D8046"/>
    </row>
    <row r="8047" spans="3:4">
      <c r="C8047"/>
      <c r="D8047"/>
    </row>
    <row r="8048" spans="3:4">
      <c r="C8048"/>
      <c r="D8048"/>
    </row>
    <row r="8049" spans="3:4">
      <c r="C8049"/>
      <c r="D8049"/>
    </row>
    <row r="8050" spans="3:4">
      <c r="C8050"/>
      <c r="D8050"/>
    </row>
    <row r="8051" spans="3:4">
      <c r="C8051"/>
      <c r="D8051"/>
    </row>
    <row r="8052" spans="3:4">
      <c r="C8052"/>
      <c r="D8052"/>
    </row>
    <row r="8053" spans="3:4">
      <c r="C8053"/>
      <c r="D8053"/>
    </row>
    <row r="8054" spans="3:4">
      <c r="C8054"/>
      <c r="D8054"/>
    </row>
    <row r="8055" spans="3:4">
      <c r="C8055"/>
      <c r="D8055"/>
    </row>
    <row r="8056" spans="3:4">
      <c r="C8056"/>
      <c r="D8056"/>
    </row>
    <row r="8057" spans="3:4">
      <c r="C8057"/>
      <c r="D8057"/>
    </row>
    <row r="8058" spans="3:4">
      <c r="C8058"/>
      <c r="D8058"/>
    </row>
    <row r="8059" spans="3:4">
      <c r="C8059"/>
      <c r="D8059"/>
    </row>
    <row r="8060" spans="3:4">
      <c r="C8060"/>
      <c r="D8060"/>
    </row>
    <row r="8061" spans="3:4">
      <c r="C8061"/>
      <c r="D8061"/>
    </row>
    <row r="8062" spans="3:4">
      <c r="C8062"/>
      <c r="D8062"/>
    </row>
    <row r="8063" spans="3:4">
      <c r="C8063"/>
      <c r="D8063"/>
    </row>
    <row r="8064" spans="3:4">
      <c r="C8064"/>
      <c r="D8064"/>
    </row>
    <row r="8065" spans="3:4">
      <c r="C8065"/>
      <c r="D8065"/>
    </row>
    <row r="8066" spans="3:4">
      <c r="C8066"/>
      <c r="D8066"/>
    </row>
    <row r="8067" spans="3:4">
      <c r="C8067"/>
      <c r="D8067"/>
    </row>
    <row r="8068" spans="3:4">
      <c r="C8068"/>
      <c r="D8068"/>
    </row>
    <row r="8069" spans="3:4">
      <c r="C8069"/>
      <c r="D8069"/>
    </row>
    <row r="8070" spans="3:4">
      <c r="C8070"/>
      <c r="D8070"/>
    </row>
    <row r="8071" spans="3:4">
      <c r="C8071"/>
      <c r="D8071"/>
    </row>
    <row r="8072" spans="3:4">
      <c r="C8072"/>
      <c r="D8072"/>
    </row>
    <row r="8073" spans="3:4">
      <c r="C8073"/>
      <c r="D8073"/>
    </row>
    <row r="8074" spans="3:4">
      <c r="C8074"/>
      <c r="D8074"/>
    </row>
    <row r="8075" spans="3:4">
      <c r="C8075"/>
      <c r="D8075"/>
    </row>
    <row r="8076" spans="3:4">
      <c r="C8076"/>
      <c r="D8076"/>
    </row>
    <row r="8077" spans="3:4">
      <c r="C8077"/>
      <c r="D8077"/>
    </row>
    <row r="8078" spans="3:4">
      <c r="C8078"/>
      <c r="D8078"/>
    </row>
    <row r="8079" spans="3:4">
      <c r="C8079"/>
      <c r="D8079"/>
    </row>
    <row r="8080" spans="3:4">
      <c r="C8080"/>
      <c r="D8080"/>
    </row>
    <row r="8081" spans="3:4">
      <c r="C8081"/>
      <c r="D8081"/>
    </row>
    <row r="8082" spans="3:4">
      <c r="C8082"/>
      <c r="D8082"/>
    </row>
    <row r="8083" spans="3:4">
      <c r="C8083"/>
      <c r="D8083"/>
    </row>
    <row r="8084" spans="3:4">
      <c r="C8084"/>
      <c r="D8084"/>
    </row>
    <row r="8085" spans="3:4">
      <c r="C8085"/>
      <c r="D8085"/>
    </row>
    <row r="8086" spans="3:4">
      <c r="C8086"/>
      <c r="D8086"/>
    </row>
    <row r="8087" spans="3:4">
      <c r="C8087"/>
      <c r="D8087"/>
    </row>
    <row r="8088" spans="3:4">
      <c r="C8088"/>
      <c r="D8088"/>
    </row>
    <row r="8089" spans="3:4">
      <c r="C8089"/>
      <c r="D8089"/>
    </row>
    <row r="8090" spans="3:4">
      <c r="C8090"/>
      <c r="D8090"/>
    </row>
    <row r="8091" spans="3:4">
      <c r="C8091"/>
      <c r="D8091"/>
    </row>
    <row r="8092" spans="3:4">
      <c r="C8092"/>
      <c r="D8092"/>
    </row>
    <row r="8093" spans="3:4">
      <c r="C8093"/>
      <c r="D8093"/>
    </row>
    <row r="8094" spans="3:4">
      <c r="C8094"/>
      <c r="D8094"/>
    </row>
    <row r="8095" spans="3:4">
      <c r="C8095"/>
      <c r="D8095"/>
    </row>
    <row r="8096" spans="3:4">
      <c r="C8096"/>
      <c r="D8096"/>
    </row>
    <row r="8097" spans="3:4">
      <c r="C8097"/>
      <c r="D8097"/>
    </row>
    <row r="8098" spans="3:4">
      <c r="C8098"/>
      <c r="D8098"/>
    </row>
    <row r="8099" spans="3:4">
      <c r="C8099"/>
      <c r="D8099"/>
    </row>
    <row r="8100" spans="3:4">
      <c r="C8100"/>
      <c r="D8100"/>
    </row>
    <row r="8101" spans="3:4">
      <c r="C8101"/>
      <c r="D8101"/>
    </row>
    <row r="8102" spans="3:4">
      <c r="C8102"/>
      <c r="D8102"/>
    </row>
    <row r="8103" spans="3:4">
      <c r="C8103"/>
      <c r="D8103"/>
    </row>
    <row r="8104" spans="3:4">
      <c r="C8104"/>
      <c r="D8104"/>
    </row>
    <row r="8105" spans="3:4">
      <c r="C8105"/>
      <c r="D8105"/>
    </row>
    <row r="8106" spans="3:4">
      <c r="C8106"/>
      <c r="D8106"/>
    </row>
    <row r="8107" spans="3:4">
      <c r="C8107"/>
      <c r="D8107"/>
    </row>
    <row r="8108" spans="3:4">
      <c r="C8108"/>
      <c r="D8108"/>
    </row>
    <row r="8109" spans="3:4">
      <c r="C8109"/>
      <c r="D8109"/>
    </row>
    <row r="8110" spans="3:4">
      <c r="C8110"/>
      <c r="D8110"/>
    </row>
    <row r="8111" spans="3:4">
      <c r="C8111"/>
      <c r="D8111"/>
    </row>
    <row r="8112" spans="3:4">
      <c r="C8112"/>
      <c r="D8112"/>
    </row>
    <row r="8113" spans="3:4">
      <c r="C8113"/>
      <c r="D8113"/>
    </row>
    <row r="8114" spans="3:4">
      <c r="C8114"/>
      <c r="D8114"/>
    </row>
    <row r="8115" spans="3:4">
      <c r="C8115"/>
      <c r="D8115"/>
    </row>
    <row r="8116" spans="3:4">
      <c r="C8116"/>
      <c r="D8116"/>
    </row>
    <row r="8117" spans="3:4">
      <c r="C8117"/>
      <c r="D8117"/>
    </row>
    <row r="8118" spans="3:4">
      <c r="C8118"/>
      <c r="D8118"/>
    </row>
    <row r="8119" spans="3:4">
      <c r="C8119"/>
      <c r="D8119"/>
    </row>
    <row r="8120" spans="3:4">
      <c r="C8120"/>
      <c r="D8120"/>
    </row>
    <row r="8121" spans="3:4">
      <c r="C8121"/>
      <c r="D8121"/>
    </row>
    <row r="8122" spans="3:4">
      <c r="C8122"/>
      <c r="D8122"/>
    </row>
    <row r="8123" spans="3:4">
      <c r="C8123"/>
      <c r="D8123"/>
    </row>
    <row r="8124" spans="3:4">
      <c r="C8124"/>
      <c r="D8124"/>
    </row>
    <row r="8125" spans="3:4">
      <c r="C8125"/>
      <c r="D8125"/>
    </row>
    <row r="8126" spans="3:4">
      <c r="C8126"/>
      <c r="D8126"/>
    </row>
    <row r="8127" spans="3:4">
      <c r="C8127"/>
      <c r="D8127"/>
    </row>
    <row r="8128" spans="3:4">
      <c r="C8128"/>
      <c r="D8128"/>
    </row>
    <row r="8129" spans="3:4">
      <c r="C8129"/>
      <c r="D8129"/>
    </row>
    <row r="8130" spans="3:4">
      <c r="C8130"/>
      <c r="D8130"/>
    </row>
    <row r="8131" spans="3:4">
      <c r="C8131"/>
      <c r="D8131"/>
    </row>
    <row r="8132" spans="3:4">
      <c r="C8132"/>
      <c r="D8132"/>
    </row>
    <row r="8133" spans="3:4">
      <c r="C8133"/>
      <c r="D8133"/>
    </row>
    <row r="8134" spans="3:4">
      <c r="C8134"/>
      <c r="D8134"/>
    </row>
    <row r="8135" spans="3:4">
      <c r="C8135"/>
      <c r="D8135"/>
    </row>
    <row r="8136" spans="3:4">
      <c r="C8136"/>
      <c r="D8136"/>
    </row>
    <row r="8137" spans="3:4">
      <c r="C8137"/>
      <c r="D8137"/>
    </row>
    <row r="8138" spans="3:4">
      <c r="C8138"/>
      <c r="D8138"/>
    </row>
    <row r="8139" spans="3:4">
      <c r="C8139"/>
      <c r="D8139"/>
    </row>
    <row r="8140" spans="3:4">
      <c r="C8140"/>
      <c r="D8140"/>
    </row>
    <row r="8141" spans="3:4">
      <c r="C8141"/>
      <c r="D8141"/>
    </row>
    <row r="8142" spans="3:4">
      <c r="C8142"/>
      <c r="D8142"/>
    </row>
    <row r="8143" spans="3:4">
      <c r="C8143"/>
      <c r="D8143"/>
    </row>
    <row r="8144" spans="3:4">
      <c r="C8144"/>
      <c r="D8144"/>
    </row>
    <row r="8145" spans="3:4">
      <c r="C8145"/>
      <c r="D8145"/>
    </row>
    <row r="8146" spans="3:4">
      <c r="C8146"/>
      <c r="D8146"/>
    </row>
    <row r="8147" spans="3:4">
      <c r="C8147"/>
      <c r="D8147"/>
    </row>
    <row r="8148" spans="3:4">
      <c r="C8148"/>
      <c r="D8148"/>
    </row>
    <row r="8149" spans="3:4">
      <c r="C8149"/>
      <c r="D8149"/>
    </row>
    <row r="8150" spans="3:4">
      <c r="C8150"/>
      <c r="D8150"/>
    </row>
    <row r="8151" spans="3:4">
      <c r="C8151"/>
      <c r="D8151"/>
    </row>
    <row r="8152" spans="3:4">
      <c r="C8152"/>
      <c r="D8152"/>
    </row>
    <row r="8153" spans="3:4">
      <c r="C8153"/>
      <c r="D8153"/>
    </row>
    <row r="8154" spans="3:4">
      <c r="C8154"/>
      <c r="D8154"/>
    </row>
    <row r="8155" spans="3:4">
      <c r="C8155"/>
      <c r="D8155"/>
    </row>
    <row r="8156" spans="3:4">
      <c r="C8156"/>
      <c r="D8156"/>
    </row>
    <row r="8157" spans="3:4">
      <c r="C8157"/>
      <c r="D8157"/>
    </row>
    <row r="8158" spans="3:4">
      <c r="C8158"/>
      <c r="D8158"/>
    </row>
    <row r="8159" spans="3:4">
      <c r="C8159"/>
      <c r="D8159"/>
    </row>
    <row r="8160" spans="3:4">
      <c r="C8160"/>
      <c r="D8160"/>
    </row>
    <row r="8161" spans="3:4">
      <c r="C8161"/>
      <c r="D8161"/>
    </row>
    <row r="8162" spans="3:4">
      <c r="C8162"/>
      <c r="D8162"/>
    </row>
    <row r="8163" spans="3:4">
      <c r="C8163"/>
      <c r="D8163"/>
    </row>
    <row r="8164" spans="3:4">
      <c r="C8164"/>
      <c r="D8164"/>
    </row>
    <row r="8165" spans="3:4">
      <c r="C8165"/>
      <c r="D8165"/>
    </row>
    <row r="8166" spans="3:4">
      <c r="C8166"/>
      <c r="D8166"/>
    </row>
    <row r="8167" spans="3:4">
      <c r="C8167"/>
      <c r="D8167"/>
    </row>
    <row r="8168" spans="3:4">
      <c r="C8168"/>
      <c r="D8168"/>
    </row>
    <row r="8169" spans="3:4">
      <c r="C8169"/>
      <c r="D8169"/>
    </row>
    <row r="8170" spans="3:4">
      <c r="C8170"/>
      <c r="D8170"/>
    </row>
    <row r="8171" spans="3:4">
      <c r="C8171"/>
      <c r="D8171"/>
    </row>
    <row r="8172" spans="3:4">
      <c r="C8172"/>
      <c r="D8172"/>
    </row>
    <row r="8173" spans="3:4">
      <c r="C8173"/>
      <c r="D8173"/>
    </row>
    <row r="8174" spans="3:4">
      <c r="C8174"/>
      <c r="D8174"/>
    </row>
    <row r="8175" spans="3:4">
      <c r="C8175"/>
      <c r="D8175"/>
    </row>
    <row r="8176" spans="3:4">
      <c r="C8176"/>
      <c r="D8176"/>
    </row>
    <row r="8177" spans="3:4">
      <c r="C8177"/>
      <c r="D8177"/>
    </row>
    <row r="8178" spans="3:4">
      <c r="C8178"/>
      <c r="D8178"/>
    </row>
    <row r="8179" spans="3:4">
      <c r="C8179"/>
      <c r="D8179"/>
    </row>
    <row r="8180" spans="3:4">
      <c r="C8180"/>
      <c r="D8180"/>
    </row>
    <row r="8181" spans="3:4">
      <c r="C8181"/>
      <c r="D8181"/>
    </row>
    <row r="8182" spans="3:4">
      <c r="C8182"/>
      <c r="D8182"/>
    </row>
    <row r="8183" spans="3:4">
      <c r="C8183"/>
      <c r="D8183"/>
    </row>
    <row r="8184" spans="3:4">
      <c r="C8184"/>
      <c r="D8184"/>
    </row>
    <row r="8185" spans="3:4">
      <c r="C8185"/>
      <c r="D8185"/>
    </row>
    <row r="8186" spans="3:4">
      <c r="C8186"/>
      <c r="D8186"/>
    </row>
    <row r="8187" spans="3:4">
      <c r="C8187"/>
      <c r="D8187"/>
    </row>
    <row r="8188" spans="3:4">
      <c r="C8188"/>
      <c r="D8188"/>
    </row>
    <row r="8189" spans="3:4">
      <c r="C8189"/>
      <c r="D8189"/>
    </row>
    <row r="8190" spans="3:4">
      <c r="C8190"/>
      <c r="D8190"/>
    </row>
    <row r="8191" spans="3:4">
      <c r="C8191"/>
      <c r="D8191"/>
    </row>
    <row r="8192" spans="3:4">
      <c r="C8192"/>
      <c r="D8192"/>
    </row>
    <row r="8193" spans="3:4">
      <c r="C8193"/>
      <c r="D8193"/>
    </row>
    <row r="8194" spans="3:4">
      <c r="C8194"/>
      <c r="D8194"/>
    </row>
    <row r="8195" spans="3:4">
      <c r="C8195"/>
      <c r="D8195"/>
    </row>
    <row r="8196" spans="3:4">
      <c r="C8196"/>
      <c r="D8196"/>
    </row>
    <row r="8197" spans="3:4">
      <c r="C8197"/>
      <c r="D8197"/>
    </row>
    <row r="8198" spans="3:4">
      <c r="C8198"/>
      <c r="D8198"/>
    </row>
    <row r="8199" spans="3:4">
      <c r="C8199"/>
      <c r="D8199"/>
    </row>
    <row r="8200" spans="3:4">
      <c r="C8200"/>
      <c r="D8200"/>
    </row>
    <row r="8201" spans="3:4">
      <c r="C8201"/>
      <c r="D8201"/>
    </row>
    <row r="8202" spans="3:4">
      <c r="C8202"/>
      <c r="D8202"/>
    </row>
    <row r="8203" spans="3:4">
      <c r="C8203"/>
      <c r="D8203"/>
    </row>
    <row r="8204" spans="3:4">
      <c r="C8204"/>
      <c r="D8204"/>
    </row>
    <row r="8205" spans="3:4">
      <c r="C8205"/>
      <c r="D8205"/>
    </row>
    <row r="8206" spans="3:4">
      <c r="C8206"/>
      <c r="D8206"/>
    </row>
    <row r="8207" spans="3:4">
      <c r="C8207"/>
      <c r="D8207"/>
    </row>
    <row r="8208" spans="3:4">
      <c r="C8208"/>
      <c r="D8208"/>
    </row>
    <row r="8209" spans="3:4">
      <c r="C8209"/>
      <c r="D8209"/>
    </row>
    <row r="8210" spans="3:4">
      <c r="C8210"/>
      <c r="D8210"/>
    </row>
    <row r="8211" spans="3:4">
      <c r="C8211"/>
      <c r="D8211"/>
    </row>
    <row r="8212" spans="3:4">
      <c r="C8212"/>
      <c r="D8212"/>
    </row>
    <row r="8213" spans="3:4">
      <c r="C8213"/>
      <c r="D8213"/>
    </row>
    <row r="8214" spans="3:4">
      <c r="C8214"/>
      <c r="D8214"/>
    </row>
    <row r="8215" spans="3:4">
      <c r="C8215"/>
      <c r="D8215"/>
    </row>
    <row r="8216" spans="3:4">
      <c r="C8216"/>
      <c r="D8216"/>
    </row>
    <row r="8217" spans="3:4">
      <c r="C8217"/>
      <c r="D8217"/>
    </row>
    <row r="8218" spans="3:4">
      <c r="C8218"/>
      <c r="D8218"/>
    </row>
    <row r="8219" spans="3:4">
      <c r="C8219"/>
      <c r="D8219"/>
    </row>
    <row r="8220" spans="3:4">
      <c r="C8220"/>
      <c r="D8220"/>
    </row>
    <row r="8221" spans="3:4">
      <c r="C8221"/>
      <c r="D8221"/>
    </row>
    <row r="8222" spans="3:4">
      <c r="C8222"/>
      <c r="D8222"/>
    </row>
    <row r="8223" spans="3:4">
      <c r="C8223"/>
      <c r="D8223"/>
    </row>
    <row r="8224" spans="3:4">
      <c r="C8224"/>
      <c r="D8224"/>
    </row>
    <row r="8225" spans="3:4">
      <c r="C8225"/>
      <c r="D8225"/>
    </row>
    <row r="8226" spans="3:4">
      <c r="C8226"/>
      <c r="D8226"/>
    </row>
    <row r="8227" spans="3:4">
      <c r="C8227"/>
      <c r="D8227"/>
    </row>
    <row r="8228" spans="3:4">
      <c r="C8228"/>
      <c r="D8228"/>
    </row>
    <row r="8229" spans="3:4">
      <c r="C8229"/>
      <c r="D8229"/>
    </row>
    <row r="8230" spans="3:4">
      <c r="C8230"/>
      <c r="D8230"/>
    </row>
    <row r="8231" spans="3:4">
      <c r="C8231"/>
      <c r="D8231"/>
    </row>
    <row r="8232" spans="3:4">
      <c r="C8232"/>
      <c r="D8232"/>
    </row>
    <row r="8233" spans="3:4">
      <c r="C8233"/>
      <c r="D8233"/>
    </row>
    <row r="8234" spans="3:4">
      <c r="C8234"/>
      <c r="D8234"/>
    </row>
    <row r="8235" spans="3:4">
      <c r="C8235"/>
      <c r="D8235"/>
    </row>
    <row r="8236" spans="3:4">
      <c r="C8236"/>
      <c r="D8236"/>
    </row>
    <row r="8237" spans="3:4">
      <c r="C8237"/>
      <c r="D8237"/>
    </row>
    <row r="8238" spans="3:4">
      <c r="C8238"/>
      <c r="D8238"/>
    </row>
    <row r="8239" spans="3:4">
      <c r="C8239"/>
      <c r="D8239"/>
    </row>
    <row r="8240" spans="3:4">
      <c r="C8240"/>
      <c r="D8240"/>
    </row>
    <row r="8241" spans="3:4">
      <c r="C8241"/>
      <c r="D8241"/>
    </row>
    <row r="8242" spans="3:4">
      <c r="C8242"/>
      <c r="D8242"/>
    </row>
    <row r="8243" spans="3:4">
      <c r="C8243"/>
      <c r="D8243"/>
    </row>
    <row r="8244" spans="3:4">
      <c r="C8244"/>
      <c r="D8244"/>
    </row>
    <row r="8245" spans="3:4">
      <c r="C8245"/>
      <c r="D8245"/>
    </row>
    <row r="8246" spans="3:4">
      <c r="C8246"/>
      <c r="D8246"/>
    </row>
    <row r="8247" spans="3:4">
      <c r="C8247"/>
      <c r="D8247"/>
    </row>
    <row r="8248" spans="3:4">
      <c r="C8248"/>
      <c r="D8248"/>
    </row>
    <row r="8249" spans="3:4">
      <c r="C8249"/>
      <c r="D8249"/>
    </row>
    <row r="8250" spans="3:4">
      <c r="C8250"/>
      <c r="D8250"/>
    </row>
    <row r="8251" spans="3:4">
      <c r="C8251"/>
      <c r="D8251"/>
    </row>
    <row r="8252" spans="3:4">
      <c r="C8252"/>
      <c r="D8252"/>
    </row>
    <row r="8253" spans="3:4">
      <c r="C8253"/>
      <c r="D8253"/>
    </row>
    <row r="8254" spans="3:4">
      <c r="C8254"/>
      <c r="D8254"/>
    </row>
    <row r="8255" spans="3:4">
      <c r="C8255"/>
      <c r="D8255"/>
    </row>
    <row r="8256" spans="3:4">
      <c r="C8256"/>
      <c r="D8256"/>
    </row>
    <row r="8257" spans="3:4">
      <c r="C8257"/>
      <c r="D8257"/>
    </row>
    <row r="8258" spans="3:4">
      <c r="C8258"/>
      <c r="D8258"/>
    </row>
    <row r="8259" spans="3:4">
      <c r="C8259"/>
      <c r="D8259"/>
    </row>
    <row r="8260" spans="3:4">
      <c r="C8260"/>
      <c r="D8260"/>
    </row>
    <row r="8261" spans="3:4">
      <c r="C8261"/>
      <c r="D8261"/>
    </row>
    <row r="8262" spans="3:4">
      <c r="C8262"/>
      <c r="D8262"/>
    </row>
    <row r="8263" spans="3:4">
      <c r="C8263"/>
      <c r="D8263"/>
    </row>
    <row r="8264" spans="3:4">
      <c r="C8264"/>
      <c r="D8264"/>
    </row>
    <row r="8265" spans="3:4">
      <c r="C8265"/>
      <c r="D8265"/>
    </row>
    <row r="8266" spans="3:4">
      <c r="C8266"/>
      <c r="D8266"/>
    </row>
    <row r="8267" spans="3:4">
      <c r="C8267"/>
      <c r="D8267"/>
    </row>
    <row r="8268" spans="3:4">
      <c r="C8268"/>
      <c r="D8268"/>
    </row>
    <row r="8269" spans="3:4">
      <c r="C8269"/>
      <c r="D8269"/>
    </row>
    <row r="8270" spans="3:4">
      <c r="C8270"/>
      <c r="D8270"/>
    </row>
    <row r="8271" spans="3:4">
      <c r="C8271"/>
      <c r="D8271"/>
    </row>
    <row r="8272" spans="3:4">
      <c r="C8272"/>
      <c r="D8272"/>
    </row>
    <row r="8273" spans="3:4">
      <c r="C8273"/>
      <c r="D8273"/>
    </row>
    <row r="8274" spans="3:4">
      <c r="C8274"/>
      <c r="D8274"/>
    </row>
    <row r="8275" spans="3:4">
      <c r="C8275"/>
      <c r="D8275"/>
    </row>
    <row r="8276" spans="3:4">
      <c r="C8276"/>
      <c r="D8276"/>
    </row>
    <row r="8277" spans="3:4">
      <c r="C8277"/>
      <c r="D8277"/>
    </row>
    <row r="8278" spans="3:4">
      <c r="C8278"/>
      <c r="D8278"/>
    </row>
    <row r="8279" spans="3:4">
      <c r="C8279"/>
      <c r="D8279"/>
    </row>
    <row r="8280" spans="3:4">
      <c r="C8280"/>
      <c r="D8280"/>
    </row>
    <row r="8281" spans="3:4">
      <c r="C8281"/>
      <c r="D8281"/>
    </row>
    <row r="8282" spans="3:4">
      <c r="C8282"/>
      <c r="D8282"/>
    </row>
    <row r="8283" spans="3:4">
      <c r="C8283"/>
      <c r="D8283"/>
    </row>
    <row r="8284" spans="3:4">
      <c r="C8284"/>
      <c r="D8284"/>
    </row>
    <row r="8285" spans="3:4">
      <c r="C8285"/>
      <c r="D8285"/>
    </row>
    <row r="8286" spans="3:4">
      <c r="C8286"/>
      <c r="D8286"/>
    </row>
    <row r="8287" spans="3:4">
      <c r="C8287"/>
      <c r="D8287"/>
    </row>
    <row r="8288" spans="3:4">
      <c r="C8288"/>
      <c r="D8288"/>
    </row>
    <row r="8289" spans="3:4">
      <c r="C8289"/>
      <c r="D8289"/>
    </row>
    <row r="8290" spans="3:4">
      <c r="C8290"/>
      <c r="D8290"/>
    </row>
    <row r="8291" spans="3:4">
      <c r="C8291"/>
      <c r="D8291"/>
    </row>
    <row r="8292" spans="3:4">
      <c r="C8292"/>
      <c r="D8292"/>
    </row>
    <row r="8293" spans="3:4">
      <c r="C8293"/>
      <c r="D8293"/>
    </row>
    <row r="8294" spans="3:4">
      <c r="C8294"/>
      <c r="D8294"/>
    </row>
    <row r="8295" spans="3:4">
      <c r="C8295"/>
      <c r="D8295"/>
    </row>
    <row r="8296" spans="3:4">
      <c r="C8296"/>
      <c r="D8296"/>
    </row>
    <row r="8297" spans="3:4">
      <c r="C8297"/>
      <c r="D8297"/>
    </row>
    <row r="8298" spans="3:4">
      <c r="C8298"/>
      <c r="D8298"/>
    </row>
    <row r="8299" spans="3:4">
      <c r="C8299"/>
      <c r="D8299"/>
    </row>
    <row r="8300" spans="3:4">
      <c r="C8300"/>
      <c r="D8300"/>
    </row>
    <row r="8301" spans="3:4">
      <c r="C8301"/>
      <c r="D8301"/>
    </row>
    <row r="8302" spans="3:4">
      <c r="C8302"/>
      <c r="D8302"/>
    </row>
    <row r="8303" spans="3:4">
      <c r="C8303"/>
      <c r="D8303"/>
    </row>
    <row r="8304" spans="3:4">
      <c r="C8304"/>
      <c r="D8304"/>
    </row>
    <row r="8305" spans="3:4">
      <c r="C8305"/>
      <c r="D8305"/>
    </row>
    <row r="8306" spans="3:4">
      <c r="C8306"/>
      <c r="D8306"/>
    </row>
    <row r="8307" spans="3:4">
      <c r="C8307"/>
      <c r="D8307"/>
    </row>
    <row r="8308" spans="3:4">
      <c r="C8308"/>
      <c r="D8308"/>
    </row>
    <row r="8309" spans="3:4">
      <c r="C8309"/>
      <c r="D8309"/>
    </row>
    <row r="8310" spans="3:4">
      <c r="C8310"/>
      <c r="D8310"/>
    </row>
    <row r="8311" spans="3:4">
      <c r="C8311"/>
      <c r="D8311"/>
    </row>
    <row r="8312" spans="3:4">
      <c r="C8312"/>
      <c r="D8312"/>
    </row>
    <row r="8313" spans="3:4">
      <c r="C8313"/>
      <c r="D8313"/>
    </row>
    <row r="8314" spans="3:4">
      <c r="C8314"/>
      <c r="D8314"/>
    </row>
    <row r="8315" spans="3:4">
      <c r="C8315"/>
      <c r="D8315"/>
    </row>
    <row r="8316" spans="3:4">
      <c r="C8316"/>
      <c r="D8316"/>
    </row>
    <row r="8317" spans="3:4">
      <c r="C8317"/>
      <c r="D8317"/>
    </row>
    <row r="8318" spans="3:4">
      <c r="C8318"/>
      <c r="D8318"/>
    </row>
    <row r="8319" spans="3:4">
      <c r="C8319"/>
      <c r="D8319"/>
    </row>
    <row r="8320" spans="3:4">
      <c r="C8320"/>
      <c r="D8320"/>
    </row>
    <row r="8321" spans="3:4">
      <c r="C8321"/>
      <c r="D8321"/>
    </row>
    <row r="8322" spans="3:4">
      <c r="C8322"/>
      <c r="D8322"/>
    </row>
    <row r="8323" spans="3:4">
      <c r="C8323"/>
      <c r="D8323"/>
    </row>
    <row r="8324" spans="3:4">
      <c r="C8324"/>
      <c r="D8324"/>
    </row>
    <row r="8325" spans="3:4">
      <c r="C8325"/>
      <c r="D8325"/>
    </row>
    <row r="8326" spans="3:4">
      <c r="C8326"/>
      <c r="D8326"/>
    </row>
    <row r="8327" spans="3:4">
      <c r="C8327"/>
      <c r="D8327"/>
    </row>
    <row r="8328" spans="3:4">
      <c r="C8328"/>
      <c r="D8328"/>
    </row>
    <row r="8329" spans="3:4">
      <c r="C8329"/>
      <c r="D8329"/>
    </row>
    <row r="8330" spans="3:4">
      <c r="C8330"/>
      <c r="D8330"/>
    </row>
    <row r="8331" spans="3:4">
      <c r="C8331"/>
      <c r="D8331"/>
    </row>
    <row r="8332" spans="3:4">
      <c r="C8332"/>
      <c r="D8332"/>
    </row>
    <row r="8333" spans="3:4">
      <c r="C8333"/>
      <c r="D8333"/>
    </row>
    <row r="8334" spans="3:4">
      <c r="C8334"/>
      <c r="D8334"/>
    </row>
    <row r="8335" spans="3:4">
      <c r="C8335"/>
      <c r="D8335"/>
    </row>
    <row r="8336" spans="3:4">
      <c r="C8336"/>
      <c r="D8336"/>
    </row>
    <row r="8337" spans="3:4">
      <c r="C8337"/>
      <c r="D8337"/>
    </row>
    <row r="8338" spans="3:4">
      <c r="C8338"/>
      <c r="D8338"/>
    </row>
    <row r="8339" spans="3:4">
      <c r="C8339"/>
      <c r="D8339"/>
    </row>
    <row r="8340" spans="3:4">
      <c r="C8340"/>
      <c r="D8340"/>
    </row>
    <row r="8341" spans="3:4">
      <c r="C8341"/>
      <c r="D8341"/>
    </row>
    <row r="8342" spans="3:4">
      <c r="C8342"/>
      <c r="D8342"/>
    </row>
    <row r="8343" spans="3:4">
      <c r="C8343"/>
      <c r="D8343"/>
    </row>
    <row r="8344" spans="3:4">
      <c r="C8344"/>
      <c r="D8344"/>
    </row>
    <row r="8345" spans="3:4">
      <c r="C8345"/>
      <c r="D8345"/>
    </row>
    <row r="8346" spans="3:4">
      <c r="C8346"/>
      <c r="D8346"/>
    </row>
    <row r="8347" spans="3:4">
      <c r="C8347"/>
      <c r="D8347"/>
    </row>
    <row r="8348" spans="3:4">
      <c r="C8348"/>
      <c r="D8348"/>
    </row>
    <row r="8349" spans="3:4">
      <c r="C8349"/>
      <c r="D8349"/>
    </row>
    <row r="8350" spans="3:4">
      <c r="C8350"/>
      <c r="D8350"/>
    </row>
    <row r="8351" spans="3:4">
      <c r="C8351"/>
      <c r="D8351"/>
    </row>
    <row r="8352" spans="3:4">
      <c r="C8352"/>
      <c r="D8352"/>
    </row>
    <row r="8353" spans="3:4">
      <c r="C8353"/>
      <c r="D8353"/>
    </row>
    <row r="8354" spans="3:4">
      <c r="C8354"/>
      <c r="D8354"/>
    </row>
    <row r="8355" spans="3:4">
      <c r="C8355"/>
      <c r="D8355"/>
    </row>
    <row r="8356" spans="3:4">
      <c r="C8356"/>
      <c r="D8356"/>
    </row>
    <row r="8357" spans="3:4">
      <c r="C8357"/>
      <c r="D8357"/>
    </row>
    <row r="8358" spans="3:4">
      <c r="C8358"/>
      <c r="D8358"/>
    </row>
    <row r="8359" spans="3:4">
      <c r="C8359"/>
      <c r="D8359"/>
    </row>
    <row r="8360" spans="3:4">
      <c r="C8360"/>
      <c r="D8360"/>
    </row>
    <row r="8361" spans="3:4">
      <c r="C8361"/>
      <c r="D8361"/>
    </row>
    <row r="8362" spans="3:4">
      <c r="C8362"/>
      <c r="D8362"/>
    </row>
    <row r="8363" spans="3:4">
      <c r="C8363"/>
      <c r="D8363"/>
    </row>
    <row r="8364" spans="3:4">
      <c r="C8364"/>
      <c r="D8364"/>
    </row>
    <row r="8365" spans="3:4">
      <c r="C8365"/>
      <c r="D8365"/>
    </row>
    <row r="8366" spans="3:4">
      <c r="C8366"/>
      <c r="D8366"/>
    </row>
    <row r="8367" spans="3:4">
      <c r="C8367"/>
      <c r="D8367"/>
    </row>
    <row r="8368" spans="3:4">
      <c r="C8368"/>
      <c r="D8368"/>
    </row>
    <row r="8369" spans="3:4">
      <c r="C8369"/>
      <c r="D8369"/>
    </row>
    <row r="8370" spans="3:4">
      <c r="C8370"/>
      <c r="D8370"/>
    </row>
    <row r="8371" spans="3:4">
      <c r="C8371"/>
      <c r="D8371"/>
    </row>
    <row r="8372" spans="3:4">
      <c r="C8372"/>
      <c r="D8372"/>
    </row>
    <row r="8373" spans="3:4">
      <c r="C8373"/>
      <c r="D8373"/>
    </row>
    <row r="8374" spans="3:4">
      <c r="C8374"/>
      <c r="D8374"/>
    </row>
    <row r="8375" spans="3:4">
      <c r="C8375"/>
      <c r="D8375"/>
    </row>
    <row r="8376" spans="3:4">
      <c r="C8376"/>
      <c r="D8376"/>
    </row>
    <row r="8377" spans="3:4">
      <c r="C8377"/>
      <c r="D8377"/>
    </row>
    <row r="8378" spans="3:4">
      <c r="C8378"/>
      <c r="D8378"/>
    </row>
    <row r="8379" spans="3:4">
      <c r="C8379"/>
      <c r="D8379"/>
    </row>
    <row r="8380" spans="3:4">
      <c r="C8380"/>
      <c r="D8380"/>
    </row>
    <row r="8381" spans="3:4">
      <c r="C8381"/>
      <c r="D8381"/>
    </row>
    <row r="8382" spans="3:4">
      <c r="C8382"/>
      <c r="D8382"/>
    </row>
    <row r="8383" spans="3:4">
      <c r="C8383"/>
      <c r="D8383"/>
    </row>
    <row r="8384" spans="3:4">
      <c r="C8384"/>
      <c r="D8384"/>
    </row>
    <row r="8385" spans="3:4">
      <c r="C8385"/>
      <c r="D8385"/>
    </row>
    <row r="8386" spans="3:4">
      <c r="C8386"/>
      <c r="D8386"/>
    </row>
    <row r="8387" spans="3:4">
      <c r="C8387"/>
      <c r="D8387"/>
    </row>
    <row r="8388" spans="3:4">
      <c r="C8388"/>
      <c r="D8388"/>
    </row>
    <row r="8389" spans="3:4">
      <c r="C8389"/>
      <c r="D8389"/>
    </row>
    <row r="8390" spans="3:4">
      <c r="C8390"/>
      <c r="D8390"/>
    </row>
    <row r="8391" spans="3:4">
      <c r="C8391"/>
      <c r="D8391"/>
    </row>
    <row r="8392" spans="3:4">
      <c r="C8392"/>
      <c r="D8392"/>
    </row>
    <row r="8393" spans="3:4">
      <c r="C8393"/>
      <c r="D8393"/>
    </row>
    <row r="8394" spans="3:4">
      <c r="C8394"/>
      <c r="D8394"/>
    </row>
    <row r="8395" spans="3:4">
      <c r="C8395"/>
      <c r="D8395"/>
    </row>
    <row r="8396" spans="3:4">
      <c r="C8396"/>
      <c r="D8396"/>
    </row>
    <row r="8397" spans="3:4">
      <c r="C8397"/>
      <c r="D8397"/>
    </row>
    <row r="8398" spans="3:4">
      <c r="C8398"/>
      <c r="D8398"/>
    </row>
    <row r="8399" spans="3:4">
      <c r="C8399"/>
      <c r="D8399"/>
    </row>
    <row r="8400" spans="3:4">
      <c r="C8400"/>
      <c r="D8400"/>
    </row>
    <row r="8401" spans="3:4">
      <c r="C8401"/>
      <c r="D8401"/>
    </row>
    <row r="8402" spans="3:4">
      <c r="C8402"/>
      <c r="D8402"/>
    </row>
    <row r="8403" spans="3:4">
      <c r="C8403"/>
      <c r="D8403"/>
    </row>
    <row r="8404" spans="3:4">
      <c r="C8404"/>
      <c r="D8404"/>
    </row>
    <row r="8405" spans="3:4">
      <c r="C8405"/>
      <c r="D8405"/>
    </row>
    <row r="8406" spans="3:4">
      <c r="C8406"/>
      <c r="D8406"/>
    </row>
    <row r="8407" spans="3:4">
      <c r="C8407"/>
      <c r="D8407"/>
    </row>
    <row r="8408" spans="3:4">
      <c r="C8408"/>
      <c r="D8408"/>
    </row>
    <row r="8409" spans="3:4">
      <c r="C8409"/>
      <c r="D8409"/>
    </row>
    <row r="8410" spans="3:4">
      <c r="C8410"/>
      <c r="D8410"/>
    </row>
    <row r="8411" spans="3:4">
      <c r="C8411"/>
      <c r="D8411"/>
    </row>
    <row r="8412" spans="3:4">
      <c r="C8412"/>
      <c r="D8412"/>
    </row>
    <row r="8413" spans="3:4">
      <c r="C8413"/>
      <c r="D8413"/>
    </row>
    <row r="8414" spans="3:4">
      <c r="C8414"/>
      <c r="D8414"/>
    </row>
    <row r="8415" spans="3:4">
      <c r="C8415"/>
      <c r="D8415"/>
    </row>
    <row r="8416" spans="3:4">
      <c r="C8416"/>
      <c r="D8416"/>
    </row>
    <row r="8417" spans="3:4">
      <c r="C8417"/>
      <c r="D8417"/>
    </row>
    <row r="8418" spans="3:4">
      <c r="C8418"/>
      <c r="D8418"/>
    </row>
    <row r="8419" spans="3:4">
      <c r="C8419"/>
      <c r="D8419"/>
    </row>
    <row r="8420" spans="3:4">
      <c r="C8420"/>
      <c r="D8420"/>
    </row>
    <row r="8421" spans="3:4">
      <c r="C8421"/>
      <c r="D8421"/>
    </row>
    <row r="8422" spans="3:4">
      <c r="C8422"/>
      <c r="D8422"/>
    </row>
    <row r="8423" spans="3:4">
      <c r="C8423"/>
      <c r="D8423"/>
    </row>
    <row r="8424" spans="3:4">
      <c r="C8424"/>
      <c r="D8424"/>
    </row>
    <row r="8425" spans="3:4">
      <c r="C8425"/>
      <c r="D8425"/>
    </row>
    <row r="8426" spans="3:4">
      <c r="C8426"/>
      <c r="D8426"/>
    </row>
    <row r="8427" spans="3:4">
      <c r="C8427"/>
      <c r="D8427"/>
    </row>
    <row r="8428" spans="3:4">
      <c r="C8428"/>
      <c r="D8428"/>
    </row>
    <row r="8429" spans="3:4">
      <c r="C8429"/>
      <c r="D8429"/>
    </row>
    <row r="8430" spans="3:4">
      <c r="C8430"/>
      <c r="D8430"/>
    </row>
    <row r="8431" spans="3:4">
      <c r="C8431"/>
      <c r="D8431"/>
    </row>
    <row r="8432" spans="3:4">
      <c r="C8432"/>
      <c r="D8432"/>
    </row>
    <row r="8433" spans="3:4">
      <c r="C8433"/>
      <c r="D8433"/>
    </row>
    <row r="8434" spans="3:4">
      <c r="C8434"/>
      <c r="D8434"/>
    </row>
    <row r="8435" spans="3:4">
      <c r="C8435"/>
      <c r="D8435"/>
    </row>
    <row r="8436" spans="3:4">
      <c r="C8436"/>
      <c r="D8436"/>
    </row>
    <row r="8437" spans="3:4">
      <c r="C8437"/>
      <c r="D8437"/>
    </row>
    <row r="8438" spans="3:4">
      <c r="C8438"/>
      <c r="D8438"/>
    </row>
    <row r="8439" spans="3:4">
      <c r="C8439"/>
      <c r="D8439"/>
    </row>
    <row r="8440" spans="3:4">
      <c r="C8440"/>
      <c r="D8440"/>
    </row>
    <row r="8441" spans="3:4">
      <c r="C8441"/>
      <c r="D8441"/>
    </row>
    <row r="8442" spans="3:4">
      <c r="C8442"/>
      <c r="D8442"/>
    </row>
    <row r="8443" spans="3:4">
      <c r="C8443"/>
      <c r="D8443"/>
    </row>
    <row r="8444" spans="3:4">
      <c r="C8444"/>
      <c r="D8444"/>
    </row>
    <row r="8445" spans="3:4">
      <c r="C8445"/>
      <c r="D8445"/>
    </row>
    <row r="8446" spans="3:4">
      <c r="C8446"/>
      <c r="D8446"/>
    </row>
    <row r="8447" spans="3:4">
      <c r="C8447"/>
      <c r="D8447"/>
    </row>
    <row r="8448" spans="3:4">
      <c r="C8448"/>
      <c r="D8448"/>
    </row>
    <row r="8449" spans="3:4">
      <c r="C8449"/>
      <c r="D8449"/>
    </row>
    <row r="8450" spans="3:4">
      <c r="C8450"/>
      <c r="D8450"/>
    </row>
    <row r="8451" spans="3:4">
      <c r="C8451"/>
      <c r="D8451"/>
    </row>
    <row r="8452" spans="3:4">
      <c r="C8452"/>
      <c r="D8452"/>
    </row>
    <row r="8453" spans="3:4">
      <c r="C8453"/>
      <c r="D8453"/>
    </row>
    <row r="8454" spans="3:4">
      <c r="C8454"/>
      <c r="D8454"/>
    </row>
    <row r="8455" spans="3:4">
      <c r="C8455"/>
      <c r="D8455"/>
    </row>
    <row r="8456" spans="3:4">
      <c r="C8456"/>
      <c r="D8456"/>
    </row>
    <row r="8457" spans="3:4">
      <c r="C8457"/>
      <c r="D8457"/>
    </row>
    <row r="8458" spans="3:4">
      <c r="C8458"/>
      <c r="D8458"/>
    </row>
    <row r="8459" spans="3:4">
      <c r="C8459"/>
      <c r="D8459"/>
    </row>
    <row r="8460" spans="3:4">
      <c r="C8460"/>
      <c r="D8460"/>
    </row>
    <row r="8461" spans="3:4">
      <c r="C8461"/>
      <c r="D8461"/>
    </row>
    <row r="8462" spans="3:4">
      <c r="C8462"/>
      <c r="D8462"/>
    </row>
    <row r="8463" spans="3:4">
      <c r="C8463"/>
      <c r="D8463"/>
    </row>
    <row r="8464" spans="3:4">
      <c r="C8464"/>
      <c r="D8464"/>
    </row>
    <row r="8465" spans="3:4">
      <c r="C8465"/>
      <c r="D8465"/>
    </row>
    <row r="8466" spans="3:4">
      <c r="C8466"/>
      <c r="D8466"/>
    </row>
    <row r="8467" spans="3:4">
      <c r="C8467"/>
      <c r="D8467"/>
    </row>
    <row r="8468" spans="3:4">
      <c r="C8468"/>
      <c r="D8468"/>
    </row>
    <row r="8469" spans="3:4">
      <c r="C8469"/>
      <c r="D8469"/>
    </row>
    <row r="8470" spans="3:4">
      <c r="C8470"/>
      <c r="D8470"/>
    </row>
    <row r="8471" spans="3:4">
      <c r="C8471"/>
      <c r="D8471"/>
    </row>
    <row r="8472" spans="3:4">
      <c r="C8472"/>
      <c r="D8472"/>
    </row>
    <row r="8473" spans="3:4">
      <c r="C8473"/>
      <c r="D8473"/>
    </row>
    <row r="8474" spans="3:4">
      <c r="C8474"/>
      <c r="D8474"/>
    </row>
    <row r="8475" spans="3:4">
      <c r="C8475"/>
      <c r="D8475"/>
    </row>
    <row r="8476" spans="3:4">
      <c r="C8476"/>
      <c r="D8476"/>
    </row>
    <row r="8477" spans="3:4">
      <c r="C8477"/>
      <c r="D8477"/>
    </row>
    <row r="8478" spans="3:4">
      <c r="C8478"/>
      <c r="D8478"/>
    </row>
    <row r="8479" spans="3:4">
      <c r="C8479"/>
      <c r="D8479"/>
    </row>
    <row r="8480" spans="3:4">
      <c r="C8480"/>
      <c r="D8480"/>
    </row>
    <row r="8481" spans="3:4">
      <c r="C8481"/>
      <c r="D8481"/>
    </row>
    <row r="8482" spans="3:4">
      <c r="C8482"/>
      <c r="D8482"/>
    </row>
    <row r="8483" spans="3:4">
      <c r="C8483"/>
      <c r="D8483"/>
    </row>
    <row r="8484" spans="3:4">
      <c r="C8484"/>
      <c r="D8484"/>
    </row>
    <row r="8485" spans="3:4">
      <c r="C8485"/>
      <c r="D8485"/>
    </row>
    <row r="8486" spans="3:4">
      <c r="C8486"/>
      <c r="D8486"/>
    </row>
    <row r="8487" spans="3:4">
      <c r="C8487"/>
      <c r="D8487"/>
    </row>
    <row r="8488" spans="3:4">
      <c r="C8488"/>
      <c r="D8488"/>
    </row>
    <row r="8489" spans="3:4">
      <c r="C8489"/>
      <c r="D8489"/>
    </row>
    <row r="8490" spans="3:4">
      <c r="C8490"/>
      <c r="D8490"/>
    </row>
    <row r="8491" spans="3:4">
      <c r="C8491"/>
      <c r="D8491"/>
    </row>
    <row r="8492" spans="3:4">
      <c r="C8492"/>
      <c r="D8492"/>
    </row>
    <row r="8493" spans="3:4">
      <c r="C8493"/>
      <c r="D8493"/>
    </row>
    <row r="8494" spans="3:4">
      <c r="C8494"/>
      <c r="D8494"/>
    </row>
    <row r="8495" spans="3:4">
      <c r="C8495"/>
      <c r="D8495"/>
    </row>
    <row r="8496" spans="3:4">
      <c r="C8496"/>
      <c r="D8496"/>
    </row>
    <row r="8497" spans="3:4">
      <c r="C8497"/>
      <c r="D8497"/>
    </row>
    <row r="8498" spans="3:4">
      <c r="C8498"/>
      <c r="D8498"/>
    </row>
    <row r="8499" spans="3:4">
      <c r="C8499"/>
      <c r="D8499"/>
    </row>
    <row r="8500" spans="3:4">
      <c r="C8500"/>
      <c r="D8500"/>
    </row>
    <row r="8501" spans="3:4">
      <c r="C8501"/>
      <c r="D8501"/>
    </row>
    <row r="8502" spans="3:4">
      <c r="C8502"/>
      <c r="D8502"/>
    </row>
    <row r="8503" spans="3:4">
      <c r="C8503"/>
      <c r="D8503"/>
    </row>
    <row r="8504" spans="3:4">
      <c r="C8504"/>
      <c r="D8504"/>
    </row>
    <row r="8505" spans="3:4">
      <c r="C8505"/>
      <c r="D8505"/>
    </row>
    <row r="8506" spans="3:4">
      <c r="C8506"/>
      <c r="D8506"/>
    </row>
    <row r="8507" spans="3:4">
      <c r="C8507"/>
      <c r="D8507"/>
    </row>
    <row r="8508" spans="3:4">
      <c r="C8508"/>
      <c r="D8508"/>
    </row>
    <row r="8509" spans="3:4">
      <c r="C8509"/>
      <c r="D8509"/>
    </row>
    <row r="8510" spans="3:4">
      <c r="C8510"/>
      <c r="D8510"/>
    </row>
    <row r="8511" spans="3:4">
      <c r="C8511"/>
      <c r="D8511"/>
    </row>
    <row r="8512" spans="3:4">
      <c r="C8512"/>
      <c r="D8512"/>
    </row>
    <row r="8513" spans="3:4">
      <c r="C8513"/>
      <c r="D8513"/>
    </row>
    <row r="8514" spans="3:4">
      <c r="C8514"/>
      <c r="D8514"/>
    </row>
    <row r="8515" spans="3:4">
      <c r="C8515"/>
      <c r="D8515"/>
    </row>
    <row r="8516" spans="3:4">
      <c r="C8516"/>
      <c r="D8516"/>
    </row>
    <row r="8517" spans="3:4">
      <c r="C8517"/>
      <c r="D8517"/>
    </row>
    <row r="8518" spans="3:4">
      <c r="C8518"/>
      <c r="D8518"/>
    </row>
    <row r="8519" spans="3:4">
      <c r="C8519"/>
      <c r="D8519"/>
    </row>
    <row r="8520" spans="3:4">
      <c r="C8520"/>
      <c r="D8520"/>
    </row>
    <row r="8521" spans="3:4">
      <c r="C8521"/>
      <c r="D8521"/>
    </row>
    <row r="8522" spans="3:4">
      <c r="C8522"/>
      <c r="D8522"/>
    </row>
    <row r="8523" spans="3:4">
      <c r="C8523"/>
      <c r="D8523"/>
    </row>
    <row r="8524" spans="3:4">
      <c r="C8524"/>
      <c r="D8524"/>
    </row>
    <row r="8525" spans="3:4">
      <c r="C8525"/>
      <c r="D8525"/>
    </row>
    <row r="8526" spans="3:4">
      <c r="C8526"/>
      <c r="D8526"/>
    </row>
    <row r="8527" spans="3:4">
      <c r="C8527"/>
      <c r="D8527"/>
    </row>
    <row r="8528" spans="3:4">
      <c r="C8528"/>
      <c r="D8528"/>
    </row>
    <row r="8529" spans="3:4">
      <c r="C8529"/>
      <c r="D8529"/>
    </row>
    <row r="8530" spans="3:4">
      <c r="C8530"/>
      <c r="D8530"/>
    </row>
    <row r="8531" spans="3:4">
      <c r="C8531"/>
      <c r="D8531"/>
    </row>
    <row r="8532" spans="3:4">
      <c r="C8532"/>
      <c r="D8532"/>
    </row>
    <row r="8533" spans="3:4">
      <c r="C8533"/>
      <c r="D8533"/>
    </row>
    <row r="8534" spans="3:4">
      <c r="C8534"/>
      <c r="D8534"/>
    </row>
    <row r="8535" spans="3:4">
      <c r="C8535"/>
      <c r="D8535"/>
    </row>
    <row r="8536" spans="3:4">
      <c r="C8536"/>
      <c r="D8536"/>
    </row>
    <row r="8537" spans="3:4">
      <c r="C8537"/>
      <c r="D8537"/>
    </row>
    <row r="8538" spans="3:4">
      <c r="C8538"/>
      <c r="D8538"/>
    </row>
    <row r="8539" spans="3:4">
      <c r="C8539"/>
      <c r="D8539"/>
    </row>
    <row r="8540" spans="3:4">
      <c r="C8540"/>
      <c r="D8540"/>
    </row>
    <row r="8541" spans="3:4">
      <c r="C8541"/>
      <c r="D8541"/>
    </row>
    <row r="8542" spans="3:4">
      <c r="C8542"/>
      <c r="D8542"/>
    </row>
    <row r="8543" spans="3:4">
      <c r="C8543"/>
      <c r="D8543"/>
    </row>
    <row r="8544" spans="3:4">
      <c r="C8544"/>
      <c r="D8544"/>
    </row>
    <row r="8545" spans="3:4">
      <c r="C8545"/>
      <c r="D8545"/>
    </row>
    <row r="8546" spans="3:4">
      <c r="C8546"/>
      <c r="D8546"/>
    </row>
    <row r="8547" spans="3:4">
      <c r="C8547"/>
      <c r="D8547"/>
    </row>
    <row r="8548" spans="3:4">
      <c r="C8548"/>
      <c r="D8548"/>
    </row>
    <row r="8549" spans="3:4">
      <c r="C8549"/>
      <c r="D8549"/>
    </row>
    <row r="8550" spans="3:4">
      <c r="C8550"/>
      <c r="D8550"/>
    </row>
    <row r="8551" spans="3:4">
      <c r="C8551"/>
      <c r="D8551"/>
    </row>
    <row r="8552" spans="3:4">
      <c r="C8552"/>
      <c r="D8552"/>
    </row>
    <row r="8553" spans="3:4">
      <c r="C8553"/>
      <c r="D8553"/>
    </row>
    <row r="8554" spans="3:4">
      <c r="C8554"/>
      <c r="D8554"/>
    </row>
    <row r="8555" spans="3:4">
      <c r="C8555"/>
      <c r="D8555"/>
    </row>
    <row r="8556" spans="3:4">
      <c r="C8556"/>
      <c r="D8556"/>
    </row>
    <row r="8557" spans="3:4">
      <c r="C8557"/>
      <c r="D8557"/>
    </row>
    <row r="8558" spans="3:4">
      <c r="C8558"/>
      <c r="D8558"/>
    </row>
    <row r="8559" spans="3:4">
      <c r="C8559"/>
      <c r="D8559"/>
    </row>
    <row r="8560" spans="3:4">
      <c r="C8560"/>
      <c r="D8560"/>
    </row>
    <row r="8561" spans="3:4">
      <c r="C8561"/>
      <c r="D8561"/>
    </row>
    <row r="8562" spans="3:4">
      <c r="C8562"/>
      <c r="D8562"/>
    </row>
    <row r="8563" spans="3:4">
      <c r="C8563"/>
      <c r="D8563"/>
    </row>
    <row r="8564" spans="3:4">
      <c r="C8564"/>
      <c r="D8564"/>
    </row>
    <row r="8565" spans="3:4">
      <c r="C8565"/>
      <c r="D8565"/>
    </row>
    <row r="8566" spans="3:4">
      <c r="C8566"/>
      <c r="D8566"/>
    </row>
    <row r="8567" spans="3:4">
      <c r="C8567"/>
      <c r="D8567"/>
    </row>
    <row r="8568" spans="3:4">
      <c r="C8568"/>
      <c r="D8568"/>
    </row>
    <row r="8569" spans="3:4">
      <c r="C8569"/>
      <c r="D8569"/>
    </row>
    <row r="8570" spans="3:4">
      <c r="C8570"/>
      <c r="D8570"/>
    </row>
    <row r="8571" spans="3:4">
      <c r="C8571"/>
      <c r="D8571"/>
    </row>
    <row r="8572" spans="3:4">
      <c r="C8572"/>
      <c r="D8572"/>
    </row>
    <row r="8573" spans="3:4">
      <c r="C8573"/>
      <c r="D8573"/>
    </row>
    <row r="8574" spans="3:4">
      <c r="C8574"/>
      <c r="D8574"/>
    </row>
    <row r="8575" spans="3:4">
      <c r="C8575"/>
      <c r="D8575"/>
    </row>
    <row r="8576" spans="3:4">
      <c r="C8576"/>
      <c r="D8576"/>
    </row>
    <row r="8577" spans="3:4">
      <c r="C8577"/>
      <c r="D8577"/>
    </row>
    <row r="8578" spans="3:4">
      <c r="C8578"/>
      <c r="D8578"/>
    </row>
    <row r="8579" spans="3:4">
      <c r="C8579"/>
      <c r="D8579"/>
    </row>
    <row r="8580" spans="3:4">
      <c r="C8580"/>
      <c r="D8580"/>
    </row>
    <row r="8581" spans="3:4">
      <c r="C8581"/>
      <c r="D8581"/>
    </row>
    <row r="8582" spans="3:4">
      <c r="C8582"/>
      <c r="D8582"/>
    </row>
    <row r="8583" spans="3:4">
      <c r="C8583"/>
      <c r="D8583"/>
    </row>
    <row r="8584" spans="3:4">
      <c r="C8584"/>
      <c r="D8584"/>
    </row>
    <row r="8585" spans="3:4">
      <c r="C8585"/>
      <c r="D8585"/>
    </row>
    <row r="8586" spans="3:4">
      <c r="C8586"/>
      <c r="D8586"/>
    </row>
    <row r="8587" spans="3:4">
      <c r="C8587"/>
      <c r="D8587"/>
    </row>
    <row r="8588" spans="3:4">
      <c r="C8588"/>
      <c r="D8588"/>
    </row>
    <row r="8589" spans="3:4">
      <c r="C8589"/>
      <c r="D8589"/>
    </row>
    <row r="8590" spans="3:4">
      <c r="C8590"/>
      <c r="D8590"/>
    </row>
    <row r="8591" spans="3:4">
      <c r="C8591"/>
      <c r="D8591"/>
    </row>
    <row r="8592" spans="3:4">
      <c r="C8592"/>
      <c r="D8592"/>
    </row>
    <row r="8593" spans="3:4">
      <c r="C8593"/>
      <c r="D8593"/>
    </row>
    <row r="8594" spans="3:4">
      <c r="C8594"/>
      <c r="D8594"/>
    </row>
    <row r="8595" spans="3:4">
      <c r="C8595"/>
      <c r="D8595"/>
    </row>
    <row r="8596" spans="3:4">
      <c r="C8596"/>
      <c r="D8596"/>
    </row>
    <row r="8597" spans="3:4">
      <c r="C8597"/>
      <c r="D8597"/>
    </row>
    <row r="8598" spans="3:4">
      <c r="C8598"/>
      <c r="D8598"/>
    </row>
    <row r="8599" spans="3:4">
      <c r="C8599"/>
      <c r="D8599"/>
    </row>
    <row r="8600" spans="3:4">
      <c r="C8600"/>
      <c r="D8600"/>
    </row>
    <row r="8601" spans="3:4">
      <c r="C8601"/>
      <c r="D8601"/>
    </row>
    <row r="8602" spans="3:4">
      <c r="C8602"/>
      <c r="D8602"/>
    </row>
    <row r="8603" spans="3:4">
      <c r="C8603"/>
      <c r="D8603"/>
    </row>
    <row r="8604" spans="3:4">
      <c r="C8604"/>
      <c r="D8604"/>
    </row>
    <row r="8605" spans="3:4">
      <c r="C8605"/>
      <c r="D8605"/>
    </row>
    <row r="8606" spans="3:4">
      <c r="C8606"/>
      <c r="D8606"/>
    </row>
    <row r="8607" spans="3:4">
      <c r="C8607"/>
      <c r="D8607"/>
    </row>
    <row r="8608" spans="3:4">
      <c r="C8608"/>
      <c r="D8608"/>
    </row>
    <row r="8609" spans="3:4">
      <c r="C8609"/>
      <c r="D8609"/>
    </row>
    <row r="8610" spans="3:4">
      <c r="C8610"/>
      <c r="D8610"/>
    </row>
    <row r="8611" spans="3:4">
      <c r="C8611"/>
      <c r="D8611"/>
    </row>
    <row r="8612" spans="3:4">
      <c r="C8612"/>
      <c r="D8612"/>
    </row>
    <row r="8613" spans="3:4">
      <c r="C8613"/>
      <c r="D8613"/>
    </row>
    <row r="8614" spans="3:4">
      <c r="C8614"/>
      <c r="D8614"/>
    </row>
    <row r="8615" spans="3:4">
      <c r="C8615"/>
      <c r="D8615"/>
    </row>
    <row r="8616" spans="3:4">
      <c r="C8616"/>
      <c r="D8616"/>
    </row>
    <row r="8617" spans="3:4">
      <c r="C8617"/>
      <c r="D8617"/>
    </row>
    <row r="8618" spans="3:4">
      <c r="C8618"/>
      <c r="D8618"/>
    </row>
    <row r="8619" spans="3:4">
      <c r="C8619"/>
      <c r="D8619"/>
    </row>
    <row r="8620" spans="3:4">
      <c r="C8620"/>
      <c r="D8620"/>
    </row>
    <row r="8621" spans="3:4">
      <c r="C8621"/>
      <c r="D8621"/>
    </row>
    <row r="8622" spans="3:4">
      <c r="C8622"/>
      <c r="D8622"/>
    </row>
    <row r="8623" spans="3:4">
      <c r="C8623"/>
      <c r="D8623"/>
    </row>
    <row r="8624" spans="3:4">
      <c r="C8624"/>
      <c r="D8624"/>
    </row>
    <row r="8625" spans="3:4">
      <c r="C8625"/>
      <c r="D8625"/>
    </row>
    <row r="8626" spans="3:4">
      <c r="C8626"/>
      <c r="D8626"/>
    </row>
    <row r="8627" spans="3:4">
      <c r="C8627"/>
      <c r="D8627"/>
    </row>
    <row r="8628" spans="3:4">
      <c r="C8628"/>
      <c r="D8628"/>
    </row>
    <row r="8629" spans="3:4">
      <c r="C8629"/>
      <c r="D8629"/>
    </row>
    <row r="8630" spans="3:4">
      <c r="C8630"/>
      <c r="D8630"/>
    </row>
    <row r="8631" spans="3:4">
      <c r="C8631"/>
      <c r="D8631"/>
    </row>
    <row r="8632" spans="3:4">
      <c r="C8632"/>
      <c r="D8632"/>
    </row>
    <row r="8633" spans="3:4">
      <c r="C8633"/>
      <c r="D8633"/>
    </row>
    <row r="8634" spans="3:4">
      <c r="C8634"/>
      <c r="D8634"/>
    </row>
    <row r="8635" spans="3:4">
      <c r="C8635"/>
      <c r="D8635"/>
    </row>
    <row r="8636" spans="3:4">
      <c r="C8636"/>
      <c r="D8636"/>
    </row>
    <row r="8637" spans="3:4">
      <c r="C8637"/>
      <c r="D8637"/>
    </row>
    <row r="8638" spans="3:4">
      <c r="C8638"/>
      <c r="D8638"/>
    </row>
    <row r="8639" spans="3:4">
      <c r="C8639"/>
      <c r="D8639"/>
    </row>
    <row r="8640" spans="3:4">
      <c r="C8640"/>
      <c r="D8640"/>
    </row>
    <row r="8641" spans="3:4">
      <c r="C8641"/>
      <c r="D8641"/>
    </row>
    <row r="8642" spans="3:4">
      <c r="C8642"/>
      <c r="D8642"/>
    </row>
    <row r="8643" spans="3:4">
      <c r="C8643"/>
      <c r="D8643"/>
    </row>
    <row r="8644" spans="3:4">
      <c r="C8644"/>
      <c r="D8644"/>
    </row>
    <row r="8645" spans="3:4">
      <c r="C8645"/>
      <c r="D8645"/>
    </row>
    <row r="8646" spans="3:4">
      <c r="C8646"/>
      <c r="D8646"/>
    </row>
    <row r="8647" spans="3:4">
      <c r="C8647"/>
      <c r="D8647"/>
    </row>
    <row r="8648" spans="3:4">
      <c r="C8648"/>
      <c r="D8648"/>
    </row>
    <row r="8649" spans="3:4">
      <c r="C8649"/>
      <c r="D8649"/>
    </row>
    <row r="8650" spans="3:4">
      <c r="C8650"/>
      <c r="D8650"/>
    </row>
    <row r="8651" spans="3:4">
      <c r="C8651"/>
      <c r="D8651"/>
    </row>
    <row r="8652" spans="3:4">
      <c r="C8652"/>
      <c r="D8652"/>
    </row>
    <row r="8653" spans="3:4">
      <c r="C8653"/>
      <c r="D8653"/>
    </row>
    <row r="8654" spans="3:4">
      <c r="C8654"/>
      <c r="D8654"/>
    </row>
    <row r="8655" spans="3:4">
      <c r="C8655"/>
      <c r="D8655"/>
    </row>
    <row r="8656" spans="3:4">
      <c r="C8656"/>
      <c r="D8656"/>
    </row>
    <row r="8657" spans="3:4">
      <c r="C8657"/>
      <c r="D8657"/>
    </row>
    <row r="8658" spans="3:4">
      <c r="C8658"/>
      <c r="D8658"/>
    </row>
    <row r="8659" spans="3:4">
      <c r="C8659"/>
      <c r="D8659"/>
    </row>
    <row r="8660" spans="3:4">
      <c r="C8660"/>
      <c r="D8660"/>
    </row>
    <row r="8661" spans="3:4">
      <c r="C8661"/>
      <c r="D8661"/>
    </row>
    <row r="8662" spans="3:4">
      <c r="C8662"/>
      <c r="D8662"/>
    </row>
    <row r="8663" spans="3:4">
      <c r="C8663"/>
      <c r="D8663"/>
    </row>
    <row r="8664" spans="3:4">
      <c r="C8664"/>
      <c r="D8664"/>
    </row>
    <row r="8665" spans="3:4">
      <c r="C8665"/>
      <c r="D8665"/>
    </row>
    <row r="8666" spans="3:4">
      <c r="C8666"/>
      <c r="D8666"/>
    </row>
    <row r="8667" spans="3:4">
      <c r="C8667"/>
      <c r="D8667"/>
    </row>
    <row r="8668" spans="3:4">
      <c r="C8668"/>
      <c r="D8668"/>
    </row>
    <row r="8669" spans="3:4">
      <c r="C8669"/>
      <c r="D8669"/>
    </row>
    <row r="8670" spans="3:4">
      <c r="C8670"/>
      <c r="D8670"/>
    </row>
    <row r="8671" spans="3:4">
      <c r="C8671"/>
      <c r="D8671"/>
    </row>
    <row r="8672" spans="3:4">
      <c r="C8672"/>
      <c r="D8672"/>
    </row>
    <row r="8673" spans="3:4">
      <c r="C8673"/>
      <c r="D8673"/>
    </row>
    <row r="8674" spans="3:4">
      <c r="C8674"/>
      <c r="D8674"/>
    </row>
    <row r="8675" spans="3:4">
      <c r="C8675"/>
      <c r="D8675"/>
    </row>
    <row r="8676" spans="3:4">
      <c r="C8676"/>
      <c r="D8676"/>
    </row>
    <row r="8677" spans="3:4">
      <c r="C8677"/>
      <c r="D8677"/>
    </row>
    <row r="8678" spans="3:4">
      <c r="C8678"/>
      <c r="D8678"/>
    </row>
    <row r="8679" spans="3:4">
      <c r="C8679"/>
      <c r="D8679"/>
    </row>
    <row r="8680" spans="3:4">
      <c r="C8680"/>
      <c r="D8680"/>
    </row>
    <row r="8681" spans="3:4">
      <c r="C8681"/>
      <c r="D8681"/>
    </row>
    <row r="8682" spans="3:4">
      <c r="C8682"/>
      <c r="D8682"/>
    </row>
    <row r="8683" spans="3:4">
      <c r="C8683"/>
      <c r="D8683"/>
    </row>
    <row r="8684" spans="3:4">
      <c r="C8684"/>
      <c r="D8684"/>
    </row>
    <row r="8685" spans="3:4">
      <c r="C8685"/>
      <c r="D8685"/>
    </row>
    <row r="8686" spans="3:4">
      <c r="C8686"/>
      <c r="D8686"/>
    </row>
    <row r="8687" spans="3:4">
      <c r="C8687"/>
      <c r="D8687"/>
    </row>
    <row r="8688" spans="3:4">
      <c r="C8688"/>
      <c r="D8688"/>
    </row>
    <row r="8689" spans="3:4">
      <c r="C8689"/>
      <c r="D8689"/>
    </row>
    <row r="8690" spans="3:4">
      <c r="C8690"/>
      <c r="D8690"/>
    </row>
    <row r="8691" spans="3:4">
      <c r="C8691"/>
      <c r="D8691"/>
    </row>
    <row r="8692" spans="3:4">
      <c r="C8692"/>
      <c r="D8692"/>
    </row>
    <row r="8693" spans="3:4">
      <c r="C8693"/>
      <c r="D8693"/>
    </row>
    <row r="8694" spans="3:4">
      <c r="C8694"/>
      <c r="D8694"/>
    </row>
    <row r="8695" spans="3:4">
      <c r="C8695"/>
      <c r="D8695"/>
    </row>
    <row r="8696" spans="3:4">
      <c r="C8696"/>
      <c r="D8696"/>
    </row>
    <row r="8697" spans="3:4">
      <c r="C8697"/>
      <c r="D8697"/>
    </row>
    <row r="8698" spans="3:4">
      <c r="C8698"/>
      <c r="D8698"/>
    </row>
    <row r="8699" spans="3:4">
      <c r="C8699"/>
      <c r="D8699"/>
    </row>
    <row r="8700" spans="3:4">
      <c r="C8700"/>
      <c r="D8700"/>
    </row>
    <row r="8701" spans="3:4">
      <c r="C8701"/>
      <c r="D8701"/>
    </row>
    <row r="8702" spans="3:4">
      <c r="C8702"/>
      <c r="D8702"/>
    </row>
    <row r="8703" spans="3:4">
      <c r="C8703"/>
      <c r="D8703"/>
    </row>
    <row r="8704" spans="3:4">
      <c r="C8704"/>
      <c r="D8704"/>
    </row>
    <row r="8705" spans="3:4">
      <c r="C8705"/>
      <c r="D8705"/>
    </row>
    <row r="8706" spans="3:4">
      <c r="C8706"/>
      <c r="D8706"/>
    </row>
    <row r="8707" spans="3:4">
      <c r="C8707"/>
      <c r="D8707"/>
    </row>
    <row r="8708" spans="3:4">
      <c r="C8708"/>
      <c r="D8708"/>
    </row>
    <row r="8709" spans="3:4">
      <c r="C8709"/>
      <c r="D8709"/>
    </row>
    <row r="8710" spans="3:4">
      <c r="C8710"/>
      <c r="D8710"/>
    </row>
    <row r="8711" spans="3:4">
      <c r="C8711"/>
      <c r="D8711"/>
    </row>
    <row r="8712" spans="3:4">
      <c r="C8712"/>
      <c r="D8712"/>
    </row>
    <row r="8713" spans="3:4">
      <c r="C8713"/>
      <c r="D8713"/>
    </row>
    <row r="8714" spans="3:4">
      <c r="C8714"/>
      <c r="D8714"/>
    </row>
    <row r="8715" spans="3:4">
      <c r="C8715"/>
      <c r="D8715"/>
    </row>
    <row r="8716" spans="3:4">
      <c r="C8716"/>
      <c r="D8716"/>
    </row>
    <row r="8717" spans="3:4">
      <c r="C8717"/>
      <c r="D8717"/>
    </row>
    <row r="8718" spans="3:4">
      <c r="C8718"/>
      <c r="D8718"/>
    </row>
    <row r="8719" spans="3:4">
      <c r="C8719"/>
      <c r="D8719"/>
    </row>
    <row r="8720" spans="3:4">
      <c r="C8720"/>
      <c r="D8720"/>
    </row>
    <row r="8721" spans="3:4">
      <c r="C8721"/>
      <c r="D8721"/>
    </row>
    <row r="8722" spans="3:4">
      <c r="C8722"/>
      <c r="D8722"/>
    </row>
    <row r="8723" spans="3:4">
      <c r="C8723"/>
      <c r="D8723"/>
    </row>
    <row r="8724" spans="3:4">
      <c r="C8724"/>
      <c r="D8724"/>
    </row>
    <row r="8725" spans="3:4">
      <c r="C8725"/>
      <c r="D8725"/>
    </row>
    <row r="8726" spans="3:4">
      <c r="C8726"/>
      <c r="D8726"/>
    </row>
    <row r="8727" spans="3:4">
      <c r="C8727"/>
      <c r="D8727"/>
    </row>
    <row r="8728" spans="3:4">
      <c r="C8728"/>
      <c r="D8728"/>
    </row>
    <row r="8729" spans="3:4">
      <c r="C8729"/>
      <c r="D8729"/>
    </row>
    <row r="8730" spans="3:4">
      <c r="C8730"/>
      <c r="D8730"/>
    </row>
    <row r="8731" spans="3:4">
      <c r="C8731"/>
      <c r="D8731"/>
    </row>
    <row r="8732" spans="3:4">
      <c r="C8732"/>
      <c r="D8732"/>
    </row>
    <row r="8733" spans="3:4">
      <c r="C8733"/>
      <c r="D8733"/>
    </row>
    <row r="8734" spans="3:4">
      <c r="C8734"/>
      <c r="D8734"/>
    </row>
    <row r="8735" spans="3:4">
      <c r="C8735"/>
      <c r="D8735"/>
    </row>
    <row r="8736" spans="3:4">
      <c r="C8736"/>
      <c r="D8736"/>
    </row>
    <row r="8737" spans="3:4">
      <c r="C8737"/>
      <c r="D8737"/>
    </row>
    <row r="8738" spans="3:4">
      <c r="C8738"/>
      <c r="D8738"/>
    </row>
    <row r="8739" spans="3:4">
      <c r="C8739"/>
      <c r="D8739"/>
    </row>
    <row r="8740" spans="3:4">
      <c r="C8740"/>
      <c r="D8740"/>
    </row>
    <row r="8741" spans="3:4">
      <c r="C8741"/>
      <c r="D8741"/>
    </row>
    <row r="8742" spans="3:4">
      <c r="C8742"/>
      <c r="D8742"/>
    </row>
    <row r="8743" spans="3:4">
      <c r="C8743"/>
      <c r="D8743"/>
    </row>
    <row r="8744" spans="3:4">
      <c r="C8744"/>
      <c r="D8744"/>
    </row>
    <row r="8745" spans="3:4">
      <c r="C8745"/>
      <c r="D8745"/>
    </row>
    <row r="8746" spans="3:4">
      <c r="C8746"/>
      <c r="D8746"/>
    </row>
    <row r="8747" spans="3:4">
      <c r="C8747"/>
      <c r="D8747"/>
    </row>
    <row r="8748" spans="3:4">
      <c r="C8748"/>
      <c r="D8748"/>
    </row>
    <row r="8749" spans="3:4">
      <c r="C8749"/>
      <c r="D8749"/>
    </row>
    <row r="8750" spans="3:4">
      <c r="C8750"/>
      <c r="D8750"/>
    </row>
    <row r="8751" spans="3:4">
      <c r="C8751"/>
      <c r="D8751"/>
    </row>
    <row r="8752" spans="3:4">
      <c r="C8752"/>
      <c r="D8752"/>
    </row>
    <row r="8753" spans="3:4">
      <c r="C8753"/>
      <c r="D8753"/>
    </row>
    <row r="8754" spans="3:4">
      <c r="C8754"/>
      <c r="D8754"/>
    </row>
    <row r="8755" spans="3:4">
      <c r="C8755"/>
      <c r="D8755"/>
    </row>
    <row r="8756" spans="3:4">
      <c r="C8756"/>
      <c r="D8756"/>
    </row>
    <row r="8757" spans="3:4">
      <c r="C8757"/>
      <c r="D8757"/>
    </row>
    <row r="8758" spans="3:4">
      <c r="C8758"/>
      <c r="D8758"/>
    </row>
    <row r="8759" spans="3:4">
      <c r="C8759"/>
      <c r="D8759"/>
    </row>
    <row r="8760" spans="3:4">
      <c r="C8760"/>
      <c r="D8760"/>
    </row>
    <row r="8761" spans="3:4">
      <c r="C8761"/>
      <c r="D8761"/>
    </row>
    <row r="8762" spans="3:4">
      <c r="C8762"/>
      <c r="D8762"/>
    </row>
    <row r="8763" spans="3:4">
      <c r="C8763"/>
      <c r="D8763"/>
    </row>
    <row r="8764" spans="3:4">
      <c r="C8764"/>
      <c r="D8764"/>
    </row>
    <row r="8765" spans="3:4">
      <c r="C8765"/>
      <c r="D8765"/>
    </row>
    <row r="8766" spans="3:4">
      <c r="C8766"/>
      <c r="D8766"/>
    </row>
    <row r="8767" spans="3:4">
      <c r="C8767"/>
      <c r="D8767"/>
    </row>
    <row r="8768" spans="3:4">
      <c r="C8768"/>
      <c r="D8768"/>
    </row>
    <row r="8769" spans="3:4">
      <c r="C8769"/>
      <c r="D8769"/>
    </row>
    <row r="8770" spans="3:4">
      <c r="C8770"/>
      <c r="D8770"/>
    </row>
    <row r="8771" spans="3:4">
      <c r="C8771"/>
      <c r="D8771"/>
    </row>
    <row r="8772" spans="3:4">
      <c r="C8772"/>
      <c r="D8772"/>
    </row>
    <row r="8773" spans="3:4">
      <c r="C8773"/>
      <c r="D8773"/>
    </row>
    <row r="8774" spans="3:4">
      <c r="C8774"/>
      <c r="D8774"/>
    </row>
    <row r="8775" spans="3:4">
      <c r="C8775"/>
      <c r="D8775"/>
    </row>
    <row r="8776" spans="3:4">
      <c r="C8776"/>
      <c r="D8776"/>
    </row>
    <row r="8777" spans="3:4">
      <c r="C8777"/>
      <c r="D8777"/>
    </row>
    <row r="8778" spans="3:4">
      <c r="C8778"/>
      <c r="D8778"/>
    </row>
    <row r="8779" spans="3:4">
      <c r="C8779"/>
      <c r="D8779"/>
    </row>
    <row r="8780" spans="3:4">
      <c r="C8780"/>
      <c r="D8780"/>
    </row>
    <row r="8781" spans="3:4">
      <c r="C8781"/>
      <c r="D8781"/>
    </row>
    <row r="8782" spans="3:4">
      <c r="C8782"/>
      <c r="D8782"/>
    </row>
    <row r="8783" spans="3:4">
      <c r="C8783"/>
      <c r="D8783"/>
    </row>
    <row r="8784" spans="3:4">
      <c r="C8784"/>
      <c r="D8784"/>
    </row>
    <row r="8785" spans="3:4">
      <c r="C8785"/>
      <c r="D8785"/>
    </row>
    <row r="8786" spans="3:4">
      <c r="C8786"/>
      <c r="D8786"/>
    </row>
    <row r="8787" spans="3:4">
      <c r="C8787"/>
      <c r="D8787"/>
    </row>
    <row r="8788" spans="3:4">
      <c r="C8788"/>
      <c r="D8788"/>
    </row>
    <row r="8789" spans="3:4">
      <c r="C8789"/>
      <c r="D8789"/>
    </row>
    <row r="8790" spans="3:4">
      <c r="C8790"/>
      <c r="D8790"/>
    </row>
    <row r="8791" spans="3:4">
      <c r="C8791"/>
      <c r="D8791"/>
    </row>
    <row r="8792" spans="3:4">
      <c r="C8792"/>
      <c r="D8792"/>
    </row>
    <row r="8793" spans="3:4">
      <c r="C8793"/>
      <c r="D8793"/>
    </row>
    <row r="8794" spans="3:4">
      <c r="C8794"/>
      <c r="D8794"/>
    </row>
    <row r="8795" spans="3:4">
      <c r="C8795"/>
      <c r="D8795"/>
    </row>
    <row r="8796" spans="3:4">
      <c r="C8796"/>
      <c r="D8796"/>
    </row>
    <row r="8797" spans="3:4">
      <c r="C8797"/>
      <c r="D8797"/>
    </row>
    <row r="8798" spans="3:4">
      <c r="C8798"/>
      <c r="D8798"/>
    </row>
    <row r="8799" spans="3:4">
      <c r="C8799"/>
      <c r="D8799"/>
    </row>
    <row r="8800" spans="3:4">
      <c r="C8800"/>
      <c r="D8800"/>
    </row>
    <row r="8801" spans="3:4">
      <c r="C8801"/>
      <c r="D8801"/>
    </row>
    <row r="8802" spans="3:4">
      <c r="C8802"/>
      <c r="D8802"/>
    </row>
    <row r="8803" spans="3:4">
      <c r="C8803"/>
      <c r="D8803"/>
    </row>
    <row r="8804" spans="3:4">
      <c r="C8804"/>
      <c r="D8804"/>
    </row>
    <row r="8805" spans="3:4">
      <c r="C8805"/>
      <c r="D8805"/>
    </row>
    <row r="8806" spans="3:4">
      <c r="C8806"/>
      <c r="D8806"/>
    </row>
    <row r="8807" spans="3:4">
      <c r="C8807"/>
      <c r="D8807"/>
    </row>
    <row r="8808" spans="3:4">
      <c r="C8808"/>
      <c r="D8808"/>
    </row>
    <row r="8809" spans="3:4">
      <c r="C8809"/>
      <c r="D8809"/>
    </row>
    <row r="8810" spans="3:4">
      <c r="C8810"/>
      <c r="D8810"/>
    </row>
    <row r="8811" spans="3:4">
      <c r="C8811"/>
      <c r="D8811"/>
    </row>
    <row r="8812" spans="3:4">
      <c r="C8812"/>
      <c r="D8812"/>
    </row>
    <row r="8813" spans="3:4">
      <c r="C8813"/>
      <c r="D8813"/>
    </row>
    <row r="8814" spans="3:4">
      <c r="C8814"/>
      <c r="D8814"/>
    </row>
    <row r="8815" spans="3:4">
      <c r="C8815"/>
      <c r="D8815"/>
    </row>
    <row r="8816" spans="3:4">
      <c r="C8816"/>
      <c r="D8816"/>
    </row>
    <row r="8817" spans="3:4">
      <c r="C8817"/>
      <c r="D8817"/>
    </row>
    <row r="8818" spans="3:4">
      <c r="C8818"/>
      <c r="D8818"/>
    </row>
    <row r="8819" spans="3:4">
      <c r="C8819"/>
      <c r="D8819"/>
    </row>
    <row r="8820" spans="3:4">
      <c r="C8820"/>
      <c r="D8820"/>
    </row>
    <row r="8821" spans="3:4">
      <c r="C8821"/>
      <c r="D8821"/>
    </row>
    <row r="8822" spans="3:4">
      <c r="C8822"/>
      <c r="D8822"/>
    </row>
    <row r="8823" spans="3:4">
      <c r="C8823"/>
      <c r="D8823"/>
    </row>
    <row r="8824" spans="3:4">
      <c r="C8824"/>
      <c r="D8824"/>
    </row>
    <row r="8825" spans="3:4">
      <c r="C8825"/>
      <c r="D8825"/>
    </row>
    <row r="8826" spans="3:4">
      <c r="C8826"/>
      <c r="D8826"/>
    </row>
    <row r="8827" spans="3:4">
      <c r="C8827"/>
      <c r="D8827"/>
    </row>
    <row r="8828" spans="3:4">
      <c r="C8828"/>
      <c r="D8828"/>
    </row>
    <row r="8829" spans="3:4">
      <c r="C8829"/>
      <c r="D8829"/>
    </row>
    <row r="8830" spans="3:4">
      <c r="C8830"/>
      <c r="D8830"/>
    </row>
    <row r="8831" spans="3:4">
      <c r="C8831"/>
      <c r="D8831"/>
    </row>
    <row r="8832" spans="3:4">
      <c r="C8832"/>
      <c r="D8832"/>
    </row>
    <row r="8833" spans="3:4">
      <c r="C8833"/>
      <c r="D8833"/>
    </row>
    <row r="8834" spans="3:4">
      <c r="C8834"/>
      <c r="D8834"/>
    </row>
    <row r="8835" spans="3:4">
      <c r="C8835"/>
      <c r="D8835"/>
    </row>
    <row r="8836" spans="3:4">
      <c r="C8836"/>
      <c r="D8836"/>
    </row>
    <row r="8837" spans="3:4">
      <c r="C8837"/>
      <c r="D8837"/>
    </row>
    <row r="8838" spans="3:4">
      <c r="C8838"/>
      <c r="D8838"/>
    </row>
    <row r="8839" spans="3:4">
      <c r="C8839"/>
      <c r="D8839"/>
    </row>
    <row r="8840" spans="3:4">
      <c r="C8840"/>
      <c r="D8840"/>
    </row>
    <row r="8841" spans="3:4">
      <c r="C8841"/>
      <c r="D8841"/>
    </row>
    <row r="8842" spans="3:4">
      <c r="C8842"/>
      <c r="D8842"/>
    </row>
    <row r="8843" spans="3:4">
      <c r="C8843"/>
      <c r="D8843"/>
    </row>
    <row r="8844" spans="3:4">
      <c r="C8844"/>
      <c r="D8844"/>
    </row>
    <row r="8845" spans="3:4">
      <c r="C8845"/>
      <c r="D8845"/>
    </row>
    <row r="8846" spans="3:4">
      <c r="C8846"/>
      <c r="D8846"/>
    </row>
    <row r="8847" spans="3:4">
      <c r="C8847"/>
      <c r="D8847"/>
    </row>
    <row r="8848" spans="3:4">
      <c r="C8848"/>
      <c r="D8848"/>
    </row>
    <row r="8849" spans="3:4">
      <c r="C8849"/>
      <c r="D8849"/>
    </row>
    <row r="8850" spans="3:4">
      <c r="C8850"/>
      <c r="D8850"/>
    </row>
    <row r="8851" spans="3:4">
      <c r="C8851"/>
      <c r="D8851"/>
    </row>
    <row r="8852" spans="3:4">
      <c r="C8852"/>
      <c r="D8852"/>
    </row>
    <row r="8853" spans="3:4">
      <c r="C8853"/>
      <c r="D8853"/>
    </row>
    <row r="8854" spans="3:4">
      <c r="C8854"/>
      <c r="D8854"/>
    </row>
    <row r="8855" spans="3:4">
      <c r="C8855"/>
      <c r="D8855"/>
    </row>
    <row r="8856" spans="3:4">
      <c r="C8856"/>
      <c r="D8856"/>
    </row>
    <row r="8857" spans="3:4">
      <c r="C8857"/>
      <c r="D8857"/>
    </row>
    <row r="8858" spans="3:4">
      <c r="C8858"/>
      <c r="D8858"/>
    </row>
    <row r="8859" spans="3:4">
      <c r="C8859"/>
      <c r="D8859"/>
    </row>
    <row r="8860" spans="3:4">
      <c r="C8860"/>
      <c r="D8860"/>
    </row>
    <row r="8861" spans="3:4">
      <c r="C8861"/>
      <c r="D8861"/>
    </row>
    <row r="8862" spans="3:4">
      <c r="C8862"/>
      <c r="D8862"/>
    </row>
    <row r="8863" spans="3:4">
      <c r="C8863"/>
      <c r="D8863"/>
    </row>
    <row r="8864" spans="3:4">
      <c r="C8864"/>
      <c r="D8864"/>
    </row>
    <row r="8865" spans="3:4">
      <c r="C8865"/>
      <c r="D8865"/>
    </row>
    <row r="8866" spans="3:4">
      <c r="C8866"/>
      <c r="D8866"/>
    </row>
    <row r="8867" spans="3:4">
      <c r="C8867"/>
      <c r="D8867"/>
    </row>
    <row r="8868" spans="3:4">
      <c r="C8868"/>
      <c r="D8868"/>
    </row>
    <row r="8869" spans="3:4">
      <c r="C8869"/>
      <c r="D8869"/>
    </row>
    <row r="8870" spans="3:4">
      <c r="C8870"/>
      <c r="D8870"/>
    </row>
    <row r="8871" spans="3:4">
      <c r="C8871"/>
      <c r="D8871"/>
    </row>
    <row r="8872" spans="3:4">
      <c r="C8872"/>
      <c r="D8872"/>
    </row>
    <row r="8873" spans="3:4">
      <c r="C8873"/>
      <c r="D8873"/>
    </row>
    <row r="8874" spans="3:4">
      <c r="C8874"/>
      <c r="D8874"/>
    </row>
    <row r="8875" spans="3:4">
      <c r="C8875"/>
      <c r="D8875"/>
    </row>
    <row r="8876" spans="3:4">
      <c r="C8876"/>
      <c r="D8876"/>
    </row>
    <row r="8877" spans="3:4">
      <c r="C8877"/>
      <c r="D8877"/>
    </row>
    <row r="8878" spans="3:4">
      <c r="C8878"/>
      <c r="D8878"/>
    </row>
    <row r="8879" spans="3:4">
      <c r="C8879"/>
      <c r="D8879"/>
    </row>
    <row r="8880" spans="3:4">
      <c r="C8880"/>
      <c r="D8880"/>
    </row>
    <row r="8881" spans="3:4">
      <c r="C8881"/>
      <c r="D8881"/>
    </row>
    <row r="8882" spans="3:4">
      <c r="C8882"/>
      <c r="D8882"/>
    </row>
    <row r="8883" spans="3:4">
      <c r="C8883"/>
      <c r="D8883"/>
    </row>
    <row r="8884" spans="3:4">
      <c r="C8884"/>
      <c r="D8884"/>
    </row>
    <row r="8885" spans="3:4">
      <c r="C8885"/>
      <c r="D8885"/>
    </row>
    <row r="8886" spans="3:4">
      <c r="C8886"/>
      <c r="D8886"/>
    </row>
    <row r="8887" spans="3:4">
      <c r="C8887"/>
      <c r="D8887"/>
    </row>
    <row r="8888" spans="3:4">
      <c r="C8888"/>
      <c r="D8888"/>
    </row>
    <row r="8889" spans="3:4">
      <c r="C8889"/>
      <c r="D8889"/>
    </row>
    <row r="8890" spans="3:4">
      <c r="C8890"/>
      <c r="D8890"/>
    </row>
    <row r="8891" spans="3:4">
      <c r="C8891"/>
      <c r="D8891"/>
    </row>
    <row r="8892" spans="3:4">
      <c r="C8892"/>
      <c r="D8892"/>
    </row>
    <row r="8893" spans="3:4">
      <c r="C8893"/>
      <c r="D8893"/>
    </row>
    <row r="8894" spans="3:4">
      <c r="C8894"/>
      <c r="D8894"/>
    </row>
    <row r="8895" spans="3:4">
      <c r="C8895"/>
      <c r="D8895"/>
    </row>
    <row r="8896" spans="3:4">
      <c r="C8896"/>
      <c r="D8896"/>
    </row>
    <row r="8897" spans="3:4">
      <c r="C8897"/>
      <c r="D8897"/>
    </row>
    <row r="8898" spans="3:4">
      <c r="C8898"/>
      <c r="D8898"/>
    </row>
    <row r="8899" spans="3:4">
      <c r="C8899"/>
      <c r="D8899"/>
    </row>
    <row r="8900" spans="3:4">
      <c r="C8900"/>
      <c r="D8900"/>
    </row>
    <row r="8901" spans="3:4">
      <c r="C8901"/>
      <c r="D8901"/>
    </row>
    <row r="8902" spans="3:4">
      <c r="C8902"/>
      <c r="D8902"/>
    </row>
    <row r="8903" spans="3:4">
      <c r="C8903"/>
      <c r="D8903"/>
    </row>
    <row r="8904" spans="3:4">
      <c r="C8904"/>
      <c r="D8904"/>
    </row>
    <row r="8905" spans="3:4">
      <c r="C8905"/>
      <c r="D8905"/>
    </row>
    <row r="8906" spans="3:4">
      <c r="C8906"/>
      <c r="D8906"/>
    </row>
    <row r="8907" spans="3:4">
      <c r="C8907"/>
      <c r="D8907"/>
    </row>
    <row r="8908" spans="3:4">
      <c r="C8908"/>
      <c r="D8908"/>
    </row>
    <row r="8909" spans="3:4">
      <c r="C8909"/>
      <c r="D8909"/>
    </row>
    <row r="8910" spans="3:4">
      <c r="C8910"/>
      <c r="D8910"/>
    </row>
    <row r="8911" spans="3:4">
      <c r="C8911"/>
      <c r="D8911"/>
    </row>
    <row r="8912" spans="3:4">
      <c r="C8912"/>
      <c r="D8912"/>
    </row>
    <row r="8913" spans="3:4">
      <c r="C8913"/>
      <c r="D8913"/>
    </row>
    <row r="8914" spans="3:4">
      <c r="C8914"/>
      <c r="D8914"/>
    </row>
    <row r="8915" spans="3:4">
      <c r="C8915"/>
      <c r="D8915"/>
    </row>
    <row r="8916" spans="3:4">
      <c r="C8916"/>
      <c r="D8916"/>
    </row>
    <row r="8917" spans="3:4">
      <c r="C8917"/>
      <c r="D8917"/>
    </row>
    <row r="8918" spans="3:4">
      <c r="C8918"/>
      <c r="D8918"/>
    </row>
    <row r="8919" spans="3:4">
      <c r="C8919"/>
      <c r="D8919"/>
    </row>
    <row r="8920" spans="3:4">
      <c r="C8920"/>
      <c r="D8920"/>
    </row>
    <row r="8921" spans="3:4">
      <c r="C8921"/>
      <c r="D8921"/>
    </row>
    <row r="8922" spans="3:4">
      <c r="C8922"/>
      <c r="D8922"/>
    </row>
    <row r="8923" spans="3:4">
      <c r="C8923"/>
      <c r="D8923"/>
    </row>
    <row r="8924" spans="3:4">
      <c r="C8924"/>
      <c r="D8924"/>
    </row>
    <row r="8925" spans="3:4">
      <c r="C8925"/>
      <c r="D8925"/>
    </row>
    <row r="8926" spans="3:4">
      <c r="C8926"/>
      <c r="D8926"/>
    </row>
    <row r="8927" spans="3:4">
      <c r="C8927"/>
      <c r="D8927"/>
    </row>
    <row r="8928" spans="3:4">
      <c r="C8928"/>
      <c r="D8928"/>
    </row>
    <row r="8929" spans="3:4">
      <c r="C8929"/>
      <c r="D8929"/>
    </row>
    <row r="8930" spans="3:4">
      <c r="C8930"/>
      <c r="D8930"/>
    </row>
    <row r="8931" spans="3:4">
      <c r="C8931"/>
      <c r="D8931"/>
    </row>
    <row r="8932" spans="3:4">
      <c r="C8932"/>
      <c r="D8932"/>
    </row>
    <row r="8933" spans="3:4">
      <c r="C8933"/>
      <c r="D8933"/>
    </row>
    <row r="8934" spans="3:4">
      <c r="C8934"/>
      <c r="D8934"/>
    </row>
    <row r="8935" spans="3:4">
      <c r="C8935"/>
      <c r="D8935"/>
    </row>
    <row r="8936" spans="3:4">
      <c r="C8936"/>
      <c r="D8936"/>
    </row>
    <row r="8937" spans="3:4">
      <c r="C8937"/>
      <c r="D8937"/>
    </row>
    <row r="8938" spans="3:4">
      <c r="C8938"/>
      <c r="D8938"/>
    </row>
    <row r="8939" spans="3:4">
      <c r="C8939"/>
      <c r="D8939"/>
    </row>
    <row r="8940" spans="3:4">
      <c r="C8940"/>
      <c r="D8940"/>
    </row>
    <row r="8941" spans="3:4">
      <c r="C8941"/>
      <c r="D8941"/>
    </row>
    <row r="8942" spans="3:4">
      <c r="C8942"/>
      <c r="D8942"/>
    </row>
    <row r="8943" spans="3:4">
      <c r="C8943"/>
      <c r="D8943"/>
    </row>
    <row r="8944" spans="3:4">
      <c r="C8944"/>
      <c r="D8944"/>
    </row>
    <row r="8945" spans="3:4">
      <c r="C8945"/>
      <c r="D8945"/>
    </row>
    <row r="8946" spans="3:4">
      <c r="C8946"/>
      <c r="D8946"/>
    </row>
    <row r="8947" spans="3:4">
      <c r="C8947"/>
      <c r="D8947"/>
    </row>
    <row r="8948" spans="3:4">
      <c r="C8948"/>
      <c r="D8948"/>
    </row>
    <row r="8949" spans="3:4">
      <c r="C8949"/>
      <c r="D8949"/>
    </row>
    <row r="8950" spans="3:4">
      <c r="C8950"/>
      <c r="D8950"/>
    </row>
    <row r="8951" spans="3:4">
      <c r="C8951"/>
      <c r="D8951"/>
    </row>
    <row r="8952" spans="3:4">
      <c r="C8952"/>
      <c r="D8952"/>
    </row>
    <row r="8953" spans="3:4">
      <c r="C8953"/>
      <c r="D8953"/>
    </row>
    <row r="8954" spans="3:4">
      <c r="C8954"/>
      <c r="D8954"/>
    </row>
    <row r="8955" spans="3:4">
      <c r="C8955"/>
      <c r="D8955"/>
    </row>
    <row r="8956" spans="3:4">
      <c r="C8956"/>
      <c r="D8956"/>
    </row>
    <row r="8957" spans="3:4">
      <c r="C8957"/>
      <c r="D8957"/>
    </row>
    <row r="8958" spans="3:4">
      <c r="C8958"/>
      <c r="D8958"/>
    </row>
    <row r="8959" spans="3:4">
      <c r="C8959"/>
      <c r="D8959"/>
    </row>
    <row r="8960" spans="3:4">
      <c r="C8960"/>
      <c r="D8960"/>
    </row>
    <row r="8961" spans="3:4">
      <c r="C8961"/>
      <c r="D8961"/>
    </row>
    <row r="8962" spans="3:4">
      <c r="C8962"/>
      <c r="D8962"/>
    </row>
    <row r="8963" spans="3:4">
      <c r="C8963"/>
      <c r="D8963"/>
    </row>
    <row r="8964" spans="3:4">
      <c r="C8964"/>
      <c r="D8964"/>
    </row>
    <row r="8965" spans="3:4">
      <c r="C8965"/>
      <c r="D8965"/>
    </row>
    <row r="8966" spans="3:4">
      <c r="C8966"/>
      <c r="D8966"/>
    </row>
    <row r="8967" spans="3:4">
      <c r="C8967"/>
      <c r="D8967"/>
    </row>
    <row r="8968" spans="3:4">
      <c r="C8968"/>
      <c r="D8968"/>
    </row>
    <row r="8969" spans="3:4">
      <c r="C8969"/>
      <c r="D8969"/>
    </row>
    <row r="8970" spans="3:4">
      <c r="C8970"/>
      <c r="D8970"/>
    </row>
    <row r="8971" spans="3:4">
      <c r="C8971"/>
      <c r="D8971"/>
    </row>
    <row r="8972" spans="3:4">
      <c r="C8972"/>
      <c r="D8972"/>
    </row>
    <row r="8973" spans="3:4">
      <c r="C8973"/>
      <c r="D8973"/>
    </row>
    <row r="8974" spans="3:4">
      <c r="C8974"/>
      <c r="D8974"/>
    </row>
    <row r="8975" spans="3:4">
      <c r="C8975"/>
      <c r="D8975"/>
    </row>
    <row r="8976" spans="3:4">
      <c r="C8976"/>
      <c r="D8976"/>
    </row>
    <row r="8977" spans="3:4">
      <c r="C8977"/>
      <c r="D8977"/>
    </row>
    <row r="8978" spans="3:4">
      <c r="C8978"/>
      <c r="D8978"/>
    </row>
    <row r="8979" spans="3:4">
      <c r="C8979"/>
      <c r="D8979"/>
    </row>
    <row r="8980" spans="3:4">
      <c r="C8980"/>
      <c r="D8980"/>
    </row>
    <row r="8981" spans="3:4">
      <c r="C8981"/>
      <c r="D8981"/>
    </row>
    <row r="8982" spans="3:4">
      <c r="C8982"/>
      <c r="D8982"/>
    </row>
    <row r="8983" spans="3:4">
      <c r="C8983"/>
      <c r="D8983"/>
    </row>
    <row r="8984" spans="3:4">
      <c r="C8984"/>
      <c r="D8984"/>
    </row>
    <row r="8985" spans="3:4">
      <c r="C8985"/>
      <c r="D8985"/>
    </row>
    <row r="8986" spans="3:4">
      <c r="C8986"/>
      <c r="D8986"/>
    </row>
    <row r="8987" spans="3:4">
      <c r="C8987"/>
      <c r="D8987"/>
    </row>
    <row r="8988" spans="3:4">
      <c r="C8988"/>
      <c r="D8988"/>
    </row>
    <row r="8989" spans="3:4">
      <c r="C8989"/>
      <c r="D8989"/>
    </row>
    <row r="8990" spans="3:4">
      <c r="C8990"/>
      <c r="D8990"/>
    </row>
    <row r="8991" spans="3:4">
      <c r="C8991"/>
      <c r="D8991"/>
    </row>
    <row r="8992" spans="3:4">
      <c r="C8992"/>
      <c r="D8992"/>
    </row>
    <row r="8993" spans="3:4">
      <c r="C8993"/>
      <c r="D8993"/>
    </row>
    <row r="8994" spans="3:4">
      <c r="C8994"/>
      <c r="D8994"/>
    </row>
    <row r="8995" spans="3:4">
      <c r="C8995"/>
      <c r="D8995"/>
    </row>
    <row r="8996" spans="3:4">
      <c r="C8996"/>
      <c r="D8996"/>
    </row>
    <row r="8997" spans="3:4">
      <c r="C8997"/>
      <c r="D8997"/>
    </row>
    <row r="8998" spans="3:4">
      <c r="C8998"/>
      <c r="D8998"/>
    </row>
    <row r="8999" spans="3:4">
      <c r="C8999"/>
      <c r="D8999"/>
    </row>
    <row r="9000" spans="3:4">
      <c r="C9000"/>
      <c r="D9000"/>
    </row>
    <row r="9001" spans="3:4">
      <c r="C9001"/>
      <c r="D9001"/>
    </row>
    <row r="9002" spans="3:4">
      <c r="C9002"/>
      <c r="D9002"/>
    </row>
    <row r="9003" spans="3:4">
      <c r="C9003"/>
      <c r="D9003"/>
    </row>
    <row r="9004" spans="3:4">
      <c r="C9004"/>
      <c r="D9004"/>
    </row>
    <row r="9005" spans="3:4">
      <c r="C9005"/>
      <c r="D9005"/>
    </row>
    <row r="9006" spans="3:4">
      <c r="C9006"/>
      <c r="D9006"/>
    </row>
    <row r="9007" spans="3:4">
      <c r="C9007"/>
      <c r="D9007"/>
    </row>
    <row r="9008" spans="3:4">
      <c r="C9008"/>
      <c r="D9008"/>
    </row>
    <row r="9009" spans="3:4">
      <c r="C9009"/>
      <c r="D9009"/>
    </row>
    <row r="9010" spans="3:4">
      <c r="C9010"/>
      <c r="D9010"/>
    </row>
    <row r="9011" spans="3:4">
      <c r="C9011"/>
      <c r="D9011"/>
    </row>
    <row r="9012" spans="3:4">
      <c r="C9012"/>
      <c r="D9012"/>
    </row>
    <row r="9013" spans="3:4">
      <c r="C9013"/>
      <c r="D9013"/>
    </row>
    <row r="9014" spans="3:4">
      <c r="C9014"/>
      <c r="D9014"/>
    </row>
    <row r="9015" spans="3:4">
      <c r="C9015"/>
      <c r="D9015"/>
    </row>
    <row r="9016" spans="3:4">
      <c r="C9016"/>
      <c r="D9016"/>
    </row>
    <row r="9017" spans="3:4">
      <c r="C9017"/>
      <c r="D9017"/>
    </row>
    <row r="9018" spans="3:4">
      <c r="C9018"/>
      <c r="D9018"/>
    </row>
    <row r="9019" spans="3:4">
      <c r="C9019"/>
      <c r="D9019"/>
    </row>
    <row r="9020" spans="3:4">
      <c r="C9020"/>
      <c r="D9020"/>
    </row>
    <row r="9021" spans="3:4">
      <c r="C9021"/>
      <c r="D9021"/>
    </row>
    <row r="9022" spans="3:4">
      <c r="C9022"/>
      <c r="D9022"/>
    </row>
    <row r="9023" spans="3:4">
      <c r="C9023"/>
      <c r="D9023"/>
    </row>
    <row r="9024" spans="3:4">
      <c r="C9024"/>
      <c r="D9024"/>
    </row>
    <row r="9025" spans="3:4">
      <c r="C9025"/>
      <c r="D9025"/>
    </row>
    <row r="9026" spans="3:4">
      <c r="C9026"/>
      <c r="D9026"/>
    </row>
    <row r="9027" spans="3:4">
      <c r="C9027"/>
      <c r="D9027"/>
    </row>
    <row r="9028" spans="3:4">
      <c r="C9028"/>
      <c r="D9028"/>
    </row>
    <row r="9029" spans="3:4">
      <c r="C9029"/>
      <c r="D9029"/>
    </row>
    <row r="9030" spans="3:4">
      <c r="C9030"/>
      <c r="D9030"/>
    </row>
    <row r="9031" spans="3:4">
      <c r="C9031"/>
      <c r="D9031"/>
    </row>
    <row r="9032" spans="3:4">
      <c r="C9032"/>
      <c r="D9032"/>
    </row>
    <row r="9033" spans="3:4">
      <c r="C9033"/>
      <c r="D9033"/>
    </row>
    <row r="9034" spans="3:4">
      <c r="C9034"/>
      <c r="D9034"/>
    </row>
    <row r="9035" spans="3:4">
      <c r="C9035"/>
      <c r="D9035"/>
    </row>
    <row r="9036" spans="3:4">
      <c r="C9036"/>
      <c r="D9036"/>
    </row>
    <row r="9037" spans="3:4">
      <c r="C9037"/>
      <c r="D9037"/>
    </row>
    <row r="9038" spans="3:4">
      <c r="C9038"/>
      <c r="D9038"/>
    </row>
    <row r="9039" spans="3:4">
      <c r="C9039"/>
      <c r="D9039"/>
    </row>
    <row r="9040" spans="3:4">
      <c r="C9040"/>
      <c r="D9040"/>
    </row>
    <row r="9041" spans="3:4">
      <c r="C9041"/>
      <c r="D9041"/>
    </row>
    <row r="9042" spans="3:4">
      <c r="C9042"/>
      <c r="D9042"/>
    </row>
    <row r="9043" spans="3:4">
      <c r="C9043"/>
      <c r="D9043"/>
    </row>
    <row r="9044" spans="3:4">
      <c r="C9044"/>
      <c r="D9044"/>
    </row>
    <row r="9045" spans="3:4">
      <c r="C9045"/>
      <c r="D9045"/>
    </row>
    <row r="9046" spans="3:4">
      <c r="C9046"/>
      <c r="D9046"/>
    </row>
    <row r="9047" spans="3:4">
      <c r="C9047"/>
      <c r="D9047"/>
    </row>
    <row r="9048" spans="3:4">
      <c r="C9048"/>
      <c r="D9048"/>
    </row>
    <row r="9049" spans="3:4">
      <c r="C9049"/>
      <c r="D9049"/>
    </row>
    <row r="9050" spans="3:4">
      <c r="C9050"/>
      <c r="D9050"/>
    </row>
    <row r="9051" spans="3:4">
      <c r="C9051"/>
      <c r="D9051"/>
    </row>
    <row r="9052" spans="3:4">
      <c r="C9052"/>
      <c r="D9052"/>
    </row>
    <row r="9053" spans="3:4">
      <c r="C9053"/>
      <c r="D9053"/>
    </row>
    <row r="9054" spans="3:4">
      <c r="C9054"/>
      <c r="D9054"/>
    </row>
    <row r="9055" spans="3:4">
      <c r="C9055"/>
      <c r="D9055"/>
    </row>
    <row r="9056" spans="3:4">
      <c r="C9056"/>
      <c r="D9056"/>
    </row>
    <row r="9057" spans="3:4">
      <c r="C9057"/>
      <c r="D9057"/>
    </row>
    <row r="9058" spans="3:4">
      <c r="C9058"/>
      <c r="D9058"/>
    </row>
    <row r="9059" spans="3:4">
      <c r="C9059"/>
      <c r="D9059"/>
    </row>
    <row r="9060" spans="3:4">
      <c r="C9060"/>
      <c r="D9060"/>
    </row>
    <row r="9061" spans="3:4">
      <c r="C9061"/>
      <c r="D9061"/>
    </row>
    <row r="9062" spans="3:4">
      <c r="C9062"/>
      <c r="D9062"/>
    </row>
    <row r="9063" spans="3:4">
      <c r="C9063"/>
      <c r="D9063"/>
    </row>
    <row r="9064" spans="3:4">
      <c r="C9064"/>
      <c r="D9064"/>
    </row>
    <row r="9065" spans="3:4">
      <c r="C9065"/>
      <c r="D9065"/>
    </row>
    <row r="9066" spans="3:4">
      <c r="C9066"/>
      <c r="D9066"/>
    </row>
    <row r="9067" spans="3:4">
      <c r="C9067"/>
      <c r="D9067"/>
    </row>
    <row r="9068" spans="3:4">
      <c r="C9068"/>
      <c r="D9068"/>
    </row>
    <row r="9069" spans="3:4">
      <c r="C9069"/>
      <c r="D9069"/>
    </row>
    <row r="9070" spans="3:4">
      <c r="C9070"/>
      <c r="D9070"/>
    </row>
    <row r="9071" spans="3:4">
      <c r="C9071"/>
      <c r="D9071"/>
    </row>
    <row r="9072" spans="3:4">
      <c r="C9072"/>
      <c r="D9072"/>
    </row>
    <row r="9073" spans="3:4">
      <c r="C9073"/>
      <c r="D9073"/>
    </row>
    <row r="9074" spans="3:4">
      <c r="C9074"/>
      <c r="D9074"/>
    </row>
    <row r="9075" spans="3:4">
      <c r="C9075"/>
      <c r="D9075"/>
    </row>
    <row r="9076" spans="3:4">
      <c r="C9076"/>
      <c r="D9076"/>
    </row>
    <row r="9077" spans="3:4">
      <c r="C9077"/>
      <c r="D9077"/>
    </row>
    <row r="9078" spans="3:4">
      <c r="C9078"/>
      <c r="D9078"/>
    </row>
    <row r="9079" spans="3:4">
      <c r="C9079"/>
      <c r="D9079"/>
    </row>
    <row r="9080" spans="3:4">
      <c r="C9080"/>
      <c r="D9080"/>
    </row>
    <row r="9081" spans="3:4">
      <c r="C9081"/>
      <c r="D9081"/>
    </row>
    <row r="9082" spans="3:4">
      <c r="C9082"/>
      <c r="D9082"/>
    </row>
    <row r="9083" spans="3:4">
      <c r="C9083"/>
      <c r="D9083"/>
    </row>
    <row r="9084" spans="3:4">
      <c r="C9084"/>
      <c r="D9084"/>
    </row>
    <row r="9085" spans="3:4">
      <c r="C9085"/>
      <c r="D9085"/>
    </row>
    <row r="9086" spans="3:4">
      <c r="C9086"/>
      <c r="D9086"/>
    </row>
    <row r="9087" spans="3:4">
      <c r="C9087"/>
      <c r="D9087"/>
    </row>
    <row r="9088" spans="3:4">
      <c r="C9088"/>
      <c r="D9088"/>
    </row>
    <row r="9089" spans="3:4">
      <c r="C9089"/>
      <c r="D9089"/>
    </row>
    <row r="9090" spans="3:4">
      <c r="C9090"/>
      <c r="D9090"/>
    </row>
    <row r="9091" spans="3:4">
      <c r="C9091"/>
      <c r="D9091"/>
    </row>
    <row r="9092" spans="3:4">
      <c r="C9092"/>
      <c r="D9092"/>
    </row>
    <row r="9093" spans="3:4">
      <c r="C9093"/>
      <c r="D9093"/>
    </row>
    <row r="9094" spans="3:4">
      <c r="C9094"/>
      <c r="D9094"/>
    </row>
    <row r="9095" spans="3:4">
      <c r="C9095"/>
      <c r="D9095"/>
    </row>
    <row r="9096" spans="3:4">
      <c r="C9096"/>
      <c r="D9096"/>
    </row>
    <row r="9097" spans="3:4">
      <c r="C9097"/>
      <c r="D9097"/>
    </row>
    <row r="9098" spans="3:4">
      <c r="C9098"/>
      <c r="D9098"/>
    </row>
    <row r="9099" spans="3:4">
      <c r="C9099"/>
      <c r="D9099"/>
    </row>
    <row r="9100" spans="3:4">
      <c r="C9100"/>
      <c r="D9100"/>
    </row>
    <row r="9101" spans="3:4">
      <c r="C9101"/>
      <c r="D9101"/>
    </row>
    <row r="9102" spans="3:4">
      <c r="C9102"/>
      <c r="D9102"/>
    </row>
    <row r="9103" spans="3:4">
      <c r="C9103"/>
      <c r="D9103"/>
    </row>
    <row r="9104" spans="3:4">
      <c r="C9104"/>
      <c r="D9104"/>
    </row>
    <row r="9105" spans="3:4">
      <c r="C9105"/>
      <c r="D9105"/>
    </row>
    <row r="9106" spans="3:4">
      <c r="C9106"/>
      <c r="D9106"/>
    </row>
    <row r="9107" spans="3:4">
      <c r="C9107"/>
      <c r="D9107"/>
    </row>
    <row r="9108" spans="3:4">
      <c r="C9108"/>
      <c r="D9108"/>
    </row>
    <row r="9109" spans="3:4">
      <c r="C9109"/>
      <c r="D9109"/>
    </row>
    <row r="9110" spans="3:4">
      <c r="C9110"/>
      <c r="D9110"/>
    </row>
    <row r="9111" spans="3:4">
      <c r="C9111"/>
      <c r="D9111"/>
    </row>
    <row r="9112" spans="3:4">
      <c r="C9112"/>
      <c r="D9112"/>
    </row>
    <row r="9113" spans="3:4">
      <c r="C9113"/>
      <c r="D9113"/>
    </row>
    <row r="9114" spans="3:4">
      <c r="C9114"/>
      <c r="D9114"/>
    </row>
    <row r="9115" spans="3:4">
      <c r="C9115"/>
      <c r="D9115"/>
    </row>
    <row r="9116" spans="3:4">
      <c r="C9116"/>
      <c r="D9116"/>
    </row>
    <row r="9117" spans="3:4">
      <c r="C9117"/>
      <c r="D9117"/>
    </row>
    <row r="9118" spans="3:4">
      <c r="C9118"/>
      <c r="D9118"/>
    </row>
    <row r="9119" spans="3:4">
      <c r="C9119"/>
      <c r="D9119"/>
    </row>
    <row r="9120" spans="3:4">
      <c r="C9120"/>
      <c r="D9120"/>
    </row>
    <row r="9121" spans="3:4">
      <c r="C9121"/>
      <c r="D9121"/>
    </row>
    <row r="9122" spans="3:4">
      <c r="C9122"/>
      <c r="D9122"/>
    </row>
    <row r="9123" spans="3:4">
      <c r="C9123"/>
      <c r="D9123"/>
    </row>
    <row r="9124" spans="3:4">
      <c r="C9124"/>
      <c r="D9124"/>
    </row>
    <row r="9125" spans="3:4">
      <c r="C9125"/>
      <c r="D9125"/>
    </row>
    <row r="9126" spans="3:4">
      <c r="C9126"/>
      <c r="D9126"/>
    </row>
    <row r="9127" spans="3:4">
      <c r="C9127"/>
      <c r="D9127"/>
    </row>
    <row r="9128" spans="3:4">
      <c r="C9128"/>
      <c r="D9128"/>
    </row>
    <row r="9129" spans="3:4">
      <c r="C9129"/>
      <c r="D9129"/>
    </row>
    <row r="9130" spans="3:4">
      <c r="C9130"/>
      <c r="D9130"/>
    </row>
    <row r="9131" spans="3:4">
      <c r="C9131"/>
      <c r="D9131"/>
    </row>
    <row r="9132" spans="3:4">
      <c r="C9132"/>
      <c r="D9132"/>
    </row>
    <row r="9133" spans="3:4">
      <c r="C9133"/>
      <c r="D9133"/>
    </row>
    <row r="9134" spans="3:4">
      <c r="C9134"/>
      <c r="D9134"/>
    </row>
    <row r="9135" spans="3:4">
      <c r="C9135"/>
      <c r="D9135"/>
    </row>
    <row r="9136" spans="3:4">
      <c r="C9136"/>
      <c r="D9136"/>
    </row>
    <row r="9137" spans="3:4">
      <c r="C9137"/>
      <c r="D9137"/>
    </row>
    <row r="9138" spans="3:4">
      <c r="C9138"/>
      <c r="D9138"/>
    </row>
    <row r="9139" spans="3:4">
      <c r="C9139"/>
      <c r="D9139"/>
    </row>
    <row r="9140" spans="3:4">
      <c r="C9140"/>
      <c r="D9140"/>
    </row>
    <row r="9141" spans="3:4">
      <c r="C9141"/>
      <c r="D9141"/>
    </row>
    <row r="9142" spans="3:4">
      <c r="C9142"/>
      <c r="D9142"/>
    </row>
    <row r="9143" spans="3:4">
      <c r="C9143"/>
      <c r="D9143"/>
    </row>
    <row r="9144" spans="3:4">
      <c r="C9144"/>
      <c r="D9144"/>
    </row>
    <row r="9145" spans="3:4">
      <c r="C9145"/>
      <c r="D9145"/>
    </row>
    <row r="9146" spans="3:4">
      <c r="C9146"/>
      <c r="D9146"/>
    </row>
    <row r="9147" spans="3:4">
      <c r="C9147"/>
      <c r="D9147"/>
    </row>
    <row r="9148" spans="3:4">
      <c r="C9148"/>
      <c r="D9148"/>
    </row>
    <row r="9149" spans="3:4">
      <c r="C9149"/>
      <c r="D9149"/>
    </row>
    <row r="9150" spans="3:4">
      <c r="C9150"/>
      <c r="D9150"/>
    </row>
    <row r="9151" spans="3:4">
      <c r="C9151"/>
      <c r="D9151"/>
    </row>
    <row r="9152" spans="3:4">
      <c r="C9152"/>
      <c r="D9152"/>
    </row>
    <row r="9153" spans="3:4">
      <c r="C9153"/>
      <c r="D9153"/>
    </row>
    <row r="9154" spans="3:4">
      <c r="C9154"/>
      <c r="D9154"/>
    </row>
    <row r="9155" spans="3:4">
      <c r="C9155"/>
      <c r="D9155"/>
    </row>
    <row r="9156" spans="3:4">
      <c r="C9156"/>
      <c r="D9156"/>
    </row>
    <row r="9157" spans="3:4">
      <c r="C9157"/>
      <c r="D9157"/>
    </row>
    <row r="9158" spans="3:4">
      <c r="C9158"/>
      <c r="D9158"/>
    </row>
    <row r="9159" spans="3:4">
      <c r="C9159"/>
      <c r="D9159"/>
    </row>
    <row r="9160" spans="3:4">
      <c r="C9160"/>
      <c r="D9160"/>
    </row>
    <row r="9161" spans="3:4">
      <c r="C9161"/>
      <c r="D9161"/>
    </row>
    <row r="9162" spans="3:4">
      <c r="C9162"/>
      <c r="D9162"/>
    </row>
    <row r="9163" spans="3:4">
      <c r="C9163"/>
      <c r="D9163"/>
    </row>
    <row r="9164" spans="3:4">
      <c r="C9164"/>
      <c r="D9164"/>
    </row>
    <row r="9165" spans="3:4">
      <c r="C9165"/>
      <c r="D9165"/>
    </row>
    <row r="9166" spans="3:4">
      <c r="C9166"/>
      <c r="D9166"/>
    </row>
    <row r="9167" spans="3:4">
      <c r="C9167"/>
      <c r="D9167"/>
    </row>
    <row r="9168" spans="3:4">
      <c r="C9168"/>
      <c r="D9168"/>
    </row>
    <row r="9169" spans="3:4">
      <c r="C9169"/>
      <c r="D9169"/>
    </row>
    <row r="9170" spans="3:4">
      <c r="C9170"/>
      <c r="D9170"/>
    </row>
    <row r="9171" spans="3:4">
      <c r="C9171"/>
      <c r="D9171"/>
    </row>
    <row r="9172" spans="3:4">
      <c r="C9172"/>
      <c r="D9172"/>
    </row>
    <row r="9173" spans="3:4">
      <c r="C9173"/>
      <c r="D9173"/>
    </row>
    <row r="9174" spans="3:4">
      <c r="C9174"/>
      <c r="D9174"/>
    </row>
    <row r="9175" spans="3:4">
      <c r="C9175"/>
      <c r="D9175"/>
    </row>
    <row r="9176" spans="3:4">
      <c r="C9176"/>
      <c r="D9176"/>
    </row>
    <row r="9177" spans="3:4">
      <c r="C9177"/>
      <c r="D9177"/>
    </row>
    <row r="9178" spans="3:4">
      <c r="C9178"/>
      <c r="D9178"/>
    </row>
    <row r="9179" spans="3:4">
      <c r="C9179"/>
      <c r="D9179"/>
    </row>
    <row r="9180" spans="3:4">
      <c r="C9180"/>
      <c r="D9180"/>
    </row>
    <row r="9181" spans="3:4">
      <c r="C9181"/>
      <c r="D9181"/>
    </row>
    <row r="9182" spans="3:4">
      <c r="C9182"/>
      <c r="D9182"/>
    </row>
    <row r="9183" spans="3:4">
      <c r="C9183"/>
      <c r="D9183"/>
    </row>
    <row r="9184" spans="3:4">
      <c r="C9184"/>
      <c r="D9184"/>
    </row>
    <row r="9185" spans="3:4">
      <c r="C9185"/>
      <c r="D9185"/>
    </row>
    <row r="9186" spans="3:4">
      <c r="C9186"/>
      <c r="D9186"/>
    </row>
    <row r="9187" spans="3:4">
      <c r="C9187"/>
      <c r="D9187"/>
    </row>
    <row r="9188" spans="3:4">
      <c r="C9188"/>
      <c r="D9188"/>
    </row>
    <row r="9189" spans="3:4">
      <c r="C9189"/>
      <c r="D9189"/>
    </row>
    <row r="9190" spans="3:4">
      <c r="C9190"/>
      <c r="D9190"/>
    </row>
    <row r="9191" spans="3:4">
      <c r="C9191"/>
      <c r="D9191"/>
    </row>
    <row r="9192" spans="3:4">
      <c r="C9192"/>
      <c r="D9192"/>
    </row>
    <row r="9193" spans="3:4">
      <c r="C9193"/>
      <c r="D9193"/>
    </row>
    <row r="9194" spans="3:4">
      <c r="C9194"/>
      <c r="D9194"/>
    </row>
    <row r="9195" spans="3:4">
      <c r="C9195"/>
      <c r="D9195"/>
    </row>
    <row r="9196" spans="3:4">
      <c r="C9196"/>
      <c r="D9196"/>
    </row>
    <row r="9197" spans="3:4">
      <c r="C9197"/>
      <c r="D9197"/>
    </row>
    <row r="9198" spans="3:4">
      <c r="C9198"/>
      <c r="D9198"/>
    </row>
    <row r="9199" spans="3:4">
      <c r="C9199"/>
      <c r="D9199"/>
    </row>
    <row r="9200" spans="3:4">
      <c r="C9200"/>
      <c r="D9200"/>
    </row>
    <row r="9201" spans="3:4">
      <c r="C9201"/>
      <c r="D9201"/>
    </row>
    <row r="9202" spans="3:4">
      <c r="C9202"/>
      <c r="D9202"/>
    </row>
    <row r="9203" spans="3:4">
      <c r="C9203"/>
      <c r="D9203"/>
    </row>
    <row r="9204" spans="3:4">
      <c r="C9204"/>
      <c r="D9204"/>
    </row>
    <row r="9205" spans="3:4">
      <c r="C9205"/>
      <c r="D9205"/>
    </row>
    <row r="9206" spans="3:4">
      <c r="C9206"/>
      <c r="D9206"/>
    </row>
    <row r="9207" spans="3:4">
      <c r="C9207"/>
      <c r="D9207"/>
    </row>
    <row r="9208" spans="3:4">
      <c r="C9208"/>
      <c r="D9208"/>
    </row>
    <row r="9209" spans="3:4">
      <c r="C9209"/>
      <c r="D9209"/>
    </row>
    <row r="9210" spans="3:4">
      <c r="C9210"/>
      <c r="D9210"/>
    </row>
    <row r="9211" spans="3:4">
      <c r="C9211"/>
      <c r="D9211"/>
    </row>
    <row r="9212" spans="3:4">
      <c r="C9212"/>
      <c r="D9212"/>
    </row>
    <row r="9213" spans="3:4">
      <c r="C9213"/>
      <c r="D9213"/>
    </row>
    <row r="9214" spans="3:4">
      <c r="C9214"/>
      <c r="D9214"/>
    </row>
    <row r="9215" spans="3:4">
      <c r="C9215"/>
      <c r="D9215"/>
    </row>
    <row r="9216" spans="3:4">
      <c r="C9216"/>
      <c r="D9216"/>
    </row>
    <row r="9217" spans="3:4">
      <c r="C9217"/>
      <c r="D9217"/>
    </row>
    <row r="9218" spans="3:4">
      <c r="C9218"/>
      <c r="D9218"/>
    </row>
    <row r="9219" spans="3:4">
      <c r="C9219"/>
      <c r="D9219"/>
    </row>
    <row r="9220" spans="3:4">
      <c r="C9220"/>
      <c r="D9220"/>
    </row>
    <row r="9221" spans="3:4">
      <c r="C9221"/>
      <c r="D9221"/>
    </row>
    <row r="9222" spans="3:4">
      <c r="C9222"/>
      <c r="D9222"/>
    </row>
    <row r="9223" spans="3:4">
      <c r="C9223"/>
      <c r="D9223"/>
    </row>
    <row r="9224" spans="3:4">
      <c r="C9224"/>
      <c r="D9224"/>
    </row>
    <row r="9225" spans="3:4">
      <c r="C9225"/>
      <c r="D9225"/>
    </row>
    <row r="9226" spans="3:4">
      <c r="C9226"/>
      <c r="D9226"/>
    </row>
    <row r="9227" spans="3:4">
      <c r="C9227"/>
      <c r="D9227"/>
    </row>
    <row r="9228" spans="3:4">
      <c r="C9228"/>
      <c r="D9228"/>
    </row>
    <row r="9229" spans="3:4">
      <c r="C9229"/>
      <c r="D9229"/>
    </row>
    <row r="9230" spans="3:4">
      <c r="C9230"/>
      <c r="D9230"/>
    </row>
    <row r="9231" spans="3:4">
      <c r="C9231"/>
      <c r="D9231"/>
    </row>
    <row r="9232" spans="3:4">
      <c r="C9232"/>
      <c r="D9232"/>
    </row>
    <row r="9233" spans="3:4">
      <c r="C9233"/>
      <c r="D9233"/>
    </row>
    <row r="9234" spans="3:4">
      <c r="C9234"/>
      <c r="D9234"/>
    </row>
    <row r="9235" spans="3:4">
      <c r="C9235"/>
      <c r="D9235"/>
    </row>
    <row r="9236" spans="3:4">
      <c r="C9236"/>
      <c r="D9236"/>
    </row>
    <row r="9237" spans="3:4">
      <c r="C9237"/>
      <c r="D9237"/>
    </row>
    <row r="9238" spans="3:4">
      <c r="C9238"/>
      <c r="D9238"/>
    </row>
    <row r="9239" spans="3:4">
      <c r="C9239"/>
      <c r="D9239"/>
    </row>
    <row r="9240" spans="3:4">
      <c r="C9240"/>
      <c r="D9240"/>
    </row>
    <row r="9241" spans="3:4">
      <c r="C9241"/>
      <c r="D9241"/>
    </row>
    <row r="9242" spans="3:4">
      <c r="C9242"/>
      <c r="D9242"/>
    </row>
    <row r="9243" spans="3:4">
      <c r="C9243"/>
      <c r="D9243"/>
    </row>
    <row r="9244" spans="3:4">
      <c r="C9244"/>
      <c r="D9244"/>
    </row>
    <row r="9245" spans="3:4">
      <c r="C9245"/>
      <c r="D9245"/>
    </row>
    <row r="9246" spans="3:4">
      <c r="C9246"/>
      <c r="D9246"/>
    </row>
    <row r="9247" spans="3:4">
      <c r="C9247"/>
      <c r="D9247"/>
    </row>
    <row r="9248" spans="3:4">
      <c r="C9248"/>
      <c r="D9248"/>
    </row>
    <row r="9249" spans="3:4">
      <c r="C9249"/>
      <c r="D9249"/>
    </row>
    <row r="9250" spans="3:4">
      <c r="C9250"/>
      <c r="D9250"/>
    </row>
    <row r="9251" spans="3:4">
      <c r="C9251"/>
      <c r="D9251"/>
    </row>
    <row r="9252" spans="3:4">
      <c r="C9252"/>
      <c r="D9252"/>
    </row>
    <row r="9253" spans="3:4">
      <c r="C9253"/>
      <c r="D9253"/>
    </row>
    <row r="9254" spans="3:4">
      <c r="C9254"/>
      <c r="D9254"/>
    </row>
    <row r="9255" spans="3:4">
      <c r="C9255"/>
      <c r="D9255"/>
    </row>
    <row r="9256" spans="3:4">
      <c r="C9256"/>
      <c r="D9256"/>
    </row>
    <row r="9257" spans="3:4">
      <c r="C9257"/>
      <c r="D9257"/>
    </row>
    <row r="9258" spans="3:4">
      <c r="C9258"/>
      <c r="D9258"/>
    </row>
    <row r="9259" spans="3:4">
      <c r="C9259"/>
      <c r="D9259"/>
    </row>
    <row r="9260" spans="3:4">
      <c r="C9260"/>
      <c r="D9260"/>
    </row>
    <row r="9261" spans="3:4">
      <c r="C9261"/>
      <c r="D9261"/>
    </row>
    <row r="9262" spans="3:4">
      <c r="C9262"/>
      <c r="D9262"/>
    </row>
    <row r="9263" spans="3:4">
      <c r="C9263"/>
      <c r="D9263"/>
    </row>
    <row r="9264" spans="3:4">
      <c r="C9264"/>
      <c r="D9264"/>
    </row>
    <row r="9265" spans="3:4">
      <c r="C9265"/>
      <c r="D9265"/>
    </row>
    <row r="9266" spans="3:4">
      <c r="C9266"/>
      <c r="D9266"/>
    </row>
    <row r="9267" spans="3:4">
      <c r="C9267"/>
      <c r="D9267"/>
    </row>
    <row r="9268" spans="3:4">
      <c r="C9268"/>
      <c r="D9268"/>
    </row>
    <row r="9269" spans="3:4">
      <c r="C9269"/>
      <c r="D9269"/>
    </row>
    <row r="9270" spans="3:4">
      <c r="C9270"/>
      <c r="D9270"/>
    </row>
    <row r="9271" spans="3:4">
      <c r="C9271"/>
      <c r="D9271"/>
    </row>
    <row r="9272" spans="3:4">
      <c r="C9272"/>
      <c r="D9272"/>
    </row>
    <row r="9273" spans="3:4">
      <c r="C9273"/>
      <c r="D9273"/>
    </row>
    <row r="9274" spans="3:4">
      <c r="C9274"/>
      <c r="D9274"/>
    </row>
    <row r="9275" spans="3:4">
      <c r="C9275"/>
      <c r="D9275"/>
    </row>
    <row r="9276" spans="3:4">
      <c r="C9276"/>
      <c r="D9276"/>
    </row>
    <row r="9277" spans="3:4">
      <c r="C9277"/>
      <c r="D9277"/>
    </row>
    <row r="9278" spans="3:4">
      <c r="C9278"/>
      <c r="D9278"/>
    </row>
    <row r="9279" spans="3:4">
      <c r="C9279"/>
      <c r="D9279"/>
    </row>
    <row r="9280" spans="3:4">
      <c r="C9280"/>
      <c r="D9280"/>
    </row>
    <row r="9281" spans="3:4">
      <c r="C9281"/>
      <c r="D9281"/>
    </row>
    <row r="9282" spans="3:4">
      <c r="C9282"/>
      <c r="D9282"/>
    </row>
    <row r="9283" spans="3:4">
      <c r="C9283"/>
      <c r="D9283"/>
    </row>
    <row r="9284" spans="3:4">
      <c r="C9284"/>
      <c r="D9284"/>
    </row>
    <row r="9285" spans="3:4">
      <c r="C9285"/>
      <c r="D9285"/>
    </row>
    <row r="9286" spans="3:4">
      <c r="C9286"/>
      <c r="D9286"/>
    </row>
    <row r="9287" spans="3:4">
      <c r="C9287"/>
      <c r="D9287"/>
    </row>
    <row r="9288" spans="3:4">
      <c r="C9288"/>
      <c r="D9288"/>
    </row>
    <row r="9289" spans="3:4">
      <c r="C9289"/>
      <c r="D9289"/>
    </row>
    <row r="9290" spans="3:4">
      <c r="C9290"/>
      <c r="D9290"/>
    </row>
    <row r="9291" spans="3:4">
      <c r="C9291"/>
      <c r="D9291"/>
    </row>
    <row r="9292" spans="3:4">
      <c r="C9292"/>
      <c r="D9292"/>
    </row>
    <row r="9293" spans="3:4">
      <c r="C9293"/>
      <c r="D9293"/>
    </row>
    <row r="9294" spans="3:4">
      <c r="C9294"/>
      <c r="D9294"/>
    </row>
    <row r="9295" spans="3:4">
      <c r="C9295"/>
      <c r="D9295"/>
    </row>
    <row r="9296" spans="3:4">
      <c r="C9296"/>
      <c r="D9296"/>
    </row>
    <row r="9297" spans="3:4">
      <c r="C9297"/>
      <c r="D9297"/>
    </row>
    <row r="9298" spans="3:4">
      <c r="C9298"/>
      <c r="D9298"/>
    </row>
    <row r="9299" spans="3:4">
      <c r="C9299"/>
      <c r="D9299"/>
    </row>
    <row r="9300" spans="3:4">
      <c r="C9300"/>
      <c r="D9300"/>
    </row>
    <row r="9301" spans="3:4">
      <c r="C9301"/>
      <c r="D9301"/>
    </row>
    <row r="9302" spans="3:4">
      <c r="C9302"/>
      <c r="D9302"/>
    </row>
    <row r="9303" spans="3:4">
      <c r="C9303"/>
      <c r="D9303"/>
    </row>
    <row r="9304" spans="3:4">
      <c r="C9304"/>
      <c r="D9304"/>
    </row>
    <row r="9305" spans="3:4">
      <c r="C9305"/>
      <c r="D9305"/>
    </row>
    <row r="9306" spans="3:4">
      <c r="C9306"/>
      <c r="D9306"/>
    </row>
    <row r="9307" spans="3:4">
      <c r="C9307"/>
      <c r="D9307"/>
    </row>
    <row r="9308" spans="3:4">
      <c r="C9308"/>
      <c r="D9308"/>
    </row>
    <row r="9309" spans="3:4">
      <c r="C9309"/>
      <c r="D9309"/>
    </row>
    <row r="9310" spans="3:4">
      <c r="C9310"/>
      <c r="D9310"/>
    </row>
    <row r="9311" spans="3:4">
      <c r="C9311"/>
      <c r="D9311"/>
    </row>
    <row r="9312" spans="3:4">
      <c r="C9312"/>
      <c r="D9312"/>
    </row>
    <row r="9313" spans="3:4">
      <c r="C9313"/>
      <c r="D9313"/>
    </row>
    <row r="9314" spans="3:4">
      <c r="C9314"/>
      <c r="D9314"/>
    </row>
    <row r="9315" spans="3:4">
      <c r="C9315"/>
      <c r="D9315"/>
    </row>
    <row r="9316" spans="3:4">
      <c r="C9316"/>
      <c r="D9316"/>
    </row>
    <row r="9317" spans="3:4">
      <c r="C9317"/>
      <c r="D9317"/>
    </row>
    <row r="9318" spans="3:4">
      <c r="C9318"/>
      <c r="D9318"/>
    </row>
    <row r="9319" spans="3:4">
      <c r="C9319"/>
      <c r="D9319"/>
    </row>
    <row r="9320" spans="3:4">
      <c r="C9320"/>
      <c r="D9320"/>
    </row>
    <row r="9321" spans="3:4">
      <c r="C9321"/>
      <c r="D9321"/>
    </row>
    <row r="9322" spans="3:4">
      <c r="C9322"/>
      <c r="D9322"/>
    </row>
    <row r="9323" spans="3:4">
      <c r="C9323"/>
      <c r="D9323"/>
    </row>
    <row r="9324" spans="3:4">
      <c r="C9324"/>
      <c r="D9324"/>
    </row>
    <row r="9325" spans="3:4">
      <c r="C9325"/>
      <c r="D9325"/>
    </row>
    <row r="9326" spans="3:4">
      <c r="C9326"/>
      <c r="D9326"/>
    </row>
    <row r="9327" spans="3:4">
      <c r="C9327"/>
      <c r="D9327"/>
    </row>
    <row r="9328" spans="3:4">
      <c r="C9328"/>
      <c r="D9328"/>
    </row>
    <row r="9329" spans="3:4">
      <c r="C9329"/>
      <c r="D9329"/>
    </row>
    <row r="9330" spans="3:4">
      <c r="C9330"/>
      <c r="D9330"/>
    </row>
    <row r="9331" spans="3:4">
      <c r="C9331"/>
      <c r="D9331"/>
    </row>
    <row r="9332" spans="3:4">
      <c r="C9332"/>
      <c r="D9332"/>
    </row>
    <row r="9333" spans="3:4">
      <c r="C9333"/>
      <c r="D9333"/>
    </row>
    <row r="9334" spans="3:4">
      <c r="C9334"/>
      <c r="D9334"/>
    </row>
    <row r="9335" spans="3:4">
      <c r="C9335"/>
      <c r="D9335"/>
    </row>
    <row r="9336" spans="3:4">
      <c r="C9336"/>
      <c r="D9336"/>
    </row>
    <row r="9337" spans="3:4">
      <c r="C9337"/>
      <c r="D9337"/>
    </row>
    <row r="9338" spans="3:4">
      <c r="C9338"/>
      <c r="D9338"/>
    </row>
    <row r="9339" spans="3:4">
      <c r="C9339"/>
      <c r="D9339"/>
    </row>
    <row r="9340" spans="3:4">
      <c r="C9340"/>
      <c r="D9340"/>
    </row>
    <row r="9341" spans="3:4">
      <c r="C9341"/>
      <c r="D9341"/>
    </row>
    <row r="9342" spans="3:4">
      <c r="C9342"/>
      <c r="D9342"/>
    </row>
    <row r="9343" spans="3:4">
      <c r="C9343"/>
      <c r="D9343"/>
    </row>
    <row r="9344" spans="3:4">
      <c r="C9344"/>
      <c r="D9344"/>
    </row>
    <row r="9345" spans="3:4">
      <c r="C9345"/>
      <c r="D9345"/>
    </row>
    <row r="9346" spans="3:4">
      <c r="C9346"/>
      <c r="D9346"/>
    </row>
    <row r="9347" spans="3:4">
      <c r="C9347"/>
      <c r="D9347"/>
    </row>
    <row r="9348" spans="3:4">
      <c r="C9348"/>
      <c r="D9348"/>
    </row>
    <row r="9349" spans="3:4">
      <c r="C9349"/>
      <c r="D9349"/>
    </row>
    <row r="9350" spans="3:4">
      <c r="C9350"/>
      <c r="D9350"/>
    </row>
    <row r="9351" spans="3:4">
      <c r="C9351"/>
      <c r="D9351"/>
    </row>
    <row r="9352" spans="3:4">
      <c r="C9352"/>
      <c r="D9352"/>
    </row>
    <row r="9353" spans="3:4">
      <c r="C9353"/>
      <c r="D9353"/>
    </row>
    <row r="9354" spans="3:4">
      <c r="C9354"/>
      <c r="D9354"/>
    </row>
    <row r="9355" spans="3:4">
      <c r="C9355"/>
      <c r="D9355"/>
    </row>
    <row r="9356" spans="3:4">
      <c r="C9356"/>
      <c r="D9356"/>
    </row>
    <row r="9357" spans="3:4">
      <c r="C9357"/>
      <c r="D9357"/>
    </row>
    <row r="9358" spans="3:4">
      <c r="C9358"/>
      <c r="D9358"/>
    </row>
    <row r="9359" spans="3:4">
      <c r="C9359"/>
      <c r="D9359"/>
    </row>
    <row r="9360" spans="3:4">
      <c r="C9360"/>
      <c r="D9360"/>
    </row>
    <row r="9361" spans="3:4">
      <c r="C9361"/>
      <c r="D9361"/>
    </row>
    <row r="9362" spans="3:4">
      <c r="C9362"/>
      <c r="D9362"/>
    </row>
    <row r="9363" spans="3:4">
      <c r="C9363"/>
      <c r="D9363"/>
    </row>
    <row r="9364" spans="3:4">
      <c r="C9364"/>
      <c r="D9364"/>
    </row>
    <row r="9365" spans="3:4">
      <c r="C9365"/>
      <c r="D9365"/>
    </row>
    <row r="9366" spans="3:4">
      <c r="C9366"/>
      <c r="D9366"/>
    </row>
    <row r="9367" spans="3:4">
      <c r="C9367"/>
      <c r="D9367"/>
    </row>
    <row r="9368" spans="3:4">
      <c r="C9368"/>
      <c r="D9368"/>
    </row>
    <row r="9369" spans="3:4">
      <c r="C9369"/>
      <c r="D9369"/>
    </row>
    <row r="9370" spans="3:4">
      <c r="C9370"/>
      <c r="D9370"/>
    </row>
    <row r="9371" spans="3:4">
      <c r="C9371"/>
      <c r="D9371"/>
    </row>
    <row r="9372" spans="3:4">
      <c r="C9372"/>
      <c r="D9372"/>
    </row>
    <row r="9373" spans="3:4">
      <c r="C9373"/>
      <c r="D9373"/>
    </row>
    <row r="9374" spans="3:4">
      <c r="C9374"/>
      <c r="D9374"/>
    </row>
    <row r="9375" spans="3:4">
      <c r="C9375"/>
      <c r="D9375"/>
    </row>
    <row r="9376" spans="3:4">
      <c r="C9376"/>
      <c r="D9376"/>
    </row>
    <row r="9377" spans="3:4">
      <c r="C9377"/>
      <c r="D9377"/>
    </row>
    <row r="9378" spans="3:4">
      <c r="C9378"/>
      <c r="D9378"/>
    </row>
    <row r="9379" spans="3:4">
      <c r="C9379"/>
      <c r="D9379"/>
    </row>
    <row r="9380" spans="3:4">
      <c r="C9380"/>
      <c r="D9380"/>
    </row>
    <row r="9381" spans="3:4">
      <c r="C9381"/>
      <c r="D9381"/>
    </row>
    <row r="9382" spans="3:4">
      <c r="C9382"/>
      <c r="D9382"/>
    </row>
    <row r="9383" spans="3:4">
      <c r="C9383"/>
      <c r="D9383"/>
    </row>
    <row r="9384" spans="3:4">
      <c r="C9384"/>
      <c r="D9384"/>
    </row>
    <row r="9385" spans="3:4">
      <c r="C9385"/>
      <c r="D9385"/>
    </row>
    <row r="9386" spans="3:4">
      <c r="C9386"/>
      <c r="D9386"/>
    </row>
    <row r="9387" spans="3:4">
      <c r="C9387"/>
      <c r="D9387"/>
    </row>
    <row r="9388" spans="3:4">
      <c r="C9388"/>
      <c r="D9388"/>
    </row>
    <row r="9389" spans="3:4">
      <c r="C9389"/>
      <c r="D9389"/>
    </row>
    <row r="9390" spans="3:4">
      <c r="C9390"/>
      <c r="D9390"/>
    </row>
    <row r="9391" spans="3:4">
      <c r="C9391"/>
      <c r="D9391"/>
    </row>
    <row r="9392" spans="3:4">
      <c r="C9392"/>
      <c r="D9392"/>
    </row>
    <row r="9393" spans="3:4">
      <c r="C9393"/>
      <c r="D9393"/>
    </row>
    <row r="9394" spans="3:4">
      <c r="C9394"/>
      <c r="D9394"/>
    </row>
    <row r="9395" spans="3:4">
      <c r="C9395"/>
      <c r="D9395"/>
    </row>
    <row r="9396" spans="3:4">
      <c r="C9396"/>
      <c r="D9396"/>
    </row>
    <row r="9397" spans="3:4">
      <c r="C9397"/>
      <c r="D9397"/>
    </row>
    <row r="9398" spans="3:4">
      <c r="C9398"/>
      <c r="D9398"/>
    </row>
    <row r="9399" spans="3:4">
      <c r="C9399"/>
      <c r="D9399"/>
    </row>
    <row r="9400" spans="3:4">
      <c r="C9400"/>
      <c r="D9400"/>
    </row>
    <row r="9401" spans="3:4">
      <c r="C9401"/>
      <c r="D9401"/>
    </row>
    <row r="9402" spans="3:4">
      <c r="C9402"/>
      <c r="D9402"/>
    </row>
    <row r="9403" spans="3:4">
      <c r="C9403"/>
      <c r="D9403"/>
    </row>
    <row r="9404" spans="3:4">
      <c r="C9404"/>
      <c r="D9404"/>
    </row>
    <row r="9405" spans="3:4">
      <c r="C9405"/>
      <c r="D9405"/>
    </row>
    <row r="9406" spans="3:4">
      <c r="C9406"/>
      <c r="D9406"/>
    </row>
    <row r="9407" spans="3:4">
      <c r="C9407"/>
      <c r="D9407"/>
    </row>
    <row r="9408" spans="3:4">
      <c r="C9408"/>
      <c r="D9408"/>
    </row>
    <row r="9409" spans="3:4">
      <c r="C9409"/>
      <c r="D9409"/>
    </row>
    <row r="9410" spans="3:4">
      <c r="C9410"/>
      <c r="D9410"/>
    </row>
    <row r="9411" spans="3:4">
      <c r="C9411"/>
      <c r="D9411"/>
    </row>
    <row r="9412" spans="3:4">
      <c r="C9412"/>
      <c r="D9412"/>
    </row>
    <row r="9413" spans="3:4">
      <c r="C9413"/>
      <c r="D9413"/>
    </row>
    <row r="9414" spans="3:4">
      <c r="C9414"/>
      <c r="D9414"/>
    </row>
    <row r="9415" spans="3:4">
      <c r="C9415"/>
      <c r="D9415"/>
    </row>
    <row r="9416" spans="3:4">
      <c r="C9416"/>
      <c r="D9416"/>
    </row>
    <row r="9417" spans="3:4">
      <c r="C9417"/>
      <c r="D9417"/>
    </row>
    <row r="9418" spans="3:4">
      <c r="C9418"/>
      <c r="D9418"/>
    </row>
    <row r="9419" spans="3:4">
      <c r="C9419"/>
      <c r="D9419"/>
    </row>
    <row r="9420" spans="3:4">
      <c r="C9420"/>
      <c r="D9420"/>
    </row>
    <row r="9421" spans="3:4">
      <c r="C9421"/>
      <c r="D9421"/>
    </row>
    <row r="9422" spans="3:4">
      <c r="C9422"/>
      <c r="D9422"/>
    </row>
    <row r="9423" spans="3:4">
      <c r="C9423"/>
      <c r="D9423"/>
    </row>
    <row r="9424" spans="3:4">
      <c r="C9424"/>
      <c r="D9424"/>
    </row>
    <row r="9425" spans="3:4">
      <c r="C9425"/>
      <c r="D9425"/>
    </row>
    <row r="9426" spans="3:4">
      <c r="C9426"/>
      <c r="D9426"/>
    </row>
    <row r="9427" spans="3:4">
      <c r="C9427"/>
      <c r="D9427"/>
    </row>
    <row r="9428" spans="3:4">
      <c r="C9428"/>
      <c r="D9428"/>
    </row>
    <row r="9429" spans="3:4">
      <c r="C9429"/>
      <c r="D9429"/>
    </row>
    <row r="9430" spans="3:4">
      <c r="C9430"/>
      <c r="D9430"/>
    </row>
    <row r="9431" spans="3:4">
      <c r="C9431"/>
      <c r="D9431"/>
    </row>
    <row r="9432" spans="3:4">
      <c r="C9432"/>
      <c r="D9432"/>
    </row>
    <row r="9433" spans="3:4">
      <c r="C9433"/>
      <c r="D9433"/>
    </row>
    <row r="9434" spans="3:4">
      <c r="C9434"/>
      <c r="D9434"/>
    </row>
    <row r="9435" spans="3:4">
      <c r="C9435"/>
      <c r="D9435"/>
    </row>
    <row r="9436" spans="3:4">
      <c r="C9436"/>
      <c r="D9436"/>
    </row>
    <row r="9437" spans="3:4">
      <c r="C9437"/>
      <c r="D9437"/>
    </row>
    <row r="9438" spans="3:4">
      <c r="C9438"/>
      <c r="D9438"/>
    </row>
    <row r="9439" spans="3:4">
      <c r="C9439"/>
      <c r="D9439"/>
    </row>
    <row r="9440" spans="3:4">
      <c r="C9440"/>
      <c r="D9440"/>
    </row>
    <row r="9441" spans="3:4">
      <c r="C9441"/>
      <c r="D9441"/>
    </row>
    <row r="9442" spans="3:4">
      <c r="C9442"/>
      <c r="D9442"/>
    </row>
    <row r="9443" spans="3:4">
      <c r="C9443"/>
      <c r="D9443"/>
    </row>
    <row r="9444" spans="3:4">
      <c r="C9444"/>
      <c r="D9444"/>
    </row>
    <row r="9445" spans="3:4">
      <c r="C9445"/>
      <c r="D9445"/>
    </row>
    <row r="9446" spans="3:4">
      <c r="C9446"/>
      <c r="D9446"/>
    </row>
    <row r="9447" spans="3:4">
      <c r="C9447"/>
      <c r="D9447"/>
    </row>
    <row r="9448" spans="3:4">
      <c r="C9448"/>
      <c r="D9448"/>
    </row>
    <row r="9449" spans="3:4">
      <c r="C9449"/>
      <c r="D9449"/>
    </row>
    <row r="9450" spans="3:4">
      <c r="C9450"/>
      <c r="D9450"/>
    </row>
    <row r="9451" spans="3:4">
      <c r="C9451"/>
      <c r="D9451"/>
    </row>
    <row r="9452" spans="3:4">
      <c r="C9452"/>
      <c r="D9452"/>
    </row>
    <row r="9453" spans="3:4">
      <c r="C9453"/>
      <c r="D9453"/>
    </row>
    <row r="9454" spans="3:4">
      <c r="C9454"/>
      <c r="D9454"/>
    </row>
    <row r="9455" spans="3:4">
      <c r="C9455"/>
      <c r="D9455"/>
    </row>
    <row r="9456" spans="3:4">
      <c r="C9456"/>
      <c r="D9456"/>
    </row>
    <row r="9457" spans="3:4">
      <c r="C9457"/>
      <c r="D9457"/>
    </row>
    <row r="9458" spans="3:4">
      <c r="C9458"/>
      <c r="D9458"/>
    </row>
    <row r="9459" spans="3:4">
      <c r="C9459"/>
      <c r="D9459"/>
    </row>
    <row r="9460" spans="3:4">
      <c r="C9460"/>
      <c r="D9460"/>
    </row>
    <row r="9461" spans="3:4">
      <c r="C9461"/>
      <c r="D9461"/>
    </row>
    <row r="9462" spans="3:4">
      <c r="C9462"/>
      <c r="D9462"/>
    </row>
    <row r="9463" spans="3:4">
      <c r="C9463"/>
      <c r="D9463"/>
    </row>
    <row r="9464" spans="3:4">
      <c r="C9464"/>
      <c r="D9464"/>
    </row>
    <row r="9465" spans="3:4">
      <c r="C9465"/>
      <c r="D9465"/>
    </row>
    <row r="9466" spans="3:4">
      <c r="C9466"/>
      <c r="D9466"/>
    </row>
    <row r="9467" spans="3:4">
      <c r="C9467"/>
      <c r="D9467"/>
    </row>
    <row r="9468" spans="3:4">
      <c r="C9468"/>
      <c r="D9468"/>
    </row>
    <row r="9469" spans="3:4">
      <c r="C9469"/>
      <c r="D9469"/>
    </row>
    <row r="9470" spans="3:4">
      <c r="C9470"/>
      <c r="D9470"/>
    </row>
    <row r="9471" spans="3:4">
      <c r="C9471"/>
      <c r="D9471"/>
    </row>
    <row r="9472" spans="3:4">
      <c r="C9472"/>
      <c r="D9472"/>
    </row>
    <row r="9473" spans="3:4">
      <c r="C9473"/>
      <c r="D9473"/>
    </row>
    <row r="9474" spans="3:4">
      <c r="C9474"/>
      <c r="D9474"/>
    </row>
    <row r="9475" spans="3:4">
      <c r="C9475"/>
      <c r="D9475"/>
    </row>
    <row r="9476" spans="3:4">
      <c r="C9476"/>
      <c r="D9476"/>
    </row>
    <row r="9477" spans="3:4">
      <c r="C9477"/>
      <c r="D9477"/>
    </row>
    <row r="9478" spans="3:4">
      <c r="C9478"/>
      <c r="D9478"/>
    </row>
    <row r="9479" spans="3:4">
      <c r="C9479"/>
      <c r="D9479"/>
    </row>
    <row r="9480" spans="3:4">
      <c r="C9480"/>
      <c r="D9480"/>
    </row>
    <row r="9481" spans="3:4">
      <c r="C9481"/>
      <c r="D9481"/>
    </row>
    <row r="9482" spans="3:4">
      <c r="C9482"/>
      <c r="D9482"/>
    </row>
    <row r="9483" spans="3:4">
      <c r="C9483"/>
      <c r="D9483"/>
    </row>
    <row r="9484" spans="3:4">
      <c r="C9484"/>
      <c r="D9484"/>
    </row>
    <row r="9485" spans="3:4">
      <c r="C9485"/>
      <c r="D9485"/>
    </row>
    <row r="9486" spans="3:4">
      <c r="C9486"/>
      <c r="D9486"/>
    </row>
    <row r="9487" spans="3:4">
      <c r="C9487"/>
      <c r="D9487"/>
    </row>
    <row r="9488" spans="3:4">
      <c r="C9488"/>
      <c r="D9488"/>
    </row>
    <row r="9489" spans="3:4">
      <c r="C9489"/>
      <c r="D9489"/>
    </row>
    <row r="9490" spans="3:4">
      <c r="C9490"/>
      <c r="D9490"/>
    </row>
    <row r="9491" spans="3:4">
      <c r="C9491"/>
      <c r="D9491"/>
    </row>
    <row r="9492" spans="3:4">
      <c r="C9492"/>
      <c r="D9492"/>
    </row>
    <row r="9493" spans="3:4">
      <c r="C9493"/>
      <c r="D9493"/>
    </row>
    <row r="9494" spans="3:4">
      <c r="C9494"/>
      <c r="D9494"/>
    </row>
    <row r="9495" spans="3:4">
      <c r="C9495"/>
      <c r="D9495"/>
    </row>
    <row r="9496" spans="3:4">
      <c r="C9496"/>
      <c r="D9496"/>
    </row>
    <row r="9497" spans="3:4">
      <c r="C9497"/>
      <c r="D9497"/>
    </row>
    <row r="9498" spans="3:4">
      <c r="C9498"/>
      <c r="D9498"/>
    </row>
    <row r="9499" spans="3:4">
      <c r="C9499"/>
      <c r="D9499"/>
    </row>
    <row r="9500" spans="3:4">
      <c r="C9500"/>
      <c r="D9500"/>
    </row>
    <row r="9501" spans="3:4">
      <c r="C9501"/>
      <c r="D9501"/>
    </row>
    <row r="9502" spans="3:4">
      <c r="C9502"/>
      <c r="D9502"/>
    </row>
    <row r="9503" spans="3:4">
      <c r="C9503"/>
      <c r="D9503"/>
    </row>
    <row r="9504" spans="3:4">
      <c r="C9504"/>
      <c r="D9504"/>
    </row>
    <row r="9505" spans="3:4">
      <c r="C9505"/>
      <c r="D9505"/>
    </row>
    <row r="9506" spans="3:4">
      <c r="C9506"/>
      <c r="D9506"/>
    </row>
    <row r="9507" spans="3:4">
      <c r="C9507"/>
      <c r="D9507"/>
    </row>
    <row r="9508" spans="3:4">
      <c r="C9508"/>
      <c r="D9508"/>
    </row>
    <row r="9509" spans="3:4">
      <c r="C9509"/>
      <c r="D9509"/>
    </row>
    <row r="9510" spans="3:4">
      <c r="C9510"/>
      <c r="D9510"/>
    </row>
    <row r="9511" spans="3:4">
      <c r="C9511"/>
      <c r="D9511"/>
    </row>
    <row r="9512" spans="3:4">
      <c r="C9512"/>
      <c r="D9512"/>
    </row>
    <row r="9513" spans="3:4">
      <c r="C9513"/>
      <c r="D9513"/>
    </row>
    <row r="9514" spans="3:4">
      <c r="C9514"/>
      <c r="D9514"/>
    </row>
    <row r="9515" spans="3:4">
      <c r="C9515"/>
      <c r="D9515"/>
    </row>
    <row r="9516" spans="3:4">
      <c r="C9516"/>
      <c r="D9516"/>
    </row>
    <row r="9517" spans="3:4">
      <c r="C9517"/>
      <c r="D9517"/>
    </row>
    <row r="9518" spans="3:4">
      <c r="C9518"/>
      <c r="D9518"/>
    </row>
    <row r="9519" spans="3:4">
      <c r="C9519"/>
      <c r="D9519"/>
    </row>
    <row r="9520" spans="3:4">
      <c r="C9520"/>
      <c r="D9520"/>
    </row>
    <row r="9521" spans="3:4">
      <c r="C9521"/>
      <c r="D9521"/>
    </row>
    <row r="9522" spans="3:4">
      <c r="C9522"/>
      <c r="D9522"/>
    </row>
    <row r="9523" spans="3:4">
      <c r="C9523"/>
      <c r="D9523"/>
    </row>
    <row r="9524" spans="3:4">
      <c r="C9524"/>
      <c r="D9524"/>
    </row>
    <row r="9525" spans="3:4">
      <c r="C9525"/>
      <c r="D9525"/>
    </row>
    <row r="9526" spans="3:4">
      <c r="C9526"/>
      <c r="D9526"/>
    </row>
    <row r="9527" spans="3:4">
      <c r="C9527"/>
      <c r="D9527"/>
    </row>
    <row r="9528" spans="3:4">
      <c r="C9528"/>
      <c r="D9528"/>
    </row>
    <row r="9529" spans="3:4">
      <c r="C9529"/>
      <c r="D9529"/>
    </row>
    <row r="9530" spans="3:4">
      <c r="C9530"/>
      <c r="D9530"/>
    </row>
    <row r="9531" spans="3:4">
      <c r="C9531"/>
      <c r="D9531"/>
    </row>
    <row r="9532" spans="3:4">
      <c r="C9532"/>
      <c r="D9532"/>
    </row>
    <row r="9533" spans="3:4">
      <c r="C9533"/>
      <c r="D9533"/>
    </row>
    <row r="9534" spans="3:4">
      <c r="C9534"/>
      <c r="D9534"/>
    </row>
    <row r="9535" spans="3:4">
      <c r="C9535"/>
      <c r="D9535"/>
    </row>
    <row r="9536" spans="3:4">
      <c r="C9536"/>
      <c r="D9536"/>
    </row>
    <row r="9537" spans="3:4">
      <c r="C9537"/>
      <c r="D9537"/>
    </row>
    <row r="9538" spans="3:4">
      <c r="C9538"/>
      <c r="D9538"/>
    </row>
    <row r="9539" spans="3:4">
      <c r="C9539"/>
      <c r="D9539"/>
    </row>
    <row r="9540" spans="3:4">
      <c r="C9540"/>
      <c r="D9540"/>
    </row>
    <row r="9541" spans="3:4">
      <c r="C9541"/>
      <c r="D9541"/>
    </row>
    <row r="9542" spans="3:4">
      <c r="C9542"/>
      <c r="D9542"/>
    </row>
    <row r="9543" spans="3:4">
      <c r="C9543"/>
      <c r="D9543"/>
    </row>
    <row r="9544" spans="3:4">
      <c r="C9544"/>
      <c r="D9544"/>
    </row>
    <row r="9545" spans="3:4">
      <c r="C9545"/>
      <c r="D9545"/>
    </row>
    <row r="9546" spans="3:4">
      <c r="C9546"/>
      <c r="D9546"/>
    </row>
    <row r="9547" spans="3:4">
      <c r="C9547"/>
      <c r="D9547"/>
    </row>
    <row r="9548" spans="3:4">
      <c r="C9548"/>
      <c r="D9548"/>
    </row>
    <row r="9549" spans="3:4">
      <c r="C9549"/>
      <c r="D9549"/>
    </row>
    <row r="9550" spans="3:4">
      <c r="C9550"/>
      <c r="D9550"/>
    </row>
    <row r="9551" spans="3:4">
      <c r="C9551"/>
      <c r="D9551"/>
    </row>
    <row r="9552" spans="3:4">
      <c r="C9552"/>
      <c r="D9552"/>
    </row>
    <row r="9553" spans="3:4">
      <c r="C9553"/>
      <c r="D9553"/>
    </row>
    <row r="9554" spans="3:4">
      <c r="C9554"/>
      <c r="D9554"/>
    </row>
    <row r="9555" spans="3:4">
      <c r="C9555"/>
      <c r="D9555"/>
    </row>
    <row r="9556" spans="3:4">
      <c r="C9556"/>
      <c r="D9556"/>
    </row>
    <row r="9557" spans="3:4">
      <c r="C9557"/>
      <c r="D9557"/>
    </row>
    <row r="9558" spans="3:4">
      <c r="C9558"/>
      <c r="D9558"/>
    </row>
    <row r="9559" spans="3:4">
      <c r="C9559"/>
      <c r="D9559"/>
    </row>
    <row r="9560" spans="3:4">
      <c r="C9560"/>
      <c r="D9560"/>
    </row>
    <row r="9561" spans="3:4">
      <c r="C9561"/>
      <c r="D9561"/>
    </row>
    <row r="9562" spans="3:4">
      <c r="C9562"/>
      <c r="D9562"/>
    </row>
    <row r="9563" spans="3:4">
      <c r="C9563"/>
      <c r="D9563"/>
    </row>
    <row r="9564" spans="3:4">
      <c r="C9564"/>
      <c r="D9564"/>
    </row>
    <row r="9565" spans="3:4">
      <c r="C9565"/>
      <c r="D9565"/>
    </row>
    <row r="9566" spans="3:4">
      <c r="C9566"/>
      <c r="D9566"/>
    </row>
    <row r="9567" spans="3:4">
      <c r="C9567"/>
      <c r="D9567"/>
    </row>
    <row r="9568" spans="3:4">
      <c r="C9568"/>
      <c r="D9568"/>
    </row>
    <row r="9569" spans="3:4">
      <c r="C9569"/>
      <c r="D9569"/>
    </row>
    <row r="9570" spans="3:4">
      <c r="C9570"/>
      <c r="D9570"/>
    </row>
    <row r="9571" spans="3:4">
      <c r="C9571"/>
      <c r="D9571"/>
    </row>
    <row r="9572" spans="3:4">
      <c r="C9572"/>
      <c r="D9572"/>
    </row>
    <row r="9573" spans="3:4">
      <c r="C9573"/>
      <c r="D9573"/>
    </row>
    <row r="9574" spans="3:4">
      <c r="C9574"/>
      <c r="D9574"/>
    </row>
    <row r="9575" spans="3:4">
      <c r="C9575"/>
      <c r="D9575"/>
    </row>
    <row r="9576" spans="3:4">
      <c r="C9576"/>
      <c r="D9576"/>
    </row>
    <row r="9577" spans="3:4">
      <c r="C9577"/>
      <c r="D9577"/>
    </row>
    <row r="9578" spans="3:4">
      <c r="C9578"/>
      <c r="D9578"/>
    </row>
    <row r="9579" spans="3:4">
      <c r="C9579"/>
      <c r="D9579"/>
    </row>
    <row r="9580" spans="3:4">
      <c r="C9580"/>
      <c r="D9580"/>
    </row>
    <row r="9581" spans="3:4">
      <c r="C9581"/>
      <c r="D9581"/>
    </row>
    <row r="9582" spans="3:4">
      <c r="C9582"/>
      <c r="D9582"/>
    </row>
    <row r="9583" spans="3:4">
      <c r="C9583"/>
      <c r="D9583"/>
    </row>
    <row r="9584" spans="3:4">
      <c r="C9584"/>
      <c r="D9584"/>
    </row>
    <row r="9585" spans="3:4">
      <c r="C9585"/>
      <c r="D9585"/>
    </row>
    <row r="9586" spans="3:4">
      <c r="C9586"/>
      <c r="D9586"/>
    </row>
    <row r="9587" spans="3:4">
      <c r="C9587"/>
      <c r="D9587"/>
    </row>
    <row r="9588" spans="3:4">
      <c r="C9588"/>
      <c r="D9588"/>
    </row>
    <row r="9589" spans="3:4">
      <c r="C9589"/>
      <c r="D9589"/>
    </row>
    <row r="9590" spans="3:4">
      <c r="C9590"/>
      <c r="D9590"/>
    </row>
    <row r="9591" spans="3:4">
      <c r="C9591"/>
      <c r="D9591"/>
    </row>
    <row r="9592" spans="3:4">
      <c r="C9592"/>
      <c r="D9592"/>
    </row>
    <row r="9593" spans="3:4">
      <c r="C9593"/>
      <c r="D9593"/>
    </row>
    <row r="9594" spans="3:4">
      <c r="C9594"/>
      <c r="D9594"/>
    </row>
    <row r="9595" spans="3:4">
      <c r="C9595"/>
      <c r="D9595"/>
    </row>
    <row r="9596" spans="3:4">
      <c r="C9596"/>
      <c r="D9596"/>
    </row>
    <row r="9597" spans="3:4">
      <c r="C9597"/>
      <c r="D9597"/>
    </row>
    <row r="9598" spans="3:4">
      <c r="C9598"/>
      <c r="D9598"/>
    </row>
    <row r="9599" spans="3:4">
      <c r="C9599"/>
      <c r="D9599"/>
    </row>
    <row r="9600" spans="3:4">
      <c r="C9600"/>
      <c r="D9600"/>
    </row>
    <row r="9601" spans="3:4">
      <c r="C9601"/>
      <c r="D9601"/>
    </row>
    <row r="9602" spans="3:4">
      <c r="C9602"/>
      <c r="D9602"/>
    </row>
    <row r="9603" spans="3:4">
      <c r="C9603"/>
      <c r="D9603"/>
    </row>
    <row r="9604" spans="3:4">
      <c r="C9604"/>
      <c r="D9604"/>
    </row>
    <row r="9605" spans="3:4">
      <c r="C9605"/>
      <c r="D9605"/>
    </row>
    <row r="9606" spans="3:4">
      <c r="C9606"/>
      <c r="D9606"/>
    </row>
    <row r="9607" spans="3:4">
      <c r="C9607"/>
      <c r="D9607"/>
    </row>
    <row r="9608" spans="3:4">
      <c r="C9608"/>
      <c r="D9608"/>
    </row>
    <row r="9609" spans="3:4">
      <c r="C9609"/>
      <c r="D9609"/>
    </row>
    <row r="9610" spans="3:4">
      <c r="C9610"/>
      <c r="D9610"/>
    </row>
    <row r="9611" spans="3:4">
      <c r="C9611"/>
      <c r="D9611"/>
    </row>
    <row r="9612" spans="3:4">
      <c r="C9612"/>
      <c r="D9612"/>
    </row>
    <row r="9613" spans="3:4">
      <c r="C9613"/>
      <c r="D9613"/>
    </row>
    <row r="9614" spans="3:4">
      <c r="C9614"/>
      <c r="D9614"/>
    </row>
    <row r="9615" spans="3:4">
      <c r="C9615"/>
      <c r="D9615"/>
    </row>
    <row r="9616" spans="3:4">
      <c r="C9616"/>
      <c r="D9616"/>
    </row>
    <row r="9617" spans="3:4">
      <c r="C9617"/>
      <c r="D9617"/>
    </row>
    <row r="9618" spans="3:4">
      <c r="C9618"/>
      <c r="D9618"/>
    </row>
    <row r="9619" spans="3:4">
      <c r="C9619"/>
      <c r="D9619"/>
    </row>
    <row r="9620" spans="3:4">
      <c r="C9620"/>
      <c r="D9620"/>
    </row>
    <row r="9621" spans="3:4">
      <c r="C9621"/>
      <c r="D9621"/>
    </row>
    <row r="9622" spans="3:4">
      <c r="C9622"/>
      <c r="D9622"/>
    </row>
    <row r="9623" spans="3:4">
      <c r="C9623"/>
      <c r="D9623"/>
    </row>
    <row r="9624" spans="3:4">
      <c r="C9624"/>
      <c r="D9624"/>
    </row>
    <row r="9625" spans="3:4">
      <c r="C9625"/>
      <c r="D9625"/>
    </row>
    <row r="9626" spans="3:4">
      <c r="C9626"/>
      <c r="D9626"/>
    </row>
    <row r="9627" spans="3:4">
      <c r="C9627"/>
      <c r="D9627"/>
    </row>
    <row r="9628" spans="3:4">
      <c r="C9628"/>
      <c r="D9628"/>
    </row>
    <row r="9629" spans="3:4">
      <c r="C9629"/>
      <c r="D9629"/>
    </row>
    <row r="9630" spans="3:4">
      <c r="C9630"/>
      <c r="D9630"/>
    </row>
    <row r="9631" spans="3:4">
      <c r="C9631"/>
      <c r="D9631"/>
    </row>
    <row r="9632" spans="3:4">
      <c r="C9632"/>
      <c r="D9632"/>
    </row>
    <row r="9633" spans="3:4">
      <c r="C9633"/>
      <c r="D9633"/>
    </row>
    <row r="9634" spans="3:4">
      <c r="C9634"/>
      <c r="D9634"/>
    </row>
    <row r="9635" spans="3:4">
      <c r="C9635"/>
      <c r="D9635"/>
    </row>
    <row r="9636" spans="3:4">
      <c r="C9636"/>
      <c r="D9636"/>
    </row>
    <row r="9637" spans="3:4">
      <c r="C9637"/>
      <c r="D9637"/>
    </row>
    <row r="9638" spans="3:4">
      <c r="C9638"/>
      <c r="D9638"/>
    </row>
    <row r="9639" spans="3:4">
      <c r="C9639"/>
      <c r="D9639"/>
    </row>
    <row r="9640" spans="3:4">
      <c r="C9640"/>
      <c r="D9640"/>
    </row>
    <row r="9641" spans="3:4">
      <c r="C9641"/>
      <c r="D9641"/>
    </row>
    <row r="9642" spans="3:4">
      <c r="C9642"/>
      <c r="D9642"/>
    </row>
    <row r="9643" spans="3:4">
      <c r="C9643"/>
      <c r="D9643"/>
    </row>
    <row r="9644" spans="3:4">
      <c r="C9644"/>
      <c r="D9644"/>
    </row>
    <row r="9645" spans="3:4">
      <c r="C9645"/>
      <c r="D9645"/>
    </row>
    <row r="9646" spans="3:4">
      <c r="C9646"/>
      <c r="D9646"/>
    </row>
    <row r="9647" spans="3:4">
      <c r="C9647"/>
      <c r="D9647"/>
    </row>
    <row r="9648" spans="3:4">
      <c r="C9648"/>
      <c r="D9648"/>
    </row>
    <row r="9649" spans="3:4">
      <c r="C9649"/>
      <c r="D9649"/>
    </row>
    <row r="9650" spans="3:4">
      <c r="C9650"/>
      <c r="D9650"/>
    </row>
    <row r="9651" spans="3:4">
      <c r="C9651"/>
      <c r="D9651"/>
    </row>
    <row r="9652" spans="3:4">
      <c r="C9652"/>
      <c r="D9652"/>
    </row>
    <row r="9653" spans="3:4">
      <c r="C9653"/>
      <c r="D9653"/>
    </row>
    <row r="9654" spans="3:4">
      <c r="C9654"/>
      <c r="D9654"/>
    </row>
    <row r="9655" spans="3:4">
      <c r="C9655"/>
      <c r="D9655"/>
    </row>
    <row r="9656" spans="3:4">
      <c r="C9656"/>
      <c r="D9656"/>
    </row>
    <row r="9657" spans="3:4">
      <c r="C9657"/>
      <c r="D9657"/>
    </row>
    <row r="9658" spans="3:4">
      <c r="C9658"/>
      <c r="D9658"/>
    </row>
    <row r="9659" spans="3:4">
      <c r="C9659"/>
      <c r="D9659"/>
    </row>
    <row r="9660" spans="3:4">
      <c r="C9660"/>
      <c r="D9660"/>
    </row>
    <row r="9661" spans="3:4">
      <c r="C9661"/>
      <c r="D9661"/>
    </row>
    <row r="9662" spans="3:4">
      <c r="C9662"/>
      <c r="D9662"/>
    </row>
    <row r="9663" spans="3:4">
      <c r="C9663"/>
      <c r="D9663"/>
    </row>
    <row r="9664" spans="3:4">
      <c r="C9664"/>
      <c r="D9664"/>
    </row>
    <row r="9665" spans="3:4">
      <c r="C9665"/>
      <c r="D9665"/>
    </row>
    <row r="9666" spans="3:4">
      <c r="C9666"/>
      <c r="D9666"/>
    </row>
    <row r="9667" spans="3:4">
      <c r="C9667"/>
      <c r="D9667"/>
    </row>
    <row r="9668" spans="3:4">
      <c r="C9668"/>
      <c r="D9668"/>
    </row>
    <row r="9669" spans="3:4">
      <c r="C9669"/>
      <c r="D9669"/>
    </row>
    <row r="9670" spans="3:4">
      <c r="C9670"/>
      <c r="D9670"/>
    </row>
    <row r="9671" spans="3:4">
      <c r="C9671"/>
      <c r="D9671"/>
    </row>
    <row r="9672" spans="3:4">
      <c r="C9672"/>
      <c r="D9672"/>
    </row>
    <row r="9673" spans="3:4">
      <c r="C9673"/>
      <c r="D9673"/>
    </row>
    <row r="9674" spans="3:4">
      <c r="C9674"/>
      <c r="D9674"/>
    </row>
    <row r="9675" spans="3:4">
      <c r="C9675"/>
      <c r="D9675"/>
    </row>
    <row r="9676" spans="3:4">
      <c r="C9676"/>
      <c r="D9676"/>
    </row>
    <row r="9677" spans="3:4">
      <c r="C9677"/>
      <c r="D9677"/>
    </row>
    <row r="9678" spans="3:4">
      <c r="C9678"/>
      <c r="D9678"/>
    </row>
    <row r="9679" spans="3:4">
      <c r="C9679"/>
      <c r="D9679"/>
    </row>
    <row r="9680" spans="3:4">
      <c r="C9680"/>
      <c r="D9680"/>
    </row>
    <row r="9681" spans="3:4">
      <c r="C9681"/>
      <c r="D9681"/>
    </row>
    <row r="9682" spans="3:4">
      <c r="C9682"/>
      <c r="D9682"/>
    </row>
    <row r="9683" spans="3:4">
      <c r="C9683"/>
      <c r="D9683"/>
    </row>
    <row r="9684" spans="3:4">
      <c r="C9684"/>
      <c r="D9684"/>
    </row>
    <row r="9685" spans="3:4">
      <c r="C9685"/>
      <c r="D9685"/>
    </row>
    <row r="9686" spans="3:4">
      <c r="C9686"/>
      <c r="D9686"/>
    </row>
    <row r="9687" spans="3:4">
      <c r="C9687"/>
      <c r="D9687"/>
    </row>
    <row r="9688" spans="3:4">
      <c r="C9688"/>
      <c r="D9688"/>
    </row>
    <row r="9689" spans="3:4">
      <c r="C9689"/>
      <c r="D9689"/>
    </row>
    <row r="9690" spans="3:4">
      <c r="C9690"/>
      <c r="D9690"/>
    </row>
    <row r="9691" spans="3:4">
      <c r="C9691"/>
      <c r="D9691"/>
    </row>
    <row r="9692" spans="3:4">
      <c r="C9692"/>
      <c r="D9692"/>
    </row>
    <row r="9693" spans="3:4">
      <c r="C9693"/>
      <c r="D9693"/>
    </row>
    <row r="9694" spans="3:4">
      <c r="C9694"/>
      <c r="D9694"/>
    </row>
    <row r="9695" spans="3:4">
      <c r="C9695"/>
      <c r="D9695"/>
    </row>
    <row r="9696" spans="3:4">
      <c r="C9696"/>
      <c r="D9696"/>
    </row>
    <row r="9697" spans="3:4">
      <c r="C9697"/>
      <c r="D9697"/>
    </row>
    <row r="9698" spans="3:4">
      <c r="C9698"/>
      <c r="D9698"/>
    </row>
    <row r="9699" spans="3:4">
      <c r="C9699"/>
      <c r="D9699"/>
    </row>
    <row r="9700" spans="3:4">
      <c r="C9700"/>
      <c r="D9700"/>
    </row>
    <row r="9701" spans="3:4">
      <c r="C9701"/>
      <c r="D9701"/>
    </row>
    <row r="9702" spans="3:4">
      <c r="C9702"/>
      <c r="D9702"/>
    </row>
    <row r="9703" spans="3:4">
      <c r="C9703"/>
      <c r="D9703"/>
    </row>
    <row r="9704" spans="3:4">
      <c r="C9704"/>
      <c r="D9704"/>
    </row>
    <row r="9705" spans="3:4">
      <c r="C9705"/>
      <c r="D9705"/>
    </row>
    <row r="9706" spans="3:4">
      <c r="C9706"/>
      <c r="D9706"/>
    </row>
    <row r="9707" spans="3:4">
      <c r="C9707"/>
      <c r="D9707"/>
    </row>
    <row r="9708" spans="3:4">
      <c r="C9708"/>
      <c r="D9708"/>
    </row>
    <row r="9709" spans="3:4">
      <c r="C9709"/>
      <c r="D9709"/>
    </row>
    <row r="9710" spans="3:4">
      <c r="C9710"/>
      <c r="D9710"/>
    </row>
    <row r="9711" spans="3:4">
      <c r="C9711"/>
      <c r="D9711"/>
    </row>
    <row r="9712" spans="3:4">
      <c r="C9712"/>
      <c r="D9712"/>
    </row>
    <row r="9713" spans="3:4">
      <c r="C9713"/>
      <c r="D9713"/>
    </row>
    <row r="9714" spans="3:4">
      <c r="C9714"/>
      <c r="D9714"/>
    </row>
    <row r="9715" spans="3:4">
      <c r="C9715"/>
      <c r="D9715"/>
    </row>
    <row r="9716" spans="3:4">
      <c r="C9716"/>
      <c r="D9716"/>
    </row>
    <row r="9717" spans="3:4">
      <c r="C9717"/>
      <c r="D9717"/>
    </row>
    <row r="9718" spans="3:4">
      <c r="C9718"/>
      <c r="D9718"/>
    </row>
    <row r="9719" spans="3:4">
      <c r="C9719"/>
      <c r="D9719"/>
    </row>
    <row r="9720" spans="3:4">
      <c r="C9720"/>
      <c r="D9720"/>
    </row>
    <row r="9721" spans="3:4">
      <c r="C9721"/>
      <c r="D9721"/>
    </row>
    <row r="9722" spans="3:4">
      <c r="C9722"/>
      <c r="D9722"/>
    </row>
    <row r="9723" spans="3:4">
      <c r="C9723"/>
      <c r="D9723"/>
    </row>
    <row r="9724" spans="3:4">
      <c r="C9724"/>
      <c r="D9724"/>
    </row>
    <row r="9725" spans="3:4">
      <c r="C9725"/>
      <c r="D9725"/>
    </row>
    <row r="9726" spans="3:4">
      <c r="C9726"/>
      <c r="D9726"/>
    </row>
    <row r="9727" spans="3:4">
      <c r="C9727"/>
      <c r="D9727"/>
    </row>
    <row r="9728" spans="3:4">
      <c r="C9728"/>
      <c r="D9728"/>
    </row>
    <row r="9729" spans="3:4">
      <c r="C9729"/>
      <c r="D9729"/>
    </row>
    <row r="9730" spans="3:4">
      <c r="C9730"/>
      <c r="D9730"/>
    </row>
    <row r="9731" spans="3:4">
      <c r="C9731"/>
      <c r="D9731"/>
    </row>
    <row r="9732" spans="3:4">
      <c r="C9732"/>
      <c r="D9732"/>
    </row>
    <row r="9733" spans="3:4">
      <c r="C9733"/>
      <c r="D9733"/>
    </row>
    <row r="9734" spans="3:4">
      <c r="C9734"/>
      <c r="D9734"/>
    </row>
    <row r="9735" spans="3:4">
      <c r="C9735"/>
      <c r="D9735"/>
    </row>
    <row r="9736" spans="3:4">
      <c r="C9736"/>
      <c r="D9736"/>
    </row>
    <row r="9737" spans="3:4">
      <c r="C9737"/>
      <c r="D9737"/>
    </row>
    <row r="9738" spans="3:4">
      <c r="C9738"/>
      <c r="D9738"/>
    </row>
    <row r="9739" spans="3:4">
      <c r="C9739"/>
      <c r="D9739"/>
    </row>
    <row r="9740" spans="3:4">
      <c r="C9740"/>
      <c r="D9740"/>
    </row>
    <row r="9741" spans="3:4">
      <c r="C9741"/>
      <c r="D9741"/>
    </row>
    <row r="9742" spans="3:4">
      <c r="C9742"/>
      <c r="D9742"/>
    </row>
    <row r="9743" spans="3:4">
      <c r="C9743"/>
      <c r="D9743"/>
    </row>
    <row r="9744" spans="3:4">
      <c r="C9744"/>
      <c r="D9744"/>
    </row>
    <row r="9745" spans="3:4">
      <c r="C9745"/>
      <c r="D9745"/>
    </row>
    <row r="9746" spans="3:4">
      <c r="C9746"/>
      <c r="D9746"/>
    </row>
    <row r="9747" spans="3:4">
      <c r="C9747"/>
      <c r="D9747"/>
    </row>
    <row r="9748" spans="3:4">
      <c r="C9748"/>
      <c r="D9748"/>
    </row>
    <row r="9749" spans="3:4">
      <c r="C9749"/>
      <c r="D9749"/>
    </row>
    <row r="9750" spans="3:4">
      <c r="C9750"/>
      <c r="D9750"/>
    </row>
    <row r="9751" spans="3:4">
      <c r="C9751"/>
      <c r="D9751"/>
    </row>
    <row r="9752" spans="3:4">
      <c r="C9752"/>
      <c r="D9752"/>
    </row>
    <row r="9753" spans="3:4">
      <c r="C9753"/>
      <c r="D9753"/>
    </row>
    <row r="9754" spans="3:4">
      <c r="C9754"/>
      <c r="D9754"/>
    </row>
    <row r="9755" spans="3:4">
      <c r="C9755"/>
      <c r="D9755"/>
    </row>
    <row r="9756" spans="3:4">
      <c r="C9756"/>
      <c r="D9756"/>
    </row>
    <row r="9757" spans="3:4">
      <c r="C9757"/>
      <c r="D9757"/>
    </row>
    <row r="9758" spans="3:4">
      <c r="C9758"/>
      <c r="D9758"/>
    </row>
    <row r="9759" spans="3:4">
      <c r="C9759"/>
      <c r="D9759"/>
    </row>
    <row r="9760" spans="3:4">
      <c r="C9760"/>
      <c r="D9760"/>
    </row>
    <row r="9761" spans="3:4">
      <c r="C9761"/>
      <c r="D9761"/>
    </row>
    <row r="9762" spans="3:4">
      <c r="C9762"/>
      <c r="D9762"/>
    </row>
    <row r="9763" spans="3:4">
      <c r="C9763"/>
      <c r="D9763"/>
    </row>
    <row r="9764" spans="3:4">
      <c r="C9764"/>
      <c r="D9764"/>
    </row>
    <row r="9765" spans="3:4">
      <c r="C9765"/>
      <c r="D9765"/>
    </row>
    <row r="9766" spans="3:4">
      <c r="C9766"/>
      <c r="D9766"/>
    </row>
    <row r="9767" spans="3:4">
      <c r="C9767"/>
      <c r="D9767"/>
    </row>
    <row r="9768" spans="3:4">
      <c r="C9768"/>
      <c r="D9768"/>
    </row>
    <row r="9769" spans="3:4">
      <c r="C9769"/>
      <c r="D9769"/>
    </row>
    <row r="9770" spans="3:4">
      <c r="C9770"/>
      <c r="D9770"/>
    </row>
    <row r="9771" spans="3:4">
      <c r="C9771"/>
      <c r="D9771"/>
    </row>
    <row r="9772" spans="3:4">
      <c r="C9772"/>
      <c r="D9772"/>
    </row>
    <row r="9773" spans="3:4">
      <c r="C9773"/>
      <c r="D9773"/>
    </row>
    <row r="9774" spans="3:4">
      <c r="C9774"/>
      <c r="D9774"/>
    </row>
    <row r="9775" spans="3:4">
      <c r="C9775"/>
      <c r="D9775"/>
    </row>
    <row r="9776" spans="3:4">
      <c r="C9776"/>
      <c r="D9776"/>
    </row>
    <row r="9777" spans="3:4">
      <c r="C9777"/>
      <c r="D9777"/>
    </row>
    <row r="9778" spans="3:4">
      <c r="C9778"/>
      <c r="D9778"/>
    </row>
    <row r="9779" spans="3:4">
      <c r="C9779"/>
      <c r="D9779"/>
    </row>
    <row r="9780" spans="3:4">
      <c r="C9780"/>
      <c r="D9780"/>
    </row>
    <row r="9781" spans="3:4">
      <c r="C9781"/>
      <c r="D9781"/>
    </row>
    <row r="9782" spans="3:4">
      <c r="C9782"/>
      <c r="D9782"/>
    </row>
    <row r="9783" spans="3:4">
      <c r="C9783"/>
      <c r="D9783"/>
    </row>
    <row r="9784" spans="3:4">
      <c r="C9784"/>
      <c r="D9784"/>
    </row>
    <row r="9785" spans="3:4">
      <c r="C9785"/>
      <c r="D9785"/>
    </row>
    <row r="9786" spans="3:4">
      <c r="C9786"/>
      <c r="D9786"/>
    </row>
    <row r="9787" spans="3:4">
      <c r="C9787"/>
      <c r="D9787"/>
    </row>
    <row r="9788" spans="3:4">
      <c r="C9788"/>
      <c r="D9788"/>
    </row>
    <row r="9789" spans="3:4">
      <c r="C9789"/>
      <c r="D9789"/>
    </row>
    <row r="9790" spans="3:4">
      <c r="C9790"/>
      <c r="D9790"/>
    </row>
    <row r="9791" spans="3:4">
      <c r="C9791"/>
      <c r="D9791"/>
    </row>
    <row r="9792" spans="3:4">
      <c r="C9792"/>
      <c r="D9792"/>
    </row>
    <row r="9793" spans="3:4">
      <c r="C9793"/>
      <c r="D9793"/>
    </row>
    <row r="9794" spans="3:4">
      <c r="C9794"/>
      <c r="D9794"/>
    </row>
    <row r="9795" spans="3:4">
      <c r="C9795"/>
      <c r="D9795"/>
    </row>
    <row r="9796" spans="3:4">
      <c r="C9796"/>
      <c r="D9796"/>
    </row>
    <row r="9797" spans="3:4">
      <c r="C9797"/>
      <c r="D9797"/>
    </row>
    <row r="9798" spans="3:4">
      <c r="C9798"/>
      <c r="D9798"/>
    </row>
    <row r="9799" spans="3:4">
      <c r="C9799"/>
      <c r="D9799"/>
    </row>
    <row r="9800" spans="3:4">
      <c r="C9800"/>
      <c r="D9800"/>
    </row>
    <row r="9801" spans="3:4">
      <c r="C9801"/>
      <c r="D9801"/>
    </row>
    <row r="9802" spans="3:4">
      <c r="C9802"/>
      <c r="D9802"/>
    </row>
    <row r="9803" spans="3:4">
      <c r="C9803"/>
      <c r="D9803"/>
    </row>
    <row r="9804" spans="3:4">
      <c r="C9804"/>
      <c r="D9804"/>
    </row>
    <row r="9805" spans="3:4">
      <c r="C9805"/>
      <c r="D9805"/>
    </row>
    <row r="9806" spans="3:4">
      <c r="C9806"/>
      <c r="D9806"/>
    </row>
    <row r="9807" spans="3:4">
      <c r="C9807"/>
      <c r="D9807"/>
    </row>
    <row r="9808" spans="3:4">
      <c r="C9808"/>
      <c r="D9808"/>
    </row>
    <row r="9809" spans="3:4">
      <c r="C9809"/>
      <c r="D9809"/>
    </row>
    <row r="9810" spans="3:4">
      <c r="C9810"/>
      <c r="D9810"/>
    </row>
    <row r="9811" spans="3:4">
      <c r="C9811"/>
      <c r="D9811"/>
    </row>
    <row r="9812" spans="3:4">
      <c r="C9812"/>
      <c r="D9812"/>
    </row>
    <row r="9813" spans="3:4">
      <c r="C9813"/>
      <c r="D9813"/>
    </row>
    <row r="9814" spans="3:4">
      <c r="C9814"/>
      <c r="D9814"/>
    </row>
    <row r="9815" spans="3:4">
      <c r="C9815"/>
      <c r="D9815"/>
    </row>
    <row r="9816" spans="3:4">
      <c r="C9816"/>
      <c r="D9816"/>
    </row>
    <row r="9817" spans="3:4">
      <c r="C9817"/>
      <c r="D9817"/>
    </row>
    <row r="9818" spans="3:4">
      <c r="C9818"/>
      <c r="D9818"/>
    </row>
    <row r="9819" spans="3:4">
      <c r="C9819"/>
      <c r="D9819"/>
    </row>
    <row r="9820" spans="3:4">
      <c r="C9820"/>
      <c r="D9820"/>
    </row>
    <row r="9821" spans="3:4">
      <c r="C9821"/>
      <c r="D9821"/>
    </row>
    <row r="9822" spans="3:4">
      <c r="C9822"/>
      <c r="D9822"/>
    </row>
    <row r="9823" spans="3:4">
      <c r="C9823"/>
      <c r="D9823"/>
    </row>
    <row r="9824" spans="3:4">
      <c r="C9824"/>
      <c r="D9824"/>
    </row>
    <row r="9825" spans="3:4">
      <c r="C9825"/>
      <c r="D9825"/>
    </row>
    <row r="9826" spans="3:4">
      <c r="C9826"/>
      <c r="D9826"/>
    </row>
    <row r="9827" spans="3:4">
      <c r="C9827"/>
      <c r="D9827"/>
    </row>
    <row r="9828" spans="3:4">
      <c r="C9828"/>
      <c r="D9828"/>
    </row>
    <row r="9829" spans="3:4">
      <c r="C9829"/>
      <c r="D9829"/>
    </row>
    <row r="9830" spans="3:4">
      <c r="C9830"/>
      <c r="D9830"/>
    </row>
    <row r="9831" spans="3:4">
      <c r="C9831"/>
      <c r="D9831"/>
    </row>
    <row r="9832" spans="3:4">
      <c r="C9832"/>
      <c r="D9832"/>
    </row>
    <row r="9833" spans="3:4">
      <c r="C9833"/>
      <c r="D9833"/>
    </row>
    <row r="9834" spans="3:4">
      <c r="C9834"/>
      <c r="D9834"/>
    </row>
    <row r="9835" spans="3:4">
      <c r="C9835"/>
      <c r="D9835"/>
    </row>
    <row r="9836" spans="3:4">
      <c r="C9836"/>
      <c r="D9836"/>
    </row>
    <row r="9837" spans="3:4">
      <c r="C9837"/>
      <c r="D9837"/>
    </row>
    <row r="9838" spans="3:4">
      <c r="C9838"/>
      <c r="D9838"/>
    </row>
    <row r="9839" spans="3:4">
      <c r="C9839"/>
      <c r="D9839"/>
    </row>
    <row r="9840" spans="3:4">
      <c r="C9840"/>
      <c r="D9840"/>
    </row>
    <row r="9841" spans="3:4">
      <c r="C9841"/>
      <c r="D9841"/>
    </row>
    <row r="9842" spans="3:4">
      <c r="C9842"/>
      <c r="D9842"/>
    </row>
    <row r="9843" spans="3:4">
      <c r="C9843"/>
      <c r="D9843"/>
    </row>
    <row r="9844" spans="3:4">
      <c r="C9844"/>
      <c r="D9844"/>
    </row>
    <row r="9845" spans="3:4">
      <c r="C9845"/>
      <c r="D9845"/>
    </row>
    <row r="9846" spans="3:4">
      <c r="C9846"/>
      <c r="D9846"/>
    </row>
    <row r="9847" spans="3:4">
      <c r="C9847"/>
      <c r="D9847"/>
    </row>
    <row r="9848" spans="3:4">
      <c r="C9848"/>
      <c r="D9848"/>
    </row>
    <row r="9849" spans="3:4">
      <c r="C9849"/>
      <c r="D9849"/>
    </row>
    <row r="9850" spans="3:4">
      <c r="C9850"/>
      <c r="D9850"/>
    </row>
    <row r="9851" spans="3:4">
      <c r="C9851"/>
      <c r="D9851"/>
    </row>
    <row r="9852" spans="3:4">
      <c r="C9852"/>
      <c r="D9852"/>
    </row>
    <row r="9853" spans="3:4">
      <c r="C9853"/>
      <c r="D9853"/>
    </row>
    <row r="9854" spans="3:4">
      <c r="C9854"/>
      <c r="D9854"/>
    </row>
    <row r="9855" spans="3:4">
      <c r="C9855"/>
      <c r="D9855"/>
    </row>
    <row r="9856" spans="3:4">
      <c r="C9856"/>
      <c r="D9856"/>
    </row>
    <row r="9857" spans="3:4">
      <c r="C9857"/>
      <c r="D9857"/>
    </row>
    <row r="9858" spans="3:4">
      <c r="C9858"/>
      <c r="D9858"/>
    </row>
    <row r="9859" spans="3:4">
      <c r="C9859"/>
      <c r="D9859"/>
    </row>
    <row r="9860" spans="3:4">
      <c r="C9860"/>
      <c r="D9860"/>
    </row>
    <row r="9861" spans="3:4">
      <c r="C9861"/>
      <c r="D9861"/>
    </row>
    <row r="9862" spans="3:4">
      <c r="C9862"/>
      <c r="D9862"/>
    </row>
    <row r="9863" spans="3:4">
      <c r="C9863"/>
      <c r="D9863"/>
    </row>
    <row r="9864" spans="3:4">
      <c r="C9864"/>
      <c r="D9864"/>
    </row>
    <row r="9865" spans="3:4">
      <c r="C9865"/>
      <c r="D9865"/>
    </row>
    <row r="9866" spans="3:4">
      <c r="C9866"/>
      <c r="D9866"/>
    </row>
    <row r="9867" spans="3:4">
      <c r="C9867"/>
      <c r="D9867"/>
    </row>
    <row r="9868" spans="3:4">
      <c r="C9868"/>
      <c r="D9868"/>
    </row>
    <row r="9869" spans="3:4">
      <c r="C9869"/>
      <c r="D9869"/>
    </row>
    <row r="9870" spans="3:4">
      <c r="C9870"/>
      <c r="D9870"/>
    </row>
    <row r="9871" spans="3:4">
      <c r="C9871"/>
      <c r="D9871"/>
    </row>
    <row r="9872" spans="3:4">
      <c r="C9872"/>
      <c r="D9872"/>
    </row>
    <row r="9873" spans="3:4">
      <c r="C9873"/>
      <c r="D9873"/>
    </row>
    <row r="9874" spans="3:4">
      <c r="C9874"/>
      <c r="D9874"/>
    </row>
    <row r="9875" spans="3:4">
      <c r="C9875"/>
      <c r="D9875"/>
    </row>
    <row r="9876" spans="3:4">
      <c r="C9876"/>
      <c r="D9876"/>
    </row>
    <row r="9877" spans="3:4">
      <c r="C9877"/>
      <c r="D9877"/>
    </row>
    <row r="9878" spans="3:4">
      <c r="C9878"/>
      <c r="D9878"/>
    </row>
    <row r="9879" spans="3:4">
      <c r="C9879"/>
      <c r="D9879"/>
    </row>
    <row r="9880" spans="3:4">
      <c r="C9880"/>
      <c r="D9880"/>
    </row>
    <row r="9881" spans="3:4">
      <c r="C9881"/>
      <c r="D9881"/>
    </row>
    <row r="9882" spans="3:4">
      <c r="C9882"/>
      <c r="D9882"/>
    </row>
    <row r="9883" spans="3:4">
      <c r="C9883"/>
      <c r="D9883"/>
    </row>
    <row r="9884" spans="3:4">
      <c r="C9884"/>
      <c r="D9884"/>
    </row>
    <row r="9885" spans="3:4">
      <c r="C9885"/>
      <c r="D9885"/>
    </row>
    <row r="9886" spans="3:4">
      <c r="C9886"/>
      <c r="D9886"/>
    </row>
    <row r="9887" spans="3:4">
      <c r="C9887"/>
      <c r="D9887"/>
    </row>
    <row r="9888" spans="3:4">
      <c r="C9888"/>
      <c r="D9888"/>
    </row>
    <row r="9889" spans="3:4">
      <c r="C9889"/>
      <c r="D9889"/>
    </row>
    <row r="9890" spans="3:4">
      <c r="C9890"/>
      <c r="D9890"/>
    </row>
    <row r="9891" spans="3:4">
      <c r="C9891"/>
      <c r="D9891"/>
    </row>
    <row r="9892" spans="3:4">
      <c r="C9892"/>
      <c r="D9892"/>
    </row>
    <row r="9893" spans="3:4">
      <c r="C9893"/>
      <c r="D9893"/>
    </row>
    <row r="9894" spans="3:4">
      <c r="C9894"/>
      <c r="D9894"/>
    </row>
    <row r="9895" spans="3:4">
      <c r="C9895"/>
      <c r="D9895"/>
    </row>
    <row r="9896" spans="3:4">
      <c r="C9896"/>
      <c r="D9896"/>
    </row>
    <row r="9897" spans="3:4">
      <c r="C9897"/>
      <c r="D9897"/>
    </row>
    <row r="9898" spans="3:4">
      <c r="C9898"/>
      <c r="D9898"/>
    </row>
    <row r="9899" spans="3:4">
      <c r="C9899"/>
      <c r="D9899"/>
    </row>
    <row r="9900" spans="3:4">
      <c r="C9900"/>
      <c r="D9900"/>
    </row>
    <row r="9901" spans="3:4">
      <c r="C9901"/>
      <c r="D9901"/>
    </row>
    <row r="9902" spans="3:4">
      <c r="C9902"/>
      <c r="D9902"/>
    </row>
    <row r="9903" spans="3:4">
      <c r="C9903"/>
      <c r="D9903"/>
    </row>
    <row r="9904" spans="3:4">
      <c r="C9904"/>
      <c r="D9904"/>
    </row>
    <row r="9905" spans="3:4">
      <c r="C9905"/>
      <c r="D9905"/>
    </row>
    <row r="9906" spans="3:4">
      <c r="C9906"/>
      <c r="D9906"/>
    </row>
    <row r="9907" spans="3:4">
      <c r="C9907"/>
      <c r="D9907"/>
    </row>
    <row r="9908" spans="3:4">
      <c r="C9908"/>
      <c r="D9908"/>
    </row>
    <row r="9909" spans="3:4">
      <c r="C9909"/>
      <c r="D9909"/>
    </row>
    <row r="9910" spans="3:4">
      <c r="C9910"/>
      <c r="D9910"/>
    </row>
    <row r="9911" spans="3:4">
      <c r="C9911"/>
      <c r="D9911"/>
    </row>
    <row r="9912" spans="3:4">
      <c r="C9912"/>
      <c r="D9912"/>
    </row>
    <row r="9913" spans="3:4">
      <c r="C9913"/>
      <c r="D9913"/>
    </row>
    <row r="9914" spans="3:4">
      <c r="C9914"/>
      <c r="D9914"/>
    </row>
    <row r="9915" spans="3:4">
      <c r="C9915"/>
      <c r="D9915"/>
    </row>
    <row r="9916" spans="3:4">
      <c r="C9916"/>
      <c r="D9916"/>
    </row>
    <row r="9917" spans="3:4">
      <c r="C9917"/>
      <c r="D9917"/>
    </row>
    <row r="9918" spans="3:4">
      <c r="C9918"/>
      <c r="D9918"/>
    </row>
    <row r="9919" spans="3:4">
      <c r="C9919"/>
      <c r="D9919"/>
    </row>
    <row r="9920" spans="3:4">
      <c r="C9920"/>
      <c r="D9920"/>
    </row>
    <row r="9921" spans="3:4">
      <c r="C9921"/>
      <c r="D9921"/>
    </row>
    <row r="9922" spans="3:4">
      <c r="C9922"/>
      <c r="D9922"/>
    </row>
    <row r="9923" spans="3:4">
      <c r="C9923"/>
      <c r="D9923"/>
    </row>
    <row r="9924" spans="3:4">
      <c r="C9924"/>
      <c r="D9924"/>
    </row>
    <row r="9925" spans="3:4">
      <c r="C9925"/>
      <c r="D9925"/>
    </row>
    <row r="9926" spans="3:4">
      <c r="C9926"/>
      <c r="D9926"/>
    </row>
    <row r="9927" spans="3:4">
      <c r="C9927"/>
      <c r="D9927"/>
    </row>
    <row r="9928" spans="3:4">
      <c r="C9928"/>
      <c r="D9928"/>
    </row>
    <row r="9929" spans="3:4">
      <c r="C9929"/>
      <c r="D9929"/>
    </row>
    <row r="9930" spans="3:4">
      <c r="C9930"/>
      <c r="D9930"/>
    </row>
    <row r="9931" spans="3:4">
      <c r="C9931"/>
      <c r="D9931"/>
    </row>
    <row r="9932" spans="3:4">
      <c r="C9932"/>
      <c r="D9932"/>
    </row>
    <row r="9933" spans="3:4">
      <c r="C9933"/>
      <c r="D9933"/>
    </row>
    <row r="9934" spans="3:4">
      <c r="C9934"/>
      <c r="D9934"/>
    </row>
    <row r="9935" spans="3:4">
      <c r="C9935"/>
      <c r="D9935"/>
    </row>
    <row r="9936" spans="3:4">
      <c r="C9936"/>
      <c r="D9936"/>
    </row>
    <row r="9937" spans="3:4">
      <c r="C9937"/>
      <c r="D9937"/>
    </row>
    <row r="9938" spans="3:4">
      <c r="C9938"/>
      <c r="D9938"/>
    </row>
    <row r="9939" spans="3:4">
      <c r="C9939"/>
      <c r="D9939"/>
    </row>
    <row r="9940" spans="3:4">
      <c r="C9940"/>
      <c r="D9940"/>
    </row>
    <row r="9941" spans="3:4">
      <c r="C9941"/>
      <c r="D9941"/>
    </row>
    <row r="9942" spans="3:4">
      <c r="C9942"/>
      <c r="D9942"/>
    </row>
    <row r="9943" spans="3:4">
      <c r="C9943"/>
      <c r="D9943"/>
    </row>
    <row r="9944" spans="3:4">
      <c r="C9944"/>
      <c r="D9944"/>
    </row>
    <row r="9945" spans="3:4">
      <c r="C9945"/>
      <c r="D9945"/>
    </row>
    <row r="9946" spans="3:4">
      <c r="C9946"/>
      <c r="D9946"/>
    </row>
    <row r="9947" spans="3:4">
      <c r="C9947"/>
      <c r="D9947"/>
    </row>
    <row r="9948" spans="3:4">
      <c r="C9948"/>
      <c r="D9948"/>
    </row>
    <row r="9949" spans="3:4">
      <c r="C9949"/>
      <c r="D9949"/>
    </row>
    <row r="9950" spans="3:4">
      <c r="C9950"/>
      <c r="D9950"/>
    </row>
    <row r="9951" spans="3:4">
      <c r="C9951"/>
      <c r="D9951"/>
    </row>
    <row r="9952" spans="3:4">
      <c r="C9952"/>
      <c r="D9952"/>
    </row>
    <row r="9953" spans="3:4">
      <c r="C9953"/>
      <c r="D9953"/>
    </row>
    <row r="9954" spans="3:4">
      <c r="C9954"/>
      <c r="D9954"/>
    </row>
    <row r="9955" spans="3:4">
      <c r="C9955"/>
      <c r="D9955"/>
    </row>
    <row r="9956" spans="3:4">
      <c r="C9956"/>
      <c r="D9956"/>
    </row>
    <row r="9957" spans="3:4">
      <c r="C9957"/>
      <c r="D9957"/>
    </row>
    <row r="9958" spans="3:4">
      <c r="C9958"/>
      <c r="D9958"/>
    </row>
    <row r="9959" spans="3:4">
      <c r="C9959"/>
      <c r="D9959"/>
    </row>
    <row r="9960" spans="3:4">
      <c r="C9960"/>
      <c r="D9960"/>
    </row>
    <row r="9961" spans="3:4">
      <c r="C9961"/>
      <c r="D9961"/>
    </row>
    <row r="9962" spans="3:4">
      <c r="C9962"/>
      <c r="D9962"/>
    </row>
    <row r="9963" spans="3:4">
      <c r="C9963"/>
      <c r="D9963"/>
    </row>
    <row r="9964" spans="3:4">
      <c r="C9964"/>
      <c r="D9964"/>
    </row>
    <row r="9965" spans="3:4">
      <c r="C9965"/>
      <c r="D9965"/>
    </row>
    <row r="9966" spans="3:4">
      <c r="C9966"/>
      <c r="D9966"/>
    </row>
    <row r="9967" spans="3:4">
      <c r="C9967"/>
      <c r="D9967"/>
    </row>
    <row r="9968" spans="3:4">
      <c r="C9968"/>
      <c r="D9968"/>
    </row>
    <row r="9969" spans="3:4">
      <c r="C9969"/>
      <c r="D9969"/>
    </row>
    <row r="9970" spans="3:4">
      <c r="C9970"/>
      <c r="D9970"/>
    </row>
    <row r="9971" spans="3:4">
      <c r="C9971"/>
      <c r="D9971"/>
    </row>
    <row r="9972" spans="3:4">
      <c r="C9972"/>
      <c r="D9972"/>
    </row>
    <row r="9973" spans="3:4">
      <c r="C9973"/>
      <c r="D9973"/>
    </row>
    <row r="9974" spans="3:4">
      <c r="C9974"/>
      <c r="D9974"/>
    </row>
    <row r="9975" spans="3:4">
      <c r="C9975"/>
      <c r="D9975"/>
    </row>
    <row r="9976" spans="3:4">
      <c r="C9976"/>
      <c r="D9976"/>
    </row>
    <row r="9977" spans="3:4">
      <c r="C9977"/>
      <c r="D9977"/>
    </row>
    <row r="9978" spans="3:4">
      <c r="C9978"/>
      <c r="D9978"/>
    </row>
    <row r="9979" spans="3:4">
      <c r="C9979"/>
      <c r="D9979"/>
    </row>
    <row r="9980" spans="3:4">
      <c r="C9980"/>
      <c r="D9980"/>
    </row>
    <row r="9981" spans="3:4">
      <c r="C9981"/>
      <c r="D9981"/>
    </row>
    <row r="9982" spans="3:4">
      <c r="C9982"/>
      <c r="D9982"/>
    </row>
    <row r="9983" spans="3:4">
      <c r="C9983"/>
      <c r="D9983"/>
    </row>
    <row r="9984" spans="3:4">
      <c r="C9984"/>
      <c r="D9984"/>
    </row>
    <row r="9985" spans="3:4">
      <c r="C9985"/>
      <c r="D9985"/>
    </row>
    <row r="9986" spans="3:4">
      <c r="C9986"/>
      <c r="D9986"/>
    </row>
    <row r="9987" spans="3:4">
      <c r="C9987"/>
      <c r="D9987"/>
    </row>
    <row r="9988" spans="3:4">
      <c r="C9988"/>
      <c r="D9988"/>
    </row>
    <row r="9989" spans="3:4">
      <c r="C9989"/>
      <c r="D9989"/>
    </row>
    <row r="9990" spans="3:4">
      <c r="C9990"/>
      <c r="D9990"/>
    </row>
    <row r="9991" spans="3:4">
      <c r="C9991"/>
      <c r="D9991"/>
    </row>
    <row r="9992" spans="3:4">
      <c r="C9992"/>
      <c r="D9992"/>
    </row>
    <row r="9993" spans="3:4">
      <c r="C9993"/>
      <c r="D9993"/>
    </row>
    <row r="9994" spans="3:4">
      <c r="C9994"/>
      <c r="D9994"/>
    </row>
    <row r="9995" spans="3:4">
      <c r="C9995"/>
      <c r="D9995"/>
    </row>
    <row r="9996" spans="3:4">
      <c r="C9996"/>
      <c r="D9996"/>
    </row>
    <row r="9997" spans="3:4">
      <c r="C9997"/>
      <c r="D9997"/>
    </row>
    <row r="9998" spans="3:4">
      <c r="C9998"/>
      <c r="D9998"/>
    </row>
    <row r="9999" spans="3:4">
      <c r="C9999"/>
      <c r="D9999"/>
    </row>
    <row r="10000" spans="3:4">
      <c r="C10000"/>
      <c r="D10000"/>
    </row>
    <row r="10001" spans="3:4">
      <c r="C10001"/>
      <c r="D10001"/>
    </row>
    <row r="10002" spans="3:4">
      <c r="C10002"/>
      <c r="D10002"/>
    </row>
    <row r="10003" spans="3:4">
      <c r="C10003"/>
      <c r="D10003"/>
    </row>
    <row r="10004" spans="3:4">
      <c r="C10004"/>
      <c r="D10004"/>
    </row>
    <row r="10005" spans="3:4">
      <c r="C10005"/>
      <c r="D10005"/>
    </row>
    <row r="10006" spans="3:4">
      <c r="C10006"/>
      <c r="D10006"/>
    </row>
    <row r="10007" spans="3:4">
      <c r="C10007"/>
      <c r="D10007"/>
    </row>
    <row r="10008" spans="3:4">
      <c r="C10008"/>
      <c r="D10008"/>
    </row>
    <row r="10009" spans="3:4">
      <c r="C10009"/>
      <c r="D10009"/>
    </row>
    <row r="10010" spans="3:4">
      <c r="C10010"/>
      <c r="D10010"/>
    </row>
    <row r="10011" spans="3:4">
      <c r="C10011"/>
      <c r="D10011"/>
    </row>
    <row r="10012" spans="3:4">
      <c r="C10012"/>
      <c r="D10012"/>
    </row>
    <row r="10013" spans="3:4">
      <c r="C10013"/>
      <c r="D10013"/>
    </row>
    <row r="10014" spans="3:4">
      <c r="C10014"/>
      <c r="D10014"/>
    </row>
    <row r="10015" spans="3:4">
      <c r="C10015"/>
      <c r="D10015"/>
    </row>
    <row r="10016" spans="3:4">
      <c r="C10016"/>
      <c r="D10016"/>
    </row>
    <row r="10017" spans="3:4">
      <c r="C10017"/>
      <c r="D10017"/>
    </row>
    <row r="10018" spans="3:4">
      <c r="C10018"/>
      <c r="D10018"/>
    </row>
    <row r="10019" spans="3:4">
      <c r="C10019"/>
      <c r="D10019"/>
    </row>
    <row r="10020" spans="3:4">
      <c r="C10020"/>
      <c r="D10020"/>
    </row>
    <row r="10021" spans="3:4">
      <c r="C10021"/>
      <c r="D10021"/>
    </row>
    <row r="10022" spans="3:4">
      <c r="C10022"/>
      <c r="D10022"/>
    </row>
    <row r="10023" spans="3:4">
      <c r="C10023"/>
      <c r="D10023"/>
    </row>
    <row r="10024" spans="3:4">
      <c r="C10024"/>
      <c r="D10024"/>
    </row>
    <row r="10025" spans="3:4">
      <c r="C10025"/>
      <c r="D10025"/>
    </row>
    <row r="10026" spans="3:4">
      <c r="C10026"/>
      <c r="D10026"/>
    </row>
    <row r="10027" spans="3:4">
      <c r="C10027"/>
      <c r="D10027"/>
    </row>
    <row r="10028" spans="3:4">
      <c r="C10028"/>
      <c r="D10028"/>
    </row>
    <row r="10029" spans="3:4">
      <c r="C10029"/>
      <c r="D10029"/>
    </row>
    <row r="10030" spans="3:4">
      <c r="C10030"/>
      <c r="D10030"/>
    </row>
    <row r="10031" spans="3:4">
      <c r="C10031"/>
      <c r="D10031"/>
    </row>
    <row r="10032" spans="3:4">
      <c r="C10032"/>
      <c r="D10032"/>
    </row>
    <row r="10033" spans="3:4">
      <c r="C10033"/>
      <c r="D10033"/>
    </row>
    <row r="10034" spans="3:4">
      <c r="C10034"/>
      <c r="D10034"/>
    </row>
    <row r="10035" spans="3:4">
      <c r="C10035"/>
      <c r="D10035"/>
    </row>
    <row r="10036" spans="3:4">
      <c r="C10036"/>
      <c r="D10036"/>
    </row>
    <row r="10037" spans="3:4">
      <c r="C10037"/>
      <c r="D10037"/>
    </row>
    <row r="10038" spans="3:4">
      <c r="C10038"/>
      <c r="D10038"/>
    </row>
    <row r="10039" spans="3:4">
      <c r="C10039"/>
      <c r="D10039"/>
    </row>
    <row r="10040" spans="3:4">
      <c r="C10040"/>
      <c r="D10040"/>
    </row>
    <row r="10041" spans="3:4">
      <c r="C10041"/>
      <c r="D10041"/>
    </row>
    <row r="10042" spans="3:4">
      <c r="C10042"/>
      <c r="D10042"/>
    </row>
    <row r="10043" spans="3:4">
      <c r="C10043"/>
      <c r="D10043"/>
    </row>
    <row r="10044" spans="3:4">
      <c r="C10044"/>
      <c r="D10044"/>
    </row>
    <row r="10045" spans="3:4">
      <c r="C10045"/>
      <c r="D10045"/>
    </row>
    <row r="10046" spans="3:4">
      <c r="C10046"/>
      <c r="D10046"/>
    </row>
    <row r="10047" spans="3:4">
      <c r="C10047"/>
      <c r="D10047"/>
    </row>
    <row r="10048" spans="3:4">
      <c r="C10048"/>
      <c r="D10048"/>
    </row>
    <row r="10049" spans="3:4">
      <c r="C10049"/>
      <c r="D10049"/>
    </row>
    <row r="10050" spans="3:4">
      <c r="C10050"/>
      <c r="D10050"/>
    </row>
    <row r="10051" spans="3:4">
      <c r="C10051"/>
      <c r="D10051"/>
    </row>
    <row r="10052" spans="3:4">
      <c r="C10052"/>
      <c r="D10052"/>
    </row>
    <row r="10053" spans="3:4">
      <c r="C10053"/>
      <c r="D10053"/>
    </row>
    <row r="10054" spans="3:4">
      <c r="C10054"/>
      <c r="D10054"/>
    </row>
    <row r="10055" spans="3:4">
      <c r="C10055"/>
      <c r="D10055"/>
    </row>
    <row r="10056" spans="3:4">
      <c r="C10056"/>
      <c r="D10056"/>
    </row>
    <row r="10057" spans="3:4">
      <c r="C10057"/>
      <c r="D10057"/>
    </row>
    <row r="10058" spans="3:4">
      <c r="C10058"/>
      <c r="D10058"/>
    </row>
    <row r="10059" spans="3:4">
      <c r="C10059"/>
      <c r="D10059"/>
    </row>
    <row r="10060" spans="3:4">
      <c r="C10060"/>
      <c r="D10060"/>
    </row>
    <row r="10061" spans="3:4">
      <c r="C10061"/>
      <c r="D10061"/>
    </row>
    <row r="10062" spans="3:4">
      <c r="C10062"/>
      <c r="D10062"/>
    </row>
    <row r="10063" spans="3:4">
      <c r="C10063"/>
      <c r="D10063"/>
    </row>
    <row r="10064" spans="3:4">
      <c r="C10064"/>
      <c r="D10064"/>
    </row>
    <row r="10065" spans="3:4">
      <c r="C10065"/>
      <c r="D10065"/>
    </row>
    <row r="10066" spans="3:4">
      <c r="C10066"/>
      <c r="D10066"/>
    </row>
    <row r="10067" spans="3:4">
      <c r="C10067"/>
      <c r="D10067"/>
    </row>
    <row r="10068" spans="3:4">
      <c r="C10068"/>
      <c r="D10068"/>
    </row>
    <row r="10069" spans="3:4">
      <c r="C10069"/>
      <c r="D10069"/>
    </row>
    <row r="10070" spans="3:4">
      <c r="C10070"/>
      <c r="D10070"/>
    </row>
    <row r="10071" spans="3:4">
      <c r="C10071"/>
      <c r="D10071"/>
    </row>
    <row r="10072" spans="3:4">
      <c r="C10072"/>
      <c r="D10072"/>
    </row>
    <row r="10073" spans="3:4">
      <c r="C10073"/>
      <c r="D10073"/>
    </row>
    <row r="10074" spans="3:4">
      <c r="C10074"/>
      <c r="D10074"/>
    </row>
    <row r="10075" spans="3:4">
      <c r="C10075"/>
      <c r="D10075"/>
    </row>
    <row r="10076" spans="3:4">
      <c r="C10076"/>
      <c r="D10076"/>
    </row>
    <row r="10077" spans="3:4">
      <c r="C10077"/>
      <c r="D10077"/>
    </row>
    <row r="10078" spans="3:4">
      <c r="C10078"/>
      <c r="D10078"/>
    </row>
    <row r="10079" spans="3:4">
      <c r="C10079"/>
      <c r="D10079"/>
    </row>
    <row r="10080" spans="3:4">
      <c r="C10080"/>
      <c r="D10080"/>
    </row>
    <row r="10081" spans="3:4">
      <c r="C10081"/>
      <c r="D10081"/>
    </row>
    <row r="10082" spans="3:4">
      <c r="C10082"/>
      <c r="D10082"/>
    </row>
    <row r="10083" spans="3:4">
      <c r="C10083"/>
      <c r="D10083"/>
    </row>
    <row r="10084" spans="3:4">
      <c r="C10084"/>
      <c r="D10084"/>
    </row>
    <row r="10085" spans="3:4">
      <c r="C10085"/>
      <c r="D10085"/>
    </row>
    <row r="10086" spans="3:4">
      <c r="C10086"/>
      <c r="D10086"/>
    </row>
    <row r="10087" spans="3:4">
      <c r="C10087"/>
      <c r="D10087"/>
    </row>
    <row r="10088" spans="3:4">
      <c r="C10088"/>
      <c r="D10088"/>
    </row>
    <row r="10089" spans="3:4">
      <c r="C10089"/>
      <c r="D10089"/>
    </row>
    <row r="10090" spans="3:4">
      <c r="C10090"/>
      <c r="D10090"/>
    </row>
    <row r="10091" spans="3:4">
      <c r="C10091"/>
      <c r="D10091"/>
    </row>
    <row r="10092" spans="3:4">
      <c r="C10092"/>
      <c r="D10092"/>
    </row>
    <row r="10093" spans="3:4">
      <c r="C10093"/>
      <c r="D10093"/>
    </row>
    <row r="10094" spans="3:4">
      <c r="C10094"/>
      <c r="D10094"/>
    </row>
    <row r="10095" spans="3:4">
      <c r="C10095"/>
      <c r="D10095"/>
    </row>
    <row r="10096" spans="3:4">
      <c r="C10096"/>
      <c r="D10096"/>
    </row>
    <row r="10097" spans="3:4">
      <c r="C10097"/>
      <c r="D10097"/>
    </row>
    <row r="10098" spans="3:4">
      <c r="C10098"/>
      <c r="D10098"/>
    </row>
    <row r="10099" spans="3:4">
      <c r="C10099"/>
      <c r="D10099"/>
    </row>
    <row r="10100" spans="3:4">
      <c r="C10100"/>
      <c r="D10100"/>
    </row>
    <row r="10101" spans="3:4">
      <c r="C10101"/>
      <c r="D10101"/>
    </row>
    <row r="10102" spans="3:4">
      <c r="C10102"/>
      <c r="D10102"/>
    </row>
    <row r="10103" spans="3:4">
      <c r="C10103"/>
      <c r="D10103"/>
    </row>
    <row r="10104" spans="3:4">
      <c r="C10104"/>
      <c r="D10104"/>
    </row>
    <row r="10105" spans="3:4">
      <c r="C10105"/>
      <c r="D10105"/>
    </row>
    <row r="10106" spans="3:4">
      <c r="C10106"/>
      <c r="D10106"/>
    </row>
    <row r="10107" spans="3:4">
      <c r="C10107"/>
      <c r="D10107"/>
    </row>
    <row r="10108" spans="3:4">
      <c r="C10108"/>
      <c r="D10108"/>
    </row>
    <row r="10109" spans="3:4">
      <c r="C10109"/>
      <c r="D10109"/>
    </row>
    <row r="10110" spans="3:4">
      <c r="C10110"/>
      <c r="D10110"/>
    </row>
    <row r="10111" spans="3:4">
      <c r="C10111"/>
      <c r="D10111"/>
    </row>
    <row r="10112" spans="3:4">
      <c r="C10112"/>
      <c r="D10112"/>
    </row>
    <row r="10113" spans="3:4">
      <c r="C10113"/>
      <c r="D10113"/>
    </row>
    <row r="10114" spans="3:4">
      <c r="C10114"/>
      <c r="D10114"/>
    </row>
    <row r="10115" spans="3:4">
      <c r="C10115"/>
      <c r="D10115"/>
    </row>
    <row r="10116" spans="3:4">
      <c r="C10116"/>
      <c r="D10116"/>
    </row>
    <row r="10117" spans="3:4">
      <c r="C10117"/>
      <c r="D10117"/>
    </row>
    <row r="10118" spans="3:4">
      <c r="C10118"/>
      <c r="D10118"/>
    </row>
    <row r="10119" spans="3:4">
      <c r="C10119"/>
      <c r="D10119"/>
    </row>
    <row r="10120" spans="3:4">
      <c r="C10120"/>
      <c r="D10120"/>
    </row>
    <row r="10121" spans="3:4">
      <c r="C10121"/>
      <c r="D10121"/>
    </row>
    <row r="10122" spans="3:4">
      <c r="C10122"/>
      <c r="D10122"/>
    </row>
    <row r="10123" spans="3:4">
      <c r="C10123"/>
      <c r="D10123"/>
    </row>
    <row r="10124" spans="3:4">
      <c r="C10124"/>
      <c r="D10124"/>
    </row>
    <row r="10125" spans="3:4">
      <c r="C10125"/>
      <c r="D10125"/>
    </row>
    <row r="10126" spans="3:4">
      <c r="C10126"/>
      <c r="D10126"/>
    </row>
    <row r="10127" spans="3:4">
      <c r="C10127"/>
      <c r="D10127"/>
    </row>
    <row r="10128" spans="3:4">
      <c r="C10128"/>
      <c r="D10128"/>
    </row>
    <row r="10129" spans="3:4">
      <c r="C10129"/>
      <c r="D10129"/>
    </row>
    <row r="10130" spans="3:4">
      <c r="C10130"/>
      <c r="D10130"/>
    </row>
    <row r="10131" spans="3:4">
      <c r="C10131"/>
      <c r="D10131"/>
    </row>
    <row r="10132" spans="3:4">
      <c r="C10132"/>
      <c r="D10132"/>
    </row>
    <row r="10133" spans="3:4">
      <c r="C10133"/>
      <c r="D10133"/>
    </row>
    <row r="10134" spans="3:4">
      <c r="C10134"/>
      <c r="D10134"/>
    </row>
    <row r="10135" spans="3:4">
      <c r="C10135"/>
      <c r="D10135"/>
    </row>
    <row r="10136" spans="3:4">
      <c r="C10136"/>
      <c r="D10136"/>
    </row>
    <row r="10137" spans="3:4">
      <c r="C10137"/>
      <c r="D10137"/>
    </row>
    <row r="10138" spans="3:4">
      <c r="C10138"/>
      <c r="D10138"/>
    </row>
    <row r="10139" spans="3:4">
      <c r="C10139"/>
      <c r="D10139"/>
    </row>
    <row r="10140" spans="3:4">
      <c r="C10140"/>
      <c r="D10140"/>
    </row>
    <row r="10141" spans="3:4">
      <c r="C10141"/>
      <c r="D10141"/>
    </row>
    <row r="10142" spans="3:4">
      <c r="C10142"/>
      <c r="D10142"/>
    </row>
    <row r="10143" spans="3:4">
      <c r="C10143"/>
      <c r="D10143"/>
    </row>
    <row r="10144" spans="3:4">
      <c r="C10144"/>
      <c r="D10144"/>
    </row>
    <row r="10145" spans="3:4">
      <c r="C10145"/>
      <c r="D10145"/>
    </row>
    <row r="10146" spans="3:4">
      <c r="C10146"/>
      <c r="D10146"/>
    </row>
    <row r="10147" spans="3:4">
      <c r="C10147"/>
      <c r="D10147"/>
    </row>
    <row r="10148" spans="3:4">
      <c r="C10148"/>
      <c r="D10148"/>
    </row>
    <row r="10149" spans="3:4">
      <c r="C10149"/>
      <c r="D10149"/>
    </row>
    <row r="10150" spans="3:4">
      <c r="C10150"/>
      <c r="D10150"/>
    </row>
    <row r="10151" spans="3:4">
      <c r="C10151"/>
      <c r="D10151"/>
    </row>
    <row r="10152" spans="3:4">
      <c r="C10152"/>
      <c r="D10152"/>
    </row>
    <row r="10153" spans="3:4">
      <c r="C10153"/>
      <c r="D10153"/>
    </row>
    <row r="10154" spans="3:4">
      <c r="C10154"/>
      <c r="D10154"/>
    </row>
    <row r="10155" spans="3:4">
      <c r="C10155"/>
      <c r="D10155"/>
    </row>
    <row r="10156" spans="3:4">
      <c r="C10156"/>
      <c r="D10156"/>
    </row>
    <row r="10157" spans="3:4">
      <c r="C10157"/>
      <c r="D10157"/>
    </row>
    <row r="10158" spans="3:4">
      <c r="C10158"/>
      <c r="D10158"/>
    </row>
    <row r="10159" spans="3:4">
      <c r="C10159"/>
      <c r="D10159"/>
    </row>
    <row r="10160" spans="3:4">
      <c r="C10160"/>
      <c r="D10160"/>
    </row>
    <row r="10161" spans="3:4">
      <c r="C10161"/>
      <c r="D10161"/>
    </row>
    <row r="10162" spans="3:4">
      <c r="C10162"/>
      <c r="D10162"/>
    </row>
    <row r="10163" spans="3:4">
      <c r="C10163"/>
      <c r="D10163"/>
    </row>
    <row r="10164" spans="3:4">
      <c r="C10164"/>
      <c r="D10164"/>
    </row>
    <row r="10165" spans="3:4">
      <c r="C10165"/>
      <c r="D10165"/>
    </row>
    <row r="10166" spans="3:4">
      <c r="C10166"/>
      <c r="D10166"/>
    </row>
    <row r="10167" spans="3:4">
      <c r="C10167"/>
      <c r="D10167"/>
    </row>
    <row r="10168" spans="3:4">
      <c r="C10168"/>
      <c r="D10168"/>
    </row>
    <row r="10169" spans="3:4">
      <c r="C10169"/>
      <c r="D10169"/>
    </row>
    <row r="10170" spans="3:4">
      <c r="C10170"/>
      <c r="D10170"/>
    </row>
    <row r="10171" spans="3:4">
      <c r="C10171"/>
      <c r="D10171"/>
    </row>
    <row r="10172" spans="3:4">
      <c r="C10172"/>
      <c r="D10172"/>
    </row>
    <row r="10173" spans="3:4">
      <c r="C10173"/>
      <c r="D10173"/>
    </row>
    <row r="10174" spans="3:4">
      <c r="C10174"/>
      <c r="D10174"/>
    </row>
    <row r="10175" spans="3:4">
      <c r="C10175"/>
      <c r="D10175"/>
    </row>
    <row r="10176" spans="3:4">
      <c r="C10176"/>
      <c r="D10176"/>
    </row>
    <row r="10177" spans="3:4">
      <c r="C10177"/>
      <c r="D10177"/>
    </row>
    <row r="10178" spans="3:4">
      <c r="C10178"/>
      <c r="D10178"/>
    </row>
    <row r="10179" spans="3:4">
      <c r="C10179"/>
      <c r="D10179"/>
    </row>
    <row r="10180" spans="3:4">
      <c r="C10180"/>
      <c r="D10180"/>
    </row>
    <row r="10181" spans="3:4">
      <c r="C10181"/>
      <c r="D10181"/>
    </row>
    <row r="10182" spans="3:4">
      <c r="C10182"/>
      <c r="D10182"/>
    </row>
    <row r="10183" spans="3:4">
      <c r="C10183"/>
      <c r="D10183"/>
    </row>
    <row r="10184" spans="3:4">
      <c r="C10184"/>
      <c r="D10184"/>
    </row>
    <row r="10185" spans="3:4">
      <c r="C10185"/>
      <c r="D10185"/>
    </row>
    <row r="10186" spans="3:4">
      <c r="C10186"/>
      <c r="D10186"/>
    </row>
    <row r="10187" spans="3:4">
      <c r="C10187"/>
      <c r="D10187"/>
    </row>
    <row r="10188" spans="3:4">
      <c r="C10188"/>
      <c r="D10188"/>
    </row>
    <row r="10189" spans="3:4">
      <c r="C10189"/>
      <c r="D10189"/>
    </row>
    <row r="10190" spans="3:4">
      <c r="C10190"/>
      <c r="D10190"/>
    </row>
    <row r="10191" spans="3:4">
      <c r="C10191"/>
      <c r="D10191"/>
    </row>
    <row r="10192" spans="3:4">
      <c r="C10192"/>
      <c r="D10192"/>
    </row>
    <row r="10193" spans="3:4">
      <c r="C10193"/>
      <c r="D10193"/>
    </row>
    <row r="10194" spans="3:4">
      <c r="C10194"/>
      <c r="D10194"/>
    </row>
    <row r="10195" spans="3:4">
      <c r="C10195"/>
      <c r="D10195"/>
    </row>
    <row r="10196" spans="3:4">
      <c r="C10196"/>
      <c r="D10196"/>
    </row>
    <row r="10197" spans="3:4">
      <c r="C10197"/>
      <c r="D10197"/>
    </row>
    <row r="10198" spans="3:4">
      <c r="C10198"/>
      <c r="D10198"/>
    </row>
    <row r="10199" spans="3:4">
      <c r="C10199"/>
      <c r="D10199"/>
    </row>
    <row r="10200" spans="3:4">
      <c r="C10200"/>
      <c r="D10200"/>
    </row>
    <row r="10201" spans="3:4">
      <c r="C10201"/>
      <c r="D10201"/>
    </row>
    <row r="10202" spans="3:4">
      <c r="C10202"/>
      <c r="D10202"/>
    </row>
    <row r="10203" spans="3:4">
      <c r="C10203"/>
      <c r="D10203"/>
    </row>
    <row r="10204" spans="3:4">
      <c r="C10204"/>
      <c r="D10204"/>
    </row>
    <row r="10205" spans="3:4">
      <c r="C10205"/>
      <c r="D10205"/>
    </row>
    <row r="10206" spans="3:4">
      <c r="C10206"/>
      <c r="D10206"/>
    </row>
    <row r="10207" spans="3:4">
      <c r="C10207"/>
      <c r="D10207"/>
    </row>
    <row r="10208" spans="3:4">
      <c r="C10208"/>
      <c r="D10208"/>
    </row>
    <row r="10209" spans="3:4">
      <c r="C10209"/>
      <c r="D10209"/>
    </row>
    <row r="10210" spans="3:4">
      <c r="C10210"/>
      <c r="D10210"/>
    </row>
    <row r="10211" spans="3:4">
      <c r="C10211"/>
      <c r="D10211"/>
    </row>
    <row r="10212" spans="3:4">
      <c r="C10212"/>
      <c r="D10212"/>
    </row>
    <row r="10213" spans="3:4">
      <c r="C10213"/>
      <c r="D10213"/>
    </row>
    <row r="10214" spans="3:4">
      <c r="C10214"/>
      <c r="D10214"/>
    </row>
    <row r="10215" spans="3:4">
      <c r="C10215"/>
      <c r="D10215"/>
    </row>
    <row r="10216" spans="3:4">
      <c r="C10216"/>
      <c r="D10216"/>
    </row>
    <row r="10217" spans="3:4">
      <c r="C10217"/>
      <c r="D10217"/>
    </row>
    <row r="10218" spans="3:4">
      <c r="C10218"/>
      <c r="D10218"/>
    </row>
    <row r="10219" spans="3:4">
      <c r="C10219"/>
      <c r="D10219"/>
    </row>
    <row r="10220" spans="3:4">
      <c r="C10220"/>
      <c r="D10220"/>
    </row>
    <row r="10221" spans="3:4">
      <c r="C10221"/>
      <c r="D10221"/>
    </row>
    <row r="10222" spans="3:4">
      <c r="C10222"/>
      <c r="D10222"/>
    </row>
    <row r="10223" spans="3:4">
      <c r="C10223"/>
      <c r="D10223"/>
    </row>
    <row r="10224" spans="3:4">
      <c r="C10224"/>
      <c r="D10224"/>
    </row>
    <row r="10225" spans="3:4">
      <c r="C10225"/>
      <c r="D10225"/>
    </row>
    <row r="10226" spans="3:4">
      <c r="C10226"/>
      <c r="D10226"/>
    </row>
    <row r="10227" spans="3:4">
      <c r="C10227"/>
      <c r="D10227"/>
    </row>
    <row r="10228" spans="3:4">
      <c r="C10228"/>
      <c r="D10228"/>
    </row>
    <row r="10229" spans="3:4">
      <c r="C10229"/>
      <c r="D10229"/>
    </row>
    <row r="10230" spans="3:4">
      <c r="C10230"/>
      <c r="D10230"/>
    </row>
    <row r="10231" spans="3:4">
      <c r="C10231"/>
      <c r="D10231"/>
    </row>
    <row r="10232" spans="3:4">
      <c r="C10232"/>
      <c r="D10232"/>
    </row>
    <row r="10233" spans="3:4">
      <c r="C10233"/>
      <c r="D10233"/>
    </row>
    <row r="10234" spans="3:4">
      <c r="C10234"/>
      <c r="D10234"/>
    </row>
    <row r="10235" spans="3:4">
      <c r="C10235"/>
      <c r="D10235"/>
    </row>
    <row r="10236" spans="3:4">
      <c r="C10236"/>
      <c r="D10236"/>
    </row>
    <row r="10237" spans="3:4">
      <c r="C10237"/>
      <c r="D10237"/>
    </row>
    <row r="10238" spans="3:4">
      <c r="C10238"/>
      <c r="D10238"/>
    </row>
    <row r="10239" spans="3:4">
      <c r="C10239"/>
      <c r="D10239"/>
    </row>
    <row r="10240" spans="3:4">
      <c r="C10240"/>
      <c r="D10240"/>
    </row>
    <row r="10241" spans="3:4">
      <c r="C10241"/>
      <c r="D10241"/>
    </row>
    <row r="10242" spans="3:4">
      <c r="C10242"/>
      <c r="D10242"/>
    </row>
    <row r="10243" spans="3:4">
      <c r="C10243"/>
      <c r="D10243"/>
    </row>
    <row r="10244" spans="3:4">
      <c r="C10244"/>
      <c r="D10244"/>
    </row>
    <row r="10245" spans="3:4">
      <c r="C10245"/>
      <c r="D10245"/>
    </row>
    <row r="10246" spans="3:4">
      <c r="C10246"/>
      <c r="D10246"/>
    </row>
    <row r="10247" spans="3:4">
      <c r="C10247"/>
      <c r="D10247"/>
    </row>
    <row r="10248" spans="3:4">
      <c r="C10248"/>
      <c r="D10248"/>
    </row>
    <row r="10249" spans="3:4">
      <c r="C10249"/>
      <c r="D10249"/>
    </row>
    <row r="10250" spans="3:4">
      <c r="C10250"/>
      <c r="D10250"/>
    </row>
    <row r="10251" spans="3:4">
      <c r="C10251"/>
      <c r="D10251"/>
    </row>
    <row r="10252" spans="3:4">
      <c r="C10252"/>
      <c r="D10252"/>
    </row>
    <row r="10253" spans="3:4">
      <c r="C10253"/>
      <c r="D10253"/>
    </row>
    <row r="10254" spans="3:4">
      <c r="C10254"/>
      <c r="D10254"/>
    </row>
    <row r="10255" spans="3:4">
      <c r="C10255"/>
      <c r="D10255"/>
    </row>
    <row r="10256" spans="3:4">
      <c r="C10256"/>
      <c r="D10256"/>
    </row>
    <row r="10257" spans="3:4">
      <c r="C10257"/>
      <c r="D10257"/>
    </row>
    <row r="10258" spans="3:4">
      <c r="C10258"/>
      <c r="D10258"/>
    </row>
    <row r="10259" spans="3:4">
      <c r="C10259"/>
      <c r="D10259"/>
    </row>
    <row r="10260" spans="3:4">
      <c r="C10260"/>
      <c r="D10260"/>
    </row>
    <row r="10261" spans="3:4">
      <c r="C10261"/>
      <c r="D10261"/>
    </row>
    <row r="10262" spans="3:4">
      <c r="C10262"/>
      <c r="D10262"/>
    </row>
    <row r="10263" spans="3:4">
      <c r="C10263"/>
      <c r="D10263"/>
    </row>
    <row r="10264" spans="3:4">
      <c r="C10264"/>
      <c r="D10264"/>
    </row>
    <row r="10265" spans="3:4">
      <c r="C10265"/>
      <c r="D10265"/>
    </row>
    <row r="10266" spans="3:4">
      <c r="C10266"/>
      <c r="D10266"/>
    </row>
    <row r="10267" spans="3:4">
      <c r="C10267"/>
      <c r="D10267"/>
    </row>
    <row r="10268" spans="3:4">
      <c r="C10268"/>
      <c r="D10268"/>
    </row>
    <row r="10269" spans="3:4">
      <c r="C10269"/>
      <c r="D10269"/>
    </row>
    <row r="10270" spans="3:4">
      <c r="C10270"/>
      <c r="D10270"/>
    </row>
    <row r="10271" spans="3:4">
      <c r="C10271"/>
      <c r="D10271"/>
    </row>
    <row r="10272" spans="3:4">
      <c r="C10272"/>
      <c r="D10272"/>
    </row>
    <row r="10273" spans="3:4">
      <c r="C10273"/>
      <c r="D10273"/>
    </row>
    <row r="10274" spans="3:4">
      <c r="C10274"/>
      <c r="D10274"/>
    </row>
    <row r="10275" spans="3:4">
      <c r="C10275"/>
      <c r="D10275"/>
    </row>
    <row r="10276" spans="3:4">
      <c r="C10276"/>
      <c r="D10276"/>
    </row>
    <row r="10277" spans="3:4">
      <c r="C10277"/>
      <c r="D10277"/>
    </row>
    <row r="10278" spans="3:4">
      <c r="C10278"/>
      <c r="D10278"/>
    </row>
    <row r="10279" spans="3:4">
      <c r="C10279"/>
      <c r="D10279"/>
    </row>
    <row r="10280" spans="3:4">
      <c r="C10280"/>
      <c r="D10280"/>
    </row>
    <row r="10281" spans="3:4">
      <c r="C10281"/>
      <c r="D10281"/>
    </row>
    <row r="10282" spans="3:4">
      <c r="C10282"/>
      <c r="D10282"/>
    </row>
    <row r="10283" spans="3:4">
      <c r="C10283"/>
      <c r="D10283"/>
    </row>
    <row r="10284" spans="3:4">
      <c r="C10284"/>
      <c r="D10284"/>
    </row>
    <row r="10285" spans="3:4">
      <c r="C10285"/>
      <c r="D10285"/>
    </row>
    <row r="10286" spans="3:4">
      <c r="C10286"/>
      <c r="D10286"/>
    </row>
    <row r="10287" spans="3:4">
      <c r="C10287"/>
      <c r="D10287"/>
    </row>
    <row r="10288" spans="3:4">
      <c r="C10288"/>
      <c r="D10288"/>
    </row>
    <row r="10289" spans="3:4">
      <c r="C10289"/>
      <c r="D10289"/>
    </row>
    <row r="10290" spans="3:4">
      <c r="C10290"/>
      <c r="D10290"/>
    </row>
    <row r="10291" spans="3:4">
      <c r="C10291"/>
      <c r="D10291"/>
    </row>
    <row r="10292" spans="3:4">
      <c r="C10292"/>
      <c r="D10292"/>
    </row>
    <row r="10293" spans="3:4">
      <c r="C10293"/>
      <c r="D10293"/>
    </row>
    <row r="10294" spans="3:4">
      <c r="C10294"/>
      <c r="D10294"/>
    </row>
    <row r="10295" spans="3:4">
      <c r="C10295"/>
      <c r="D10295"/>
    </row>
    <row r="10296" spans="3:4">
      <c r="C10296"/>
      <c r="D10296"/>
    </row>
    <row r="10297" spans="3:4">
      <c r="C10297"/>
      <c r="D10297"/>
    </row>
    <row r="10298" spans="3:4">
      <c r="C10298"/>
      <c r="D10298"/>
    </row>
    <row r="10299" spans="3:4">
      <c r="C10299"/>
      <c r="D10299"/>
    </row>
    <row r="10300" spans="3:4">
      <c r="C10300"/>
      <c r="D10300"/>
    </row>
    <row r="10301" spans="3:4">
      <c r="C10301"/>
      <c r="D10301"/>
    </row>
    <row r="10302" spans="3:4">
      <c r="C10302"/>
      <c r="D10302"/>
    </row>
    <row r="10303" spans="3:4">
      <c r="C10303"/>
      <c r="D10303"/>
    </row>
    <row r="10304" spans="3:4">
      <c r="C10304"/>
      <c r="D10304"/>
    </row>
    <row r="10305" spans="3:4">
      <c r="C10305"/>
      <c r="D10305"/>
    </row>
    <row r="10306" spans="3:4">
      <c r="C10306"/>
      <c r="D10306"/>
    </row>
    <row r="10307" spans="3:4">
      <c r="C10307"/>
      <c r="D10307"/>
    </row>
    <row r="10308" spans="3:4">
      <c r="C10308"/>
      <c r="D10308"/>
    </row>
    <row r="10309" spans="3:4">
      <c r="C10309"/>
      <c r="D10309"/>
    </row>
    <row r="10310" spans="3:4">
      <c r="C10310"/>
      <c r="D10310"/>
    </row>
    <row r="10311" spans="3:4">
      <c r="C10311"/>
      <c r="D10311"/>
    </row>
    <row r="10312" spans="3:4">
      <c r="C10312"/>
      <c r="D10312"/>
    </row>
    <row r="10313" spans="3:4">
      <c r="C10313"/>
      <c r="D10313"/>
    </row>
    <row r="10314" spans="3:4">
      <c r="C10314"/>
      <c r="D10314"/>
    </row>
    <row r="10315" spans="3:4">
      <c r="C10315"/>
      <c r="D10315"/>
    </row>
    <row r="10316" spans="3:4">
      <c r="C10316"/>
      <c r="D10316"/>
    </row>
    <row r="10317" spans="3:4">
      <c r="C10317"/>
      <c r="D10317"/>
    </row>
    <row r="10318" spans="3:4">
      <c r="C10318"/>
      <c r="D10318"/>
    </row>
    <row r="10319" spans="3:4">
      <c r="C10319"/>
      <c r="D10319"/>
    </row>
    <row r="10320" spans="3:4">
      <c r="C10320"/>
      <c r="D10320"/>
    </row>
    <row r="10321" spans="3:4">
      <c r="C10321"/>
      <c r="D10321"/>
    </row>
    <row r="10322" spans="3:4">
      <c r="C10322"/>
      <c r="D10322"/>
    </row>
    <row r="10323" spans="3:4">
      <c r="C10323"/>
      <c r="D10323"/>
    </row>
    <row r="10324" spans="3:4">
      <c r="C10324"/>
      <c r="D10324"/>
    </row>
    <row r="10325" spans="3:4">
      <c r="C10325"/>
      <c r="D10325"/>
    </row>
    <row r="10326" spans="3:4">
      <c r="C10326"/>
      <c r="D10326"/>
    </row>
    <row r="10327" spans="3:4">
      <c r="C10327"/>
      <c r="D10327"/>
    </row>
    <row r="10328" spans="3:4">
      <c r="C10328"/>
      <c r="D10328"/>
    </row>
    <row r="10329" spans="3:4">
      <c r="C10329"/>
      <c r="D10329"/>
    </row>
    <row r="10330" spans="3:4">
      <c r="C10330"/>
      <c r="D10330"/>
    </row>
    <row r="10331" spans="3:4">
      <c r="C10331"/>
      <c r="D10331"/>
    </row>
    <row r="10332" spans="3:4">
      <c r="C10332"/>
      <c r="D10332"/>
    </row>
    <row r="10333" spans="3:4">
      <c r="C10333"/>
      <c r="D10333"/>
    </row>
    <row r="10334" spans="3:4">
      <c r="C10334"/>
      <c r="D10334"/>
    </row>
    <row r="10335" spans="3:4">
      <c r="C10335"/>
      <c r="D10335"/>
    </row>
    <row r="10336" spans="3:4">
      <c r="C10336"/>
      <c r="D10336"/>
    </row>
    <row r="10337" spans="3:4">
      <c r="C10337"/>
      <c r="D10337"/>
    </row>
    <row r="10338" spans="3:4">
      <c r="C10338"/>
      <c r="D10338"/>
    </row>
    <row r="10339" spans="3:4">
      <c r="C10339"/>
      <c r="D10339"/>
    </row>
    <row r="10340" spans="3:4">
      <c r="C10340"/>
      <c r="D10340"/>
    </row>
    <row r="10341" spans="3:4">
      <c r="C10341"/>
      <c r="D10341"/>
    </row>
    <row r="10342" spans="3:4">
      <c r="C10342"/>
      <c r="D10342"/>
    </row>
    <row r="10343" spans="3:4">
      <c r="C10343"/>
      <c r="D10343"/>
    </row>
    <row r="10344" spans="3:4">
      <c r="C10344"/>
      <c r="D10344"/>
    </row>
    <row r="10345" spans="3:4">
      <c r="C10345"/>
      <c r="D10345"/>
    </row>
    <row r="10346" spans="3:4">
      <c r="C10346"/>
      <c r="D10346"/>
    </row>
    <row r="10347" spans="3:4">
      <c r="C10347"/>
      <c r="D10347"/>
    </row>
    <row r="10348" spans="3:4">
      <c r="C10348"/>
      <c r="D10348"/>
    </row>
    <row r="10349" spans="3:4">
      <c r="C10349"/>
      <c r="D10349"/>
    </row>
    <row r="10350" spans="3:4">
      <c r="C10350"/>
      <c r="D10350"/>
    </row>
    <row r="10351" spans="3:4">
      <c r="C10351"/>
      <c r="D10351"/>
    </row>
    <row r="10352" spans="3:4">
      <c r="C10352"/>
      <c r="D10352"/>
    </row>
    <row r="10353" spans="3:4">
      <c r="C10353"/>
      <c r="D10353"/>
    </row>
    <row r="10354" spans="3:4">
      <c r="C10354"/>
      <c r="D10354"/>
    </row>
    <row r="10355" spans="3:4">
      <c r="C10355"/>
      <c r="D10355"/>
    </row>
    <row r="10356" spans="3:4">
      <c r="C10356"/>
      <c r="D10356"/>
    </row>
    <row r="10357" spans="3:4">
      <c r="C10357"/>
      <c r="D10357"/>
    </row>
    <row r="10358" spans="3:4">
      <c r="C10358"/>
      <c r="D10358"/>
    </row>
    <row r="10359" spans="3:4">
      <c r="C10359"/>
      <c r="D10359"/>
    </row>
    <row r="10360" spans="3:4">
      <c r="C10360"/>
      <c r="D10360"/>
    </row>
    <row r="10361" spans="3:4">
      <c r="C10361"/>
      <c r="D10361"/>
    </row>
    <row r="10362" spans="3:4">
      <c r="C10362"/>
      <c r="D10362"/>
    </row>
    <row r="10363" spans="3:4">
      <c r="C10363"/>
      <c r="D10363"/>
    </row>
    <row r="10364" spans="3:4">
      <c r="C10364"/>
      <c r="D10364"/>
    </row>
    <row r="10365" spans="3:4">
      <c r="C10365"/>
      <c r="D10365"/>
    </row>
    <row r="10366" spans="3:4">
      <c r="C10366"/>
      <c r="D10366"/>
    </row>
    <row r="10367" spans="3:4">
      <c r="C10367"/>
      <c r="D10367"/>
    </row>
    <row r="10368" spans="3:4">
      <c r="C10368"/>
      <c r="D10368"/>
    </row>
    <row r="10369" spans="3:4">
      <c r="C10369"/>
      <c r="D10369"/>
    </row>
    <row r="10370" spans="3:4">
      <c r="C10370"/>
      <c r="D10370"/>
    </row>
    <row r="10371" spans="3:4">
      <c r="C10371"/>
      <c r="D10371"/>
    </row>
    <row r="10372" spans="3:4">
      <c r="C10372"/>
      <c r="D10372"/>
    </row>
    <row r="10373" spans="3:4">
      <c r="C10373"/>
      <c r="D10373"/>
    </row>
    <row r="10374" spans="3:4">
      <c r="C10374"/>
      <c r="D10374"/>
    </row>
    <row r="10375" spans="3:4">
      <c r="C10375"/>
      <c r="D10375"/>
    </row>
    <row r="10376" spans="3:4">
      <c r="C10376"/>
      <c r="D10376"/>
    </row>
    <row r="10377" spans="3:4">
      <c r="C10377"/>
      <c r="D10377"/>
    </row>
    <row r="10378" spans="3:4">
      <c r="C10378"/>
      <c r="D10378"/>
    </row>
    <row r="10379" spans="3:4">
      <c r="C10379"/>
      <c r="D10379"/>
    </row>
    <row r="10380" spans="3:4">
      <c r="C10380"/>
      <c r="D10380"/>
    </row>
    <row r="10381" spans="3:4">
      <c r="C10381"/>
      <c r="D10381"/>
    </row>
    <row r="10382" spans="3:4">
      <c r="C10382"/>
      <c r="D10382"/>
    </row>
    <row r="10383" spans="3:4">
      <c r="C10383"/>
      <c r="D10383"/>
    </row>
    <row r="10384" spans="3:4">
      <c r="C10384"/>
      <c r="D10384"/>
    </row>
    <row r="10385" spans="3:4">
      <c r="C10385"/>
      <c r="D10385"/>
    </row>
    <row r="10386" spans="3:4">
      <c r="C10386"/>
      <c r="D10386"/>
    </row>
    <row r="10387" spans="3:4">
      <c r="C10387"/>
      <c r="D10387"/>
    </row>
    <row r="10388" spans="3:4">
      <c r="C10388"/>
      <c r="D10388"/>
    </row>
    <row r="10389" spans="3:4">
      <c r="C10389"/>
      <c r="D10389"/>
    </row>
    <row r="10390" spans="3:4">
      <c r="C10390"/>
      <c r="D10390"/>
    </row>
    <row r="10391" spans="3:4">
      <c r="C10391"/>
      <c r="D10391"/>
    </row>
    <row r="10392" spans="3:4">
      <c r="C10392"/>
      <c r="D10392"/>
    </row>
    <row r="10393" spans="3:4">
      <c r="C10393"/>
      <c r="D10393"/>
    </row>
    <row r="10394" spans="3:4">
      <c r="C10394"/>
      <c r="D10394"/>
    </row>
    <row r="10395" spans="3:4">
      <c r="C10395"/>
      <c r="D10395"/>
    </row>
    <row r="10396" spans="3:4">
      <c r="C10396"/>
      <c r="D10396"/>
    </row>
    <row r="10397" spans="3:4">
      <c r="C10397"/>
      <c r="D10397"/>
    </row>
    <row r="10398" spans="3:4">
      <c r="C10398"/>
      <c r="D10398"/>
    </row>
    <row r="10399" spans="3:4">
      <c r="C10399"/>
      <c r="D10399"/>
    </row>
    <row r="10400" spans="3:4">
      <c r="C10400"/>
      <c r="D10400"/>
    </row>
    <row r="10401" spans="3:4">
      <c r="C10401"/>
      <c r="D10401"/>
    </row>
    <row r="10402" spans="3:4">
      <c r="C10402"/>
      <c r="D10402"/>
    </row>
    <row r="10403" spans="3:4">
      <c r="C10403"/>
      <c r="D10403"/>
    </row>
    <row r="10404" spans="3:4">
      <c r="C10404"/>
      <c r="D10404"/>
    </row>
    <row r="10405" spans="3:4">
      <c r="C10405"/>
      <c r="D10405"/>
    </row>
    <row r="10406" spans="3:4">
      <c r="C10406"/>
      <c r="D10406"/>
    </row>
    <row r="10407" spans="3:4">
      <c r="C10407"/>
      <c r="D10407"/>
    </row>
    <row r="10408" spans="3:4">
      <c r="C10408"/>
      <c r="D10408"/>
    </row>
    <row r="10409" spans="3:4">
      <c r="C10409"/>
      <c r="D10409"/>
    </row>
    <row r="10410" spans="3:4">
      <c r="C10410"/>
      <c r="D10410"/>
    </row>
    <row r="10411" spans="3:4">
      <c r="C10411"/>
      <c r="D10411"/>
    </row>
    <row r="10412" spans="3:4">
      <c r="C10412"/>
      <c r="D10412"/>
    </row>
    <row r="10413" spans="3:4">
      <c r="C10413"/>
      <c r="D10413"/>
    </row>
    <row r="10414" spans="3:4">
      <c r="C10414"/>
      <c r="D10414"/>
    </row>
    <row r="10415" spans="3:4">
      <c r="C10415"/>
      <c r="D10415"/>
    </row>
    <row r="10416" spans="3:4">
      <c r="C10416"/>
      <c r="D10416"/>
    </row>
    <row r="10417" spans="3:4">
      <c r="C10417"/>
      <c r="D10417"/>
    </row>
    <row r="10418" spans="3:4">
      <c r="C10418"/>
      <c r="D10418"/>
    </row>
    <row r="10419" spans="3:4">
      <c r="C10419"/>
      <c r="D10419"/>
    </row>
    <row r="10420" spans="3:4">
      <c r="C10420"/>
      <c r="D10420"/>
    </row>
    <row r="10421" spans="3:4">
      <c r="C10421"/>
      <c r="D10421"/>
    </row>
    <row r="10422" spans="3:4">
      <c r="C10422"/>
      <c r="D10422"/>
    </row>
    <row r="10423" spans="3:4">
      <c r="C10423"/>
      <c r="D10423"/>
    </row>
    <row r="10424" spans="3:4">
      <c r="C10424"/>
      <c r="D10424"/>
    </row>
    <row r="10425" spans="3:4">
      <c r="C10425"/>
      <c r="D10425"/>
    </row>
    <row r="10426" spans="3:4">
      <c r="C10426"/>
      <c r="D10426"/>
    </row>
    <row r="10427" spans="3:4">
      <c r="C10427"/>
      <c r="D10427"/>
    </row>
    <row r="10428" spans="3:4">
      <c r="C10428"/>
      <c r="D10428"/>
    </row>
    <row r="10429" spans="3:4">
      <c r="C10429"/>
      <c r="D10429"/>
    </row>
    <row r="10430" spans="3:4">
      <c r="C10430"/>
      <c r="D10430"/>
    </row>
    <row r="10431" spans="3:4">
      <c r="C10431"/>
      <c r="D10431"/>
    </row>
    <row r="10432" spans="3:4">
      <c r="C10432"/>
      <c r="D10432"/>
    </row>
    <row r="10433" spans="3:4">
      <c r="C10433"/>
      <c r="D10433"/>
    </row>
    <row r="10434" spans="3:4">
      <c r="C10434"/>
      <c r="D10434"/>
    </row>
    <row r="10435" spans="3:4">
      <c r="C10435"/>
      <c r="D10435"/>
    </row>
    <row r="10436" spans="3:4">
      <c r="C10436"/>
      <c r="D10436"/>
    </row>
    <row r="10437" spans="3:4">
      <c r="C10437"/>
      <c r="D10437"/>
    </row>
    <row r="10438" spans="3:4">
      <c r="C10438"/>
      <c r="D10438"/>
    </row>
    <row r="10439" spans="3:4">
      <c r="C10439"/>
      <c r="D10439"/>
    </row>
    <row r="10440" spans="3:4">
      <c r="C10440"/>
      <c r="D10440"/>
    </row>
    <row r="10441" spans="3:4">
      <c r="C10441"/>
      <c r="D10441"/>
    </row>
    <row r="10442" spans="3:4">
      <c r="C10442"/>
      <c r="D10442"/>
    </row>
    <row r="10443" spans="3:4">
      <c r="C10443"/>
      <c r="D10443"/>
    </row>
    <row r="10444" spans="3:4">
      <c r="C10444"/>
      <c r="D10444"/>
    </row>
    <row r="10445" spans="3:4">
      <c r="C10445"/>
      <c r="D10445"/>
    </row>
    <row r="10446" spans="3:4">
      <c r="C10446"/>
      <c r="D10446"/>
    </row>
    <row r="10447" spans="3:4">
      <c r="C10447"/>
      <c r="D10447"/>
    </row>
    <row r="10448" spans="3:4">
      <c r="C10448"/>
      <c r="D10448"/>
    </row>
    <row r="10449" spans="3:4">
      <c r="C10449"/>
      <c r="D10449"/>
    </row>
    <row r="10450" spans="3:4">
      <c r="C10450"/>
      <c r="D10450"/>
    </row>
    <row r="10451" spans="3:4">
      <c r="C10451"/>
      <c r="D10451"/>
    </row>
    <row r="10452" spans="3:4">
      <c r="C10452"/>
      <c r="D10452"/>
    </row>
    <row r="10453" spans="3:4">
      <c r="C10453"/>
      <c r="D10453"/>
    </row>
    <row r="10454" spans="3:4">
      <c r="C10454"/>
      <c r="D10454"/>
    </row>
    <row r="10455" spans="3:4">
      <c r="C10455"/>
      <c r="D10455"/>
    </row>
    <row r="10456" spans="3:4">
      <c r="C10456"/>
      <c r="D10456"/>
    </row>
    <row r="10457" spans="3:4">
      <c r="C10457"/>
      <c r="D10457"/>
    </row>
    <row r="10458" spans="3:4">
      <c r="C10458"/>
      <c r="D10458"/>
    </row>
    <row r="10459" spans="3:4">
      <c r="C10459"/>
      <c r="D10459"/>
    </row>
    <row r="10460" spans="3:4">
      <c r="C10460"/>
      <c r="D10460"/>
    </row>
    <row r="10461" spans="3:4">
      <c r="C10461"/>
      <c r="D10461"/>
    </row>
    <row r="10462" spans="3:4">
      <c r="C10462"/>
      <c r="D10462"/>
    </row>
    <row r="10463" spans="3:4">
      <c r="C10463"/>
      <c r="D10463"/>
    </row>
    <row r="10464" spans="3:4">
      <c r="C10464"/>
      <c r="D10464"/>
    </row>
    <row r="10465" spans="3:4">
      <c r="C10465"/>
      <c r="D10465"/>
    </row>
    <row r="10466" spans="3:4">
      <c r="C10466"/>
      <c r="D10466"/>
    </row>
    <row r="10467" spans="3:4">
      <c r="C10467"/>
      <c r="D10467"/>
    </row>
    <row r="10468" spans="3:4">
      <c r="C10468"/>
      <c r="D10468"/>
    </row>
    <row r="10469" spans="3:4">
      <c r="C10469"/>
      <c r="D10469"/>
    </row>
    <row r="10470" spans="3:4">
      <c r="C10470"/>
      <c r="D10470"/>
    </row>
    <row r="10471" spans="3:4">
      <c r="C10471"/>
      <c r="D10471"/>
    </row>
    <row r="10472" spans="3:4">
      <c r="C10472"/>
      <c r="D10472"/>
    </row>
    <row r="10473" spans="3:4">
      <c r="C10473"/>
      <c r="D10473"/>
    </row>
    <row r="10474" spans="3:4">
      <c r="C10474"/>
      <c r="D10474"/>
    </row>
    <row r="10475" spans="3:4">
      <c r="C10475"/>
      <c r="D10475"/>
    </row>
    <row r="10476" spans="3:4">
      <c r="C10476"/>
      <c r="D10476"/>
    </row>
    <row r="10477" spans="3:4">
      <c r="C10477"/>
      <c r="D10477"/>
    </row>
    <row r="10478" spans="3:4">
      <c r="C10478"/>
      <c r="D10478"/>
    </row>
    <row r="10479" spans="3:4">
      <c r="C10479"/>
      <c r="D10479"/>
    </row>
    <row r="10480" spans="3:4">
      <c r="C10480"/>
      <c r="D10480"/>
    </row>
    <row r="10481" spans="3:4">
      <c r="C10481"/>
      <c r="D10481"/>
    </row>
    <row r="10482" spans="3:4">
      <c r="C10482"/>
      <c r="D10482"/>
    </row>
    <row r="10483" spans="3:4">
      <c r="C10483"/>
      <c r="D10483"/>
    </row>
    <row r="10484" spans="3:4">
      <c r="C10484"/>
      <c r="D10484"/>
    </row>
    <row r="10485" spans="3:4">
      <c r="C10485"/>
      <c r="D10485"/>
    </row>
    <row r="10486" spans="3:4">
      <c r="C10486"/>
      <c r="D10486"/>
    </row>
    <row r="10487" spans="3:4">
      <c r="C10487"/>
      <c r="D10487"/>
    </row>
    <row r="10488" spans="3:4">
      <c r="C10488"/>
      <c r="D10488"/>
    </row>
    <row r="10489" spans="3:4">
      <c r="C10489"/>
      <c r="D10489"/>
    </row>
    <row r="10490" spans="3:4">
      <c r="C10490"/>
      <c r="D10490"/>
    </row>
    <row r="10491" spans="3:4">
      <c r="C10491"/>
      <c r="D10491"/>
    </row>
    <row r="10492" spans="3:4">
      <c r="C10492"/>
      <c r="D10492"/>
    </row>
    <row r="10493" spans="3:4">
      <c r="C10493"/>
      <c r="D10493"/>
    </row>
    <row r="10494" spans="3:4">
      <c r="C10494"/>
      <c r="D10494"/>
    </row>
    <row r="10495" spans="3:4">
      <c r="C10495"/>
      <c r="D10495"/>
    </row>
    <row r="10496" spans="3:4">
      <c r="C10496"/>
      <c r="D10496"/>
    </row>
    <row r="10497" spans="3:4">
      <c r="C10497"/>
      <c r="D10497"/>
    </row>
    <row r="10498" spans="3:4">
      <c r="C10498"/>
      <c r="D10498"/>
    </row>
    <row r="10499" spans="3:4">
      <c r="C10499"/>
      <c r="D10499"/>
    </row>
    <row r="10500" spans="3:4">
      <c r="C10500"/>
      <c r="D10500"/>
    </row>
    <row r="10501" spans="3:4">
      <c r="C10501"/>
      <c r="D10501"/>
    </row>
    <row r="10502" spans="3:4">
      <c r="C10502"/>
      <c r="D10502"/>
    </row>
    <row r="10503" spans="3:4">
      <c r="C10503"/>
      <c r="D10503"/>
    </row>
    <row r="10504" spans="3:4">
      <c r="C10504"/>
      <c r="D10504"/>
    </row>
    <row r="10505" spans="3:4">
      <c r="C10505"/>
      <c r="D10505"/>
    </row>
    <row r="10506" spans="3:4">
      <c r="C10506"/>
      <c r="D10506"/>
    </row>
    <row r="10507" spans="3:4">
      <c r="C10507"/>
      <c r="D10507"/>
    </row>
    <row r="10508" spans="3:4">
      <c r="C10508"/>
      <c r="D10508"/>
    </row>
    <row r="10509" spans="3:4">
      <c r="C10509"/>
      <c r="D10509"/>
    </row>
    <row r="10510" spans="3:4">
      <c r="C10510"/>
      <c r="D10510"/>
    </row>
    <row r="10511" spans="3:4">
      <c r="C10511"/>
      <c r="D10511"/>
    </row>
    <row r="10512" spans="3:4">
      <c r="C10512"/>
      <c r="D10512"/>
    </row>
    <row r="10513" spans="3:4">
      <c r="C10513"/>
      <c r="D10513"/>
    </row>
    <row r="10514" spans="3:4">
      <c r="C10514"/>
      <c r="D10514"/>
    </row>
    <row r="10515" spans="3:4">
      <c r="C10515"/>
      <c r="D10515"/>
    </row>
    <row r="10516" spans="3:4">
      <c r="C10516"/>
      <c r="D10516"/>
    </row>
    <row r="10517" spans="3:4">
      <c r="C10517"/>
      <c r="D10517"/>
    </row>
    <row r="10518" spans="3:4">
      <c r="C10518"/>
      <c r="D10518"/>
    </row>
    <row r="10519" spans="3:4">
      <c r="C10519"/>
      <c r="D10519"/>
    </row>
    <row r="10520" spans="3:4">
      <c r="C10520"/>
      <c r="D10520"/>
    </row>
    <row r="10521" spans="3:4">
      <c r="C10521"/>
      <c r="D10521"/>
    </row>
    <row r="10522" spans="3:4">
      <c r="C10522"/>
      <c r="D10522"/>
    </row>
    <row r="10523" spans="3:4">
      <c r="C10523"/>
      <c r="D10523"/>
    </row>
    <row r="10524" spans="3:4">
      <c r="C10524"/>
      <c r="D10524"/>
    </row>
    <row r="10525" spans="3:4">
      <c r="C10525"/>
      <c r="D10525"/>
    </row>
    <row r="10526" spans="3:4">
      <c r="C10526"/>
      <c r="D10526"/>
    </row>
    <row r="10527" spans="3:4">
      <c r="C10527"/>
      <c r="D10527"/>
    </row>
    <row r="10528" spans="3:4">
      <c r="C10528"/>
      <c r="D10528"/>
    </row>
    <row r="10529" spans="3:4">
      <c r="C10529"/>
      <c r="D10529"/>
    </row>
    <row r="10530" spans="3:4">
      <c r="C10530"/>
      <c r="D10530"/>
    </row>
    <row r="10531" spans="3:4">
      <c r="C10531"/>
      <c r="D10531"/>
    </row>
    <row r="10532" spans="3:4">
      <c r="C10532"/>
      <c r="D10532"/>
    </row>
    <row r="10533" spans="3:4">
      <c r="C10533"/>
      <c r="D10533"/>
    </row>
    <row r="10534" spans="3:4">
      <c r="C10534"/>
      <c r="D10534"/>
    </row>
    <row r="10535" spans="3:4">
      <c r="C10535"/>
      <c r="D10535"/>
    </row>
    <row r="10536" spans="3:4">
      <c r="C10536"/>
      <c r="D10536"/>
    </row>
    <row r="10537" spans="3:4">
      <c r="C10537"/>
      <c r="D10537"/>
    </row>
    <row r="10538" spans="3:4">
      <c r="C10538"/>
      <c r="D10538"/>
    </row>
    <row r="10539" spans="3:4">
      <c r="C10539"/>
      <c r="D10539"/>
    </row>
    <row r="10540" spans="3:4">
      <c r="C10540"/>
      <c r="D10540"/>
    </row>
    <row r="10541" spans="3:4">
      <c r="C10541"/>
      <c r="D10541"/>
    </row>
    <row r="10542" spans="3:4">
      <c r="C10542"/>
      <c r="D10542"/>
    </row>
    <row r="10543" spans="3:4">
      <c r="C10543"/>
      <c r="D10543"/>
    </row>
    <row r="10544" spans="3:4">
      <c r="C10544"/>
      <c r="D10544"/>
    </row>
    <row r="10545" spans="3:4">
      <c r="C10545"/>
      <c r="D10545"/>
    </row>
    <row r="10546" spans="3:4">
      <c r="C10546"/>
      <c r="D10546"/>
    </row>
    <row r="10547" spans="3:4">
      <c r="C10547"/>
      <c r="D10547"/>
    </row>
    <row r="10548" spans="3:4">
      <c r="C10548"/>
      <c r="D10548"/>
    </row>
    <row r="10549" spans="3:4">
      <c r="C10549"/>
      <c r="D10549"/>
    </row>
    <row r="10550" spans="3:4">
      <c r="C10550"/>
      <c r="D10550"/>
    </row>
    <row r="10551" spans="3:4">
      <c r="C10551"/>
      <c r="D10551"/>
    </row>
    <row r="10552" spans="3:4">
      <c r="C10552"/>
      <c r="D10552"/>
    </row>
    <row r="10553" spans="3:4">
      <c r="C10553"/>
      <c r="D10553"/>
    </row>
    <row r="10554" spans="3:4">
      <c r="C10554"/>
      <c r="D10554"/>
    </row>
    <row r="10555" spans="3:4">
      <c r="C10555"/>
      <c r="D10555"/>
    </row>
    <row r="10556" spans="3:4">
      <c r="C10556"/>
      <c r="D10556"/>
    </row>
    <row r="10557" spans="3:4">
      <c r="C10557"/>
      <c r="D10557"/>
    </row>
    <row r="10558" spans="3:4">
      <c r="C10558"/>
      <c r="D10558"/>
    </row>
    <row r="10559" spans="3:4">
      <c r="C10559"/>
      <c r="D10559"/>
    </row>
    <row r="10560" spans="3:4">
      <c r="C10560"/>
      <c r="D10560"/>
    </row>
    <row r="10561" spans="3:4">
      <c r="C10561"/>
      <c r="D10561"/>
    </row>
    <row r="10562" spans="3:4">
      <c r="C10562"/>
      <c r="D10562"/>
    </row>
    <row r="10563" spans="3:4">
      <c r="C10563"/>
      <c r="D10563"/>
    </row>
    <row r="10564" spans="3:4">
      <c r="C10564"/>
      <c r="D10564"/>
    </row>
    <row r="10565" spans="3:4">
      <c r="C10565"/>
      <c r="D10565"/>
    </row>
    <row r="10566" spans="3:4">
      <c r="C10566"/>
      <c r="D10566"/>
    </row>
    <row r="10567" spans="3:4">
      <c r="C10567"/>
      <c r="D10567"/>
    </row>
    <row r="10568" spans="3:4">
      <c r="C10568"/>
      <c r="D10568"/>
    </row>
    <row r="10569" spans="3:4">
      <c r="C10569"/>
      <c r="D10569"/>
    </row>
    <row r="10570" spans="3:4">
      <c r="C10570"/>
      <c r="D10570"/>
    </row>
    <row r="10571" spans="3:4">
      <c r="C10571"/>
      <c r="D10571"/>
    </row>
    <row r="10572" spans="3:4">
      <c r="C10572"/>
      <c r="D10572"/>
    </row>
    <row r="10573" spans="3:4">
      <c r="C10573"/>
      <c r="D10573"/>
    </row>
    <row r="10574" spans="3:4">
      <c r="C10574"/>
      <c r="D10574"/>
    </row>
    <row r="10575" spans="3:4">
      <c r="C10575"/>
      <c r="D10575"/>
    </row>
    <row r="10576" spans="3:4">
      <c r="C10576"/>
      <c r="D10576"/>
    </row>
    <row r="10577" spans="3:4">
      <c r="C10577"/>
      <c r="D10577"/>
    </row>
    <row r="10578" spans="3:4">
      <c r="C10578"/>
      <c r="D10578"/>
    </row>
    <row r="10579" spans="3:4">
      <c r="C10579"/>
      <c r="D10579"/>
    </row>
    <row r="10580" spans="3:4">
      <c r="C10580"/>
      <c r="D10580"/>
    </row>
    <row r="10581" spans="3:4">
      <c r="C10581"/>
      <c r="D10581"/>
    </row>
    <row r="10582" spans="3:4">
      <c r="C10582"/>
      <c r="D10582"/>
    </row>
    <row r="10583" spans="3:4">
      <c r="C10583"/>
      <c r="D10583"/>
    </row>
    <row r="10584" spans="3:4">
      <c r="C10584"/>
      <c r="D10584"/>
    </row>
    <row r="10585" spans="3:4">
      <c r="C10585"/>
      <c r="D10585"/>
    </row>
    <row r="10586" spans="3:4">
      <c r="C10586"/>
      <c r="D10586"/>
    </row>
    <row r="10587" spans="3:4">
      <c r="C10587"/>
      <c r="D10587"/>
    </row>
    <row r="10588" spans="3:4">
      <c r="C10588"/>
      <c r="D10588"/>
    </row>
    <row r="10589" spans="3:4">
      <c r="C10589"/>
      <c r="D10589"/>
    </row>
    <row r="10590" spans="3:4">
      <c r="C10590"/>
      <c r="D10590"/>
    </row>
    <row r="10591" spans="3:4">
      <c r="C10591"/>
      <c r="D10591"/>
    </row>
    <row r="10592" spans="3:4">
      <c r="C10592"/>
      <c r="D10592"/>
    </row>
    <row r="10593" spans="3:4">
      <c r="C10593"/>
      <c r="D10593"/>
    </row>
    <row r="10594" spans="3:4">
      <c r="C10594"/>
      <c r="D10594"/>
    </row>
    <row r="10595" spans="3:4">
      <c r="C10595"/>
      <c r="D10595"/>
    </row>
    <row r="10596" spans="3:4">
      <c r="C10596"/>
      <c r="D10596"/>
    </row>
    <row r="10597" spans="3:4">
      <c r="C10597"/>
      <c r="D10597"/>
    </row>
    <row r="10598" spans="3:4">
      <c r="C10598"/>
      <c r="D10598"/>
    </row>
    <row r="10599" spans="3:4">
      <c r="C10599"/>
      <c r="D10599"/>
    </row>
    <row r="10600" spans="3:4">
      <c r="C10600"/>
      <c r="D10600"/>
    </row>
    <row r="10601" spans="3:4">
      <c r="C10601"/>
      <c r="D10601"/>
    </row>
    <row r="10602" spans="3:4">
      <c r="C10602"/>
      <c r="D10602"/>
    </row>
    <row r="10603" spans="3:4">
      <c r="C10603"/>
      <c r="D10603"/>
    </row>
    <row r="10604" spans="3:4">
      <c r="C10604"/>
      <c r="D10604"/>
    </row>
    <row r="10605" spans="3:4">
      <c r="C10605"/>
      <c r="D10605"/>
    </row>
    <row r="10606" spans="3:4">
      <c r="C10606"/>
      <c r="D10606"/>
    </row>
    <row r="10607" spans="3:4">
      <c r="C10607"/>
      <c r="D10607"/>
    </row>
    <row r="10608" spans="3:4">
      <c r="C10608"/>
      <c r="D10608"/>
    </row>
    <row r="10609" spans="3:4">
      <c r="C10609"/>
      <c r="D10609"/>
    </row>
    <row r="10610" spans="3:4">
      <c r="C10610"/>
      <c r="D10610"/>
    </row>
    <row r="10611" spans="3:4">
      <c r="C10611"/>
      <c r="D10611"/>
    </row>
    <row r="10612" spans="3:4">
      <c r="C10612"/>
      <c r="D10612"/>
    </row>
    <row r="10613" spans="3:4">
      <c r="C10613"/>
      <c r="D10613"/>
    </row>
    <row r="10614" spans="3:4">
      <c r="C10614"/>
      <c r="D10614"/>
    </row>
    <row r="10615" spans="3:4">
      <c r="C10615"/>
      <c r="D10615"/>
    </row>
    <row r="10616" spans="3:4">
      <c r="C10616"/>
      <c r="D10616"/>
    </row>
    <row r="10617" spans="3:4">
      <c r="C10617"/>
      <c r="D10617"/>
    </row>
    <row r="10618" spans="3:4">
      <c r="C10618"/>
      <c r="D10618"/>
    </row>
    <row r="10619" spans="3:4">
      <c r="C10619"/>
      <c r="D10619"/>
    </row>
    <row r="10620" spans="3:4">
      <c r="C10620"/>
      <c r="D10620"/>
    </row>
    <row r="10621" spans="3:4">
      <c r="C10621"/>
      <c r="D10621"/>
    </row>
    <row r="10622" spans="3:4">
      <c r="C10622"/>
      <c r="D10622"/>
    </row>
    <row r="10623" spans="3:4">
      <c r="C10623"/>
      <c r="D10623"/>
    </row>
    <row r="10624" spans="3:4">
      <c r="C10624"/>
      <c r="D10624"/>
    </row>
    <row r="10625" spans="3:4">
      <c r="C10625"/>
      <c r="D10625"/>
    </row>
    <row r="10626" spans="3:4">
      <c r="C10626"/>
      <c r="D10626"/>
    </row>
    <row r="10627" spans="3:4">
      <c r="C10627"/>
      <c r="D10627"/>
    </row>
    <row r="10628" spans="3:4">
      <c r="C10628"/>
      <c r="D10628"/>
    </row>
    <row r="10629" spans="3:4">
      <c r="C10629"/>
      <c r="D10629"/>
    </row>
    <row r="10630" spans="3:4">
      <c r="C10630"/>
      <c r="D10630"/>
    </row>
    <row r="10631" spans="3:4">
      <c r="C10631"/>
      <c r="D10631"/>
    </row>
    <row r="10632" spans="3:4">
      <c r="C10632"/>
      <c r="D10632"/>
    </row>
    <row r="10633" spans="3:4">
      <c r="C10633"/>
      <c r="D10633"/>
    </row>
    <row r="10634" spans="3:4">
      <c r="C10634"/>
      <c r="D10634"/>
    </row>
    <row r="10635" spans="3:4">
      <c r="C10635"/>
      <c r="D10635"/>
    </row>
    <row r="10636" spans="3:4">
      <c r="C10636"/>
      <c r="D10636"/>
    </row>
    <row r="10637" spans="3:4">
      <c r="C10637"/>
      <c r="D10637"/>
    </row>
    <row r="10638" spans="3:4">
      <c r="C10638"/>
      <c r="D10638"/>
    </row>
    <row r="10639" spans="3:4">
      <c r="C10639"/>
      <c r="D10639"/>
    </row>
    <row r="10640" spans="3:4">
      <c r="C10640"/>
      <c r="D10640"/>
    </row>
    <row r="10641" spans="3:4">
      <c r="C10641"/>
      <c r="D10641"/>
    </row>
    <row r="10642" spans="3:4">
      <c r="C10642"/>
      <c r="D10642"/>
    </row>
    <row r="10643" spans="3:4">
      <c r="C10643"/>
      <c r="D10643"/>
    </row>
    <row r="10644" spans="3:4">
      <c r="C10644"/>
      <c r="D10644"/>
    </row>
    <row r="10645" spans="3:4">
      <c r="C10645"/>
      <c r="D10645"/>
    </row>
    <row r="10646" spans="3:4">
      <c r="C10646"/>
      <c r="D10646"/>
    </row>
    <row r="10647" spans="3:4">
      <c r="C10647"/>
      <c r="D10647"/>
    </row>
    <row r="10648" spans="3:4">
      <c r="C10648"/>
      <c r="D10648"/>
    </row>
    <row r="10649" spans="3:4">
      <c r="C10649"/>
      <c r="D10649"/>
    </row>
    <row r="10650" spans="3:4">
      <c r="C10650"/>
      <c r="D10650"/>
    </row>
    <row r="10651" spans="3:4">
      <c r="C10651"/>
      <c r="D10651"/>
    </row>
    <row r="10652" spans="3:4">
      <c r="C10652"/>
      <c r="D10652"/>
    </row>
    <row r="10653" spans="3:4">
      <c r="C10653"/>
      <c r="D10653"/>
    </row>
    <row r="10654" spans="3:4">
      <c r="C10654"/>
      <c r="D10654"/>
    </row>
    <row r="10655" spans="3:4">
      <c r="C10655"/>
      <c r="D10655"/>
    </row>
    <row r="10656" spans="3:4">
      <c r="C10656"/>
      <c r="D10656"/>
    </row>
    <row r="10657" spans="3:4">
      <c r="C10657"/>
      <c r="D10657"/>
    </row>
    <row r="10658" spans="3:4">
      <c r="C10658"/>
      <c r="D10658"/>
    </row>
    <row r="10659" spans="3:4">
      <c r="C10659"/>
      <c r="D10659"/>
    </row>
    <row r="10660" spans="3:4">
      <c r="C10660"/>
      <c r="D10660"/>
    </row>
    <row r="10661" spans="3:4">
      <c r="C10661"/>
      <c r="D10661"/>
    </row>
    <row r="10662" spans="3:4">
      <c r="C10662"/>
      <c r="D10662"/>
    </row>
    <row r="10663" spans="3:4">
      <c r="C10663"/>
      <c r="D10663"/>
    </row>
    <row r="10664" spans="3:4">
      <c r="C10664"/>
      <c r="D10664"/>
    </row>
    <row r="10665" spans="3:4">
      <c r="C10665"/>
      <c r="D10665"/>
    </row>
    <row r="10666" spans="3:4">
      <c r="C10666"/>
      <c r="D10666"/>
    </row>
    <row r="10667" spans="3:4">
      <c r="C10667"/>
      <c r="D10667"/>
    </row>
    <row r="10668" spans="3:4">
      <c r="C10668"/>
      <c r="D10668"/>
    </row>
    <row r="10669" spans="3:4">
      <c r="C10669"/>
      <c r="D10669"/>
    </row>
    <row r="10670" spans="3:4">
      <c r="C10670"/>
      <c r="D10670"/>
    </row>
    <row r="10671" spans="3:4">
      <c r="C10671"/>
      <c r="D10671"/>
    </row>
    <row r="10672" spans="3:4">
      <c r="C10672"/>
      <c r="D10672"/>
    </row>
    <row r="10673" spans="3:4">
      <c r="C10673"/>
      <c r="D10673"/>
    </row>
    <row r="10674" spans="3:4">
      <c r="C10674"/>
      <c r="D10674"/>
    </row>
    <row r="10675" spans="3:4">
      <c r="C10675"/>
      <c r="D10675"/>
    </row>
    <row r="10676" spans="3:4">
      <c r="C10676"/>
      <c r="D10676"/>
    </row>
    <row r="10677" spans="3:4">
      <c r="C10677"/>
      <c r="D10677"/>
    </row>
    <row r="10678" spans="3:4">
      <c r="C10678"/>
      <c r="D10678"/>
    </row>
    <row r="10679" spans="3:4">
      <c r="C10679"/>
      <c r="D10679"/>
    </row>
    <row r="10680" spans="3:4">
      <c r="C10680"/>
      <c r="D10680"/>
    </row>
    <row r="10681" spans="3:4">
      <c r="C10681"/>
      <c r="D10681"/>
    </row>
    <row r="10682" spans="3:4">
      <c r="C10682"/>
      <c r="D10682"/>
    </row>
    <row r="10683" spans="3:4">
      <c r="C10683"/>
      <c r="D10683"/>
    </row>
    <row r="10684" spans="3:4">
      <c r="C10684"/>
      <c r="D10684"/>
    </row>
    <row r="10685" spans="3:4">
      <c r="C10685"/>
      <c r="D10685"/>
    </row>
    <row r="10686" spans="3:4">
      <c r="C10686"/>
      <c r="D10686"/>
    </row>
    <row r="10687" spans="3:4">
      <c r="C10687"/>
      <c r="D10687"/>
    </row>
    <row r="10688" spans="3:4">
      <c r="C10688"/>
      <c r="D10688"/>
    </row>
    <row r="10689" spans="3:4">
      <c r="C10689"/>
      <c r="D10689"/>
    </row>
    <row r="10690" spans="3:4">
      <c r="C10690"/>
      <c r="D10690"/>
    </row>
    <row r="10691" spans="3:4">
      <c r="C10691"/>
      <c r="D10691"/>
    </row>
    <row r="10692" spans="3:4">
      <c r="C10692"/>
      <c r="D10692"/>
    </row>
    <row r="10693" spans="3:4">
      <c r="C10693"/>
      <c r="D10693"/>
    </row>
    <row r="10694" spans="3:4">
      <c r="C10694"/>
      <c r="D10694"/>
    </row>
    <row r="10695" spans="3:4">
      <c r="C10695"/>
      <c r="D10695"/>
    </row>
    <row r="10696" spans="3:4">
      <c r="C10696"/>
      <c r="D10696"/>
    </row>
    <row r="10697" spans="3:4">
      <c r="C10697"/>
      <c r="D10697"/>
    </row>
    <row r="10698" spans="3:4">
      <c r="C10698"/>
      <c r="D10698"/>
    </row>
    <row r="10699" spans="3:4">
      <c r="C10699"/>
      <c r="D10699"/>
    </row>
    <row r="10700" spans="3:4">
      <c r="C10700"/>
      <c r="D10700"/>
    </row>
    <row r="10701" spans="3:4">
      <c r="C10701"/>
      <c r="D10701"/>
    </row>
    <row r="10702" spans="3:4">
      <c r="C10702"/>
      <c r="D10702"/>
    </row>
    <row r="10703" spans="3:4">
      <c r="C10703"/>
      <c r="D10703"/>
    </row>
    <row r="10704" spans="3:4">
      <c r="C10704"/>
      <c r="D10704"/>
    </row>
    <row r="10705" spans="3:4">
      <c r="C10705"/>
      <c r="D10705"/>
    </row>
    <row r="10706" spans="3:4">
      <c r="C10706"/>
      <c r="D10706"/>
    </row>
    <row r="10707" spans="3:4">
      <c r="C10707"/>
      <c r="D10707"/>
    </row>
    <row r="10708" spans="3:4">
      <c r="C10708"/>
      <c r="D10708"/>
    </row>
    <row r="10709" spans="3:4">
      <c r="C10709"/>
      <c r="D10709"/>
    </row>
    <row r="10710" spans="3:4">
      <c r="C10710"/>
      <c r="D10710"/>
    </row>
    <row r="10711" spans="3:4">
      <c r="C10711"/>
      <c r="D10711"/>
    </row>
    <row r="10712" spans="3:4">
      <c r="C10712"/>
      <c r="D10712"/>
    </row>
    <row r="10713" spans="3:4">
      <c r="C10713"/>
      <c r="D10713"/>
    </row>
    <row r="10714" spans="3:4">
      <c r="C10714"/>
      <c r="D10714"/>
    </row>
    <row r="10715" spans="3:4">
      <c r="C10715"/>
      <c r="D10715"/>
    </row>
    <row r="10716" spans="3:4">
      <c r="C10716"/>
      <c r="D10716"/>
    </row>
    <row r="10717" spans="3:4">
      <c r="C10717"/>
      <c r="D10717"/>
    </row>
    <row r="10718" spans="3:4">
      <c r="C10718"/>
      <c r="D10718"/>
    </row>
    <row r="10719" spans="3:4">
      <c r="C10719"/>
      <c r="D10719"/>
    </row>
    <row r="10720" spans="3:4">
      <c r="C10720"/>
      <c r="D10720"/>
    </row>
    <row r="10721" spans="3:4">
      <c r="C10721"/>
      <c r="D10721"/>
    </row>
    <row r="10722" spans="3:4">
      <c r="C10722"/>
      <c r="D10722"/>
    </row>
    <row r="10723" spans="3:4">
      <c r="C10723"/>
      <c r="D10723"/>
    </row>
    <row r="10724" spans="3:4">
      <c r="C10724"/>
      <c r="D10724"/>
    </row>
    <row r="10725" spans="3:4">
      <c r="C10725"/>
      <c r="D10725"/>
    </row>
    <row r="10726" spans="3:4">
      <c r="C10726"/>
      <c r="D10726"/>
    </row>
    <row r="10727" spans="3:4">
      <c r="C10727"/>
      <c r="D10727"/>
    </row>
    <row r="10728" spans="3:4">
      <c r="C10728"/>
      <c r="D10728"/>
    </row>
    <row r="10729" spans="3:4">
      <c r="C10729"/>
      <c r="D10729"/>
    </row>
    <row r="10730" spans="3:4">
      <c r="C10730"/>
      <c r="D10730"/>
    </row>
    <row r="10731" spans="3:4">
      <c r="C10731"/>
      <c r="D10731"/>
    </row>
    <row r="10732" spans="3:4">
      <c r="C10732"/>
      <c r="D10732"/>
    </row>
    <row r="10733" spans="3:4">
      <c r="C10733"/>
      <c r="D10733"/>
    </row>
    <row r="10734" spans="3:4">
      <c r="C10734"/>
      <c r="D10734"/>
    </row>
    <row r="10735" spans="3:4">
      <c r="C10735"/>
      <c r="D10735"/>
    </row>
    <row r="10736" spans="3:4">
      <c r="C10736"/>
      <c r="D10736"/>
    </row>
    <row r="10737" spans="3:4">
      <c r="C10737"/>
      <c r="D10737"/>
    </row>
    <row r="10738" spans="3:4">
      <c r="C10738"/>
      <c r="D10738"/>
    </row>
    <row r="10739" spans="3:4">
      <c r="C10739"/>
      <c r="D10739"/>
    </row>
    <row r="10740" spans="3:4">
      <c r="C10740"/>
      <c r="D10740"/>
    </row>
    <row r="10741" spans="3:4">
      <c r="C10741"/>
      <c r="D10741"/>
    </row>
    <row r="10742" spans="3:4">
      <c r="C10742"/>
      <c r="D10742"/>
    </row>
    <row r="10743" spans="3:4">
      <c r="C10743"/>
      <c r="D10743"/>
    </row>
    <row r="10744" spans="3:4">
      <c r="C10744"/>
      <c r="D10744"/>
    </row>
    <row r="10745" spans="3:4">
      <c r="C10745"/>
      <c r="D10745"/>
    </row>
    <row r="10746" spans="3:4">
      <c r="C10746"/>
      <c r="D10746"/>
    </row>
    <row r="10747" spans="3:4">
      <c r="C10747"/>
      <c r="D10747"/>
    </row>
    <row r="10748" spans="3:4">
      <c r="C10748"/>
      <c r="D10748"/>
    </row>
    <row r="10749" spans="3:4">
      <c r="C10749"/>
      <c r="D10749"/>
    </row>
    <row r="10750" spans="3:4">
      <c r="C10750"/>
      <c r="D10750"/>
    </row>
    <row r="10751" spans="3:4">
      <c r="C10751"/>
      <c r="D10751"/>
    </row>
    <row r="10752" spans="3:4">
      <c r="C10752"/>
      <c r="D10752"/>
    </row>
    <row r="10753" spans="3:4">
      <c r="C10753"/>
      <c r="D10753"/>
    </row>
    <row r="10754" spans="3:4">
      <c r="C10754"/>
      <c r="D10754"/>
    </row>
    <row r="10755" spans="3:4">
      <c r="C10755"/>
      <c r="D10755"/>
    </row>
    <row r="10756" spans="3:4">
      <c r="C10756"/>
      <c r="D10756"/>
    </row>
    <row r="10757" spans="3:4">
      <c r="C10757"/>
      <c r="D10757"/>
    </row>
    <row r="10758" spans="3:4">
      <c r="C10758"/>
      <c r="D10758"/>
    </row>
    <row r="10759" spans="3:4">
      <c r="C10759"/>
      <c r="D10759"/>
    </row>
    <row r="10760" spans="3:4">
      <c r="C10760"/>
      <c r="D10760"/>
    </row>
    <row r="10761" spans="3:4">
      <c r="C10761"/>
      <c r="D10761"/>
    </row>
    <row r="10762" spans="3:4">
      <c r="C10762"/>
      <c r="D10762"/>
    </row>
    <row r="10763" spans="3:4">
      <c r="C10763"/>
      <c r="D10763"/>
    </row>
    <row r="10764" spans="3:4">
      <c r="C10764"/>
      <c r="D10764"/>
    </row>
    <row r="10765" spans="3:4">
      <c r="C10765"/>
      <c r="D10765"/>
    </row>
    <row r="10766" spans="3:4">
      <c r="C10766"/>
      <c r="D10766"/>
    </row>
    <row r="10767" spans="3:4">
      <c r="C10767"/>
      <c r="D10767"/>
    </row>
    <row r="10768" spans="3:4">
      <c r="C10768"/>
      <c r="D10768"/>
    </row>
    <row r="10769" spans="3:4">
      <c r="C10769"/>
      <c r="D10769"/>
    </row>
    <row r="10770" spans="3:4">
      <c r="C10770"/>
      <c r="D10770"/>
    </row>
    <row r="10771" spans="3:4">
      <c r="C10771"/>
      <c r="D10771"/>
    </row>
    <row r="10772" spans="3:4">
      <c r="C10772"/>
      <c r="D10772"/>
    </row>
    <row r="10773" spans="3:4">
      <c r="C10773"/>
      <c r="D10773"/>
    </row>
    <row r="10774" spans="3:4">
      <c r="C10774"/>
      <c r="D10774"/>
    </row>
    <row r="10775" spans="3:4">
      <c r="C10775"/>
      <c r="D10775"/>
    </row>
    <row r="10776" spans="3:4">
      <c r="C10776"/>
      <c r="D10776"/>
    </row>
    <row r="10777" spans="3:4">
      <c r="C10777"/>
      <c r="D10777"/>
    </row>
    <row r="10778" spans="3:4">
      <c r="C10778"/>
      <c r="D10778"/>
    </row>
    <row r="10779" spans="3:4">
      <c r="C10779"/>
      <c r="D10779"/>
    </row>
    <row r="10780" spans="3:4">
      <c r="C10780"/>
      <c r="D10780"/>
    </row>
    <row r="10781" spans="3:4">
      <c r="C10781"/>
      <c r="D10781"/>
    </row>
    <row r="10782" spans="3:4">
      <c r="C10782"/>
      <c r="D10782"/>
    </row>
    <row r="10783" spans="3:4">
      <c r="C10783"/>
      <c r="D10783"/>
    </row>
    <row r="10784" spans="3:4">
      <c r="C10784"/>
      <c r="D10784"/>
    </row>
    <row r="10785" spans="3:4">
      <c r="C10785"/>
      <c r="D10785"/>
    </row>
    <row r="10786" spans="3:4">
      <c r="C10786"/>
      <c r="D10786"/>
    </row>
    <row r="10787" spans="3:4">
      <c r="C10787"/>
      <c r="D10787"/>
    </row>
    <row r="10788" spans="3:4">
      <c r="C10788"/>
      <c r="D10788"/>
    </row>
    <row r="10789" spans="3:4">
      <c r="C10789"/>
      <c r="D10789"/>
    </row>
    <row r="10790" spans="3:4">
      <c r="C10790"/>
      <c r="D10790"/>
    </row>
    <row r="10791" spans="3:4">
      <c r="C10791"/>
      <c r="D10791"/>
    </row>
    <row r="10792" spans="3:4">
      <c r="C10792"/>
      <c r="D10792"/>
    </row>
    <row r="10793" spans="3:4">
      <c r="C10793"/>
      <c r="D10793"/>
    </row>
    <row r="10794" spans="3:4">
      <c r="C10794"/>
      <c r="D10794"/>
    </row>
    <row r="10795" spans="3:4">
      <c r="C10795"/>
      <c r="D10795"/>
    </row>
    <row r="10796" spans="3:4">
      <c r="C10796"/>
      <c r="D10796"/>
    </row>
    <row r="10797" spans="3:4">
      <c r="C10797"/>
      <c r="D10797"/>
    </row>
    <row r="10798" spans="3:4">
      <c r="C10798"/>
      <c r="D10798"/>
    </row>
    <row r="10799" spans="3:4">
      <c r="C10799"/>
      <c r="D10799"/>
    </row>
    <row r="10800" spans="3:4">
      <c r="C10800"/>
      <c r="D10800"/>
    </row>
    <row r="10801" spans="3:4">
      <c r="C10801"/>
      <c r="D10801"/>
    </row>
    <row r="10802" spans="3:4">
      <c r="C10802"/>
      <c r="D10802"/>
    </row>
    <row r="10803" spans="3:4">
      <c r="C10803"/>
      <c r="D10803"/>
    </row>
    <row r="10804" spans="3:4">
      <c r="C10804"/>
      <c r="D10804"/>
    </row>
    <row r="10805" spans="3:4">
      <c r="C10805"/>
      <c r="D10805"/>
    </row>
    <row r="10806" spans="3:4">
      <c r="C10806"/>
      <c r="D10806"/>
    </row>
    <row r="10807" spans="3:4">
      <c r="C10807"/>
      <c r="D10807"/>
    </row>
    <row r="10808" spans="3:4">
      <c r="C10808"/>
      <c r="D10808"/>
    </row>
    <row r="10809" spans="3:4">
      <c r="C10809"/>
      <c r="D10809"/>
    </row>
    <row r="10810" spans="3:4">
      <c r="C10810"/>
      <c r="D10810"/>
    </row>
    <row r="10811" spans="3:4">
      <c r="C10811"/>
      <c r="D10811"/>
    </row>
    <row r="10812" spans="3:4">
      <c r="C10812"/>
      <c r="D10812"/>
    </row>
    <row r="10813" spans="3:4">
      <c r="C10813"/>
      <c r="D10813"/>
    </row>
    <row r="10814" spans="3:4">
      <c r="C10814"/>
      <c r="D10814"/>
    </row>
    <row r="10815" spans="3:4">
      <c r="C10815"/>
      <c r="D10815"/>
    </row>
    <row r="10816" spans="3:4">
      <c r="C10816"/>
      <c r="D10816"/>
    </row>
    <row r="10817" spans="3:4">
      <c r="C10817"/>
      <c r="D10817"/>
    </row>
    <row r="10818" spans="3:4">
      <c r="C10818"/>
      <c r="D10818"/>
    </row>
    <row r="10819" spans="3:4">
      <c r="C10819"/>
      <c r="D10819"/>
    </row>
    <row r="10820" spans="3:4">
      <c r="C10820"/>
      <c r="D10820"/>
    </row>
    <row r="10821" spans="3:4">
      <c r="C10821"/>
      <c r="D10821"/>
    </row>
    <row r="10822" spans="3:4">
      <c r="C10822"/>
      <c r="D10822"/>
    </row>
    <row r="10823" spans="3:4">
      <c r="C10823"/>
      <c r="D10823"/>
    </row>
    <row r="10824" spans="3:4">
      <c r="C10824"/>
      <c r="D10824"/>
    </row>
    <row r="10825" spans="3:4">
      <c r="C10825"/>
      <c r="D10825"/>
    </row>
    <row r="10826" spans="3:4">
      <c r="C10826"/>
      <c r="D10826"/>
    </row>
    <row r="10827" spans="3:4">
      <c r="C10827"/>
      <c r="D10827"/>
    </row>
    <row r="10828" spans="3:4">
      <c r="C10828"/>
      <c r="D10828"/>
    </row>
    <row r="10829" spans="3:4">
      <c r="C10829"/>
      <c r="D10829"/>
    </row>
    <row r="10830" spans="3:4">
      <c r="C10830"/>
      <c r="D10830"/>
    </row>
    <row r="10831" spans="3:4">
      <c r="C10831"/>
      <c r="D10831"/>
    </row>
    <row r="10832" spans="3:4">
      <c r="C10832"/>
      <c r="D10832"/>
    </row>
    <row r="10833" spans="3:4">
      <c r="C10833"/>
      <c r="D10833"/>
    </row>
    <row r="10834" spans="3:4">
      <c r="C10834"/>
      <c r="D10834"/>
    </row>
    <row r="10835" spans="3:4">
      <c r="C10835"/>
      <c r="D10835"/>
    </row>
    <row r="10836" spans="3:4">
      <c r="C10836"/>
      <c r="D10836"/>
    </row>
    <row r="10837" spans="3:4">
      <c r="C10837"/>
      <c r="D10837"/>
    </row>
    <row r="10838" spans="3:4">
      <c r="C10838"/>
      <c r="D10838"/>
    </row>
    <row r="10839" spans="3:4">
      <c r="C10839"/>
      <c r="D10839"/>
    </row>
    <row r="10840" spans="3:4">
      <c r="C10840"/>
      <c r="D10840"/>
    </row>
    <row r="10841" spans="3:4">
      <c r="C10841"/>
      <c r="D10841"/>
    </row>
    <row r="10842" spans="3:4">
      <c r="C10842"/>
      <c r="D10842"/>
    </row>
    <row r="10843" spans="3:4">
      <c r="C10843"/>
      <c r="D10843"/>
    </row>
    <row r="10844" spans="3:4">
      <c r="C10844"/>
      <c r="D10844"/>
    </row>
    <row r="10845" spans="3:4">
      <c r="C10845"/>
      <c r="D10845"/>
    </row>
    <row r="10846" spans="3:4">
      <c r="C10846"/>
      <c r="D10846"/>
    </row>
    <row r="10847" spans="3:4">
      <c r="C10847"/>
      <c r="D10847"/>
    </row>
    <row r="10848" spans="3:4">
      <c r="C10848"/>
      <c r="D10848"/>
    </row>
    <row r="10849" spans="3:4">
      <c r="C10849"/>
      <c r="D10849"/>
    </row>
    <row r="10850" spans="3:4">
      <c r="C10850"/>
      <c r="D10850"/>
    </row>
    <row r="10851" spans="3:4">
      <c r="C10851"/>
      <c r="D10851"/>
    </row>
    <row r="10852" spans="3:4">
      <c r="C10852"/>
      <c r="D10852"/>
    </row>
    <row r="10853" spans="3:4">
      <c r="C10853"/>
      <c r="D10853"/>
    </row>
    <row r="10854" spans="3:4">
      <c r="C10854"/>
      <c r="D10854"/>
    </row>
    <row r="10855" spans="3:4">
      <c r="C10855"/>
      <c r="D10855"/>
    </row>
    <row r="10856" spans="3:4">
      <c r="C10856"/>
      <c r="D10856"/>
    </row>
    <row r="10857" spans="3:4">
      <c r="C10857"/>
      <c r="D10857"/>
    </row>
    <row r="10858" spans="3:4">
      <c r="C10858"/>
      <c r="D10858"/>
    </row>
    <row r="10859" spans="3:4">
      <c r="C10859"/>
      <c r="D10859"/>
    </row>
    <row r="10860" spans="3:4">
      <c r="C10860"/>
      <c r="D10860"/>
    </row>
    <row r="10861" spans="3:4">
      <c r="C10861"/>
      <c r="D10861"/>
    </row>
    <row r="10862" spans="3:4">
      <c r="C10862"/>
      <c r="D10862"/>
    </row>
    <row r="10863" spans="3:4">
      <c r="C10863"/>
      <c r="D10863"/>
    </row>
    <row r="10864" spans="3:4">
      <c r="C10864"/>
      <c r="D10864"/>
    </row>
    <row r="10865" spans="3:4">
      <c r="C10865"/>
      <c r="D10865"/>
    </row>
    <row r="10866" spans="3:4">
      <c r="C10866"/>
      <c r="D10866"/>
    </row>
    <row r="10867" spans="3:4">
      <c r="C10867"/>
      <c r="D10867"/>
    </row>
    <row r="10868" spans="3:4">
      <c r="C10868"/>
      <c r="D10868"/>
    </row>
    <row r="10869" spans="3:4">
      <c r="C10869"/>
      <c r="D10869"/>
    </row>
    <row r="10870" spans="3:4">
      <c r="C10870"/>
      <c r="D10870"/>
    </row>
    <row r="10871" spans="3:4">
      <c r="C10871"/>
      <c r="D10871"/>
    </row>
    <row r="10872" spans="3:4">
      <c r="C10872"/>
      <c r="D10872"/>
    </row>
    <row r="10873" spans="3:4">
      <c r="C10873"/>
      <c r="D10873"/>
    </row>
    <row r="10874" spans="3:4">
      <c r="C10874"/>
      <c r="D10874"/>
    </row>
    <row r="10875" spans="3:4">
      <c r="C10875"/>
      <c r="D10875"/>
    </row>
    <row r="10876" spans="3:4">
      <c r="C10876"/>
      <c r="D10876"/>
    </row>
    <row r="10877" spans="3:4">
      <c r="C10877"/>
      <c r="D10877"/>
    </row>
    <row r="10878" spans="3:4">
      <c r="C10878"/>
      <c r="D10878"/>
    </row>
    <row r="10879" spans="3:4">
      <c r="C10879"/>
      <c r="D10879"/>
    </row>
    <row r="10880" spans="3:4">
      <c r="C10880"/>
      <c r="D10880"/>
    </row>
    <row r="10881" spans="3:4">
      <c r="C10881"/>
      <c r="D10881"/>
    </row>
    <row r="10882" spans="3:4">
      <c r="C10882"/>
      <c r="D10882"/>
    </row>
    <row r="10883" spans="3:4">
      <c r="C10883"/>
      <c r="D10883"/>
    </row>
    <row r="10884" spans="3:4">
      <c r="C10884"/>
      <c r="D10884"/>
    </row>
    <row r="10885" spans="3:4">
      <c r="C10885"/>
      <c r="D10885"/>
    </row>
    <row r="10886" spans="3:4">
      <c r="C10886"/>
      <c r="D10886"/>
    </row>
    <row r="10887" spans="3:4">
      <c r="C10887"/>
      <c r="D10887"/>
    </row>
    <row r="10888" spans="3:4">
      <c r="C10888"/>
      <c r="D10888"/>
    </row>
    <row r="10889" spans="3:4">
      <c r="C10889"/>
      <c r="D10889"/>
    </row>
    <row r="10890" spans="3:4">
      <c r="C10890"/>
      <c r="D10890"/>
    </row>
    <row r="10891" spans="3:4">
      <c r="C10891"/>
      <c r="D10891"/>
    </row>
    <row r="10892" spans="3:4">
      <c r="C10892"/>
      <c r="D10892"/>
    </row>
    <row r="10893" spans="3:4">
      <c r="C10893"/>
      <c r="D10893"/>
    </row>
    <row r="10894" spans="3:4">
      <c r="C10894"/>
      <c r="D10894"/>
    </row>
    <row r="10895" spans="3:4">
      <c r="C10895"/>
      <c r="D10895"/>
    </row>
    <row r="10896" spans="3:4">
      <c r="C10896"/>
      <c r="D10896"/>
    </row>
    <row r="10897" spans="3:4">
      <c r="C10897"/>
      <c r="D10897"/>
    </row>
    <row r="10898" spans="3:4">
      <c r="C10898"/>
      <c r="D10898"/>
    </row>
    <row r="10899" spans="3:4">
      <c r="C10899"/>
      <c r="D10899"/>
    </row>
    <row r="10900" spans="3:4">
      <c r="C10900"/>
      <c r="D10900"/>
    </row>
    <row r="10901" spans="3:4">
      <c r="C10901"/>
      <c r="D10901"/>
    </row>
    <row r="10902" spans="3:4">
      <c r="C10902"/>
      <c r="D10902"/>
    </row>
    <row r="10903" spans="3:4">
      <c r="C10903"/>
      <c r="D10903"/>
    </row>
    <row r="10904" spans="3:4">
      <c r="C10904"/>
      <c r="D10904"/>
    </row>
    <row r="10905" spans="3:4">
      <c r="C10905"/>
      <c r="D10905"/>
    </row>
    <row r="10906" spans="3:4">
      <c r="C10906"/>
      <c r="D10906"/>
    </row>
    <row r="10907" spans="3:4">
      <c r="C10907"/>
      <c r="D10907"/>
    </row>
    <row r="10908" spans="3:4">
      <c r="C10908"/>
      <c r="D10908"/>
    </row>
    <row r="10909" spans="3:4">
      <c r="C10909"/>
      <c r="D10909"/>
    </row>
    <row r="10910" spans="3:4">
      <c r="C10910"/>
      <c r="D10910"/>
    </row>
    <row r="10911" spans="3:4">
      <c r="C10911"/>
      <c r="D10911"/>
    </row>
    <row r="10912" spans="3:4">
      <c r="C10912"/>
      <c r="D10912"/>
    </row>
    <row r="10913" spans="3:4">
      <c r="C10913"/>
      <c r="D10913"/>
    </row>
    <row r="10914" spans="3:4">
      <c r="C10914"/>
      <c r="D10914"/>
    </row>
    <row r="10915" spans="3:4">
      <c r="C10915"/>
      <c r="D10915"/>
    </row>
    <row r="10916" spans="3:4">
      <c r="C10916"/>
      <c r="D10916"/>
    </row>
    <row r="10917" spans="3:4">
      <c r="C10917"/>
      <c r="D10917"/>
    </row>
    <row r="10918" spans="3:4">
      <c r="C10918"/>
      <c r="D10918"/>
    </row>
    <row r="10919" spans="3:4">
      <c r="C10919"/>
      <c r="D10919"/>
    </row>
    <row r="10920" spans="3:4">
      <c r="C10920"/>
      <c r="D10920"/>
    </row>
    <row r="10921" spans="3:4">
      <c r="C10921"/>
      <c r="D10921"/>
    </row>
    <row r="10922" spans="3:4">
      <c r="C10922"/>
      <c r="D10922"/>
    </row>
    <row r="10923" spans="3:4">
      <c r="C10923"/>
      <c r="D10923"/>
    </row>
    <row r="10924" spans="3:4">
      <c r="C10924"/>
      <c r="D10924"/>
    </row>
    <row r="10925" spans="3:4">
      <c r="C10925"/>
      <c r="D10925"/>
    </row>
    <row r="10926" spans="3:4">
      <c r="C10926"/>
      <c r="D10926"/>
    </row>
    <row r="10927" spans="3:4">
      <c r="C10927"/>
      <c r="D10927"/>
    </row>
    <row r="10928" spans="3:4">
      <c r="C10928"/>
      <c r="D10928"/>
    </row>
    <row r="10929" spans="3:4">
      <c r="C10929"/>
      <c r="D10929"/>
    </row>
    <row r="10930" spans="3:4">
      <c r="C10930"/>
      <c r="D10930"/>
    </row>
    <row r="10931" spans="3:4">
      <c r="C10931"/>
      <c r="D10931"/>
    </row>
    <row r="10932" spans="3:4">
      <c r="C10932"/>
      <c r="D10932"/>
    </row>
    <row r="10933" spans="3:4">
      <c r="C10933"/>
      <c r="D10933"/>
    </row>
    <row r="10934" spans="3:4">
      <c r="C10934"/>
      <c r="D10934"/>
    </row>
    <row r="10935" spans="3:4">
      <c r="C10935"/>
      <c r="D10935"/>
    </row>
    <row r="10936" spans="3:4">
      <c r="C10936"/>
      <c r="D10936"/>
    </row>
    <row r="10937" spans="3:4">
      <c r="C10937"/>
      <c r="D10937"/>
    </row>
    <row r="10938" spans="3:4">
      <c r="C10938"/>
      <c r="D10938"/>
    </row>
    <row r="10939" spans="3:4">
      <c r="C10939"/>
      <c r="D10939"/>
    </row>
    <row r="10940" spans="3:4">
      <c r="C10940"/>
      <c r="D10940"/>
    </row>
    <row r="10941" spans="3:4">
      <c r="C10941"/>
      <c r="D10941"/>
    </row>
    <row r="10942" spans="3:4">
      <c r="C10942"/>
      <c r="D10942"/>
    </row>
    <row r="10943" spans="3:4">
      <c r="C10943"/>
      <c r="D10943"/>
    </row>
    <row r="10944" spans="3:4">
      <c r="C10944"/>
      <c r="D10944"/>
    </row>
    <row r="10945" spans="3:4">
      <c r="C10945"/>
      <c r="D10945"/>
    </row>
    <row r="10946" spans="3:4">
      <c r="C10946"/>
      <c r="D10946"/>
    </row>
    <row r="10947" spans="3:4">
      <c r="C10947"/>
      <c r="D10947"/>
    </row>
    <row r="10948" spans="3:4">
      <c r="C10948"/>
      <c r="D10948"/>
    </row>
    <row r="10949" spans="3:4">
      <c r="C10949"/>
      <c r="D10949"/>
    </row>
    <row r="10950" spans="3:4">
      <c r="C10950"/>
      <c r="D10950"/>
    </row>
    <row r="10951" spans="3:4">
      <c r="C10951"/>
      <c r="D10951"/>
    </row>
    <row r="10952" spans="3:4">
      <c r="C10952"/>
      <c r="D10952"/>
    </row>
    <row r="10953" spans="3:4">
      <c r="C10953"/>
      <c r="D10953"/>
    </row>
    <row r="10954" spans="3:4">
      <c r="C10954"/>
      <c r="D10954"/>
    </row>
    <row r="10955" spans="3:4">
      <c r="C10955"/>
      <c r="D10955"/>
    </row>
    <row r="10956" spans="3:4">
      <c r="C10956"/>
      <c r="D10956"/>
    </row>
    <row r="10957" spans="3:4">
      <c r="C10957"/>
      <c r="D10957"/>
    </row>
    <row r="10958" spans="3:4">
      <c r="C10958"/>
      <c r="D10958"/>
    </row>
    <row r="10959" spans="3:4">
      <c r="C10959"/>
      <c r="D10959"/>
    </row>
    <row r="10960" spans="3:4">
      <c r="C10960"/>
      <c r="D10960"/>
    </row>
    <row r="10961" spans="3:4">
      <c r="C10961"/>
      <c r="D10961"/>
    </row>
    <row r="10962" spans="3:4">
      <c r="C10962"/>
      <c r="D10962"/>
    </row>
    <row r="10963" spans="3:4">
      <c r="C10963"/>
      <c r="D10963"/>
    </row>
    <row r="10964" spans="3:4">
      <c r="C10964"/>
      <c r="D10964"/>
    </row>
    <row r="10965" spans="3:4">
      <c r="C10965"/>
      <c r="D10965"/>
    </row>
    <row r="10966" spans="3:4">
      <c r="C10966"/>
      <c r="D10966"/>
    </row>
    <row r="10967" spans="3:4">
      <c r="C10967"/>
      <c r="D10967"/>
    </row>
    <row r="10968" spans="3:4">
      <c r="C10968"/>
      <c r="D10968"/>
    </row>
    <row r="10969" spans="3:4">
      <c r="C10969"/>
      <c r="D10969"/>
    </row>
    <row r="10970" spans="3:4">
      <c r="C10970"/>
      <c r="D10970"/>
    </row>
    <row r="10971" spans="3:4">
      <c r="C10971"/>
      <c r="D10971"/>
    </row>
    <row r="10972" spans="3:4">
      <c r="C10972"/>
      <c r="D10972"/>
    </row>
    <row r="10973" spans="3:4">
      <c r="C10973"/>
      <c r="D10973"/>
    </row>
    <row r="10974" spans="3:4">
      <c r="C10974"/>
      <c r="D10974"/>
    </row>
    <row r="10975" spans="3:4">
      <c r="C10975"/>
      <c r="D10975"/>
    </row>
    <row r="10976" spans="3:4">
      <c r="C10976"/>
      <c r="D10976"/>
    </row>
    <row r="10977" spans="3:4">
      <c r="C10977"/>
      <c r="D10977"/>
    </row>
    <row r="10978" spans="3:4">
      <c r="C10978"/>
      <c r="D10978"/>
    </row>
    <row r="10979" spans="3:4">
      <c r="C10979"/>
      <c r="D10979"/>
    </row>
    <row r="10980" spans="3:4">
      <c r="C10980"/>
      <c r="D10980"/>
    </row>
    <row r="10981" spans="3:4">
      <c r="C10981"/>
      <c r="D10981"/>
    </row>
    <row r="10982" spans="3:4">
      <c r="C10982"/>
      <c r="D10982"/>
    </row>
    <row r="10983" spans="3:4">
      <c r="C10983"/>
      <c r="D10983"/>
    </row>
    <row r="10984" spans="3:4">
      <c r="C10984"/>
      <c r="D10984"/>
    </row>
    <row r="10985" spans="3:4">
      <c r="C10985"/>
      <c r="D10985"/>
    </row>
    <row r="10986" spans="3:4">
      <c r="C10986"/>
      <c r="D10986"/>
    </row>
    <row r="10987" spans="3:4">
      <c r="C10987"/>
      <c r="D10987"/>
    </row>
    <row r="10988" spans="3:4">
      <c r="C10988"/>
      <c r="D10988"/>
    </row>
    <row r="10989" spans="3:4">
      <c r="C10989"/>
      <c r="D10989"/>
    </row>
    <row r="10990" spans="3:4">
      <c r="C10990"/>
      <c r="D10990"/>
    </row>
    <row r="10991" spans="3:4">
      <c r="C10991"/>
      <c r="D10991"/>
    </row>
    <row r="10992" spans="3:4">
      <c r="C10992"/>
      <c r="D10992"/>
    </row>
    <row r="10993" spans="3:4">
      <c r="C10993"/>
      <c r="D10993"/>
    </row>
    <row r="10994" spans="3:4">
      <c r="C10994"/>
      <c r="D10994"/>
    </row>
    <row r="10995" spans="3:4">
      <c r="C10995"/>
      <c r="D10995"/>
    </row>
    <row r="10996" spans="3:4">
      <c r="C10996"/>
      <c r="D10996"/>
    </row>
    <row r="10997" spans="3:4">
      <c r="C10997"/>
      <c r="D10997"/>
    </row>
    <row r="10998" spans="3:4">
      <c r="C10998"/>
      <c r="D10998"/>
    </row>
    <row r="10999" spans="3:4">
      <c r="C10999"/>
      <c r="D10999"/>
    </row>
    <row r="11000" spans="3:4">
      <c r="C11000"/>
      <c r="D11000"/>
    </row>
    <row r="11001" spans="3:4">
      <c r="C11001"/>
      <c r="D11001"/>
    </row>
    <row r="11002" spans="3:4">
      <c r="C11002"/>
      <c r="D11002"/>
    </row>
    <row r="11003" spans="3:4">
      <c r="C11003"/>
      <c r="D11003"/>
    </row>
    <row r="11004" spans="3:4">
      <c r="C11004"/>
      <c r="D11004"/>
    </row>
    <row r="11005" spans="3:4">
      <c r="C11005"/>
      <c r="D11005"/>
    </row>
    <row r="11006" spans="3:4">
      <c r="C11006"/>
      <c r="D11006"/>
    </row>
    <row r="11007" spans="3:4">
      <c r="C11007"/>
      <c r="D11007"/>
    </row>
    <row r="11008" spans="3:4">
      <c r="C11008"/>
      <c r="D11008"/>
    </row>
    <row r="11009" spans="3:4">
      <c r="C11009"/>
      <c r="D11009"/>
    </row>
    <row r="11010" spans="3:4">
      <c r="C11010"/>
      <c r="D11010"/>
    </row>
    <row r="11011" spans="3:4">
      <c r="C11011"/>
      <c r="D11011"/>
    </row>
    <row r="11012" spans="3:4">
      <c r="C11012"/>
      <c r="D11012"/>
    </row>
    <row r="11013" spans="3:4">
      <c r="C11013"/>
      <c r="D11013"/>
    </row>
    <row r="11014" spans="3:4">
      <c r="C11014"/>
      <c r="D11014"/>
    </row>
    <row r="11015" spans="3:4">
      <c r="C11015"/>
      <c r="D11015"/>
    </row>
    <row r="11016" spans="3:4">
      <c r="C11016"/>
      <c r="D11016"/>
    </row>
    <row r="11017" spans="3:4">
      <c r="C11017"/>
      <c r="D11017"/>
    </row>
    <row r="11018" spans="3:4">
      <c r="C11018"/>
      <c r="D11018"/>
    </row>
    <row r="11019" spans="3:4">
      <c r="C11019"/>
      <c r="D11019"/>
    </row>
    <row r="11020" spans="3:4">
      <c r="C11020"/>
      <c r="D11020"/>
    </row>
    <row r="11021" spans="3:4">
      <c r="C11021"/>
      <c r="D11021"/>
    </row>
    <row r="11022" spans="3:4">
      <c r="C11022"/>
      <c r="D11022"/>
    </row>
    <row r="11023" spans="3:4">
      <c r="C11023"/>
      <c r="D11023"/>
    </row>
    <row r="11024" spans="3:4">
      <c r="C11024"/>
      <c r="D11024"/>
    </row>
    <row r="11025" spans="3:4">
      <c r="C11025"/>
      <c r="D11025"/>
    </row>
    <row r="11026" spans="3:4">
      <c r="C11026"/>
      <c r="D11026"/>
    </row>
    <row r="11027" spans="3:4">
      <c r="C11027"/>
      <c r="D11027"/>
    </row>
    <row r="11028" spans="3:4">
      <c r="C11028"/>
      <c r="D11028"/>
    </row>
    <row r="11029" spans="3:4">
      <c r="C11029"/>
      <c r="D11029"/>
    </row>
    <row r="11030" spans="3:4">
      <c r="C11030"/>
      <c r="D11030"/>
    </row>
    <row r="11031" spans="3:4">
      <c r="C11031"/>
      <c r="D11031"/>
    </row>
    <row r="11032" spans="3:4">
      <c r="C11032"/>
      <c r="D11032"/>
    </row>
    <row r="11033" spans="3:4">
      <c r="C11033"/>
      <c r="D11033"/>
    </row>
    <row r="11034" spans="3:4">
      <c r="C11034"/>
      <c r="D11034"/>
    </row>
    <row r="11035" spans="3:4">
      <c r="C11035"/>
      <c r="D11035"/>
    </row>
    <row r="11036" spans="3:4">
      <c r="C11036"/>
      <c r="D11036"/>
    </row>
    <row r="11037" spans="3:4">
      <c r="C11037"/>
      <c r="D11037"/>
    </row>
    <row r="11038" spans="3:4">
      <c r="C11038"/>
      <c r="D11038"/>
    </row>
    <row r="11039" spans="3:4">
      <c r="C11039"/>
      <c r="D11039"/>
    </row>
    <row r="11040" spans="3:4">
      <c r="C11040"/>
      <c r="D11040"/>
    </row>
    <row r="11041" spans="3:4">
      <c r="C11041"/>
      <c r="D11041"/>
    </row>
    <row r="11042" spans="3:4">
      <c r="C11042"/>
      <c r="D11042"/>
    </row>
    <row r="11043" spans="3:4">
      <c r="C11043"/>
      <c r="D11043"/>
    </row>
    <row r="11044" spans="3:4">
      <c r="C11044"/>
      <c r="D11044"/>
    </row>
    <row r="11045" spans="3:4">
      <c r="C11045"/>
      <c r="D11045"/>
    </row>
    <row r="11046" spans="3:4">
      <c r="C11046"/>
      <c r="D11046"/>
    </row>
    <row r="11047" spans="3:4">
      <c r="C11047"/>
      <c r="D11047"/>
    </row>
    <row r="11048" spans="3:4">
      <c r="C11048"/>
      <c r="D11048"/>
    </row>
    <row r="11049" spans="3:4">
      <c r="C11049"/>
      <c r="D11049"/>
    </row>
    <row r="11050" spans="3:4">
      <c r="C11050"/>
      <c r="D11050"/>
    </row>
    <row r="11051" spans="3:4">
      <c r="C11051"/>
      <c r="D11051"/>
    </row>
    <row r="11052" spans="3:4">
      <c r="C11052"/>
      <c r="D11052"/>
    </row>
    <row r="11053" spans="3:4">
      <c r="C11053"/>
      <c r="D11053"/>
    </row>
    <row r="11054" spans="3:4">
      <c r="C11054"/>
      <c r="D11054"/>
    </row>
    <row r="11055" spans="3:4">
      <c r="C11055"/>
      <c r="D11055"/>
    </row>
    <row r="11056" spans="3:4">
      <c r="C11056"/>
      <c r="D11056"/>
    </row>
    <row r="11057" spans="3:4">
      <c r="C11057"/>
      <c r="D11057"/>
    </row>
    <row r="11058" spans="3:4">
      <c r="C11058"/>
      <c r="D11058"/>
    </row>
    <row r="11059" spans="3:4">
      <c r="C11059"/>
      <c r="D11059"/>
    </row>
    <row r="11060" spans="3:4">
      <c r="C11060"/>
      <c r="D11060"/>
    </row>
    <row r="11061" spans="3:4">
      <c r="C11061"/>
      <c r="D11061"/>
    </row>
    <row r="11062" spans="3:4">
      <c r="C11062"/>
      <c r="D11062"/>
    </row>
    <row r="11063" spans="3:4">
      <c r="C11063"/>
      <c r="D11063"/>
    </row>
    <row r="11064" spans="3:4">
      <c r="C11064"/>
      <c r="D11064"/>
    </row>
    <row r="11065" spans="3:4">
      <c r="C11065"/>
      <c r="D11065"/>
    </row>
    <row r="11066" spans="3:4">
      <c r="C11066"/>
      <c r="D11066"/>
    </row>
    <row r="11067" spans="3:4">
      <c r="C11067"/>
      <c r="D11067"/>
    </row>
    <row r="11068" spans="3:4">
      <c r="C11068"/>
      <c r="D11068"/>
    </row>
    <row r="11069" spans="3:4">
      <c r="C11069"/>
      <c r="D11069"/>
    </row>
    <row r="11070" spans="3:4">
      <c r="C11070"/>
      <c r="D11070"/>
    </row>
    <row r="11071" spans="3:4">
      <c r="C11071"/>
      <c r="D11071"/>
    </row>
    <row r="11072" spans="3:4">
      <c r="C11072"/>
      <c r="D11072"/>
    </row>
    <row r="11073" spans="3:4">
      <c r="C11073"/>
      <c r="D11073"/>
    </row>
    <row r="11074" spans="3:4">
      <c r="C11074"/>
      <c r="D11074"/>
    </row>
    <row r="11075" spans="3:4">
      <c r="C11075"/>
      <c r="D11075"/>
    </row>
    <row r="11076" spans="3:4">
      <c r="C11076"/>
      <c r="D11076"/>
    </row>
    <row r="11077" spans="3:4">
      <c r="C11077"/>
      <c r="D11077"/>
    </row>
    <row r="11078" spans="3:4">
      <c r="C11078"/>
      <c r="D11078"/>
    </row>
    <row r="11079" spans="3:4">
      <c r="C11079"/>
      <c r="D11079"/>
    </row>
    <row r="11080" spans="3:4">
      <c r="C11080"/>
      <c r="D11080"/>
    </row>
    <row r="11081" spans="3:4">
      <c r="C11081"/>
      <c r="D11081"/>
    </row>
    <row r="11082" spans="3:4">
      <c r="C11082"/>
      <c r="D11082"/>
    </row>
    <row r="11083" spans="3:4">
      <c r="C11083"/>
      <c r="D11083"/>
    </row>
    <row r="11084" spans="3:4">
      <c r="C11084"/>
      <c r="D11084"/>
    </row>
    <row r="11085" spans="3:4">
      <c r="C11085"/>
      <c r="D11085"/>
    </row>
    <row r="11086" spans="3:4">
      <c r="C11086"/>
      <c r="D11086"/>
    </row>
    <row r="11087" spans="3:4">
      <c r="C11087"/>
      <c r="D11087"/>
    </row>
    <row r="11088" spans="3:4">
      <c r="C11088"/>
      <c r="D11088"/>
    </row>
    <row r="11089" spans="3:4">
      <c r="C11089"/>
      <c r="D11089"/>
    </row>
    <row r="11090" spans="3:4">
      <c r="C11090"/>
      <c r="D11090"/>
    </row>
    <row r="11091" spans="3:4">
      <c r="C11091"/>
      <c r="D11091"/>
    </row>
    <row r="11092" spans="3:4">
      <c r="C11092"/>
      <c r="D11092"/>
    </row>
    <row r="11093" spans="3:4">
      <c r="C11093"/>
      <c r="D11093"/>
    </row>
    <row r="11094" spans="3:4">
      <c r="C11094"/>
      <c r="D11094"/>
    </row>
    <row r="11095" spans="3:4">
      <c r="C11095"/>
      <c r="D11095"/>
    </row>
    <row r="11096" spans="3:4">
      <c r="C11096"/>
      <c r="D11096"/>
    </row>
    <row r="11097" spans="3:4">
      <c r="C11097"/>
      <c r="D11097"/>
    </row>
    <row r="11098" spans="3:4">
      <c r="C11098"/>
      <c r="D11098"/>
    </row>
    <row r="11099" spans="3:4">
      <c r="C11099"/>
      <c r="D11099"/>
    </row>
    <row r="11100" spans="3:4">
      <c r="C11100"/>
      <c r="D11100"/>
    </row>
    <row r="11101" spans="3:4">
      <c r="C11101"/>
      <c r="D11101"/>
    </row>
    <row r="11102" spans="3:4">
      <c r="C11102"/>
      <c r="D11102"/>
    </row>
    <row r="11103" spans="3:4">
      <c r="C11103"/>
      <c r="D11103"/>
    </row>
    <row r="11104" spans="3:4">
      <c r="C11104"/>
      <c r="D11104"/>
    </row>
    <row r="11105" spans="3:4">
      <c r="C11105"/>
      <c r="D11105"/>
    </row>
    <row r="11106" spans="3:4">
      <c r="C11106"/>
      <c r="D11106"/>
    </row>
    <row r="11107" spans="3:4">
      <c r="C11107"/>
      <c r="D11107"/>
    </row>
    <row r="11108" spans="3:4">
      <c r="C11108"/>
      <c r="D11108"/>
    </row>
    <row r="11109" spans="3:4">
      <c r="C11109"/>
      <c r="D11109"/>
    </row>
    <row r="11110" spans="3:4">
      <c r="C11110"/>
      <c r="D11110"/>
    </row>
    <row r="11111" spans="3:4">
      <c r="C11111"/>
      <c r="D11111"/>
    </row>
    <row r="11112" spans="3:4">
      <c r="C11112"/>
      <c r="D11112"/>
    </row>
    <row r="11113" spans="3:4">
      <c r="C11113"/>
      <c r="D11113"/>
    </row>
    <row r="11114" spans="3:4">
      <c r="C11114"/>
      <c r="D11114"/>
    </row>
    <row r="11115" spans="3:4">
      <c r="C11115"/>
      <c r="D11115"/>
    </row>
    <row r="11116" spans="3:4">
      <c r="C11116"/>
      <c r="D11116"/>
    </row>
    <row r="11117" spans="3:4">
      <c r="C11117"/>
      <c r="D11117"/>
    </row>
    <row r="11118" spans="3:4">
      <c r="C11118"/>
      <c r="D11118"/>
    </row>
    <row r="11119" spans="3:4">
      <c r="C11119"/>
      <c r="D11119"/>
    </row>
    <row r="11120" spans="3:4">
      <c r="C11120"/>
      <c r="D11120"/>
    </row>
    <row r="11121" spans="3:4">
      <c r="C11121"/>
      <c r="D11121"/>
    </row>
    <row r="11122" spans="3:4">
      <c r="C11122"/>
      <c r="D11122"/>
    </row>
    <row r="11123" spans="3:4">
      <c r="C11123"/>
      <c r="D11123"/>
    </row>
    <row r="11124" spans="3:4">
      <c r="C11124"/>
      <c r="D11124"/>
    </row>
    <row r="11125" spans="3:4">
      <c r="C11125"/>
      <c r="D11125"/>
    </row>
    <row r="11126" spans="3:4">
      <c r="C11126"/>
      <c r="D11126"/>
    </row>
    <row r="11127" spans="3:4">
      <c r="C11127"/>
      <c r="D11127"/>
    </row>
    <row r="11128" spans="3:4">
      <c r="C11128"/>
      <c r="D11128"/>
    </row>
    <row r="11129" spans="3:4">
      <c r="C11129"/>
      <c r="D11129"/>
    </row>
    <row r="11130" spans="3:4">
      <c r="C11130"/>
      <c r="D11130"/>
    </row>
    <row r="11131" spans="3:4">
      <c r="C11131"/>
      <c r="D11131"/>
    </row>
    <row r="11132" spans="3:4">
      <c r="C11132"/>
      <c r="D11132"/>
    </row>
    <row r="11133" spans="3:4">
      <c r="C11133"/>
      <c r="D11133"/>
    </row>
    <row r="11134" spans="3:4">
      <c r="C11134"/>
      <c r="D11134"/>
    </row>
    <row r="11135" spans="3:4">
      <c r="C11135"/>
      <c r="D11135"/>
    </row>
    <row r="11136" spans="3:4">
      <c r="C11136"/>
      <c r="D11136"/>
    </row>
    <row r="11137" spans="3:4">
      <c r="C11137"/>
      <c r="D11137"/>
    </row>
    <row r="11138" spans="3:4">
      <c r="C11138"/>
      <c r="D11138"/>
    </row>
    <row r="11139" spans="3:4">
      <c r="C11139"/>
      <c r="D11139"/>
    </row>
    <row r="11140" spans="3:4">
      <c r="C11140"/>
      <c r="D11140"/>
    </row>
    <row r="11141" spans="3:4">
      <c r="C11141"/>
      <c r="D11141"/>
    </row>
    <row r="11142" spans="3:4">
      <c r="C11142"/>
      <c r="D11142"/>
    </row>
    <row r="11143" spans="3:4">
      <c r="C11143"/>
      <c r="D11143"/>
    </row>
    <row r="11144" spans="3:4">
      <c r="C11144"/>
      <c r="D11144"/>
    </row>
    <row r="11145" spans="3:4">
      <c r="C11145"/>
      <c r="D11145"/>
    </row>
    <row r="11146" spans="3:4">
      <c r="C11146"/>
      <c r="D11146"/>
    </row>
    <row r="11147" spans="3:4">
      <c r="C11147"/>
      <c r="D11147"/>
    </row>
    <row r="11148" spans="3:4">
      <c r="C11148"/>
      <c r="D11148"/>
    </row>
    <row r="11149" spans="3:4">
      <c r="C11149"/>
      <c r="D11149"/>
    </row>
    <row r="11150" spans="3:4">
      <c r="C11150"/>
      <c r="D11150"/>
    </row>
    <row r="11151" spans="3:4">
      <c r="C11151"/>
      <c r="D11151"/>
    </row>
    <row r="11152" spans="3:4">
      <c r="C11152"/>
      <c r="D11152"/>
    </row>
    <row r="11153" spans="3:4">
      <c r="C11153"/>
      <c r="D11153"/>
    </row>
    <row r="11154" spans="3:4">
      <c r="C11154"/>
      <c r="D11154"/>
    </row>
    <row r="11155" spans="3:4">
      <c r="C11155"/>
      <c r="D11155"/>
    </row>
    <row r="11156" spans="3:4">
      <c r="C11156"/>
      <c r="D11156"/>
    </row>
    <row r="11157" spans="3:4">
      <c r="C11157"/>
      <c r="D11157"/>
    </row>
    <row r="11158" spans="3:4">
      <c r="C11158"/>
      <c r="D11158"/>
    </row>
    <row r="11159" spans="3:4">
      <c r="C11159"/>
      <c r="D11159"/>
    </row>
    <row r="11160" spans="3:4">
      <c r="C11160"/>
      <c r="D11160"/>
    </row>
    <row r="11161" spans="3:4">
      <c r="C11161"/>
      <c r="D11161"/>
    </row>
    <row r="11162" spans="3:4">
      <c r="C11162"/>
      <c r="D11162"/>
    </row>
    <row r="11163" spans="3:4">
      <c r="C11163"/>
      <c r="D11163"/>
    </row>
    <row r="11164" spans="3:4">
      <c r="C11164"/>
      <c r="D11164"/>
    </row>
    <row r="11165" spans="3:4">
      <c r="C11165"/>
      <c r="D11165"/>
    </row>
    <row r="11166" spans="3:4">
      <c r="C11166"/>
      <c r="D11166"/>
    </row>
    <row r="11167" spans="3:4">
      <c r="C11167"/>
      <c r="D11167"/>
    </row>
    <row r="11168" spans="3:4">
      <c r="C11168"/>
      <c r="D11168"/>
    </row>
    <row r="11169" spans="3:4">
      <c r="C11169"/>
      <c r="D11169"/>
    </row>
    <row r="11170" spans="3:4">
      <c r="C11170"/>
      <c r="D11170"/>
    </row>
    <row r="11171" spans="3:4">
      <c r="C11171"/>
      <c r="D11171"/>
    </row>
    <row r="11172" spans="3:4">
      <c r="C11172"/>
      <c r="D11172"/>
    </row>
    <row r="11173" spans="3:4">
      <c r="C11173"/>
      <c r="D11173"/>
    </row>
    <row r="11174" spans="3:4">
      <c r="C11174"/>
      <c r="D11174"/>
    </row>
    <row r="11175" spans="3:4">
      <c r="C11175"/>
      <c r="D11175"/>
    </row>
    <row r="11176" spans="3:4">
      <c r="C11176"/>
      <c r="D11176"/>
    </row>
    <row r="11177" spans="3:4">
      <c r="C11177"/>
      <c r="D11177"/>
    </row>
    <row r="11178" spans="3:4">
      <c r="C11178"/>
      <c r="D11178"/>
    </row>
    <row r="11179" spans="3:4">
      <c r="C11179"/>
      <c r="D11179"/>
    </row>
    <row r="11180" spans="3:4">
      <c r="C11180"/>
      <c r="D11180"/>
    </row>
    <row r="11181" spans="3:4">
      <c r="C11181"/>
      <c r="D11181"/>
    </row>
    <row r="11182" spans="3:4">
      <c r="C11182"/>
      <c r="D11182"/>
    </row>
    <row r="11183" spans="3:4">
      <c r="C11183"/>
      <c r="D11183"/>
    </row>
    <row r="11184" spans="3:4">
      <c r="C11184"/>
      <c r="D11184"/>
    </row>
    <row r="11185" spans="3:4">
      <c r="C11185"/>
      <c r="D11185"/>
    </row>
    <row r="11186" spans="3:4">
      <c r="C11186"/>
      <c r="D11186"/>
    </row>
    <row r="11187" spans="3:4">
      <c r="C11187"/>
      <c r="D11187"/>
    </row>
    <row r="11188" spans="3:4">
      <c r="C11188"/>
      <c r="D11188"/>
    </row>
    <row r="11189" spans="3:4">
      <c r="C11189"/>
      <c r="D11189"/>
    </row>
    <row r="11190" spans="3:4">
      <c r="C11190"/>
      <c r="D11190"/>
    </row>
    <row r="11191" spans="3:4">
      <c r="C11191"/>
      <c r="D11191"/>
    </row>
    <row r="11192" spans="3:4">
      <c r="C11192"/>
      <c r="D11192"/>
    </row>
    <row r="11193" spans="3:4">
      <c r="C11193"/>
      <c r="D11193"/>
    </row>
    <row r="11194" spans="3:4">
      <c r="C11194"/>
      <c r="D11194"/>
    </row>
    <row r="11195" spans="3:4">
      <c r="C11195"/>
      <c r="D11195"/>
    </row>
    <row r="11196" spans="3:4">
      <c r="C11196"/>
      <c r="D11196"/>
    </row>
    <row r="11197" spans="3:4">
      <c r="C11197"/>
      <c r="D11197"/>
    </row>
    <row r="11198" spans="3:4">
      <c r="C11198"/>
      <c r="D11198"/>
    </row>
    <row r="11199" spans="3:4">
      <c r="C11199"/>
      <c r="D11199"/>
    </row>
    <row r="11200" spans="3:4">
      <c r="C11200"/>
      <c r="D11200"/>
    </row>
    <row r="11201" spans="3:4">
      <c r="C11201"/>
      <c r="D11201"/>
    </row>
    <row r="11202" spans="3:4">
      <c r="C11202"/>
      <c r="D11202"/>
    </row>
    <row r="11203" spans="3:4">
      <c r="C11203"/>
      <c r="D11203"/>
    </row>
    <row r="11204" spans="3:4">
      <c r="C11204"/>
      <c r="D11204"/>
    </row>
    <row r="11205" spans="3:4">
      <c r="C11205"/>
      <c r="D11205"/>
    </row>
    <row r="11206" spans="3:4">
      <c r="C11206"/>
      <c r="D11206"/>
    </row>
    <row r="11207" spans="3:4">
      <c r="C11207"/>
      <c r="D11207"/>
    </row>
    <row r="11208" spans="3:4">
      <c r="C11208"/>
      <c r="D11208"/>
    </row>
    <row r="11209" spans="3:4">
      <c r="C11209"/>
      <c r="D11209"/>
    </row>
    <row r="11210" spans="3:4">
      <c r="C11210"/>
      <c r="D11210"/>
    </row>
    <row r="11211" spans="3:4">
      <c r="C11211"/>
      <c r="D11211"/>
    </row>
    <row r="11212" spans="3:4">
      <c r="C11212"/>
      <c r="D11212"/>
    </row>
    <row r="11213" spans="3:4">
      <c r="C11213"/>
      <c r="D11213"/>
    </row>
    <row r="11214" spans="3:4">
      <c r="C11214"/>
      <c r="D11214"/>
    </row>
    <row r="11215" spans="3:4">
      <c r="C11215"/>
      <c r="D11215"/>
    </row>
    <row r="11216" spans="3:4">
      <c r="C11216"/>
      <c r="D11216"/>
    </row>
    <row r="11217" spans="3:4">
      <c r="C11217"/>
      <c r="D11217"/>
    </row>
    <row r="11218" spans="3:4">
      <c r="C11218"/>
      <c r="D11218"/>
    </row>
    <row r="11219" spans="3:4">
      <c r="C11219"/>
      <c r="D11219"/>
    </row>
    <row r="11220" spans="3:4">
      <c r="C11220"/>
      <c r="D11220"/>
    </row>
    <row r="11221" spans="3:4">
      <c r="C11221"/>
      <c r="D11221"/>
    </row>
    <row r="11222" spans="3:4">
      <c r="C11222"/>
      <c r="D11222"/>
    </row>
    <row r="11223" spans="3:4">
      <c r="C11223"/>
      <c r="D11223"/>
    </row>
    <row r="11224" spans="3:4">
      <c r="C11224"/>
      <c r="D11224"/>
    </row>
    <row r="11225" spans="3:4">
      <c r="C11225"/>
      <c r="D11225"/>
    </row>
    <row r="11226" spans="3:4">
      <c r="C11226"/>
      <c r="D11226"/>
    </row>
    <row r="11227" spans="3:4">
      <c r="C11227"/>
      <c r="D11227"/>
    </row>
    <row r="11228" spans="3:4">
      <c r="C11228"/>
      <c r="D11228"/>
    </row>
    <row r="11229" spans="3:4">
      <c r="C11229"/>
      <c r="D11229"/>
    </row>
    <row r="11230" spans="3:4">
      <c r="C11230"/>
      <c r="D11230"/>
    </row>
    <row r="11231" spans="3:4">
      <c r="C11231"/>
      <c r="D11231"/>
    </row>
    <row r="11232" spans="3:4">
      <c r="C11232"/>
      <c r="D11232"/>
    </row>
    <row r="11233" spans="3:4">
      <c r="C11233"/>
      <c r="D11233"/>
    </row>
    <row r="11234" spans="3:4">
      <c r="C11234"/>
      <c r="D11234"/>
    </row>
    <row r="11235" spans="3:4">
      <c r="C11235"/>
      <c r="D11235"/>
    </row>
    <row r="11236" spans="3:4">
      <c r="C11236"/>
      <c r="D11236"/>
    </row>
    <row r="11237" spans="3:4">
      <c r="C11237"/>
      <c r="D11237"/>
    </row>
    <row r="11238" spans="3:4">
      <c r="C11238"/>
      <c r="D11238"/>
    </row>
    <row r="11239" spans="3:4">
      <c r="C11239"/>
      <c r="D11239"/>
    </row>
    <row r="11240" spans="3:4">
      <c r="C11240"/>
      <c r="D11240"/>
    </row>
    <row r="11241" spans="3:4">
      <c r="C11241"/>
      <c r="D11241"/>
    </row>
    <row r="11242" spans="3:4">
      <c r="C11242"/>
      <c r="D11242"/>
    </row>
    <row r="11243" spans="3:4">
      <c r="C11243"/>
      <c r="D11243"/>
    </row>
    <row r="11244" spans="3:4">
      <c r="C11244"/>
      <c r="D11244"/>
    </row>
    <row r="11245" spans="3:4">
      <c r="C11245"/>
      <c r="D11245"/>
    </row>
    <row r="11246" spans="3:4">
      <c r="C11246"/>
      <c r="D11246"/>
    </row>
    <row r="11247" spans="3:4">
      <c r="C11247"/>
      <c r="D11247"/>
    </row>
    <row r="11248" spans="3:4">
      <c r="C11248"/>
      <c r="D11248"/>
    </row>
    <row r="11249" spans="3:4">
      <c r="C11249"/>
      <c r="D11249"/>
    </row>
    <row r="11250" spans="3:4">
      <c r="C11250"/>
      <c r="D11250"/>
    </row>
    <row r="11251" spans="3:4">
      <c r="C11251"/>
      <c r="D11251"/>
    </row>
    <row r="11252" spans="3:4">
      <c r="C11252"/>
      <c r="D11252"/>
    </row>
    <row r="11253" spans="3:4">
      <c r="C11253"/>
      <c r="D11253"/>
    </row>
    <row r="11254" spans="3:4">
      <c r="C11254"/>
      <c r="D11254"/>
    </row>
    <row r="11255" spans="3:4">
      <c r="C11255"/>
      <c r="D11255"/>
    </row>
    <row r="11256" spans="3:4">
      <c r="C11256"/>
      <c r="D11256"/>
    </row>
    <row r="11257" spans="3:4">
      <c r="C11257"/>
      <c r="D11257"/>
    </row>
    <row r="11258" spans="3:4">
      <c r="C11258"/>
      <c r="D11258"/>
    </row>
    <row r="11259" spans="3:4">
      <c r="C11259"/>
      <c r="D11259"/>
    </row>
    <row r="11260" spans="3:4">
      <c r="C11260"/>
      <c r="D11260"/>
    </row>
    <row r="11261" spans="3:4">
      <c r="C11261"/>
      <c r="D11261"/>
    </row>
    <row r="11262" spans="3:4">
      <c r="C11262"/>
      <c r="D11262"/>
    </row>
    <row r="11263" spans="3:4">
      <c r="C11263"/>
      <c r="D11263"/>
    </row>
    <row r="11264" spans="3:4">
      <c r="C11264"/>
      <c r="D11264"/>
    </row>
    <row r="11265" spans="3:4">
      <c r="C11265"/>
      <c r="D11265"/>
    </row>
    <row r="11266" spans="3:4">
      <c r="C11266"/>
      <c r="D11266"/>
    </row>
    <row r="11267" spans="3:4">
      <c r="C11267"/>
      <c r="D11267"/>
    </row>
    <row r="11268" spans="3:4">
      <c r="C11268"/>
      <c r="D11268"/>
    </row>
    <row r="11269" spans="3:4">
      <c r="C11269"/>
      <c r="D11269"/>
    </row>
    <row r="11270" spans="3:4">
      <c r="C11270"/>
      <c r="D11270"/>
    </row>
    <row r="11271" spans="3:4">
      <c r="C11271"/>
      <c r="D11271"/>
    </row>
    <row r="11272" spans="3:4">
      <c r="C11272"/>
      <c r="D11272"/>
    </row>
    <row r="11273" spans="3:4">
      <c r="C11273"/>
      <c r="D11273"/>
    </row>
    <row r="11274" spans="3:4">
      <c r="C11274"/>
      <c r="D11274"/>
    </row>
    <row r="11275" spans="3:4">
      <c r="C11275"/>
      <c r="D11275"/>
    </row>
    <row r="11276" spans="3:4">
      <c r="C11276"/>
      <c r="D11276"/>
    </row>
    <row r="11277" spans="3:4">
      <c r="C11277"/>
      <c r="D11277"/>
    </row>
    <row r="11278" spans="3:4">
      <c r="C11278"/>
      <c r="D11278"/>
    </row>
    <row r="11279" spans="3:4">
      <c r="C11279"/>
      <c r="D11279"/>
    </row>
    <row r="11280" spans="3:4">
      <c r="C11280"/>
      <c r="D11280"/>
    </row>
    <row r="11281" spans="3:4">
      <c r="C11281"/>
      <c r="D11281"/>
    </row>
    <row r="11282" spans="3:4">
      <c r="C11282"/>
      <c r="D11282"/>
    </row>
    <row r="11283" spans="3:4">
      <c r="C11283"/>
      <c r="D11283"/>
    </row>
    <row r="11284" spans="3:4">
      <c r="C11284"/>
      <c r="D11284"/>
    </row>
    <row r="11285" spans="3:4">
      <c r="C11285"/>
      <c r="D11285"/>
    </row>
    <row r="11286" spans="3:4">
      <c r="C11286"/>
      <c r="D11286"/>
    </row>
    <row r="11287" spans="3:4">
      <c r="C11287"/>
      <c r="D11287"/>
    </row>
    <row r="11288" spans="3:4">
      <c r="C11288"/>
      <c r="D11288"/>
    </row>
    <row r="11289" spans="3:4">
      <c r="C11289"/>
      <c r="D11289"/>
    </row>
    <row r="11290" spans="3:4">
      <c r="C11290"/>
      <c r="D11290"/>
    </row>
    <row r="11291" spans="3:4">
      <c r="C11291"/>
      <c r="D11291"/>
    </row>
    <row r="11292" spans="3:4">
      <c r="C11292"/>
      <c r="D11292"/>
    </row>
    <row r="11293" spans="3:4">
      <c r="C11293"/>
      <c r="D11293"/>
    </row>
    <row r="11294" spans="3:4">
      <c r="C11294"/>
      <c r="D11294"/>
    </row>
    <row r="11295" spans="3:4">
      <c r="C11295"/>
      <c r="D11295"/>
    </row>
    <row r="11296" spans="3:4">
      <c r="C11296"/>
      <c r="D11296"/>
    </row>
    <row r="11297" spans="3:4">
      <c r="C11297"/>
      <c r="D11297"/>
    </row>
    <row r="11298" spans="3:4">
      <c r="C11298"/>
      <c r="D11298"/>
    </row>
    <row r="11299" spans="3:4">
      <c r="C11299"/>
      <c r="D11299"/>
    </row>
    <row r="11300" spans="3:4">
      <c r="C11300"/>
      <c r="D11300"/>
    </row>
    <row r="11301" spans="3:4">
      <c r="C11301"/>
      <c r="D11301"/>
    </row>
    <row r="11302" spans="3:4">
      <c r="C11302"/>
      <c r="D11302"/>
    </row>
    <row r="11303" spans="3:4">
      <c r="C11303"/>
      <c r="D11303"/>
    </row>
    <row r="11304" spans="3:4">
      <c r="C11304"/>
      <c r="D11304"/>
    </row>
    <row r="11305" spans="3:4">
      <c r="C11305"/>
      <c r="D11305"/>
    </row>
    <row r="11306" spans="3:4">
      <c r="C11306"/>
      <c r="D11306"/>
    </row>
    <row r="11307" spans="3:4">
      <c r="C11307"/>
      <c r="D11307"/>
    </row>
    <row r="11308" spans="3:4">
      <c r="C11308"/>
      <c r="D11308"/>
    </row>
    <row r="11309" spans="3:4">
      <c r="C11309"/>
      <c r="D11309"/>
    </row>
    <row r="11310" spans="3:4">
      <c r="C11310"/>
      <c r="D11310"/>
    </row>
    <row r="11311" spans="3:4">
      <c r="C11311"/>
      <c r="D11311"/>
    </row>
    <row r="11312" spans="3:4">
      <c r="C11312"/>
      <c r="D11312"/>
    </row>
    <row r="11313" spans="3:4">
      <c r="C11313"/>
      <c r="D11313"/>
    </row>
    <row r="11314" spans="3:4">
      <c r="C11314"/>
      <c r="D11314"/>
    </row>
    <row r="11315" spans="3:4">
      <c r="C11315"/>
      <c r="D11315"/>
    </row>
    <row r="11316" spans="3:4">
      <c r="C11316"/>
      <c r="D11316"/>
    </row>
    <row r="11317" spans="3:4">
      <c r="C11317"/>
      <c r="D11317"/>
    </row>
    <row r="11318" spans="3:4">
      <c r="C11318"/>
      <c r="D11318"/>
    </row>
    <row r="11319" spans="3:4">
      <c r="C11319"/>
      <c r="D11319"/>
    </row>
    <row r="11320" spans="3:4">
      <c r="C11320"/>
      <c r="D11320"/>
    </row>
    <row r="11321" spans="3:4">
      <c r="C11321"/>
      <c r="D11321"/>
    </row>
    <row r="11322" spans="3:4">
      <c r="C11322"/>
      <c r="D11322"/>
    </row>
    <row r="11323" spans="3:4">
      <c r="C11323"/>
      <c r="D11323"/>
    </row>
    <row r="11324" spans="3:4">
      <c r="C11324"/>
      <c r="D11324"/>
    </row>
    <row r="11325" spans="3:4">
      <c r="C11325"/>
      <c r="D11325"/>
    </row>
    <row r="11326" spans="3:4">
      <c r="C11326"/>
      <c r="D11326"/>
    </row>
    <row r="11327" spans="3:4">
      <c r="C11327"/>
      <c r="D11327"/>
    </row>
    <row r="11328" spans="3:4">
      <c r="C11328"/>
      <c r="D11328"/>
    </row>
    <row r="11329" spans="3:4">
      <c r="C11329"/>
      <c r="D11329"/>
    </row>
    <row r="11330" spans="3:4">
      <c r="C11330"/>
      <c r="D11330"/>
    </row>
    <row r="11331" spans="3:4">
      <c r="C11331"/>
      <c r="D11331"/>
    </row>
    <row r="11332" spans="3:4">
      <c r="C11332"/>
      <c r="D11332"/>
    </row>
    <row r="11333" spans="3:4">
      <c r="C11333"/>
      <c r="D11333"/>
    </row>
    <row r="11334" spans="3:4">
      <c r="C11334"/>
      <c r="D11334"/>
    </row>
    <row r="11335" spans="3:4">
      <c r="C11335"/>
      <c r="D11335"/>
    </row>
    <row r="11336" spans="3:4">
      <c r="C11336"/>
      <c r="D11336"/>
    </row>
    <row r="11337" spans="3:4">
      <c r="C11337"/>
      <c r="D11337"/>
    </row>
    <row r="11338" spans="3:4">
      <c r="C11338"/>
      <c r="D11338"/>
    </row>
    <row r="11339" spans="3:4">
      <c r="C11339"/>
      <c r="D11339"/>
    </row>
    <row r="11340" spans="3:4">
      <c r="C11340"/>
      <c r="D11340"/>
    </row>
    <row r="11341" spans="3:4">
      <c r="C11341"/>
      <c r="D11341"/>
    </row>
    <row r="11342" spans="3:4">
      <c r="C11342"/>
      <c r="D11342"/>
    </row>
    <row r="11343" spans="3:4">
      <c r="C11343"/>
      <c r="D11343"/>
    </row>
    <row r="11344" spans="3:4">
      <c r="C11344"/>
      <c r="D11344"/>
    </row>
    <row r="11345" spans="3:4">
      <c r="C11345"/>
      <c r="D11345"/>
    </row>
    <row r="11346" spans="3:4">
      <c r="C11346"/>
      <c r="D11346"/>
    </row>
    <row r="11347" spans="3:4">
      <c r="C11347"/>
      <c r="D11347"/>
    </row>
    <row r="11348" spans="3:4">
      <c r="C11348"/>
      <c r="D11348"/>
    </row>
    <row r="11349" spans="3:4">
      <c r="C11349"/>
      <c r="D11349"/>
    </row>
    <row r="11350" spans="3:4">
      <c r="C11350"/>
      <c r="D11350"/>
    </row>
    <row r="11351" spans="3:4">
      <c r="C11351"/>
      <c r="D11351"/>
    </row>
    <row r="11352" spans="3:4">
      <c r="C11352"/>
      <c r="D11352"/>
    </row>
    <row r="11353" spans="3:4">
      <c r="C11353"/>
      <c r="D11353"/>
    </row>
    <row r="11354" spans="3:4">
      <c r="C11354"/>
      <c r="D11354"/>
    </row>
    <row r="11355" spans="3:4">
      <c r="C11355"/>
      <c r="D11355"/>
    </row>
    <row r="11356" spans="3:4">
      <c r="C11356"/>
      <c r="D11356"/>
    </row>
    <row r="11357" spans="3:4">
      <c r="C11357"/>
      <c r="D11357"/>
    </row>
    <row r="11358" spans="3:4">
      <c r="C11358"/>
      <c r="D11358"/>
    </row>
    <row r="11359" spans="3:4">
      <c r="C11359"/>
      <c r="D11359"/>
    </row>
    <row r="11360" spans="3:4">
      <c r="C11360"/>
      <c r="D11360"/>
    </row>
    <row r="11361" spans="3:4">
      <c r="C11361"/>
      <c r="D11361"/>
    </row>
    <row r="11362" spans="3:4">
      <c r="C11362"/>
      <c r="D11362"/>
    </row>
    <row r="11363" spans="3:4">
      <c r="C11363"/>
      <c r="D11363"/>
    </row>
    <row r="11364" spans="3:4">
      <c r="C11364"/>
      <c r="D11364"/>
    </row>
    <row r="11365" spans="3:4">
      <c r="C11365"/>
      <c r="D11365"/>
    </row>
    <row r="11366" spans="3:4">
      <c r="C11366"/>
      <c r="D11366"/>
    </row>
    <row r="11367" spans="3:4">
      <c r="C11367"/>
      <c r="D11367"/>
    </row>
    <row r="11368" spans="3:4">
      <c r="C11368"/>
      <c r="D11368"/>
    </row>
    <row r="11369" spans="3:4">
      <c r="C11369"/>
      <c r="D11369"/>
    </row>
    <row r="11370" spans="3:4">
      <c r="C11370"/>
      <c r="D11370"/>
    </row>
    <row r="11371" spans="3:4">
      <c r="C11371"/>
      <c r="D11371"/>
    </row>
    <row r="11372" spans="3:4">
      <c r="C11372"/>
      <c r="D11372"/>
    </row>
    <row r="11373" spans="3:4">
      <c r="C11373"/>
      <c r="D11373"/>
    </row>
    <row r="11374" spans="3:4">
      <c r="C11374"/>
      <c r="D11374"/>
    </row>
    <row r="11375" spans="3:4">
      <c r="C11375"/>
      <c r="D11375"/>
    </row>
    <row r="11376" spans="3:4">
      <c r="C11376"/>
      <c r="D11376"/>
    </row>
    <row r="11377" spans="3:4">
      <c r="C11377"/>
      <c r="D11377"/>
    </row>
    <row r="11378" spans="3:4">
      <c r="C11378"/>
      <c r="D11378"/>
    </row>
    <row r="11379" spans="3:4">
      <c r="C11379"/>
      <c r="D11379"/>
    </row>
    <row r="11380" spans="3:4">
      <c r="C11380"/>
      <c r="D11380"/>
    </row>
    <row r="11381" spans="3:4">
      <c r="C11381"/>
      <c r="D11381"/>
    </row>
    <row r="11382" spans="3:4">
      <c r="C11382"/>
      <c r="D11382"/>
    </row>
    <row r="11383" spans="3:4">
      <c r="C11383"/>
      <c r="D11383"/>
    </row>
    <row r="11384" spans="3:4">
      <c r="C11384"/>
      <c r="D11384"/>
    </row>
    <row r="11385" spans="3:4">
      <c r="C11385"/>
      <c r="D11385"/>
    </row>
    <row r="11386" spans="3:4">
      <c r="C11386"/>
      <c r="D11386"/>
    </row>
    <row r="11387" spans="3:4">
      <c r="C11387"/>
      <c r="D11387"/>
    </row>
    <row r="11388" spans="3:4">
      <c r="C11388"/>
      <c r="D11388"/>
    </row>
    <row r="11389" spans="3:4">
      <c r="C11389"/>
      <c r="D11389"/>
    </row>
    <row r="11390" spans="3:4">
      <c r="C11390"/>
      <c r="D11390"/>
    </row>
    <row r="11391" spans="3:4">
      <c r="C11391"/>
      <c r="D11391"/>
    </row>
    <row r="11392" spans="3:4">
      <c r="C11392"/>
      <c r="D11392"/>
    </row>
    <row r="11393" spans="3:4">
      <c r="C11393"/>
      <c r="D11393"/>
    </row>
    <row r="11394" spans="3:4">
      <c r="C11394"/>
      <c r="D11394"/>
    </row>
    <row r="11395" spans="3:4">
      <c r="C11395"/>
      <c r="D11395"/>
    </row>
    <row r="11396" spans="3:4">
      <c r="C11396"/>
      <c r="D11396"/>
    </row>
    <row r="11397" spans="3:4">
      <c r="C11397"/>
      <c r="D11397"/>
    </row>
    <row r="11398" spans="3:4">
      <c r="C11398"/>
      <c r="D11398"/>
    </row>
    <row r="11399" spans="3:4">
      <c r="C11399"/>
      <c r="D11399"/>
    </row>
    <row r="11400" spans="3:4">
      <c r="C11400"/>
      <c r="D11400"/>
    </row>
    <row r="11401" spans="3:4">
      <c r="C11401"/>
      <c r="D11401"/>
    </row>
    <row r="11402" spans="3:4">
      <c r="C11402"/>
      <c r="D11402"/>
    </row>
    <row r="11403" spans="3:4">
      <c r="C11403"/>
      <c r="D11403"/>
    </row>
    <row r="11404" spans="3:4">
      <c r="C11404"/>
      <c r="D11404"/>
    </row>
    <row r="11405" spans="3:4">
      <c r="C11405"/>
      <c r="D11405"/>
    </row>
    <row r="11406" spans="3:4">
      <c r="C11406"/>
      <c r="D11406"/>
    </row>
    <row r="11407" spans="3:4">
      <c r="C11407"/>
      <c r="D11407"/>
    </row>
    <row r="11408" spans="3:4">
      <c r="C11408"/>
      <c r="D11408"/>
    </row>
    <row r="11409" spans="3:4">
      <c r="C11409"/>
      <c r="D11409"/>
    </row>
    <row r="11410" spans="3:4">
      <c r="C11410"/>
      <c r="D11410"/>
    </row>
    <row r="11411" spans="3:4">
      <c r="C11411"/>
      <c r="D11411"/>
    </row>
    <row r="11412" spans="3:4">
      <c r="C11412"/>
      <c r="D11412"/>
    </row>
    <row r="11413" spans="3:4">
      <c r="C11413"/>
      <c r="D11413"/>
    </row>
    <row r="11414" spans="3:4">
      <c r="C11414"/>
      <c r="D11414"/>
    </row>
    <row r="11415" spans="3:4">
      <c r="C11415"/>
      <c r="D11415"/>
    </row>
    <row r="11416" spans="3:4">
      <c r="C11416"/>
      <c r="D11416"/>
    </row>
    <row r="11417" spans="3:4">
      <c r="C11417"/>
      <c r="D11417"/>
    </row>
    <row r="11418" spans="3:4">
      <c r="C11418"/>
      <c r="D11418"/>
    </row>
    <row r="11419" spans="3:4">
      <c r="C11419"/>
      <c r="D11419"/>
    </row>
    <row r="11420" spans="3:4">
      <c r="C11420"/>
      <c r="D11420"/>
    </row>
    <row r="11421" spans="3:4">
      <c r="C11421"/>
      <c r="D11421"/>
    </row>
    <row r="11422" spans="3:4">
      <c r="C11422"/>
      <c r="D11422"/>
    </row>
    <row r="11423" spans="3:4">
      <c r="C11423"/>
      <c r="D11423"/>
    </row>
    <row r="11424" spans="3:4">
      <c r="C11424"/>
      <c r="D11424"/>
    </row>
    <row r="11425" spans="3:4">
      <c r="C11425"/>
      <c r="D11425"/>
    </row>
    <row r="11426" spans="3:4">
      <c r="C11426"/>
      <c r="D11426"/>
    </row>
    <row r="11427" spans="3:4">
      <c r="C11427"/>
      <c r="D11427"/>
    </row>
    <row r="11428" spans="3:4">
      <c r="C11428"/>
      <c r="D11428"/>
    </row>
    <row r="11429" spans="3:4">
      <c r="C11429"/>
      <c r="D11429"/>
    </row>
    <row r="11430" spans="3:4">
      <c r="C11430"/>
      <c r="D11430"/>
    </row>
    <row r="11431" spans="3:4">
      <c r="C11431"/>
      <c r="D11431"/>
    </row>
    <row r="11432" spans="3:4">
      <c r="C11432"/>
      <c r="D11432"/>
    </row>
    <row r="11433" spans="3:4">
      <c r="C11433"/>
      <c r="D11433"/>
    </row>
    <row r="11434" spans="3:4">
      <c r="C11434"/>
      <c r="D11434"/>
    </row>
    <row r="11435" spans="3:4">
      <c r="C11435"/>
      <c r="D11435"/>
    </row>
    <row r="11436" spans="3:4">
      <c r="C11436"/>
      <c r="D11436"/>
    </row>
    <row r="11437" spans="3:4">
      <c r="C11437"/>
      <c r="D11437"/>
    </row>
    <row r="11438" spans="3:4">
      <c r="C11438"/>
      <c r="D11438"/>
    </row>
    <row r="11439" spans="3:4">
      <c r="C11439"/>
      <c r="D11439"/>
    </row>
    <row r="11440" spans="3:4">
      <c r="C11440"/>
      <c r="D11440"/>
    </row>
    <row r="11441" spans="3:4">
      <c r="C11441"/>
      <c r="D11441"/>
    </row>
    <row r="11442" spans="3:4">
      <c r="C11442"/>
      <c r="D11442"/>
    </row>
    <row r="11443" spans="3:4">
      <c r="C11443"/>
      <c r="D11443"/>
    </row>
    <row r="11444" spans="3:4">
      <c r="C11444"/>
      <c r="D11444"/>
    </row>
    <row r="11445" spans="3:4">
      <c r="C11445"/>
      <c r="D11445"/>
    </row>
    <row r="11446" spans="3:4">
      <c r="C11446"/>
      <c r="D11446"/>
    </row>
    <row r="11447" spans="3:4">
      <c r="C11447"/>
      <c r="D11447"/>
    </row>
    <row r="11448" spans="3:4">
      <c r="C11448"/>
      <c r="D11448"/>
    </row>
    <row r="11449" spans="3:4">
      <c r="C11449"/>
      <c r="D11449"/>
    </row>
    <row r="11450" spans="3:4">
      <c r="C11450"/>
      <c r="D11450"/>
    </row>
    <row r="11451" spans="3:4">
      <c r="C11451"/>
      <c r="D11451"/>
    </row>
    <row r="11452" spans="3:4">
      <c r="C11452"/>
      <c r="D11452"/>
    </row>
    <row r="11453" spans="3:4">
      <c r="C11453"/>
      <c r="D11453"/>
    </row>
    <row r="11454" spans="3:4">
      <c r="C11454"/>
      <c r="D11454"/>
    </row>
    <row r="11455" spans="3:4">
      <c r="C11455"/>
      <c r="D11455"/>
    </row>
    <row r="11456" spans="3:4">
      <c r="C11456"/>
      <c r="D11456"/>
    </row>
    <row r="11457" spans="3:4">
      <c r="C11457"/>
      <c r="D11457"/>
    </row>
    <row r="11458" spans="3:4">
      <c r="C11458"/>
      <c r="D11458"/>
    </row>
    <row r="11459" spans="3:4">
      <c r="C11459"/>
      <c r="D11459"/>
    </row>
    <row r="11460" spans="3:4">
      <c r="C11460"/>
      <c r="D11460"/>
    </row>
    <row r="11461" spans="3:4">
      <c r="C11461"/>
      <c r="D11461"/>
    </row>
    <row r="11462" spans="3:4">
      <c r="C11462"/>
      <c r="D11462"/>
    </row>
    <row r="11463" spans="3:4">
      <c r="C11463"/>
      <c r="D11463"/>
    </row>
    <row r="11464" spans="3:4">
      <c r="C11464"/>
      <c r="D11464"/>
    </row>
    <row r="11465" spans="3:4">
      <c r="C11465"/>
      <c r="D11465"/>
    </row>
    <row r="11466" spans="3:4">
      <c r="C11466"/>
      <c r="D11466"/>
    </row>
    <row r="11467" spans="3:4">
      <c r="C11467"/>
      <c r="D11467"/>
    </row>
    <row r="11468" spans="3:4">
      <c r="C11468"/>
      <c r="D11468"/>
    </row>
    <row r="11469" spans="3:4">
      <c r="C11469"/>
      <c r="D11469"/>
    </row>
    <row r="11470" spans="3:4">
      <c r="C11470"/>
      <c r="D11470"/>
    </row>
    <row r="11471" spans="3:4">
      <c r="C11471"/>
      <c r="D11471"/>
    </row>
    <row r="11472" spans="3:4">
      <c r="C11472"/>
      <c r="D11472"/>
    </row>
    <row r="11473" spans="3:4">
      <c r="C11473"/>
      <c r="D11473"/>
    </row>
    <row r="11474" spans="3:4">
      <c r="C11474"/>
      <c r="D11474"/>
    </row>
    <row r="11475" spans="3:4">
      <c r="C11475"/>
      <c r="D11475"/>
    </row>
    <row r="11476" spans="3:4">
      <c r="C11476"/>
      <c r="D11476"/>
    </row>
    <row r="11477" spans="3:4">
      <c r="C11477"/>
      <c r="D11477"/>
    </row>
    <row r="11478" spans="3:4">
      <c r="C11478"/>
      <c r="D11478"/>
    </row>
    <row r="11479" spans="3:4">
      <c r="C11479"/>
      <c r="D11479"/>
    </row>
    <row r="11480" spans="3:4">
      <c r="C11480"/>
      <c r="D11480"/>
    </row>
    <row r="11481" spans="3:4">
      <c r="C11481"/>
      <c r="D11481"/>
    </row>
    <row r="11482" spans="3:4">
      <c r="C11482"/>
      <c r="D11482"/>
    </row>
    <row r="11483" spans="3:4">
      <c r="C11483"/>
      <c r="D11483"/>
    </row>
    <row r="11484" spans="3:4">
      <c r="C11484"/>
      <c r="D11484"/>
    </row>
    <row r="11485" spans="3:4">
      <c r="C11485"/>
      <c r="D11485"/>
    </row>
    <row r="11486" spans="3:4">
      <c r="C11486"/>
      <c r="D11486"/>
    </row>
    <row r="11487" spans="3:4">
      <c r="C11487"/>
      <c r="D11487"/>
    </row>
    <row r="11488" spans="3:4">
      <c r="C11488"/>
      <c r="D11488"/>
    </row>
    <row r="11489" spans="3:4">
      <c r="C11489"/>
      <c r="D11489"/>
    </row>
    <row r="11490" spans="3:4">
      <c r="C11490"/>
      <c r="D11490"/>
    </row>
    <row r="11491" spans="3:4">
      <c r="C11491"/>
      <c r="D11491"/>
    </row>
    <row r="11492" spans="3:4">
      <c r="C11492"/>
      <c r="D11492"/>
    </row>
    <row r="11493" spans="3:4">
      <c r="C11493"/>
      <c r="D11493"/>
    </row>
    <row r="11494" spans="3:4">
      <c r="C11494"/>
      <c r="D11494"/>
    </row>
    <row r="11495" spans="3:4">
      <c r="C11495"/>
      <c r="D11495"/>
    </row>
    <row r="11496" spans="3:4">
      <c r="C11496"/>
      <c r="D11496"/>
    </row>
    <row r="11497" spans="3:4">
      <c r="C11497"/>
      <c r="D11497"/>
    </row>
    <row r="11498" spans="3:4">
      <c r="C11498"/>
      <c r="D11498"/>
    </row>
    <row r="11499" spans="3:4">
      <c r="C11499"/>
      <c r="D11499"/>
    </row>
    <row r="11500" spans="3:4">
      <c r="C11500"/>
      <c r="D11500"/>
    </row>
    <row r="11501" spans="3:4">
      <c r="C11501"/>
      <c r="D11501"/>
    </row>
    <row r="11502" spans="3:4">
      <c r="C11502"/>
      <c r="D11502"/>
    </row>
    <row r="11503" spans="3:4">
      <c r="C11503"/>
      <c r="D11503"/>
    </row>
    <row r="11504" spans="3:4">
      <c r="C11504"/>
      <c r="D11504"/>
    </row>
    <row r="11505" spans="3:4">
      <c r="C11505"/>
      <c r="D11505"/>
    </row>
    <row r="11506" spans="3:4">
      <c r="C11506"/>
      <c r="D11506"/>
    </row>
    <row r="11507" spans="3:4">
      <c r="C11507"/>
      <c r="D11507"/>
    </row>
    <row r="11508" spans="3:4">
      <c r="C11508"/>
      <c r="D11508"/>
    </row>
    <row r="11509" spans="3:4">
      <c r="C11509"/>
      <c r="D11509"/>
    </row>
    <row r="11510" spans="3:4">
      <c r="C11510"/>
      <c r="D11510"/>
    </row>
    <row r="11511" spans="3:4">
      <c r="C11511"/>
      <c r="D11511"/>
    </row>
    <row r="11512" spans="3:4">
      <c r="C11512"/>
      <c r="D11512"/>
    </row>
    <row r="11513" spans="3:4">
      <c r="C11513"/>
      <c r="D11513"/>
    </row>
    <row r="11514" spans="3:4">
      <c r="C11514"/>
      <c r="D11514"/>
    </row>
    <row r="11515" spans="3:4">
      <c r="C11515"/>
      <c r="D11515"/>
    </row>
    <row r="11516" spans="3:4">
      <c r="C11516"/>
      <c r="D11516"/>
    </row>
    <row r="11517" spans="3:4">
      <c r="C11517"/>
      <c r="D11517"/>
    </row>
    <row r="11518" spans="3:4">
      <c r="C11518"/>
      <c r="D11518"/>
    </row>
    <row r="11519" spans="3:4">
      <c r="C11519"/>
      <c r="D11519"/>
    </row>
    <row r="11520" spans="3:4">
      <c r="C11520"/>
      <c r="D11520"/>
    </row>
    <row r="11521" spans="3:4">
      <c r="C11521"/>
      <c r="D11521"/>
    </row>
    <row r="11522" spans="3:4">
      <c r="C11522"/>
      <c r="D11522"/>
    </row>
    <row r="11523" spans="3:4">
      <c r="C11523"/>
      <c r="D11523"/>
    </row>
    <row r="11524" spans="3:4">
      <c r="C11524"/>
      <c r="D11524"/>
    </row>
    <row r="11525" spans="3:4">
      <c r="C11525"/>
      <c r="D11525"/>
    </row>
    <row r="11526" spans="3:4">
      <c r="C11526"/>
      <c r="D11526"/>
    </row>
    <row r="11527" spans="3:4">
      <c r="C11527"/>
      <c r="D11527"/>
    </row>
    <row r="11528" spans="3:4">
      <c r="C11528"/>
      <c r="D11528"/>
    </row>
    <row r="11529" spans="3:4">
      <c r="C11529"/>
      <c r="D11529"/>
    </row>
    <row r="11530" spans="3:4">
      <c r="C11530"/>
      <c r="D11530"/>
    </row>
    <row r="11531" spans="3:4">
      <c r="C11531"/>
      <c r="D11531"/>
    </row>
    <row r="11532" spans="3:4">
      <c r="C11532"/>
      <c r="D11532"/>
    </row>
    <row r="11533" spans="3:4">
      <c r="C11533"/>
      <c r="D11533"/>
    </row>
    <row r="11534" spans="3:4">
      <c r="C11534"/>
      <c r="D11534"/>
    </row>
    <row r="11535" spans="3:4">
      <c r="C11535"/>
      <c r="D11535"/>
    </row>
    <row r="11536" spans="3:4">
      <c r="C11536"/>
      <c r="D11536"/>
    </row>
    <row r="11537" spans="3:4">
      <c r="C11537"/>
      <c r="D11537"/>
    </row>
    <row r="11538" spans="3:4">
      <c r="C11538"/>
      <c r="D11538"/>
    </row>
    <row r="11539" spans="3:4">
      <c r="C11539"/>
      <c r="D11539"/>
    </row>
    <row r="11540" spans="3:4">
      <c r="C11540"/>
      <c r="D11540"/>
    </row>
    <row r="11541" spans="3:4">
      <c r="C11541"/>
      <c r="D11541"/>
    </row>
    <row r="11542" spans="3:4">
      <c r="C11542"/>
      <c r="D11542"/>
    </row>
    <row r="11543" spans="3:4">
      <c r="C11543"/>
      <c r="D11543"/>
    </row>
    <row r="11544" spans="3:4">
      <c r="C11544"/>
      <c r="D11544"/>
    </row>
    <row r="11545" spans="3:4">
      <c r="C11545"/>
      <c r="D11545"/>
    </row>
    <row r="11546" spans="3:4">
      <c r="C11546"/>
      <c r="D11546"/>
    </row>
    <row r="11547" spans="3:4">
      <c r="C11547"/>
      <c r="D11547"/>
    </row>
    <row r="11548" spans="3:4">
      <c r="C11548"/>
      <c r="D11548"/>
    </row>
    <row r="11549" spans="3:4">
      <c r="C11549"/>
      <c r="D11549"/>
    </row>
    <row r="11550" spans="3:4">
      <c r="C11550"/>
      <c r="D11550"/>
    </row>
    <row r="11551" spans="3:4">
      <c r="C11551"/>
      <c r="D11551"/>
    </row>
    <row r="11552" spans="3:4">
      <c r="C11552"/>
      <c r="D11552"/>
    </row>
    <row r="11553" spans="3:4">
      <c r="C11553"/>
      <c r="D11553"/>
    </row>
    <row r="11554" spans="3:4">
      <c r="C11554"/>
      <c r="D11554"/>
    </row>
    <row r="11555" spans="3:4">
      <c r="C11555"/>
      <c r="D11555"/>
    </row>
    <row r="11556" spans="3:4">
      <c r="C11556"/>
      <c r="D11556"/>
    </row>
    <row r="11557" spans="3:4">
      <c r="C11557"/>
      <c r="D11557"/>
    </row>
    <row r="11558" spans="3:4">
      <c r="C11558"/>
      <c r="D11558"/>
    </row>
    <row r="11559" spans="3:4">
      <c r="C11559"/>
      <c r="D11559"/>
    </row>
    <row r="11560" spans="3:4">
      <c r="C11560"/>
      <c r="D11560"/>
    </row>
    <row r="11561" spans="3:4">
      <c r="C11561"/>
      <c r="D11561"/>
    </row>
    <row r="11562" spans="3:4">
      <c r="C11562"/>
      <c r="D11562"/>
    </row>
    <row r="11563" spans="3:4">
      <c r="C11563"/>
      <c r="D11563"/>
    </row>
    <row r="11564" spans="3:4">
      <c r="C11564"/>
      <c r="D11564"/>
    </row>
    <row r="11565" spans="3:4">
      <c r="C11565"/>
      <c r="D11565"/>
    </row>
    <row r="11566" spans="3:4">
      <c r="C11566"/>
      <c r="D11566"/>
    </row>
    <row r="11567" spans="3:4">
      <c r="C11567"/>
      <c r="D11567"/>
    </row>
    <row r="11568" spans="3:4">
      <c r="C11568"/>
      <c r="D11568"/>
    </row>
    <row r="11569" spans="3:4">
      <c r="C11569"/>
      <c r="D11569"/>
    </row>
    <row r="11570" spans="3:4">
      <c r="C11570"/>
      <c r="D11570"/>
    </row>
    <row r="11571" spans="3:4">
      <c r="C11571"/>
      <c r="D11571"/>
    </row>
    <row r="11572" spans="3:4">
      <c r="C11572"/>
      <c r="D11572"/>
    </row>
    <row r="11573" spans="3:4">
      <c r="C11573"/>
      <c r="D11573"/>
    </row>
    <row r="11574" spans="3:4">
      <c r="C11574"/>
      <c r="D11574"/>
    </row>
    <row r="11575" spans="3:4">
      <c r="C11575"/>
      <c r="D11575"/>
    </row>
    <row r="11576" spans="3:4">
      <c r="C11576"/>
      <c r="D11576"/>
    </row>
    <row r="11577" spans="3:4">
      <c r="C11577"/>
      <c r="D11577"/>
    </row>
    <row r="11578" spans="3:4">
      <c r="C11578"/>
      <c r="D11578"/>
    </row>
    <row r="11579" spans="3:4">
      <c r="C11579"/>
      <c r="D11579"/>
    </row>
    <row r="11580" spans="3:4">
      <c r="C11580"/>
      <c r="D11580"/>
    </row>
    <row r="11581" spans="3:4">
      <c r="C11581"/>
      <c r="D11581"/>
    </row>
    <row r="11582" spans="3:4">
      <c r="C11582"/>
      <c r="D11582"/>
    </row>
    <row r="11583" spans="3:4">
      <c r="C11583"/>
      <c r="D11583"/>
    </row>
    <row r="11584" spans="3:4">
      <c r="C11584"/>
      <c r="D11584"/>
    </row>
    <row r="11585" spans="3:4">
      <c r="C11585"/>
      <c r="D11585"/>
    </row>
    <row r="11586" spans="3:4">
      <c r="C11586"/>
      <c r="D11586"/>
    </row>
    <row r="11587" spans="3:4">
      <c r="C11587"/>
      <c r="D11587"/>
    </row>
    <row r="11588" spans="3:4">
      <c r="C11588"/>
      <c r="D11588"/>
    </row>
    <row r="11589" spans="3:4">
      <c r="C11589"/>
      <c r="D11589"/>
    </row>
    <row r="11590" spans="3:4">
      <c r="C11590"/>
      <c r="D11590"/>
    </row>
    <row r="11591" spans="3:4">
      <c r="C11591"/>
      <c r="D11591"/>
    </row>
    <row r="11592" spans="3:4">
      <c r="C11592"/>
      <c r="D11592"/>
    </row>
    <row r="11593" spans="3:4">
      <c r="C11593"/>
      <c r="D11593"/>
    </row>
    <row r="11594" spans="3:4">
      <c r="C11594"/>
      <c r="D11594"/>
    </row>
    <row r="11595" spans="3:4">
      <c r="C11595"/>
      <c r="D11595"/>
    </row>
    <row r="11596" spans="3:4">
      <c r="C11596"/>
      <c r="D11596"/>
    </row>
    <row r="11597" spans="3:4">
      <c r="C11597"/>
      <c r="D11597"/>
    </row>
    <row r="11598" spans="3:4">
      <c r="C11598"/>
      <c r="D11598"/>
    </row>
    <row r="11599" spans="3:4">
      <c r="C11599"/>
      <c r="D11599"/>
    </row>
    <row r="11600" spans="3:4">
      <c r="C11600"/>
      <c r="D11600"/>
    </row>
    <row r="11601" spans="3:4">
      <c r="C11601"/>
      <c r="D11601"/>
    </row>
    <row r="11602" spans="3:4">
      <c r="C11602"/>
      <c r="D11602"/>
    </row>
    <row r="11603" spans="3:4">
      <c r="C11603"/>
      <c r="D11603"/>
    </row>
    <row r="11604" spans="3:4">
      <c r="C11604"/>
      <c r="D11604"/>
    </row>
    <row r="11605" spans="3:4">
      <c r="C11605"/>
      <c r="D11605"/>
    </row>
    <row r="11606" spans="3:4">
      <c r="C11606"/>
      <c r="D11606"/>
    </row>
    <row r="11607" spans="3:4">
      <c r="C11607"/>
      <c r="D11607"/>
    </row>
    <row r="11608" spans="3:4">
      <c r="C11608"/>
      <c r="D11608"/>
    </row>
    <row r="11609" spans="3:4">
      <c r="C11609"/>
      <c r="D11609"/>
    </row>
    <row r="11610" spans="3:4">
      <c r="C11610"/>
      <c r="D11610"/>
    </row>
    <row r="11611" spans="3:4">
      <c r="C11611"/>
      <c r="D11611"/>
    </row>
    <row r="11612" spans="3:4">
      <c r="C11612"/>
      <c r="D11612"/>
    </row>
    <row r="11613" spans="3:4">
      <c r="C11613"/>
      <c r="D11613"/>
    </row>
    <row r="11614" spans="3:4">
      <c r="C11614"/>
      <c r="D11614"/>
    </row>
    <row r="11615" spans="3:4">
      <c r="C11615"/>
      <c r="D11615"/>
    </row>
    <row r="11616" spans="3:4">
      <c r="C11616"/>
      <c r="D11616"/>
    </row>
    <row r="11617" spans="3:4">
      <c r="C11617"/>
      <c r="D11617"/>
    </row>
    <row r="11618" spans="3:4">
      <c r="C11618"/>
      <c r="D11618"/>
    </row>
    <row r="11619" spans="3:4">
      <c r="C11619"/>
      <c r="D11619"/>
    </row>
    <row r="11620" spans="3:4">
      <c r="C11620"/>
      <c r="D11620"/>
    </row>
    <row r="11621" spans="3:4">
      <c r="C11621"/>
      <c r="D11621"/>
    </row>
    <row r="11622" spans="3:4">
      <c r="C11622"/>
      <c r="D11622"/>
    </row>
    <row r="11623" spans="3:4">
      <c r="C11623"/>
      <c r="D11623"/>
    </row>
    <row r="11624" spans="3:4">
      <c r="C11624"/>
      <c r="D11624"/>
    </row>
    <row r="11625" spans="3:4">
      <c r="C11625"/>
      <c r="D11625"/>
    </row>
    <row r="11626" spans="3:4">
      <c r="C11626"/>
      <c r="D11626"/>
    </row>
    <row r="11627" spans="3:4">
      <c r="C11627"/>
      <c r="D11627"/>
    </row>
    <row r="11628" spans="3:4">
      <c r="C11628"/>
      <c r="D11628"/>
    </row>
    <row r="11629" spans="3:4">
      <c r="C11629"/>
      <c r="D11629"/>
    </row>
    <row r="11630" spans="3:4">
      <c r="C11630"/>
      <c r="D11630"/>
    </row>
    <row r="11631" spans="3:4">
      <c r="C11631"/>
      <c r="D11631"/>
    </row>
    <row r="11632" spans="3:4">
      <c r="C11632"/>
      <c r="D11632"/>
    </row>
    <row r="11633" spans="3:4">
      <c r="C11633"/>
      <c r="D11633"/>
    </row>
    <row r="11634" spans="3:4">
      <c r="C11634"/>
      <c r="D11634"/>
    </row>
    <row r="11635" spans="3:4">
      <c r="C11635"/>
      <c r="D11635"/>
    </row>
    <row r="11636" spans="3:4">
      <c r="C11636"/>
      <c r="D11636"/>
    </row>
    <row r="11637" spans="3:4">
      <c r="C11637"/>
      <c r="D11637"/>
    </row>
    <row r="11638" spans="3:4">
      <c r="C11638"/>
      <c r="D11638"/>
    </row>
    <row r="11639" spans="3:4">
      <c r="C11639"/>
      <c r="D11639"/>
    </row>
    <row r="11640" spans="3:4">
      <c r="C11640"/>
      <c r="D11640"/>
    </row>
    <row r="11641" spans="3:4">
      <c r="C11641"/>
      <c r="D11641"/>
    </row>
    <row r="11642" spans="3:4">
      <c r="C11642"/>
      <c r="D11642"/>
    </row>
    <row r="11643" spans="3:4">
      <c r="C11643"/>
      <c r="D11643"/>
    </row>
    <row r="11644" spans="3:4">
      <c r="C11644"/>
      <c r="D11644"/>
    </row>
    <row r="11645" spans="3:4">
      <c r="C11645"/>
      <c r="D11645"/>
    </row>
    <row r="11646" spans="3:4">
      <c r="C11646"/>
      <c r="D11646"/>
    </row>
    <row r="11647" spans="3:4">
      <c r="C11647"/>
      <c r="D11647"/>
    </row>
    <row r="11648" spans="3:4">
      <c r="C11648"/>
      <c r="D11648"/>
    </row>
    <row r="11649" spans="3:4">
      <c r="C11649"/>
      <c r="D11649"/>
    </row>
    <row r="11650" spans="3:4">
      <c r="C11650"/>
      <c r="D11650"/>
    </row>
    <row r="11651" spans="3:4">
      <c r="C11651"/>
      <c r="D11651"/>
    </row>
    <row r="11652" spans="3:4">
      <c r="C11652"/>
      <c r="D11652"/>
    </row>
    <row r="11653" spans="3:4">
      <c r="C11653"/>
      <c r="D11653"/>
    </row>
    <row r="11654" spans="3:4">
      <c r="C11654"/>
      <c r="D11654"/>
    </row>
    <row r="11655" spans="3:4">
      <c r="C11655"/>
      <c r="D11655"/>
    </row>
    <row r="11656" spans="3:4">
      <c r="C11656"/>
      <c r="D11656"/>
    </row>
    <row r="11657" spans="3:4">
      <c r="C11657"/>
      <c r="D11657"/>
    </row>
    <row r="11658" spans="3:4">
      <c r="C11658"/>
      <c r="D11658"/>
    </row>
    <row r="11659" spans="3:4">
      <c r="C11659"/>
      <c r="D11659"/>
    </row>
    <row r="11660" spans="3:4">
      <c r="C11660"/>
      <c r="D11660"/>
    </row>
    <row r="11661" spans="3:4">
      <c r="C11661"/>
      <c r="D11661"/>
    </row>
    <row r="11662" spans="3:4">
      <c r="C11662"/>
      <c r="D11662"/>
    </row>
    <row r="11663" spans="3:4">
      <c r="C11663"/>
      <c r="D11663"/>
    </row>
    <row r="11664" spans="3:4">
      <c r="C11664"/>
      <c r="D11664"/>
    </row>
    <row r="11665" spans="3:4">
      <c r="C11665"/>
      <c r="D11665"/>
    </row>
    <row r="11666" spans="3:4">
      <c r="C11666"/>
      <c r="D11666"/>
    </row>
    <row r="11667" spans="3:4">
      <c r="C11667"/>
      <c r="D11667"/>
    </row>
    <row r="11668" spans="3:4">
      <c r="C11668"/>
      <c r="D11668"/>
    </row>
    <row r="11669" spans="3:4">
      <c r="C11669"/>
      <c r="D11669"/>
    </row>
    <row r="11670" spans="3:4">
      <c r="C11670"/>
      <c r="D11670"/>
    </row>
    <row r="11671" spans="3:4">
      <c r="C11671"/>
      <c r="D11671"/>
    </row>
    <row r="11672" spans="3:4">
      <c r="C11672"/>
      <c r="D11672"/>
    </row>
    <row r="11673" spans="3:4">
      <c r="C11673"/>
      <c r="D11673"/>
    </row>
    <row r="11674" spans="3:4">
      <c r="C11674"/>
      <c r="D11674"/>
    </row>
    <row r="11675" spans="3:4">
      <c r="C11675"/>
      <c r="D11675"/>
    </row>
    <row r="11676" spans="3:4">
      <c r="C11676"/>
      <c r="D11676"/>
    </row>
    <row r="11677" spans="3:4">
      <c r="C11677"/>
      <c r="D11677"/>
    </row>
    <row r="11678" spans="3:4">
      <c r="C11678"/>
      <c r="D11678"/>
    </row>
    <row r="11679" spans="3:4">
      <c r="C11679"/>
      <c r="D11679"/>
    </row>
    <row r="11680" spans="3:4">
      <c r="C11680"/>
      <c r="D11680"/>
    </row>
    <row r="11681" spans="3:4">
      <c r="C11681"/>
      <c r="D11681"/>
    </row>
    <row r="11682" spans="3:4">
      <c r="C11682"/>
      <c r="D11682"/>
    </row>
    <row r="11683" spans="3:4">
      <c r="C11683"/>
      <c r="D11683"/>
    </row>
    <row r="11684" spans="3:4">
      <c r="C11684"/>
      <c r="D11684"/>
    </row>
    <row r="11685" spans="3:4">
      <c r="C11685"/>
      <c r="D11685"/>
    </row>
  </sheetData>
  <pageMargins left="0.7" right="0.7" top="0.75" bottom="0.75" header="0.3" footer="0.3"/>
  <pageSetup paperSize="9" orientation="portrait" horizontalDpi="2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rgb="FF7030A0"/>
  </sheetPr>
  <dimension ref="A1:W138"/>
  <sheetViews>
    <sheetView workbookViewId="0">
      <selection activeCell="I11" sqref="I11"/>
    </sheetView>
  </sheetViews>
  <sheetFormatPr defaultColWidth="9" defaultRowHeight="14"/>
  <cols>
    <col min="1" max="2" width="12.9090909090909" style="1" customWidth="1"/>
    <col min="3" max="3" width="17.4545454545455" style="1" customWidth="1"/>
    <col min="4" max="4" width="8.90909090909091" style="1" customWidth="1"/>
    <col min="5" max="5" width="24.0909090909091" style="1" customWidth="1"/>
    <col min="6" max="15" width="14.6363636363636" style="1" customWidth="1"/>
    <col min="16" max="16" width="37.9090909090909" style="1" customWidth="1"/>
    <col min="17" max="17" width="20.6363636363636" style="1" customWidth="1"/>
    <col min="18" max="18" width="19.0909090909091" style="1" customWidth="1"/>
    <col min="19" max="19" width="21" style="1" customWidth="1"/>
    <col min="20" max="20" width="28.0909090909091" style="1" customWidth="1"/>
    <col min="21" max="21" width="23.6363636363636" style="1" customWidth="1"/>
    <col min="22" max="22" width="25.6363636363636" style="1" customWidth="1"/>
    <col min="23" max="23" width="21.2727272727273" style="1" customWidth="1"/>
    <col min="24" max="16384" width="9" style="1"/>
  </cols>
  <sheetData>
    <row r="1" spans="1:23">
      <c r="A1" s="2" t="s">
        <v>113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  <c r="K1" s="3" t="s">
        <v>123</v>
      </c>
      <c r="L1" s="3" t="s">
        <v>124</v>
      </c>
      <c r="M1" s="3" t="s">
        <v>125</v>
      </c>
      <c r="N1" s="3" t="s">
        <v>126</v>
      </c>
      <c r="O1" s="3" t="s">
        <v>127</v>
      </c>
      <c r="P1" s="3" t="s">
        <v>128</v>
      </c>
      <c r="Q1" s="3" t="s">
        <v>129</v>
      </c>
      <c r="R1" s="3" t="s">
        <v>130</v>
      </c>
      <c r="S1" s="3" t="s">
        <v>131</v>
      </c>
      <c r="T1" s="3" t="s">
        <v>132</v>
      </c>
      <c r="U1" s="3" t="s">
        <v>133</v>
      </c>
      <c r="V1" s="3" t="s">
        <v>134</v>
      </c>
      <c r="W1" s="3" t="s">
        <v>135</v>
      </c>
    </row>
    <row r="2" spans="1:23">
      <c r="A2" s="4" t="str">
        <f>IF(MONTH(B2)&lt;10,"0"&amp;MONTH(B2)&amp;"月",MONTH(B2)&amp;"月")</f>
        <v>12月</v>
      </c>
      <c r="B2" s="5">
        <v>45262</v>
      </c>
      <c r="C2" s="6" t="s">
        <v>136</v>
      </c>
      <c r="D2" s="6" t="s">
        <v>137</v>
      </c>
      <c r="E2" s="6" t="s">
        <v>138</v>
      </c>
      <c r="F2" s="6" t="s">
        <v>139</v>
      </c>
      <c r="G2" s="6" t="s">
        <v>91</v>
      </c>
      <c r="H2" s="6" t="s">
        <v>89</v>
      </c>
      <c r="I2" s="7">
        <v>4778</v>
      </c>
      <c r="J2" s="7">
        <v>12</v>
      </c>
      <c r="K2" s="8">
        <v>0.00251151109250733</v>
      </c>
      <c r="L2" s="9">
        <v>0.691666666666667</v>
      </c>
      <c r="M2" s="9">
        <v>8.3</v>
      </c>
      <c r="N2" s="9">
        <v>0</v>
      </c>
      <c r="O2" s="3"/>
      <c r="P2" s="10">
        <v>0</v>
      </c>
      <c r="Q2" s="7">
        <v>0</v>
      </c>
      <c r="R2" s="7">
        <v>0</v>
      </c>
      <c r="S2" s="8">
        <v>0</v>
      </c>
      <c r="T2" s="7">
        <v>0</v>
      </c>
      <c r="U2" s="7">
        <v>0</v>
      </c>
      <c r="V2" s="9">
        <v>0</v>
      </c>
      <c r="W2" s="9">
        <v>0</v>
      </c>
    </row>
    <row r="3" spans="1:23">
      <c r="A3" s="4" t="str">
        <f t="shared" ref="A3:A34" si="0">IF(MONTH(B3)&lt;10,"0"&amp;MONTH(B3)&amp;"月",MONTH(B3)&amp;"月")</f>
        <v>12月</v>
      </c>
      <c r="B3" s="5">
        <v>45263</v>
      </c>
      <c r="C3" s="6" t="s">
        <v>136</v>
      </c>
      <c r="D3" s="6" t="s">
        <v>137</v>
      </c>
      <c r="E3" s="6" t="s">
        <v>138</v>
      </c>
      <c r="F3" s="6" t="s">
        <v>139</v>
      </c>
      <c r="G3" s="6" t="s">
        <v>91</v>
      </c>
      <c r="H3" s="6" t="s">
        <v>89</v>
      </c>
      <c r="I3" s="7">
        <v>1993</v>
      </c>
      <c r="J3" s="7">
        <v>4</v>
      </c>
      <c r="K3" s="8">
        <v>0.00200702458605118</v>
      </c>
      <c r="L3" s="9">
        <v>0.535</v>
      </c>
      <c r="M3" s="9">
        <v>2.14</v>
      </c>
      <c r="N3" s="9">
        <v>0</v>
      </c>
      <c r="O3" s="3"/>
      <c r="P3" s="10">
        <v>0</v>
      </c>
      <c r="Q3" s="7">
        <v>0</v>
      </c>
      <c r="R3" s="7">
        <v>0</v>
      </c>
      <c r="S3" s="8">
        <v>0</v>
      </c>
      <c r="T3" s="7">
        <v>0</v>
      </c>
      <c r="U3" s="7">
        <v>0</v>
      </c>
      <c r="V3" s="9">
        <v>0</v>
      </c>
      <c r="W3" s="9">
        <v>0</v>
      </c>
    </row>
    <row r="4" spans="1:23">
      <c r="A4" s="4" t="str">
        <f t="shared" si="0"/>
        <v>12月</v>
      </c>
      <c r="B4" s="5">
        <v>45264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91</v>
      </c>
      <c r="H4" s="6" t="s">
        <v>89</v>
      </c>
      <c r="I4" s="7">
        <v>4</v>
      </c>
      <c r="J4" s="7">
        <v>0</v>
      </c>
      <c r="K4" s="8">
        <v>0</v>
      </c>
      <c r="L4" s="3"/>
      <c r="M4" s="9">
        <v>0</v>
      </c>
      <c r="N4" s="9">
        <v>0</v>
      </c>
      <c r="O4" s="3"/>
      <c r="P4" s="3"/>
      <c r="Q4" s="7">
        <v>0</v>
      </c>
      <c r="R4" s="7">
        <v>0</v>
      </c>
      <c r="S4" s="3"/>
      <c r="T4" s="7">
        <v>0</v>
      </c>
      <c r="U4" s="7">
        <v>0</v>
      </c>
      <c r="V4" s="9">
        <v>0</v>
      </c>
      <c r="W4" s="9">
        <v>0</v>
      </c>
    </row>
    <row r="5" spans="1:23">
      <c r="A5" s="4" t="str">
        <f t="shared" si="0"/>
        <v>12月</v>
      </c>
      <c r="B5" s="5">
        <v>45269</v>
      </c>
      <c r="C5" s="6" t="s">
        <v>136</v>
      </c>
      <c r="D5" s="6" t="s">
        <v>137</v>
      </c>
      <c r="E5" s="6" t="s">
        <v>138</v>
      </c>
      <c r="F5" s="6" t="s">
        <v>139</v>
      </c>
      <c r="G5" s="6" t="s">
        <v>91</v>
      </c>
      <c r="H5" s="6" t="s">
        <v>89</v>
      </c>
      <c r="I5" s="7">
        <v>6089</v>
      </c>
      <c r="J5" s="7">
        <v>22</v>
      </c>
      <c r="K5" s="8">
        <v>0.00361307275414682</v>
      </c>
      <c r="L5" s="9">
        <v>0.686363636363636</v>
      </c>
      <c r="M5" s="9">
        <v>15.1</v>
      </c>
      <c r="N5" s="9">
        <v>29.99</v>
      </c>
      <c r="O5" s="8">
        <v>0.503501167055685</v>
      </c>
      <c r="P5" s="10">
        <v>1.98609271523179</v>
      </c>
      <c r="Q5" s="7">
        <v>1</v>
      </c>
      <c r="R5" s="7">
        <v>1</v>
      </c>
      <c r="S5" s="8">
        <v>0.0454545454545455</v>
      </c>
      <c r="T5" s="7">
        <v>1</v>
      </c>
      <c r="U5" s="7">
        <v>0</v>
      </c>
      <c r="V5" s="9">
        <v>29.99</v>
      </c>
      <c r="W5" s="9">
        <v>0</v>
      </c>
    </row>
    <row r="6" spans="1:23">
      <c r="A6" s="4" t="str">
        <f t="shared" si="0"/>
        <v>12月</v>
      </c>
      <c r="B6" s="5">
        <v>45270</v>
      </c>
      <c r="C6" s="6" t="s">
        <v>136</v>
      </c>
      <c r="D6" s="6" t="s">
        <v>137</v>
      </c>
      <c r="E6" s="6" t="s">
        <v>138</v>
      </c>
      <c r="F6" s="6" t="s">
        <v>139</v>
      </c>
      <c r="G6" s="6" t="s">
        <v>91</v>
      </c>
      <c r="H6" s="6" t="s">
        <v>89</v>
      </c>
      <c r="I6" s="7">
        <v>17820</v>
      </c>
      <c r="J6" s="7">
        <v>45</v>
      </c>
      <c r="K6" s="8">
        <v>0.00252525252525253</v>
      </c>
      <c r="L6" s="9">
        <v>0.741777777777778</v>
      </c>
      <c r="M6" s="9">
        <v>33.38</v>
      </c>
      <c r="N6" s="9">
        <v>119.96</v>
      </c>
      <c r="O6" s="8">
        <v>0.278259419806602</v>
      </c>
      <c r="P6" s="10">
        <v>3.5937687237867</v>
      </c>
      <c r="Q6" s="7">
        <v>5</v>
      </c>
      <c r="R6" s="7">
        <v>5</v>
      </c>
      <c r="S6" s="8">
        <v>0.111111111111111</v>
      </c>
      <c r="T6" s="7">
        <v>5</v>
      </c>
      <c r="U6" s="7">
        <v>0</v>
      </c>
      <c r="V6" s="9">
        <v>119.96</v>
      </c>
      <c r="W6" s="9">
        <v>0</v>
      </c>
    </row>
    <row r="7" spans="1:23">
      <c r="A7" s="4" t="str">
        <f t="shared" si="0"/>
        <v>12月</v>
      </c>
      <c r="B7" s="5">
        <v>45271</v>
      </c>
      <c r="C7" s="6" t="s">
        <v>136</v>
      </c>
      <c r="D7" s="6" t="s">
        <v>137</v>
      </c>
      <c r="E7" s="6" t="s">
        <v>138</v>
      </c>
      <c r="F7" s="6" t="s">
        <v>139</v>
      </c>
      <c r="G7" s="6" t="s">
        <v>91</v>
      </c>
      <c r="H7" s="6" t="s">
        <v>89</v>
      </c>
      <c r="I7" s="7">
        <v>40808</v>
      </c>
      <c r="J7" s="7">
        <v>52</v>
      </c>
      <c r="K7" s="8">
        <v>0.0012742599490296</v>
      </c>
      <c r="L7" s="9">
        <v>0.880192307692308</v>
      </c>
      <c r="M7" s="9">
        <v>45.77</v>
      </c>
      <c r="N7" s="9">
        <v>145.95</v>
      </c>
      <c r="O7" s="8">
        <v>0.313600548132922</v>
      </c>
      <c r="P7" s="10">
        <v>3.18876993663972</v>
      </c>
      <c r="Q7" s="7">
        <v>5</v>
      </c>
      <c r="R7" s="7">
        <v>5</v>
      </c>
      <c r="S7" s="8">
        <v>0.0961538461538462</v>
      </c>
      <c r="T7" s="7">
        <v>4</v>
      </c>
      <c r="U7" s="7">
        <v>1</v>
      </c>
      <c r="V7" s="9">
        <v>119.96</v>
      </c>
      <c r="W7" s="9">
        <v>25.99</v>
      </c>
    </row>
    <row r="8" spans="1:23">
      <c r="A8" s="4" t="str">
        <f t="shared" si="0"/>
        <v>12月</v>
      </c>
      <c r="B8" s="5">
        <v>45272</v>
      </c>
      <c r="C8" s="6" t="s">
        <v>136</v>
      </c>
      <c r="D8" s="6" t="s">
        <v>137</v>
      </c>
      <c r="E8" s="6" t="s">
        <v>138</v>
      </c>
      <c r="F8" s="6" t="s">
        <v>139</v>
      </c>
      <c r="G8" s="6" t="s">
        <v>91</v>
      </c>
      <c r="H8" s="6" t="s">
        <v>89</v>
      </c>
      <c r="I8" s="7">
        <v>55114</v>
      </c>
      <c r="J8" s="7">
        <v>62</v>
      </c>
      <c r="K8" s="8">
        <v>0.00112494103131691</v>
      </c>
      <c r="L8" s="9">
        <v>0.875483870967742</v>
      </c>
      <c r="M8" s="9">
        <v>54.28</v>
      </c>
      <c r="N8" s="9">
        <v>59.98</v>
      </c>
      <c r="O8" s="8">
        <v>0.904968322774258</v>
      </c>
      <c r="P8" s="10">
        <v>1.10501105379514</v>
      </c>
      <c r="Q8" s="7">
        <v>2</v>
      </c>
      <c r="R8" s="7">
        <v>2</v>
      </c>
      <c r="S8" s="8">
        <v>0.032258064516129</v>
      </c>
      <c r="T8" s="7">
        <v>2</v>
      </c>
      <c r="U8" s="7">
        <v>0</v>
      </c>
      <c r="V8" s="9">
        <v>59.98</v>
      </c>
      <c r="W8" s="9">
        <v>0</v>
      </c>
    </row>
    <row r="9" spans="1:23">
      <c r="A9" s="4" t="str">
        <f t="shared" si="0"/>
        <v>12月</v>
      </c>
      <c r="B9" s="5">
        <v>45273</v>
      </c>
      <c r="C9" s="6" t="s">
        <v>136</v>
      </c>
      <c r="D9" s="6" t="s">
        <v>137</v>
      </c>
      <c r="E9" s="6" t="s">
        <v>138</v>
      </c>
      <c r="F9" s="6" t="s">
        <v>139</v>
      </c>
      <c r="G9" s="6" t="s">
        <v>91</v>
      </c>
      <c r="H9" s="6" t="s">
        <v>89</v>
      </c>
      <c r="I9" s="7">
        <v>6865</v>
      </c>
      <c r="J9" s="7">
        <v>23</v>
      </c>
      <c r="K9" s="8">
        <v>0.00335032774945375</v>
      </c>
      <c r="L9" s="9">
        <v>0.822173913043478</v>
      </c>
      <c r="M9" s="9">
        <v>18.91</v>
      </c>
      <c r="N9" s="9">
        <v>0</v>
      </c>
      <c r="O9" s="3"/>
      <c r="P9" s="10">
        <v>0</v>
      </c>
      <c r="Q9" s="7">
        <v>0</v>
      </c>
      <c r="R9" s="7">
        <v>0</v>
      </c>
      <c r="S9" s="8">
        <v>0</v>
      </c>
      <c r="T9" s="7">
        <v>0</v>
      </c>
      <c r="U9" s="7">
        <v>0</v>
      </c>
      <c r="V9" s="9">
        <v>0</v>
      </c>
      <c r="W9" s="9">
        <v>0</v>
      </c>
    </row>
    <row r="10" spans="1:23">
      <c r="A10" s="4" t="str">
        <f t="shared" si="0"/>
        <v>12月</v>
      </c>
      <c r="B10" s="5">
        <v>45274</v>
      </c>
      <c r="C10" s="6" t="s">
        <v>136</v>
      </c>
      <c r="D10" s="6" t="s">
        <v>137</v>
      </c>
      <c r="E10" s="6" t="s">
        <v>138</v>
      </c>
      <c r="F10" s="6" t="s">
        <v>139</v>
      </c>
      <c r="G10" s="6" t="s">
        <v>91</v>
      </c>
      <c r="H10" s="6" t="s">
        <v>89</v>
      </c>
      <c r="I10" s="7">
        <v>15258</v>
      </c>
      <c r="J10" s="7">
        <v>41</v>
      </c>
      <c r="K10" s="8">
        <v>0.00268711495608861</v>
      </c>
      <c r="L10" s="9">
        <v>0.853170731707317</v>
      </c>
      <c r="M10" s="9">
        <v>34.98</v>
      </c>
      <c r="N10" s="9">
        <v>89.97</v>
      </c>
      <c r="O10" s="8">
        <v>0.388796265421807</v>
      </c>
      <c r="P10" s="10">
        <v>2.57204116638079</v>
      </c>
      <c r="Q10" s="7">
        <v>3</v>
      </c>
      <c r="R10" s="7">
        <v>3</v>
      </c>
      <c r="S10" s="8">
        <v>0.0731707317073171</v>
      </c>
      <c r="T10" s="7">
        <v>3</v>
      </c>
      <c r="U10" s="7">
        <v>0</v>
      </c>
      <c r="V10" s="9">
        <v>89.97</v>
      </c>
      <c r="W10" s="9">
        <v>0</v>
      </c>
    </row>
    <row r="11" spans="1:23">
      <c r="A11" s="4" t="str">
        <f t="shared" si="0"/>
        <v>12月</v>
      </c>
      <c r="B11" s="5">
        <v>45262</v>
      </c>
      <c r="C11" s="6" t="s">
        <v>136</v>
      </c>
      <c r="D11" s="6" t="s">
        <v>137</v>
      </c>
      <c r="E11" s="6" t="s">
        <v>140</v>
      </c>
      <c r="F11" s="6" t="s">
        <v>141</v>
      </c>
      <c r="G11" s="6" t="s">
        <v>91</v>
      </c>
      <c r="H11" s="6" t="s">
        <v>89</v>
      </c>
      <c r="I11" s="7">
        <v>3601</v>
      </c>
      <c r="J11" s="7">
        <v>10</v>
      </c>
      <c r="K11" s="8">
        <v>0.00277700638711469</v>
      </c>
      <c r="L11" s="9">
        <v>1.254</v>
      </c>
      <c r="M11" s="9">
        <v>12.54</v>
      </c>
      <c r="N11" s="9">
        <v>0</v>
      </c>
      <c r="O11" s="3"/>
      <c r="P11" s="10">
        <v>0</v>
      </c>
      <c r="Q11" s="7">
        <v>0</v>
      </c>
      <c r="R11" s="7">
        <v>0</v>
      </c>
      <c r="S11" s="8">
        <v>0</v>
      </c>
      <c r="T11" s="7">
        <v>0</v>
      </c>
      <c r="U11" s="7">
        <v>0</v>
      </c>
      <c r="V11" s="9">
        <v>0</v>
      </c>
      <c r="W11" s="9">
        <v>0</v>
      </c>
    </row>
    <row r="12" spans="1:23">
      <c r="A12" s="4" t="str">
        <f t="shared" si="0"/>
        <v>12月</v>
      </c>
      <c r="B12" s="5">
        <v>45263</v>
      </c>
      <c r="C12" s="6" t="s">
        <v>136</v>
      </c>
      <c r="D12" s="6" t="s">
        <v>137</v>
      </c>
      <c r="E12" s="6" t="s">
        <v>140</v>
      </c>
      <c r="F12" s="6" t="s">
        <v>141</v>
      </c>
      <c r="G12" s="6" t="s">
        <v>91</v>
      </c>
      <c r="H12" s="6" t="s">
        <v>89</v>
      </c>
      <c r="I12" s="7">
        <v>5307</v>
      </c>
      <c r="J12" s="7">
        <v>5</v>
      </c>
      <c r="K12" s="8">
        <v>0.000942151874882231</v>
      </c>
      <c r="L12" s="9">
        <v>1.018</v>
      </c>
      <c r="M12" s="9">
        <v>5.09</v>
      </c>
      <c r="N12" s="9">
        <v>0</v>
      </c>
      <c r="O12" s="3"/>
      <c r="P12" s="10">
        <v>0</v>
      </c>
      <c r="Q12" s="7">
        <v>0</v>
      </c>
      <c r="R12" s="7">
        <v>0</v>
      </c>
      <c r="S12" s="8">
        <v>0</v>
      </c>
      <c r="T12" s="7">
        <v>0</v>
      </c>
      <c r="U12" s="7">
        <v>0</v>
      </c>
      <c r="V12" s="9">
        <v>0</v>
      </c>
      <c r="W12" s="9">
        <v>0</v>
      </c>
    </row>
    <row r="13" spans="1:23">
      <c r="A13" s="4" t="str">
        <f t="shared" si="0"/>
        <v>12月</v>
      </c>
      <c r="B13" s="5">
        <v>45271</v>
      </c>
      <c r="C13" s="6" t="s">
        <v>136</v>
      </c>
      <c r="D13" s="6" t="s">
        <v>137</v>
      </c>
      <c r="E13" s="6" t="s">
        <v>140</v>
      </c>
      <c r="F13" s="6" t="s">
        <v>141</v>
      </c>
      <c r="G13" s="6" t="s">
        <v>91</v>
      </c>
      <c r="H13" s="6" t="s">
        <v>89</v>
      </c>
      <c r="I13" s="7">
        <v>8747</v>
      </c>
      <c r="J13" s="7">
        <v>26</v>
      </c>
      <c r="K13" s="8">
        <v>0.00297244769635304</v>
      </c>
      <c r="L13" s="9">
        <v>0.770384615384615</v>
      </c>
      <c r="M13" s="9">
        <v>20.03</v>
      </c>
      <c r="N13" s="9">
        <v>42.98</v>
      </c>
      <c r="O13" s="8">
        <v>0.466030711959051</v>
      </c>
      <c r="P13" s="10">
        <v>2.14578132800799</v>
      </c>
      <c r="Q13" s="7">
        <v>2</v>
      </c>
      <c r="R13" s="7">
        <v>2</v>
      </c>
      <c r="S13" s="8">
        <v>0.0769230769230769</v>
      </c>
      <c r="T13" s="7">
        <v>1</v>
      </c>
      <c r="U13" s="7">
        <v>1</v>
      </c>
      <c r="V13" s="9">
        <v>29.99</v>
      </c>
      <c r="W13" s="9">
        <v>12.99</v>
      </c>
    </row>
    <row r="14" spans="1:23">
      <c r="A14" s="4" t="str">
        <f t="shared" si="0"/>
        <v>12月</v>
      </c>
      <c r="B14" s="5">
        <v>45272</v>
      </c>
      <c r="C14" s="6" t="s">
        <v>136</v>
      </c>
      <c r="D14" s="6" t="s">
        <v>137</v>
      </c>
      <c r="E14" s="6" t="s">
        <v>140</v>
      </c>
      <c r="F14" s="6" t="s">
        <v>141</v>
      </c>
      <c r="G14" s="6" t="s">
        <v>91</v>
      </c>
      <c r="H14" s="6" t="s">
        <v>89</v>
      </c>
      <c r="I14" s="7">
        <v>61</v>
      </c>
      <c r="J14" s="7">
        <v>0</v>
      </c>
      <c r="K14" s="8">
        <v>0</v>
      </c>
      <c r="L14" s="3"/>
      <c r="M14" s="9">
        <v>0</v>
      </c>
      <c r="N14" s="9">
        <v>0</v>
      </c>
      <c r="O14" s="3"/>
      <c r="P14" s="3"/>
      <c r="Q14" s="7">
        <v>0</v>
      </c>
      <c r="R14" s="7">
        <v>0</v>
      </c>
      <c r="S14" s="3"/>
      <c r="T14" s="7">
        <v>0</v>
      </c>
      <c r="U14" s="7">
        <v>0</v>
      </c>
      <c r="V14" s="9">
        <v>0</v>
      </c>
      <c r="W14" s="9">
        <v>0</v>
      </c>
    </row>
    <row r="15" spans="1:23">
      <c r="A15" s="4" t="str">
        <f t="shared" si="0"/>
        <v>12月</v>
      </c>
      <c r="B15" s="5">
        <v>45273</v>
      </c>
      <c r="C15" s="6" t="s">
        <v>136</v>
      </c>
      <c r="D15" s="6" t="s">
        <v>137</v>
      </c>
      <c r="E15" s="6" t="s">
        <v>140</v>
      </c>
      <c r="F15" s="6" t="s">
        <v>141</v>
      </c>
      <c r="G15" s="6" t="s">
        <v>91</v>
      </c>
      <c r="H15" s="6" t="s">
        <v>89</v>
      </c>
      <c r="I15" s="7">
        <v>0</v>
      </c>
      <c r="J15" s="7">
        <v>0</v>
      </c>
      <c r="K15" s="3"/>
      <c r="L15" s="3"/>
      <c r="M15" s="9">
        <v>0</v>
      </c>
      <c r="N15" s="9">
        <v>0</v>
      </c>
      <c r="O15" s="3"/>
      <c r="P15" s="3"/>
      <c r="Q15" s="7">
        <v>0</v>
      </c>
      <c r="R15" s="7">
        <v>0</v>
      </c>
      <c r="S15" s="3"/>
      <c r="T15" s="7">
        <v>0</v>
      </c>
      <c r="U15" s="7">
        <v>0</v>
      </c>
      <c r="V15" s="9">
        <v>0</v>
      </c>
      <c r="W15" s="9">
        <v>0</v>
      </c>
    </row>
    <row r="16" spans="1:23">
      <c r="A16" s="4" t="str">
        <f t="shared" si="0"/>
        <v>12月</v>
      </c>
      <c r="B16" s="5">
        <v>45274</v>
      </c>
      <c r="C16" s="6" t="s">
        <v>136</v>
      </c>
      <c r="D16" s="6" t="s">
        <v>137</v>
      </c>
      <c r="E16" s="6" t="s">
        <v>140</v>
      </c>
      <c r="F16" s="6" t="s">
        <v>141</v>
      </c>
      <c r="G16" s="6" t="s">
        <v>91</v>
      </c>
      <c r="H16" s="6" t="s">
        <v>89</v>
      </c>
      <c r="I16" s="7">
        <v>2710</v>
      </c>
      <c r="J16" s="7">
        <v>17</v>
      </c>
      <c r="K16" s="8">
        <v>0.00627306273062731</v>
      </c>
      <c r="L16" s="9">
        <v>0.921764705882353</v>
      </c>
      <c r="M16" s="9">
        <v>15.67</v>
      </c>
      <c r="N16" s="9">
        <v>29.99</v>
      </c>
      <c r="O16" s="8">
        <v>0.522507502500834</v>
      </c>
      <c r="P16" s="10">
        <v>1.91384811742183</v>
      </c>
      <c r="Q16" s="7">
        <v>1</v>
      </c>
      <c r="R16" s="7">
        <v>1</v>
      </c>
      <c r="S16" s="8">
        <v>0.0588235294117647</v>
      </c>
      <c r="T16" s="7">
        <v>1</v>
      </c>
      <c r="U16" s="7">
        <v>0</v>
      </c>
      <c r="V16" s="9">
        <v>29.99</v>
      </c>
      <c r="W16" s="9">
        <v>0</v>
      </c>
    </row>
    <row r="17" spans="1:23">
      <c r="A17" s="4" t="str">
        <f t="shared" si="0"/>
        <v>12月</v>
      </c>
      <c r="B17" s="5">
        <v>45265</v>
      </c>
      <c r="C17" s="6" t="s">
        <v>136</v>
      </c>
      <c r="D17" s="6" t="s">
        <v>137</v>
      </c>
      <c r="E17" s="6" t="s">
        <v>142</v>
      </c>
      <c r="F17" s="6" t="s">
        <v>143</v>
      </c>
      <c r="G17" s="6" t="s">
        <v>95</v>
      </c>
      <c r="H17" s="6" t="s">
        <v>93</v>
      </c>
      <c r="I17" s="7">
        <v>3621</v>
      </c>
      <c r="J17" s="7">
        <v>10</v>
      </c>
      <c r="K17" s="8">
        <v>0.00276166804750069</v>
      </c>
      <c r="L17" s="9">
        <v>1.131</v>
      </c>
      <c r="M17" s="9">
        <v>11.31</v>
      </c>
      <c r="N17" s="9">
        <v>0</v>
      </c>
      <c r="O17" s="3"/>
      <c r="P17" s="10">
        <v>0</v>
      </c>
      <c r="Q17" s="7">
        <v>0</v>
      </c>
      <c r="R17" s="7">
        <v>0</v>
      </c>
      <c r="S17" s="8">
        <v>0</v>
      </c>
      <c r="T17" s="7">
        <v>0</v>
      </c>
      <c r="U17" s="7">
        <v>0</v>
      </c>
      <c r="V17" s="9">
        <v>0</v>
      </c>
      <c r="W17" s="9">
        <v>0</v>
      </c>
    </row>
    <row r="18" spans="1:23">
      <c r="A18" s="4" t="str">
        <f t="shared" si="0"/>
        <v>12月</v>
      </c>
      <c r="B18" s="5">
        <v>45266</v>
      </c>
      <c r="C18" s="6" t="s">
        <v>136</v>
      </c>
      <c r="D18" s="6" t="s">
        <v>137</v>
      </c>
      <c r="E18" s="6" t="s">
        <v>142</v>
      </c>
      <c r="F18" s="6" t="s">
        <v>143</v>
      </c>
      <c r="G18" s="6" t="s">
        <v>95</v>
      </c>
      <c r="H18" s="6" t="s">
        <v>93</v>
      </c>
      <c r="I18" s="7">
        <v>1926</v>
      </c>
      <c r="J18" s="7">
        <v>5</v>
      </c>
      <c r="K18" s="8">
        <v>0.00259605399792316</v>
      </c>
      <c r="L18" s="9">
        <v>1.13</v>
      </c>
      <c r="M18" s="9">
        <v>5.65</v>
      </c>
      <c r="N18" s="9">
        <v>0</v>
      </c>
      <c r="O18" s="3"/>
      <c r="P18" s="10">
        <v>0</v>
      </c>
      <c r="Q18" s="7">
        <v>0</v>
      </c>
      <c r="R18" s="7">
        <v>0</v>
      </c>
      <c r="S18" s="8">
        <v>0</v>
      </c>
      <c r="T18" s="7">
        <v>0</v>
      </c>
      <c r="U18" s="7">
        <v>0</v>
      </c>
      <c r="V18" s="9">
        <v>0</v>
      </c>
      <c r="W18" s="9">
        <v>0</v>
      </c>
    </row>
    <row r="19" spans="1:23">
      <c r="A19" s="4" t="str">
        <f t="shared" si="0"/>
        <v>12月</v>
      </c>
      <c r="B19" s="5">
        <v>45265</v>
      </c>
      <c r="C19" s="6" t="s">
        <v>136</v>
      </c>
      <c r="D19" s="6" t="s">
        <v>137</v>
      </c>
      <c r="E19" s="6" t="s">
        <v>142</v>
      </c>
      <c r="F19" s="6" t="s">
        <v>144</v>
      </c>
      <c r="G19" s="6" t="s">
        <v>95</v>
      </c>
      <c r="H19" s="6" t="s">
        <v>93</v>
      </c>
      <c r="I19" s="7">
        <v>4016</v>
      </c>
      <c r="J19" s="7">
        <v>12</v>
      </c>
      <c r="K19" s="8">
        <v>0.00298804780876494</v>
      </c>
      <c r="L19" s="9">
        <v>1.16666666666667</v>
      </c>
      <c r="M19" s="9">
        <v>14</v>
      </c>
      <c r="N19" s="9">
        <v>0</v>
      </c>
      <c r="O19" s="3"/>
      <c r="P19" s="10">
        <v>0</v>
      </c>
      <c r="Q19" s="7">
        <v>0</v>
      </c>
      <c r="R19" s="7">
        <v>0</v>
      </c>
      <c r="S19" s="8">
        <v>0</v>
      </c>
      <c r="T19" s="7">
        <v>0</v>
      </c>
      <c r="U19" s="7">
        <v>0</v>
      </c>
      <c r="V19" s="9">
        <v>0</v>
      </c>
      <c r="W19" s="9">
        <v>0</v>
      </c>
    </row>
    <row r="20" spans="1:23">
      <c r="A20" s="4" t="str">
        <f t="shared" si="0"/>
        <v>12月</v>
      </c>
      <c r="B20" s="5">
        <v>45266</v>
      </c>
      <c r="C20" s="6" t="s">
        <v>136</v>
      </c>
      <c r="D20" s="6" t="s">
        <v>137</v>
      </c>
      <c r="E20" s="6" t="s">
        <v>142</v>
      </c>
      <c r="F20" s="6" t="s">
        <v>144</v>
      </c>
      <c r="G20" s="6" t="s">
        <v>95</v>
      </c>
      <c r="H20" s="6" t="s">
        <v>93</v>
      </c>
      <c r="I20" s="7">
        <v>5879</v>
      </c>
      <c r="J20" s="7">
        <v>11</v>
      </c>
      <c r="K20" s="8">
        <v>0.00187106650790951</v>
      </c>
      <c r="L20" s="9">
        <v>0.826363636363636</v>
      </c>
      <c r="M20" s="9">
        <v>9.09</v>
      </c>
      <c r="N20" s="9">
        <v>0</v>
      </c>
      <c r="O20" s="3"/>
      <c r="P20" s="10">
        <v>0</v>
      </c>
      <c r="Q20" s="7">
        <v>0</v>
      </c>
      <c r="R20" s="7">
        <v>0</v>
      </c>
      <c r="S20" s="8">
        <v>0</v>
      </c>
      <c r="T20" s="7">
        <v>0</v>
      </c>
      <c r="U20" s="7">
        <v>0</v>
      </c>
      <c r="V20" s="9">
        <v>0</v>
      </c>
      <c r="W20" s="9">
        <v>0</v>
      </c>
    </row>
    <row r="21" spans="1:23">
      <c r="A21" s="4" t="str">
        <f t="shared" si="0"/>
        <v>12月</v>
      </c>
      <c r="B21" s="5">
        <v>45266</v>
      </c>
      <c r="C21" s="6" t="s">
        <v>136</v>
      </c>
      <c r="D21" s="6" t="s">
        <v>137</v>
      </c>
      <c r="E21" s="6" t="s">
        <v>145</v>
      </c>
      <c r="F21" s="6" t="s">
        <v>146</v>
      </c>
      <c r="G21" s="6" t="s">
        <v>95</v>
      </c>
      <c r="H21" s="6" t="s">
        <v>93</v>
      </c>
      <c r="I21" s="7">
        <v>867</v>
      </c>
      <c r="J21" s="7">
        <v>5</v>
      </c>
      <c r="K21" s="8">
        <v>0.00576701268742791</v>
      </c>
      <c r="L21" s="9">
        <v>1.15</v>
      </c>
      <c r="M21" s="9">
        <v>5.75</v>
      </c>
      <c r="N21" s="9">
        <v>0</v>
      </c>
      <c r="O21" s="3"/>
      <c r="P21" s="10">
        <v>0</v>
      </c>
      <c r="Q21" s="7">
        <v>0</v>
      </c>
      <c r="R21" s="7">
        <v>0</v>
      </c>
      <c r="S21" s="8">
        <v>0</v>
      </c>
      <c r="T21" s="7">
        <v>0</v>
      </c>
      <c r="U21" s="7">
        <v>0</v>
      </c>
      <c r="V21" s="9">
        <v>0</v>
      </c>
      <c r="W21" s="9">
        <v>0</v>
      </c>
    </row>
    <row r="22" spans="1:23">
      <c r="A22" s="4" t="str">
        <f t="shared" si="0"/>
        <v>12月</v>
      </c>
      <c r="B22" s="5">
        <v>45265</v>
      </c>
      <c r="C22" s="6" t="s">
        <v>136</v>
      </c>
      <c r="D22" s="6" t="s">
        <v>137</v>
      </c>
      <c r="E22" s="6" t="s">
        <v>147</v>
      </c>
      <c r="F22" s="6" t="s">
        <v>148</v>
      </c>
      <c r="G22" s="6" t="s">
        <v>95</v>
      </c>
      <c r="H22" s="6" t="s">
        <v>93</v>
      </c>
      <c r="I22" s="7">
        <v>2894</v>
      </c>
      <c r="J22" s="7">
        <v>16</v>
      </c>
      <c r="K22" s="8">
        <v>0.0055286800276434</v>
      </c>
      <c r="L22" s="9">
        <v>0.7575</v>
      </c>
      <c r="M22" s="9">
        <v>12.12</v>
      </c>
      <c r="N22" s="9">
        <v>0</v>
      </c>
      <c r="O22" s="3"/>
      <c r="P22" s="10">
        <v>0</v>
      </c>
      <c r="Q22" s="7">
        <v>0</v>
      </c>
      <c r="R22" s="7">
        <v>0</v>
      </c>
      <c r="S22" s="8">
        <v>0</v>
      </c>
      <c r="T22" s="7">
        <v>0</v>
      </c>
      <c r="U22" s="7">
        <v>0</v>
      </c>
      <c r="V22" s="9">
        <v>0</v>
      </c>
      <c r="W22" s="9">
        <v>0</v>
      </c>
    </row>
    <row r="23" spans="1:23">
      <c r="A23" s="4" t="str">
        <f t="shared" si="0"/>
        <v>12月</v>
      </c>
      <c r="B23" s="5">
        <v>45266</v>
      </c>
      <c r="C23" s="6" t="s">
        <v>136</v>
      </c>
      <c r="D23" s="6" t="s">
        <v>137</v>
      </c>
      <c r="E23" s="6" t="s">
        <v>147</v>
      </c>
      <c r="F23" s="6" t="s">
        <v>148</v>
      </c>
      <c r="G23" s="6" t="s">
        <v>95</v>
      </c>
      <c r="H23" s="6" t="s">
        <v>93</v>
      </c>
      <c r="I23" s="7">
        <v>10519</v>
      </c>
      <c r="J23" s="7">
        <v>20</v>
      </c>
      <c r="K23" s="8">
        <v>0.00190132141838578</v>
      </c>
      <c r="L23" s="9">
        <v>0.75</v>
      </c>
      <c r="M23" s="9">
        <v>15</v>
      </c>
      <c r="N23" s="9">
        <v>25.99</v>
      </c>
      <c r="O23" s="8">
        <v>0.577145055790689</v>
      </c>
      <c r="P23" s="10">
        <v>1.73266666666667</v>
      </c>
      <c r="Q23" s="7">
        <v>1</v>
      </c>
      <c r="R23" s="7">
        <v>1</v>
      </c>
      <c r="S23" s="8">
        <v>0.05</v>
      </c>
      <c r="T23" s="7">
        <v>1</v>
      </c>
      <c r="U23" s="7">
        <v>0</v>
      </c>
      <c r="V23" s="9">
        <v>25.99</v>
      </c>
      <c r="W23" s="9">
        <v>0</v>
      </c>
    </row>
    <row r="24" spans="1:23">
      <c r="A24" s="4" t="str">
        <f t="shared" si="0"/>
        <v>12月</v>
      </c>
      <c r="B24" s="5">
        <v>45269</v>
      </c>
      <c r="C24" s="6" t="s">
        <v>136</v>
      </c>
      <c r="D24" s="6" t="s">
        <v>137</v>
      </c>
      <c r="E24" s="6" t="s">
        <v>147</v>
      </c>
      <c r="F24" s="6" t="s">
        <v>148</v>
      </c>
      <c r="G24" s="6" t="s">
        <v>95</v>
      </c>
      <c r="H24" s="6" t="s">
        <v>93</v>
      </c>
      <c r="I24" s="7">
        <v>408</v>
      </c>
      <c r="J24" s="7">
        <v>8</v>
      </c>
      <c r="K24" s="8">
        <v>0.0196078431372549</v>
      </c>
      <c r="L24" s="9">
        <v>0.67625</v>
      </c>
      <c r="M24" s="9">
        <v>5.41</v>
      </c>
      <c r="N24" s="9">
        <v>0</v>
      </c>
      <c r="O24" s="3"/>
      <c r="P24" s="10">
        <v>0</v>
      </c>
      <c r="Q24" s="7">
        <v>0</v>
      </c>
      <c r="R24" s="7">
        <v>0</v>
      </c>
      <c r="S24" s="8">
        <v>0</v>
      </c>
      <c r="T24" s="7">
        <v>0</v>
      </c>
      <c r="U24" s="7">
        <v>0</v>
      </c>
      <c r="V24" s="9">
        <v>0</v>
      </c>
      <c r="W24" s="9">
        <v>0</v>
      </c>
    </row>
    <row r="25" spans="1:23">
      <c r="A25" s="4" t="str">
        <f t="shared" si="0"/>
        <v>12月</v>
      </c>
      <c r="B25" s="5">
        <v>45270</v>
      </c>
      <c r="C25" s="6" t="s">
        <v>136</v>
      </c>
      <c r="D25" s="6" t="s">
        <v>137</v>
      </c>
      <c r="E25" s="6" t="s">
        <v>147</v>
      </c>
      <c r="F25" s="6" t="s">
        <v>148</v>
      </c>
      <c r="G25" s="6" t="s">
        <v>95</v>
      </c>
      <c r="H25" s="6" t="s">
        <v>93</v>
      </c>
      <c r="I25" s="7">
        <v>1449</v>
      </c>
      <c r="J25" s="7">
        <v>9</v>
      </c>
      <c r="K25" s="8">
        <v>0.0062111801242236</v>
      </c>
      <c r="L25" s="9">
        <v>0.661111111111111</v>
      </c>
      <c r="M25" s="9">
        <v>5.95</v>
      </c>
      <c r="N25" s="9">
        <v>0</v>
      </c>
      <c r="O25" s="3"/>
      <c r="P25" s="10">
        <v>0</v>
      </c>
      <c r="Q25" s="7">
        <v>0</v>
      </c>
      <c r="R25" s="7">
        <v>0</v>
      </c>
      <c r="S25" s="8">
        <v>0</v>
      </c>
      <c r="T25" s="7">
        <v>0</v>
      </c>
      <c r="U25" s="7">
        <v>0</v>
      </c>
      <c r="V25" s="9">
        <v>0</v>
      </c>
      <c r="W25" s="9">
        <v>0</v>
      </c>
    </row>
    <row r="26" spans="1:23">
      <c r="A26" s="4" t="str">
        <f t="shared" si="0"/>
        <v>12月</v>
      </c>
      <c r="B26" s="5">
        <v>45271</v>
      </c>
      <c r="C26" s="6" t="s">
        <v>136</v>
      </c>
      <c r="D26" s="6" t="s">
        <v>137</v>
      </c>
      <c r="E26" s="6" t="s">
        <v>147</v>
      </c>
      <c r="F26" s="6" t="s">
        <v>148</v>
      </c>
      <c r="G26" s="6" t="s">
        <v>95</v>
      </c>
      <c r="H26" s="6" t="s">
        <v>93</v>
      </c>
      <c r="I26" s="7">
        <v>4452</v>
      </c>
      <c r="J26" s="7">
        <v>19</v>
      </c>
      <c r="K26" s="8">
        <v>0.00426774483378257</v>
      </c>
      <c r="L26" s="9">
        <v>0.55</v>
      </c>
      <c r="M26" s="9">
        <v>10.45</v>
      </c>
      <c r="N26" s="9">
        <v>0</v>
      </c>
      <c r="O26" s="3"/>
      <c r="P26" s="10">
        <v>0</v>
      </c>
      <c r="Q26" s="7">
        <v>0</v>
      </c>
      <c r="R26" s="7">
        <v>0</v>
      </c>
      <c r="S26" s="8">
        <v>0</v>
      </c>
      <c r="T26" s="7">
        <v>0</v>
      </c>
      <c r="U26" s="7">
        <v>0</v>
      </c>
      <c r="V26" s="9">
        <v>0</v>
      </c>
      <c r="W26" s="9">
        <v>0</v>
      </c>
    </row>
    <row r="27" spans="1:23">
      <c r="A27" s="4" t="str">
        <f t="shared" si="0"/>
        <v>12月</v>
      </c>
      <c r="B27" s="5">
        <v>45268</v>
      </c>
      <c r="C27" s="6" t="s">
        <v>136</v>
      </c>
      <c r="D27" s="6" t="s">
        <v>137</v>
      </c>
      <c r="E27" s="6" t="s">
        <v>149</v>
      </c>
      <c r="F27" s="6" t="s">
        <v>150</v>
      </c>
      <c r="G27" s="6" t="s">
        <v>99</v>
      </c>
      <c r="H27" s="6" t="s">
        <v>97</v>
      </c>
      <c r="I27" s="7">
        <v>3775</v>
      </c>
      <c r="J27" s="7">
        <v>4</v>
      </c>
      <c r="K27" s="8">
        <v>0.00105960264900662</v>
      </c>
      <c r="L27" s="9">
        <v>0.88</v>
      </c>
      <c r="M27" s="9">
        <v>3.52</v>
      </c>
      <c r="N27" s="9">
        <v>25.98</v>
      </c>
      <c r="O27" s="8">
        <v>0.135488837567359</v>
      </c>
      <c r="P27" s="10">
        <v>7.38068181818182</v>
      </c>
      <c r="Q27" s="7">
        <v>1</v>
      </c>
      <c r="R27" s="7">
        <v>2</v>
      </c>
      <c r="S27" s="8">
        <v>0.25</v>
      </c>
      <c r="T27" s="7">
        <v>2</v>
      </c>
      <c r="U27" s="7">
        <v>0</v>
      </c>
      <c r="V27" s="9">
        <v>25.98</v>
      </c>
      <c r="W27" s="9">
        <v>0</v>
      </c>
    </row>
    <row r="28" spans="1:23">
      <c r="A28" s="4" t="str">
        <f t="shared" si="0"/>
        <v>12月</v>
      </c>
      <c r="B28" s="5">
        <v>45269</v>
      </c>
      <c r="C28" s="6" t="s">
        <v>136</v>
      </c>
      <c r="D28" s="6" t="s">
        <v>137</v>
      </c>
      <c r="E28" s="6" t="s">
        <v>149</v>
      </c>
      <c r="F28" s="6" t="s">
        <v>150</v>
      </c>
      <c r="G28" s="6" t="s">
        <v>99</v>
      </c>
      <c r="H28" s="6" t="s">
        <v>97</v>
      </c>
      <c r="I28" s="7">
        <v>6592</v>
      </c>
      <c r="J28" s="7">
        <v>9</v>
      </c>
      <c r="K28" s="8">
        <v>0.00136529126213592</v>
      </c>
      <c r="L28" s="9">
        <v>1.08444444444444</v>
      </c>
      <c r="M28" s="9">
        <v>9.76</v>
      </c>
      <c r="N28" s="9">
        <v>0</v>
      </c>
      <c r="O28" s="3"/>
      <c r="P28" s="10">
        <v>0</v>
      </c>
      <c r="Q28" s="7">
        <v>0</v>
      </c>
      <c r="R28" s="7">
        <v>0</v>
      </c>
      <c r="S28" s="8">
        <v>0</v>
      </c>
      <c r="T28" s="7">
        <v>0</v>
      </c>
      <c r="U28" s="7">
        <v>0</v>
      </c>
      <c r="V28" s="9">
        <v>0</v>
      </c>
      <c r="W28" s="9">
        <v>0</v>
      </c>
    </row>
    <row r="29" spans="1:23">
      <c r="A29" s="4" t="str">
        <f t="shared" si="0"/>
        <v>12月</v>
      </c>
      <c r="B29" s="5">
        <v>45270</v>
      </c>
      <c r="C29" s="6" t="s">
        <v>136</v>
      </c>
      <c r="D29" s="6" t="s">
        <v>137</v>
      </c>
      <c r="E29" s="6" t="s">
        <v>149</v>
      </c>
      <c r="F29" s="6" t="s">
        <v>150</v>
      </c>
      <c r="G29" s="6" t="s">
        <v>99</v>
      </c>
      <c r="H29" s="6" t="s">
        <v>97</v>
      </c>
      <c r="I29" s="7">
        <v>2386</v>
      </c>
      <c r="J29" s="7">
        <v>0</v>
      </c>
      <c r="K29" s="8">
        <v>0</v>
      </c>
      <c r="L29" s="3"/>
      <c r="M29" s="9">
        <v>0</v>
      </c>
      <c r="N29" s="9">
        <v>0</v>
      </c>
      <c r="O29" s="3"/>
      <c r="P29" s="3"/>
      <c r="Q29" s="7">
        <v>0</v>
      </c>
      <c r="R29" s="7">
        <v>0</v>
      </c>
      <c r="S29" s="3"/>
      <c r="T29" s="7">
        <v>0</v>
      </c>
      <c r="U29" s="7">
        <v>0</v>
      </c>
      <c r="V29" s="9">
        <v>0</v>
      </c>
      <c r="W29" s="9">
        <v>0</v>
      </c>
    </row>
    <row r="30" spans="1:23">
      <c r="A30" s="4" t="str">
        <f t="shared" si="0"/>
        <v>12月</v>
      </c>
      <c r="B30" s="5">
        <v>45271</v>
      </c>
      <c r="C30" s="6" t="s">
        <v>136</v>
      </c>
      <c r="D30" s="6" t="s">
        <v>137</v>
      </c>
      <c r="E30" s="6" t="s">
        <v>149</v>
      </c>
      <c r="F30" s="6" t="s">
        <v>150</v>
      </c>
      <c r="G30" s="6" t="s">
        <v>99</v>
      </c>
      <c r="H30" s="6" t="s">
        <v>97</v>
      </c>
      <c r="I30" s="7">
        <v>9975</v>
      </c>
      <c r="J30" s="7">
        <v>16</v>
      </c>
      <c r="K30" s="8">
        <v>0.00160401002506266</v>
      </c>
      <c r="L30" s="9">
        <v>0.94125</v>
      </c>
      <c r="M30" s="9">
        <v>15.06</v>
      </c>
      <c r="N30" s="9">
        <v>0</v>
      </c>
      <c r="O30" s="3"/>
      <c r="P30" s="10">
        <v>0</v>
      </c>
      <c r="Q30" s="7">
        <v>0</v>
      </c>
      <c r="R30" s="7">
        <v>0</v>
      </c>
      <c r="S30" s="8">
        <v>0</v>
      </c>
      <c r="T30" s="7">
        <v>0</v>
      </c>
      <c r="U30" s="7">
        <v>0</v>
      </c>
      <c r="V30" s="9">
        <v>0</v>
      </c>
      <c r="W30" s="9">
        <v>0</v>
      </c>
    </row>
    <row r="31" spans="1:23">
      <c r="A31" s="4" t="str">
        <f t="shared" si="0"/>
        <v>12月</v>
      </c>
      <c r="B31" s="5">
        <v>45272</v>
      </c>
      <c r="C31" s="6" t="s">
        <v>136</v>
      </c>
      <c r="D31" s="6" t="s">
        <v>137</v>
      </c>
      <c r="E31" s="6" t="s">
        <v>149</v>
      </c>
      <c r="F31" s="6" t="s">
        <v>150</v>
      </c>
      <c r="G31" s="6" t="s">
        <v>99</v>
      </c>
      <c r="H31" s="6" t="s">
        <v>97</v>
      </c>
      <c r="I31" s="7">
        <v>5008</v>
      </c>
      <c r="J31" s="7">
        <v>12</v>
      </c>
      <c r="K31" s="8">
        <v>0.0023961661341853</v>
      </c>
      <c r="L31" s="9">
        <v>1.03416666666667</v>
      </c>
      <c r="M31" s="9">
        <v>12.41</v>
      </c>
      <c r="N31" s="9">
        <v>0</v>
      </c>
      <c r="O31" s="3"/>
      <c r="P31" s="10">
        <v>0</v>
      </c>
      <c r="Q31" s="7">
        <v>0</v>
      </c>
      <c r="R31" s="7">
        <v>0</v>
      </c>
      <c r="S31" s="8">
        <v>0</v>
      </c>
      <c r="T31" s="7">
        <v>0</v>
      </c>
      <c r="U31" s="7">
        <v>0</v>
      </c>
      <c r="V31" s="9">
        <v>0</v>
      </c>
      <c r="W31" s="9">
        <v>0</v>
      </c>
    </row>
    <row r="32" spans="1:23">
      <c r="A32" s="4" t="str">
        <f t="shared" si="0"/>
        <v>12月</v>
      </c>
      <c r="B32" s="5">
        <v>45269</v>
      </c>
      <c r="C32" s="6" t="s">
        <v>136</v>
      </c>
      <c r="D32" s="6" t="s">
        <v>137</v>
      </c>
      <c r="E32" s="6" t="s">
        <v>151</v>
      </c>
      <c r="F32" s="6" t="s">
        <v>152</v>
      </c>
      <c r="G32" s="6" t="s">
        <v>99</v>
      </c>
      <c r="H32" s="6" t="s">
        <v>97</v>
      </c>
      <c r="I32" s="7">
        <v>2346</v>
      </c>
      <c r="J32" s="7">
        <v>23</v>
      </c>
      <c r="K32" s="8">
        <v>0.00980392156862745</v>
      </c>
      <c r="L32" s="9">
        <v>1.05652173913043</v>
      </c>
      <c r="M32" s="9">
        <v>24.3</v>
      </c>
      <c r="N32" s="9">
        <v>12.99</v>
      </c>
      <c r="O32" s="8">
        <v>1.87066974595843</v>
      </c>
      <c r="P32" s="10">
        <v>0.534567901234568</v>
      </c>
      <c r="Q32" s="7">
        <v>1</v>
      </c>
      <c r="R32" s="7">
        <v>1</v>
      </c>
      <c r="S32" s="8">
        <v>0.0434782608695652</v>
      </c>
      <c r="T32" s="7">
        <v>1</v>
      </c>
      <c r="U32" s="7">
        <v>0</v>
      </c>
      <c r="V32" s="9">
        <v>12.99</v>
      </c>
      <c r="W32" s="9">
        <v>0</v>
      </c>
    </row>
    <row r="33" spans="1:23">
      <c r="A33" s="4" t="str">
        <f t="shared" si="0"/>
        <v>12月</v>
      </c>
      <c r="B33" s="5">
        <v>45270</v>
      </c>
      <c r="C33" s="6" t="s">
        <v>136</v>
      </c>
      <c r="D33" s="6" t="s">
        <v>137</v>
      </c>
      <c r="E33" s="6" t="s">
        <v>151</v>
      </c>
      <c r="F33" s="6" t="s">
        <v>152</v>
      </c>
      <c r="G33" s="6" t="s">
        <v>99</v>
      </c>
      <c r="H33" s="6" t="s">
        <v>97</v>
      </c>
      <c r="I33" s="7">
        <v>2347</v>
      </c>
      <c r="J33" s="7">
        <v>12</v>
      </c>
      <c r="K33" s="8">
        <v>0.00511291009799744</v>
      </c>
      <c r="L33" s="9">
        <v>0.8125</v>
      </c>
      <c r="M33" s="9">
        <v>9.75</v>
      </c>
      <c r="N33" s="9">
        <v>0</v>
      </c>
      <c r="O33" s="3"/>
      <c r="P33" s="10">
        <v>0</v>
      </c>
      <c r="Q33" s="7">
        <v>0</v>
      </c>
      <c r="R33" s="7">
        <v>0</v>
      </c>
      <c r="S33" s="8">
        <v>0</v>
      </c>
      <c r="T33" s="7">
        <v>0</v>
      </c>
      <c r="U33" s="7">
        <v>0</v>
      </c>
      <c r="V33" s="9">
        <v>0</v>
      </c>
      <c r="W33" s="9">
        <v>0</v>
      </c>
    </row>
    <row r="34" spans="1:23">
      <c r="A34" s="4" t="str">
        <f t="shared" si="0"/>
        <v>12月</v>
      </c>
      <c r="B34" s="5">
        <v>45271</v>
      </c>
      <c r="C34" s="6" t="s">
        <v>136</v>
      </c>
      <c r="D34" s="6" t="s">
        <v>137</v>
      </c>
      <c r="E34" s="6" t="s">
        <v>151</v>
      </c>
      <c r="F34" s="6" t="s">
        <v>152</v>
      </c>
      <c r="G34" s="6" t="s">
        <v>99</v>
      </c>
      <c r="H34" s="6" t="s">
        <v>97</v>
      </c>
      <c r="I34" s="7">
        <v>7312</v>
      </c>
      <c r="J34" s="7">
        <v>47</v>
      </c>
      <c r="K34" s="8">
        <v>0.00642778993435449</v>
      </c>
      <c r="L34" s="9">
        <v>0.851914893617021</v>
      </c>
      <c r="M34" s="9">
        <v>40.04</v>
      </c>
      <c r="N34" s="9">
        <v>51.96</v>
      </c>
      <c r="O34" s="8">
        <v>0.770592763664357</v>
      </c>
      <c r="P34" s="10">
        <v>1.2977022977023</v>
      </c>
      <c r="Q34" s="7">
        <v>4</v>
      </c>
      <c r="R34" s="7">
        <v>4</v>
      </c>
      <c r="S34" s="8">
        <v>0.0851063829787234</v>
      </c>
      <c r="T34" s="7">
        <v>4</v>
      </c>
      <c r="U34" s="7">
        <v>0</v>
      </c>
      <c r="V34" s="9">
        <v>51.96</v>
      </c>
      <c r="W34" s="9">
        <v>0</v>
      </c>
    </row>
    <row r="35" spans="1:23">
      <c r="A35" s="4" t="str">
        <f t="shared" ref="A35:A66" si="1">IF(MONTH(B35)&lt;10,"0"&amp;MONTH(B35)&amp;"月",MONTH(B35)&amp;"月")</f>
        <v>12月</v>
      </c>
      <c r="B35" s="5">
        <v>45272</v>
      </c>
      <c r="C35" s="6" t="s">
        <v>136</v>
      </c>
      <c r="D35" s="6" t="s">
        <v>137</v>
      </c>
      <c r="E35" s="6" t="s">
        <v>151</v>
      </c>
      <c r="F35" s="6" t="s">
        <v>152</v>
      </c>
      <c r="G35" s="6" t="s">
        <v>99</v>
      </c>
      <c r="H35" s="6" t="s">
        <v>97</v>
      </c>
      <c r="I35" s="7">
        <v>8718</v>
      </c>
      <c r="J35" s="7">
        <v>40</v>
      </c>
      <c r="K35" s="8">
        <v>0.00458820830465703</v>
      </c>
      <c r="L35" s="9">
        <v>0.8105</v>
      </c>
      <c r="M35" s="9">
        <v>32.42</v>
      </c>
      <c r="N35" s="9">
        <v>0</v>
      </c>
      <c r="O35" s="3"/>
      <c r="P35" s="10">
        <v>0</v>
      </c>
      <c r="Q35" s="7">
        <v>0</v>
      </c>
      <c r="R35" s="7">
        <v>0</v>
      </c>
      <c r="S35" s="8">
        <v>0</v>
      </c>
      <c r="T35" s="7">
        <v>0</v>
      </c>
      <c r="U35" s="7">
        <v>0</v>
      </c>
      <c r="V35" s="9">
        <v>0</v>
      </c>
      <c r="W35" s="9">
        <v>0</v>
      </c>
    </row>
    <row r="36" spans="1:23">
      <c r="A36" s="4" t="str">
        <f t="shared" si="1"/>
        <v>12月</v>
      </c>
      <c r="B36" s="5">
        <v>45273</v>
      </c>
      <c r="C36" s="6" t="s">
        <v>136</v>
      </c>
      <c r="D36" s="6" t="s">
        <v>137</v>
      </c>
      <c r="E36" s="6" t="s">
        <v>151</v>
      </c>
      <c r="F36" s="6" t="s">
        <v>152</v>
      </c>
      <c r="G36" s="6" t="s">
        <v>99</v>
      </c>
      <c r="H36" s="6" t="s">
        <v>97</v>
      </c>
      <c r="I36" s="7">
        <v>4216</v>
      </c>
      <c r="J36" s="7">
        <v>18</v>
      </c>
      <c r="K36" s="8">
        <v>0.00426944971537002</v>
      </c>
      <c r="L36" s="9">
        <v>0.742777777777778</v>
      </c>
      <c r="M36" s="9">
        <v>13.37</v>
      </c>
      <c r="N36" s="9">
        <v>0</v>
      </c>
      <c r="O36" s="3"/>
      <c r="P36" s="10">
        <v>0</v>
      </c>
      <c r="Q36" s="7">
        <v>0</v>
      </c>
      <c r="R36" s="7">
        <v>0</v>
      </c>
      <c r="S36" s="8">
        <v>0</v>
      </c>
      <c r="T36" s="7">
        <v>0</v>
      </c>
      <c r="U36" s="7">
        <v>0</v>
      </c>
      <c r="V36" s="9">
        <v>0</v>
      </c>
      <c r="W36" s="9">
        <v>0</v>
      </c>
    </row>
    <row r="37" spans="1:23">
      <c r="A37" s="4" t="str">
        <f t="shared" si="1"/>
        <v>12月</v>
      </c>
      <c r="B37" s="5">
        <v>45274</v>
      </c>
      <c r="C37" s="6" t="s">
        <v>136</v>
      </c>
      <c r="D37" s="6" t="s">
        <v>137</v>
      </c>
      <c r="E37" s="6" t="s">
        <v>151</v>
      </c>
      <c r="F37" s="6" t="s">
        <v>152</v>
      </c>
      <c r="G37" s="6" t="s">
        <v>99</v>
      </c>
      <c r="H37" s="6" t="s">
        <v>97</v>
      </c>
      <c r="I37" s="7">
        <v>5491</v>
      </c>
      <c r="J37" s="7">
        <v>10</v>
      </c>
      <c r="K37" s="8">
        <v>0.00182116190129302</v>
      </c>
      <c r="L37" s="9">
        <v>0.808</v>
      </c>
      <c r="M37" s="9">
        <v>8.08</v>
      </c>
      <c r="N37" s="9">
        <v>0</v>
      </c>
      <c r="O37" s="3"/>
      <c r="P37" s="10">
        <v>0</v>
      </c>
      <c r="Q37" s="7">
        <v>0</v>
      </c>
      <c r="R37" s="7">
        <v>0</v>
      </c>
      <c r="S37" s="8">
        <v>0</v>
      </c>
      <c r="T37" s="7">
        <v>0</v>
      </c>
      <c r="U37" s="7">
        <v>0</v>
      </c>
      <c r="V37" s="9">
        <v>0</v>
      </c>
      <c r="W37" s="9">
        <v>0</v>
      </c>
    </row>
    <row r="38" spans="1:23">
      <c r="A38" s="4" t="str">
        <f t="shared" si="1"/>
        <v>12月</v>
      </c>
      <c r="B38" s="5">
        <v>45269</v>
      </c>
      <c r="C38" s="6" t="s">
        <v>136</v>
      </c>
      <c r="D38" s="6" t="s">
        <v>137</v>
      </c>
      <c r="E38" s="6" t="s">
        <v>151</v>
      </c>
      <c r="F38" s="6" t="s">
        <v>153</v>
      </c>
      <c r="G38" s="6" t="s">
        <v>95</v>
      </c>
      <c r="H38" s="6" t="s">
        <v>93</v>
      </c>
      <c r="I38" s="7">
        <v>2921</v>
      </c>
      <c r="J38" s="7">
        <v>20</v>
      </c>
      <c r="K38" s="8">
        <v>0.00684697021567956</v>
      </c>
      <c r="L38" s="9">
        <v>0.791</v>
      </c>
      <c r="M38" s="9">
        <v>15.82</v>
      </c>
      <c r="N38" s="9">
        <v>0</v>
      </c>
      <c r="O38" s="3"/>
      <c r="P38" s="10">
        <v>0</v>
      </c>
      <c r="Q38" s="7">
        <v>0</v>
      </c>
      <c r="R38" s="7">
        <v>0</v>
      </c>
      <c r="S38" s="8">
        <v>0</v>
      </c>
      <c r="T38" s="7">
        <v>0</v>
      </c>
      <c r="U38" s="7">
        <v>0</v>
      </c>
      <c r="V38" s="9">
        <v>0</v>
      </c>
      <c r="W38" s="9">
        <v>0</v>
      </c>
    </row>
    <row r="39" spans="1:23">
      <c r="A39" s="4" t="str">
        <f t="shared" si="1"/>
        <v>12月</v>
      </c>
      <c r="B39" s="5">
        <v>45269</v>
      </c>
      <c r="C39" s="6" t="s">
        <v>136</v>
      </c>
      <c r="D39" s="6" t="s">
        <v>137</v>
      </c>
      <c r="E39" s="6" t="s">
        <v>149</v>
      </c>
      <c r="F39" s="6" t="s">
        <v>150</v>
      </c>
      <c r="G39" s="6" t="s">
        <v>95</v>
      </c>
      <c r="H39" s="6" t="s">
        <v>93</v>
      </c>
      <c r="I39" s="7">
        <v>1963</v>
      </c>
      <c r="J39" s="7">
        <v>18</v>
      </c>
      <c r="K39" s="8">
        <v>0.00916963830871116</v>
      </c>
      <c r="L39" s="9">
        <v>1.10388888888889</v>
      </c>
      <c r="M39" s="9">
        <v>19.87</v>
      </c>
      <c r="N39" s="9">
        <v>25.99</v>
      </c>
      <c r="O39" s="8">
        <v>0.764524817237399</v>
      </c>
      <c r="P39" s="10">
        <v>1.30800201308505</v>
      </c>
      <c r="Q39" s="7">
        <v>1</v>
      </c>
      <c r="R39" s="7">
        <v>1</v>
      </c>
      <c r="S39" s="8">
        <v>0.0555555555555556</v>
      </c>
      <c r="T39" s="7">
        <v>1</v>
      </c>
      <c r="U39" s="7">
        <v>0</v>
      </c>
      <c r="V39" s="9">
        <v>25.99</v>
      </c>
      <c r="W39" s="9">
        <v>0</v>
      </c>
    </row>
    <row r="40" spans="1:23">
      <c r="A40" s="4" t="str">
        <f t="shared" si="1"/>
        <v>12月</v>
      </c>
      <c r="B40" s="5">
        <v>45270</v>
      </c>
      <c r="C40" s="6" t="s">
        <v>136</v>
      </c>
      <c r="D40" s="6" t="s">
        <v>137</v>
      </c>
      <c r="E40" s="6" t="s">
        <v>149</v>
      </c>
      <c r="F40" s="6" t="s">
        <v>150</v>
      </c>
      <c r="G40" s="6" t="s">
        <v>95</v>
      </c>
      <c r="H40" s="6" t="s">
        <v>93</v>
      </c>
      <c r="I40" s="7">
        <v>2160</v>
      </c>
      <c r="J40" s="7">
        <v>16</v>
      </c>
      <c r="K40" s="8">
        <v>0.00740740740740741</v>
      </c>
      <c r="L40" s="9">
        <v>1.241875</v>
      </c>
      <c r="M40" s="9">
        <v>19.87</v>
      </c>
      <c r="N40" s="9">
        <v>0</v>
      </c>
      <c r="O40" s="3"/>
      <c r="P40" s="10">
        <v>0</v>
      </c>
      <c r="Q40" s="7">
        <v>0</v>
      </c>
      <c r="R40" s="7">
        <v>0</v>
      </c>
      <c r="S40" s="8">
        <v>0</v>
      </c>
      <c r="T40" s="7">
        <v>0</v>
      </c>
      <c r="U40" s="7">
        <v>0</v>
      </c>
      <c r="V40" s="9">
        <v>0</v>
      </c>
      <c r="W40" s="9">
        <v>0</v>
      </c>
    </row>
    <row r="41" spans="1:23">
      <c r="A41" s="4" t="str">
        <f t="shared" si="1"/>
        <v>12月</v>
      </c>
      <c r="B41" s="5">
        <v>45269</v>
      </c>
      <c r="C41" s="6" t="s">
        <v>136</v>
      </c>
      <c r="D41" s="6" t="s">
        <v>137</v>
      </c>
      <c r="E41" s="6" t="s">
        <v>149</v>
      </c>
      <c r="F41" s="6" t="s">
        <v>150</v>
      </c>
      <c r="G41" s="6" t="s">
        <v>91</v>
      </c>
      <c r="H41" s="6" t="s">
        <v>89</v>
      </c>
      <c r="I41" s="7">
        <v>2591</v>
      </c>
      <c r="J41" s="7">
        <v>1</v>
      </c>
      <c r="K41" s="8">
        <v>0.000385951370127364</v>
      </c>
      <c r="L41" s="9">
        <v>1.05</v>
      </c>
      <c r="M41" s="9">
        <v>1.05</v>
      </c>
      <c r="N41" s="9">
        <v>0</v>
      </c>
      <c r="O41" s="3"/>
      <c r="P41" s="10">
        <v>0</v>
      </c>
      <c r="Q41" s="7">
        <v>0</v>
      </c>
      <c r="R41" s="7">
        <v>0</v>
      </c>
      <c r="S41" s="8">
        <v>0</v>
      </c>
      <c r="T41" s="7">
        <v>0</v>
      </c>
      <c r="U41" s="7">
        <v>0</v>
      </c>
      <c r="V41" s="9">
        <v>0</v>
      </c>
      <c r="W41" s="9">
        <v>0</v>
      </c>
    </row>
    <row r="42" spans="1:23">
      <c r="A42" s="4" t="str">
        <f t="shared" si="1"/>
        <v>12月</v>
      </c>
      <c r="B42" s="5">
        <v>45270</v>
      </c>
      <c r="C42" s="6" t="s">
        <v>136</v>
      </c>
      <c r="D42" s="6" t="s">
        <v>137</v>
      </c>
      <c r="E42" s="6" t="s">
        <v>149</v>
      </c>
      <c r="F42" s="6" t="s">
        <v>150</v>
      </c>
      <c r="G42" s="6" t="s">
        <v>91</v>
      </c>
      <c r="H42" s="6" t="s">
        <v>89</v>
      </c>
      <c r="I42" s="7">
        <v>3759</v>
      </c>
      <c r="J42" s="7">
        <v>9</v>
      </c>
      <c r="K42" s="8">
        <v>0.00239425379090184</v>
      </c>
      <c r="L42" s="9">
        <v>1.22444444444444</v>
      </c>
      <c r="M42" s="9">
        <v>11.02</v>
      </c>
      <c r="N42" s="9">
        <v>59.98</v>
      </c>
      <c r="O42" s="8">
        <v>0.183727909303101</v>
      </c>
      <c r="P42" s="10">
        <v>5.44283121597096</v>
      </c>
      <c r="Q42" s="7">
        <v>2</v>
      </c>
      <c r="R42" s="7">
        <v>2</v>
      </c>
      <c r="S42" s="8">
        <v>0.222222222222222</v>
      </c>
      <c r="T42" s="7">
        <v>2</v>
      </c>
      <c r="U42" s="7">
        <v>0</v>
      </c>
      <c r="V42" s="9">
        <v>59.98</v>
      </c>
      <c r="W42" s="9">
        <v>0</v>
      </c>
    </row>
    <row r="43" spans="1:23">
      <c r="A43" s="4" t="str">
        <f t="shared" si="1"/>
        <v>12月</v>
      </c>
      <c r="B43" s="5">
        <v>45271</v>
      </c>
      <c r="C43" s="6" t="s">
        <v>136</v>
      </c>
      <c r="D43" s="6" t="s">
        <v>137</v>
      </c>
      <c r="E43" s="6" t="s">
        <v>149</v>
      </c>
      <c r="F43" s="6" t="s">
        <v>150</v>
      </c>
      <c r="G43" s="6" t="s">
        <v>91</v>
      </c>
      <c r="H43" s="6" t="s">
        <v>89</v>
      </c>
      <c r="I43" s="7">
        <v>9263</v>
      </c>
      <c r="J43" s="7">
        <v>6</v>
      </c>
      <c r="K43" s="8">
        <v>0.000647738313721257</v>
      </c>
      <c r="L43" s="9">
        <v>0.948333333333333</v>
      </c>
      <c r="M43" s="9">
        <v>5.69</v>
      </c>
      <c r="N43" s="9">
        <v>0</v>
      </c>
      <c r="O43" s="3"/>
      <c r="P43" s="10">
        <v>0</v>
      </c>
      <c r="Q43" s="7">
        <v>0</v>
      </c>
      <c r="R43" s="7">
        <v>0</v>
      </c>
      <c r="S43" s="8">
        <v>0</v>
      </c>
      <c r="T43" s="7">
        <v>0</v>
      </c>
      <c r="U43" s="7">
        <v>0</v>
      </c>
      <c r="V43" s="9">
        <v>0</v>
      </c>
      <c r="W43" s="9">
        <v>0</v>
      </c>
    </row>
    <row r="44" spans="1:23">
      <c r="A44" s="4" t="str">
        <f t="shared" si="1"/>
        <v>12月</v>
      </c>
      <c r="B44" s="5">
        <v>45272</v>
      </c>
      <c r="C44" s="6" t="s">
        <v>136</v>
      </c>
      <c r="D44" s="6" t="s">
        <v>137</v>
      </c>
      <c r="E44" s="6" t="s">
        <v>149</v>
      </c>
      <c r="F44" s="6" t="s">
        <v>150</v>
      </c>
      <c r="G44" s="6" t="s">
        <v>91</v>
      </c>
      <c r="H44" s="6" t="s">
        <v>89</v>
      </c>
      <c r="I44" s="7">
        <v>293</v>
      </c>
      <c r="J44" s="7">
        <v>0</v>
      </c>
      <c r="K44" s="8">
        <v>0</v>
      </c>
      <c r="L44" s="3"/>
      <c r="M44" s="9">
        <v>0</v>
      </c>
      <c r="N44" s="9">
        <v>0</v>
      </c>
      <c r="O44" s="3"/>
      <c r="P44" s="3"/>
      <c r="Q44" s="7">
        <v>0</v>
      </c>
      <c r="R44" s="7">
        <v>0</v>
      </c>
      <c r="S44" s="3"/>
      <c r="T44" s="7">
        <v>0</v>
      </c>
      <c r="U44" s="7">
        <v>0</v>
      </c>
      <c r="V44" s="9">
        <v>0</v>
      </c>
      <c r="W44" s="9">
        <v>0</v>
      </c>
    </row>
    <row r="45" spans="1:23">
      <c r="A45" s="4" t="str">
        <f t="shared" si="1"/>
        <v>12月</v>
      </c>
      <c r="B45" s="5">
        <v>45273</v>
      </c>
      <c r="C45" s="6" t="s">
        <v>136</v>
      </c>
      <c r="D45" s="6" t="s">
        <v>137</v>
      </c>
      <c r="E45" s="6" t="s">
        <v>149</v>
      </c>
      <c r="F45" s="6" t="s">
        <v>150</v>
      </c>
      <c r="G45" s="6" t="s">
        <v>91</v>
      </c>
      <c r="H45" s="6" t="s">
        <v>89</v>
      </c>
      <c r="I45" s="7">
        <v>8</v>
      </c>
      <c r="J45" s="7">
        <v>0</v>
      </c>
      <c r="K45" s="8">
        <v>0</v>
      </c>
      <c r="L45" s="3"/>
      <c r="M45" s="9">
        <v>0</v>
      </c>
      <c r="N45" s="9">
        <v>0</v>
      </c>
      <c r="O45" s="3"/>
      <c r="P45" s="3"/>
      <c r="Q45" s="7">
        <v>0</v>
      </c>
      <c r="R45" s="7">
        <v>0</v>
      </c>
      <c r="S45" s="3"/>
      <c r="T45" s="7">
        <v>0</v>
      </c>
      <c r="U45" s="7">
        <v>0</v>
      </c>
      <c r="V45" s="9">
        <v>0</v>
      </c>
      <c r="W45" s="9">
        <v>0</v>
      </c>
    </row>
    <row r="46" spans="1:23">
      <c r="A46" s="4" t="str">
        <f t="shared" si="1"/>
        <v>12月</v>
      </c>
      <c r="B46" s="5">
        <v>45270</v>
      </c>
      <c r="C46" s="6" t="s">
        <v>136</v>
      </c>
      <c r="D46" s="6" t="s">
        <v>137</v>
      </c>
      <c r="E46" s="6" t="s">
        <v>154</v>
      </c>
      <c r="F46" s="6" t="s">
        <v>155</v>
      </c>
      <c r="G46" s="6" t="s">
        <v>95</v>
      </c>
      <c r="H46" s="6" t="s">
        <v>93</v>
      </c>
      <c r="I46" s="7">
        <v>7</v>
      </c>
      <c r="J46" s="7">
        <v>0</v>
      </c>
      <c r="K46" s="8">
        <v>0</v>
      </c>
      <c r="L46" s="3"/>
      <c r="M46" s="9">
        <v>0</v>
      </c>
      <c r="N46" s="9">
        <v>0</v>
      </c>
      <c r="O46" s="3"/>
      <c r="P46" s="3"/>
      <c r="Q46" s="7">
        <v>0</v>
      </c>
      <c r="R46" s="7">
        <v>0</v>
      </c>
      <c r="S46" s="3"/>
      <c r="T46" s="7">
        <v>0</v>
      </c>
      <c r="U46" s="7">
        <v>0</v>
      </c>
      <c r="V46" s="9">
        <v>0</v>
      </c>
      <c r="W46" s="9">
        <v>0</v>
      </c>
    </row>
    <row r="47" spans="1:23">
      <c r="A47" s="4" t="str">
        <f t="shared" si="1"/>
        <v>12月</v>
      </c>
      <c r="B47" s="5">
        <v>45271</v>
      </c>
      <c r="C47" s="6" t="s">
        <v>136</v>
      </c>
      <c r="D47" s="6" t="s">
        <v>137</v>
      </c>
      <c r="E47" s="6" t="s">
        <v>154</v>
      </c>
      <c r="F47" s="6" t="s">
        <v>155</v>
      </c>
      <c r="G47" s="6" t="s">
        <v>95</v>
      </c>
      <c r="H47" s="6" t="s">
        <v>93</v>
      </c>
      <c r="I47" s="7">
        <v>3297</v>
      </c>
      <c r="J47" s="7">
        <v>6</v>
      </c>
      <c r="K47" s="8">
        <v>0.00181983621474067</v>
      </c>
      <c r="L47" s="9">
        <v>0.741666666666667</v>
      </c>
      <c r="M47" s="9">
        <v>4.45</v>
      </c>
      <c r="N47" s="9">
        <v>0</v>
      </c>
      <c r="O47" s="3"/>
      <c r="P47" s="10">
        <v>0</v>
      </c>
      <c r="Q47" s="7">
        <v>0</v>
      </c>
      <c r="R47" s="7">
        <v>0</v>
      </c>
      <c r="S47" s="8">
        <v>0</v>
      </c>
      <c r="T47" s="7">
        <v>0</v>
      </c>
      <c r="U47" s="7">
        <v>0</v>
      </c>
      <c r="V47" s="9">
        <v>0</v>
      </c>
      <c r="W47" s="9">
        <v>0</v>
      </c>
    </row>
    <row r="48" spans="1:23">
      <c r="A48" s="4" t="str">
        <f t="shared" si="1"/>
        <v>12月</v>
      </c>
      <c r="B48" s="5">
        <v>45272</v>
      </c>
      <c r="C48" s="6" t="s">
        <v>136</v>
      </c>
      <c r="D48" s="6" t="s">
        <v>137</v>
      </c>
      <c r="E48" s="6" t="s">
        <v>154</v>
      </c>
      <c r="F48" s="6" t="s">
        <v>155</v>
      </c>
      <c r="G48" s="6" t="s">
        <v>95</v>
      </c>
      <c r="H48" s="6" t="s">
        <v>93</v>
      </c>
      <c r="I48" s="7">
        <v>2992</v>
      </c>
      <c r="J48" s="7">
        <v>11</v>
      </c>
      <c r="K48" s="8">
        <v>0.00367647058823529</v>
      </c>
      <c r="L48" s="9">
        <v>0.846363636363636</v>
      </c>
      <c r="M48" s="9">
        <v>9.31</v>
      </c>
      <c r="N48" s="9">
        <v>0</v>
      </c>
      <c r="O48" s="3"/>
      <c r="P48" s="10">
        <v>0</v>
      </c>
      <c r="Q48" s="7">
        <v>0</v>
      </c>
      <c r="R48" s="7">
        <v>0</v>
      </c>
      <c r="S48" s="8">
        <v>0</v>
      </c>
      <c r="T48" s="7">
        <v>0</v>
      </c>
      <c r="U48" s="7">
        <v>0</v>
      </c>
      <c r="V48" s="9">
        <v>0</v>
      </c>
      <c r="W48" s="9">
        <v>0</v>
      </c>
    </row>
    <row r="49" spans="1:23">
      <c r="A49" s="4" t="str">
        <f t="shared" si="1"/>
        <v>12月</v>
      </c>
      <c r="B49" s="5">
        <v>45270</v>
      </c>
      <c r="C49" s="6" t="s">
        <v>136</v>
      </c>
      <c r="D49" s="6" t="s">
        <v>137</v>
      </c>
      <c r="E49" s="6" t="s">
        <v>154</v>
      </c>
      <c r="F49" s="6" t="s">
        <v>155</v>
      </c>
      <c r="G49" s="6" t="s">
        <v>91</v>
      </c>
      <c r="H49" s="6" t="s">
        <v>89</v>
      </c>
      <c r="I49" s="7">
        <v>6</v>
      </c>
      <c r="J49" s="7">
        <v>0</v>
      </c>
      <c r="K49" s="8">
        <v>0</v>
      </c>
      <c r="L49" s="3"/>
      <c r="M49" s="9">
        <v>0</v>
      </c>
      <c r="N49" s="9">
        <v>0</v>
      </c>
      <c r="O49" s="3"/>
      <c r="P49" s="3"/>
      <c r="Q49" s="7">
        <v>0</v>
      </c>
      <c r="R49" s="7">
        <v>0</v>
      </c>
      <c r="S49" s="3"/>
      <c r="T49" s="7">
        <v>0</v>
      </c>
      <c r="U49" s="7">
        <v>0</v>
      </c>
      <c r="V49" s="9">
        <v>0</v>
      </c>
      <c r="W49" s="9">
        <v>0</v>
      </c>
    </row>
    <row r="50" spans="1:23">
      <c r="A50" s="4" t="str">
        <f t="shared" si="1"/>
        <v>12月</v>
      </c>
      <c r="B50" s="5">
        <v>45271</v>
      </c>
      <c r="C50" s="6" t="s">
        <v>136</v>
      </c>
      <c r="D50" s="6" t="s">
        <v>137</v>
      </c>
      <c r="E50" s="6" t="s">
        <v>154</v>
      </c>
      <c r="F50" s="6" t="s">
        <v>155</v>
      </c>
      <c r="G50" s="6" t="s">
        <v>91</v>
      </c>
      <c r="H50" s="6" t="s">
        <v>89</v>
      </c>
      <c r="I50" s="7">
        <v>679</v>
      </c>
      <c r="J50" s="7">
        <v>3</v>
      </c>
      <c r="K50" s="8">
        <v>0.00441826215022091</v>
      </c>
      <c r="L50" s="9">
        <v>0.723333333333333</v>
      </c>
      <c r="M50" s="9">
        <v>2.17</v>
      </c>
      <c r="N50" s="9">
        <v>29.99</v>
      </c>
      <c r="O50" s="8">
        <v>0.0723574524841614</v>
      </c>
      <c r="P50" s="10">
        <v>13.8202764976959</v>
      </c>
      <c r="Q50" s="7">
        <v>1</v>
      </c>
      <c r="R50" s="7">
        <v>1</v>
      </c>
      <c r="S50" s="8">
        <v>0.333333333333333</v>
      </c>
      <c r="T50" s="7">
        <v>1</v>
      </c>
      <c r="U50" s="7">
        <v>0</v>
      </c>
      <c r="V50" s="9">
        <v>29.99</v>
      </c>
      <c r="W50" s="9">
        <v>0</v>
      </c>
    </row>
    <row r="51" spans="1:23">
      <c r="A51" s="4" t="str">
        <f t="shared" si="1"/>
        <v>12月</v>
      </c>
      <c r="B51" s="5">
        <v>45272</v>
      </c>
      <c r="C51" s="6" t="s">
        <v>136</v>
      </c>
      <c r="D51" s="6" t="s">
        <v>137</v>
      </c>
      <c r="E51" s="6" t="s">
        <v>154</v>
      </c>
      <c r="F51" s="6" t="s">
        <v>155</v>
      </c>
      <c r="G51" s="6" t="s">
        <v>91</v>
      </c>
      <c r="H51" s="6" t="s">
        <v>89</v>
      </c>
      <c r="I51" s="7">
        <v>1238</v>
      </c>
      <c r="J51" s="7">
        <v>2</v>
      </c>
      <c r="K51" s="8">
        <v>0.00161550888529887</v>
      </c>
      <c r="L51" s="9">
        <v>0.895</v>
      </c>
      <c r="M51" s="9">
        <v>1.79</v>
      </c>
      <c r="N51" s="9">
        <v>0</v>
      </c>
      <c r="O51" s="3"/>
      <c r="P51" s="10">
        <v>0</v>
      </c>
      <c r="Q51" s="7">
        <v>0</v>
      </c>
      <c r="R51" s="7">
        <v>0</v>
      </c>
      <c r="S51" s="8">
        <v>0</v>
      </c>
      <c r="T51" s="7">
        <v>0</v>
      </c>
      <c r="U51" s="7">
        <v>0</v>
      </c>
      <c r="V51" s="9">
        <v>0</v>
      </c>
      <c r="W51" s="9">
        <v>0</v>
      </c>
    </row>
    <row r="52" spans="1:23">
      <c r="A52" s="4" t="str">
        <f t="shared" si="1"/>
        <v>12月</v>
      </c>
      <c r="B52" s="5">
        <v>45273</v>
      </c>
      <c r="C52" s="6" t="s">
        <v>136</v>
      </c>
      <c r="D52" s="6" t="s">
        <v>137</v>
      </c>
      <c r="E52" s="6" t="s">
        <v>154</v>
      </c>
      <c r="F52" s="6" t="s">
        <v>155</v>
      </c>
      <c r="G52" s="6" t="s">
        <v>91</v>
      </c>
      <c r="H52" s="6" t="s">
        <v>89</v>
      </c>
      <c r="I52" s="7">
        <v>1495</v>
      </c>
      <c r="J52" s="7">
        <v>5</v>
      </c>
      <c r="K52" s="8">
        <v>0.00334448160535117</v>
      </c>
      <c r="L52" s="9">
        <v>0.958</v>
      </c>
      <c r="M52" s="9">
        <v>4.79</v>
      </c>
      <c r="N52" s="9">
        <v>29.99</v>
      </c>
      <c r="O52" s="8">
        <v>0.159719906635545</v>
      </c>
      <c r="P52" s="10">
        <v>6.26096033402923</v>
      </c>
      <c r="Q52" s="7">
        <v>1</v>
      </c>
      <c r="R52" s="7">
        <v>1</v>
      </c>
      <c r="S52" s="8">
        <v>0.2</v>
      </c>
      <c r="T52" s="7">
        <v>1</v>
      </c>
      <c r="U52" s="7">
        <v>0</v>
      </c>
      <c r="V52" s="9">
        <v>29.99</v>
      </c>
      <c r="W52" s="9">
        <v>0</v>
      </c>
    </row>
    <row r="53" spans="1:23">
      <c r="A53" s="4" t="str">
        <f t="shared" si="1"/>
        <v>12月</v>
      </c>
      <c r="B53" s="5">
        <v>45274</v>
      </c>
      <c r="C53" s="6" t="s">
        <v>136</v>
      </c>
      <c r="D53" s="6" t="s">
        <v>137</v>
      </c>
      <c r="E53" s="6" t="s">
        <v>154</v>
      </c>
      <c r="F53" s="6" t="s">
        <v>155</v>
      </c>
      <c r="G53" s="6" t="s">
        <v>91</v>
      </c>
      <c r="H53" s="6" t="s">
        <v>89</v>
      </c>
      <c r="I53" s="7">
        <v>3172</v>
      </c>
      <c r="J53" s="7">
        <v>6</v>
      </c>
      <c r="K53" s="8">
        <v>0.00189155107187894</v>
      </c>
      <c r="L53" s="9">
        <v>1.23166666666667</v>
      </c>
      <c r="M53" s="9">
        <v>7.39</v>
      </c>
      <c r="N53" s="9">
        <v>0</v>
      </c>
      <c r="O53" s="3"/>
      <c r="P53" s="10">
        <v>0</v>
      </c>
      <c r="Q53" s="7">
        <v>0</v>
      </c>
      <c r="R53" s="7">
        <v>0</v>
      </c>
      <c r="S53" s="8">
        <v>0</v>
      </c>
      <c r="T53" s="7">
        <v>0</v>
      </c>
      <c r="U53" s="7">
        <v>0</v>
      </c>
      <c r="V53" s="9">
        <v>0</v>
      </c>
      <c r="W53" s="9">
        <v>0</v>
      </c>
    </row>
    <row r="54" spans="1:23">
      <c r="A54" s="4" t="str">
        <f t="shared" si="1"/>
        <v>12月</v>
      </c>
      <c r="B54" s="5">
        <v>45270</v>
      </c>
      <c r="C54" s="6" t="s">
        <v>136</v>
      </c>
      <c r="D54" s="6" t="s">
        <v>137</v>
      </c>
      <c r="E54" s="6" t="s">
        <v>154</v>
      </c>
      <c r="F54" s="6" t="s">
        <v>155</v>
      </c>
      <c r="G54" s="6" t="s">
        <v>99</v>
      </c>
      <c r="H54" s="6" t="s">
        <v>97</v>
      </c>
      <c r="I54" s="7">
        <v>0</v>
      </c>
      <c r="J54" s="7">
        <v>0</v>
      </c>
      <c r="K54" s="3"/>
      <c r="L54" s="3"/>
      <c r="M54" s="9">
        <v>0</v>
      </c>
      <c r="N54" s="9">
        <v>0</v>
      </c>
      <c r="O54" s="3"/>
      <c r="P54" s="3"/>
      <c r="Q54" s="7">
        <v>0</v>
      </c>
      <c r="R54" s="7">
        <v>0</v>
      </c>
      <c r="S54" s="3"/>
      <c r="T54" s="7">
        <v>0</v>
      </c>
      <c r="U54" s="7">
        <v>0</v>
      </c>
      <c r="V54" s="9">
        <v>0</v>
      </c>
      <c r="W54" s="9">
        <v>0</v>
      </c>
    </row>
    <row r="55" spans="1:23">
      <c r="A55" s="4" t="str">
        <f t="shared" si="1"/>
        <v>12月</v>
      </c>
      <c r="B55" s="5">
        <v>45271</v>
      </c>
      <c r="C55" s="6" t="s">
        <v>136</v>
      </c>
      <c r="D55" s="6" t="s">
        <v>137</v>
      </c>
      <c r="E55" s="6" t="s">
        <v>154</v>
      </c>
      <c r="F55" s="6" t="s">
        <v>155</v>
      </c>
      <c r="G55" s="6" t="s">
        <v>99</v>
      </c>
      <c r="H55" s="6" t="s">
        <v>97</v>
      </c>
      <c r="I55" s="7">
        <v>713</v>
      </c>
      <c r="J55" s="7">
        <v>5</v>
      </c>
      <c r="K55" s="8">
        <v>0.00701262272089762</v>
      </c>
      <c r="L55" s="9">
        <v>0.752</v>
      </c>
      <c r="M55" s="9">
        <v>3.76</v>
      </c>
      <c r="N55" s="9">
        <v>0</v>
      </c>
      <c r="O55" s="3"/>
      <c r="P55" s="10">
        <v>0</v>
      </c>
      <c r="Q55" s="7">
        <v>0</v>
      </c>
      <c r="R55" s="7">
        <v>0</v>
      </c>
      <c r="S55" s="8">
        <v>0</v>
      </c>
      <c r="T55" s="7">
        <v>0</v>
      </c>
      <c r="U55" s="7">
        <v>0</v>
      </c>
      <c r="V55" s="9">
        <v>0</v>
      </c>
      <c r="W55" s="9">
        <v>0</v>
      </c>
    </row>
    <row r="56" spans="1:23">
      <c r="A56" s="4" t="str">
        <f t="shared" si="1"/>
        <v>12月</v>
      </c>
      <c r="B56" s="5">
        <v>45272</v>
      </c>
      <c r="C56" s="6" t="s">
        <v>136</v>
      </c>
      <c r="D56" s="6" t="s">
        <v>137</v>
      </c>
      <c r="E56" s="6" t="s">
        <v>154</v>
      </c>
      <c r="F56" s="6" t="s">
        <v>155</v>
      </c>
      <c r="G56" s="6" t="s">
        <v>99</v>
      </c>
      <c r="H56" s="6" t="s">
        <v>97</v>
      </c>
      <c r="I56" s="7">
        <v>1656</v>
      </c>
      <c r="J56" s="7">
        <v>6</v>
      </c>
      <c r="K56" s="8">
        <v>0.0036231884057971</v>
      </c>
      <c r="L56" s="9">
        <v>0.87</v>
      </c>
      <c r="M56" s="9">
        <v>5.22</v>
      </c>
      <c r="N56" s="9">
        <v>0</v>
      </c>
      <c r="O56" s="3"/>
      <c r="P56" s="10">
        <v>0</v>
      </c>
      <c r="Q56" s="7">
        <v>0</v>
      </c>
      <c r="R56" s="7">
        <v>0</v>
      </c>
      <c r="S56" s="8">
        <v>0</v>
      </c>
      <c r="T56" s="7">
        <v>0</v>
      </c>
      <c r="U56" s="7">
        <v>0</v>
      </c>
      <c r="V56" s="9">
        <v>0</v>
      </c>
      <c r="W56" s="9">
        <v>0</v>
      </c>
    </row>
    <row r="57" spans="1:23">
      <c r="A57" s="4" t="str">
        <f t="shared" si="1"/>
        <v>12月</v>
      </c>
      <c r="B57" s="5">
        <v>45273</v>
      </c>
      <c r="C57" s="6" t="s">
        <v>136</v>
      </c>
      <c r="D57" s="6" t="s">
        <v>137</v>
      </c>
      <c r="E57" s="6" t="s">
        <v>154</v>
      </c>
      <c r="F57" s="6" t="s">
        <v>155</v>
      </c>
      <c r="G57" s="6" t="s">
        <v>99</v>
      </c>
      <c r="H57" s="6" t="s">
        <v>97</v>
      </c>
      <c r="I57" s="7">
        <v>1717</v>
      </c>
      <c r="J57" s="7">
        <v>5</v>
      </c>
      <c r="K57" s="8">
        <v>0.0029120559114735</v>
      </c>
      <c r="L57" s="9">
        <v>0.8</v>
      </c>
      <c r="M57" s="9">
        <v>4</v>
      </c>
      <c r="N57" s="9">
        <v>0</v>
      </c>
      <c r="O57" s="3"/>
      <c r="P57" s="10">
        <v>0</v>
      </c>
      <c r="Q57" s="7">
        <v>0</v>
      </c>
      <c r="R57" s="7">
        <v>0</v>
      </c>
      <c r="S57" s="8">
        <v>0</v>
      </c>
      <c r="T57" s="7">
        <v>0</v>
      </c>
      <c r="U57" s="7">
        <v>0</v>
      </c>
      <c r="V57" s="9">
        <v>0</v>
      </c>
      <c r="W57" s="9">
        <v>0</v>
      </c>
    </row>
    <row r="58" spans="1:23">
      <c r="A58" s="4" t="str">
        <f t="shared" si="1"/>
        <v>12月</v>
      </c>
      <c r="B58" s="5">
        <v>45274</v>
      </c>
      <c r="C58" s="6" t="s">
        <v>136</v>
      </c>
      <c r="D58" s="6" t="s">
        <v>137</v>
      </c>
      <c r="E58" s="6" t="s">
        <v>154</v>
      </c>
      <c r="F58" s="6" t="s">
        <v>155</v>
      </c>
      <c r="G58" s="6" t="s">
        <v>99</v>
      </c>
      <c r="H58" s="6" t="s">
        <v>97</v>
      </c>
      <c r="I58" s="7">
        <v>43</v>
      </c>
      <c r="J58" s="7">
        <v>0</v>
      </c>
      <c r="K58" s="8">
        <v>0</v>
      </c>
      <c r="L58" s="3"/>
      <c r="M58" s="9">
        <v>0</v>
      </c>
      <c r="N58" s="9">
        <v>0</v>
      </c>
      <c r="O58" s="3"/>
      <c r="P58" s="3"/>
      <c r="Q58" s="7">
        <v>0</v>
      </c>
      <c r="R58" s="7">
        <v>0</v>
      </c>
      <c r="S58" s="3"/>
      <c r="T58" s="7">
        <v>0</v>
      </c>
      <c r="U58" s="7">
        <v>0</v>
      </c>
      <c r="V58" s="9">
        <v>0</v>
      </c>
      <c r="W58" s="9">
        <v>0</v>
      </c>
    </row>
    <row r="59" spans="1:23">
      <c r="A59" s="4" t="str">
        <f t="shared" si="1"/>
        <v>12月</v>
      </c>
      <c r="B59" s="5">
        <v>45270</v>
      </c>
      <c r="C59" s="6" t="s">
        <v>136</v>
      </c>
      <c r="D59" s="6" t="s">
        <v>137</v>
      </c>
      <c r="E59" s="6" t="s">
        <v>156</v>
      </c>
      <c r="F59" s="6" t="s">
        <v>157</v>
      </c>
      <c r="G59" s="6" t="s">
        <v>91</v>
      </c>
      <c r="H59" s="6" t="s">
        <v>89</v>
      </c>
      <c r="I59" s="7">
        <v>10</v>
      </c>
      <c r="J59" s="7">
        <v>0</v>
      </c>
      <c r="K59" s="8">
        <v>0</v>
      </c>
      <c r="L59" s="3"/>
      <c r="M59" s="9">
        <v>0</v>
      </c>
      <c r="N59" s="9">
        <v>0</v>
      </c>
      <c r="O59" s="3"/>
      <c r="P59" s="3"/>
      <c r="Q59" s="7">
        <v>0</v>
      </c>
      <c r="R59" s="7">
        <v>0</v>
      </c>
      <c r="S59" s="3"/>
      <c r="T59" s="7">
        <v>0</v>
      </c>
      <c r="U59" s="7">
        <v>0</v>
      </c>
      <c r="V59" s="9">
        <v>0</v>
      </c>
      <c r="W59" s="9">
        <v>0</v>
      </c>
    </row>
    <row r="60" spans="1:23">
      <c r="A60" s="4" t="str">
        <f t="shared" si="1"/>
        <v>12月</v>
      </c>
      <c r="B60" s="5">
        <v>45271</v>
      </c>
      <c r="C60" s="6" t="s">
        <v>136</v>
      </c>
      <c r="D60" s="6" t="s">
        <v>137</v>
      </c>
      <c r="E60" s="6" t="s">
        <v>156</v>
      </c>
      <c r="F60" s="6" t="s">
        <v>157</v>
      </c>
      <c r="G60" s="6" t="s">
        <v>91</v>
      </c>
      <c r="H60" s="6" t="s">
        <v>89</v>
      </c>
      <c r="I60" s="7">
        <v>4398</v>
      </c>
      <c r="J60" s="7">
        <v>11</v>
      </c>
      <c r="K60" s="8">
        <v>0.00250113688040018</v>
      </c>
      <c r="L60" s="9">
        <v>1.00727272727273</v>
      </c>
      <c r="M60" s="9">
        <v>11.08</v>
      </c>
      <c r="N60" s="9">
        <v>29.99</v>
      </c>
      <c r="O60" s="8">
        <v>0.369456485495165</v>
      </c>
      <c r="P60" s="10">
        <v>2.70667870036101</v>
      </c>
      <c r="Q60" s="7">
        <v>1</v>
      </c>
      <c r="R60" s="7">
        <v>1</v>
      </c>
      <c r="S60" s="8">
        <v>0.0909090909090909</v>
      </c>
      <c r="T60" s="7">
        <v>1</v>
      </c>
      <c r="U60" s="7">
        <v>0</v>
      </c>
      <c r="V60" s="9">
        <v>29.99</v>
      </c>
      <c r="W60" s="9">
        <v>0</v>
      </c>
    </row>
    <row r="61" spans="1:23">
      <c r="A61" s="4" t="str">
        <f t="shared" si="1"/>
        <v>12月</v>
      </c>
      <c r="B61" s="5">
        <v>45272</v>
      </c>
      <c r="C61" s="6" t="s">
        <v>136</v>
      </c>
      <c r="D61" s="6" t="s">
        <v>137</v>
      </c>
      <c r="E61" s="6" t="s">
        <v>156</v>
      </c>
      <c r="F61" s="6" t="s">
        <v>157</v>
      </c>
      <c r="G61" s="6" t="s">
        <v>91</v>
      </c>
      <c r="H61" s="6" t="s">
        <v>89</v>
      </c>
      <c r="I61" s="7">
        <v>6217</v>
      </c>
      <c r="J61" s="7">
        <v>13</v>
      </c>
      <c r="K61" s="8">
        <v>0.00209104069486891</v>
      </c>
      <c r="L61" s="9">
        <v>1.20230769230769</v>
      </c>
      <c r="M61" s="9">
        <v>15.63</v>
      </c>
      <c r="N61" s="9">
        <v>59.98</v>
      </c>
      <c r="O61" s="8">
        <v>0.260586862287429</v>
      </c>
      <c r="P61" s="10">
        <v>3.83749200255918</v>
      </c>
      <c r="Q61" s="7">
        <v>2</v>
      </c>
      <c r="R61" s="7">
        <v>2</v>
      </c>
      <c r="S61" s="8">
        <v>0.153846153846154</v>
      </c>
      <c r="T61" s="7">
        <v>2</v>
      </c>
      <c r="U61" s="7">
        <v>0</v>
      </c>
      <c r="V61" s="9">
        <v>59.98</v>
      </c>
      <c r="W61" s="9">
        <v>0</v>
      </c>
    </row>
    <row r="62" spans="1:23">
      <c r="A62" s="4" t="str">
        <f t="shared" si="1"/>
        <v>12月</v>
      </c>
      <c r="B62" s="5">
        <v>45273</v>
      </c>
      <c r="C62" s="6" t="s">
        <v>136</v>
      </c>
      <c r="D62" s="6" t="s">
        <v>137</v>
      </c>
      <c r="E62" s="6" t="s">
        <v>156</v>
      </c>
      <c r="F62" s="6" t="s">
        <v>157</v>
      </c>
      <c r="G62" s="6" t="s">
        <v>91</v>
      </c>
      <c r="H62" s="6" t="s">
        <v>89</v>
      </c>
      <c r="I62" s="7">
        <v>5210</v>
      </c>
      <c r="J62" s="7">
        <v>16</v>
      </c>
      <c r="K62" s="8">
        <v>0.00307101727447217</v>
      </c>
      <c r="L62" s="9">
        <v>1.2125</v>
      </c>
      <c r="M62" s="9">
        <v>19.4</v>
      </c>
      <c r="N62" s="9">
        <v>0</v>
      </c>
      <c r="O62" s="3"/>
      <c r="P62" s="10">
        <v>0</v>
      </c>
      <c r="Q62" s="7">
        <v>0</v>
      </c>
      <c r="R62" s="7">
        <v>0</v>
      </c>
      <c r="S62" s="8">
        <v>0</v>
      </c>
      <c r="T62" s="7">
        <v>0</v>
      </c>
      <c r="U62" s="7">
        <v>0</v>
      </c>
      <c r="V62" s="9">
        <v>0</v>
      </c>
      <c r="W62" s="9">
        <v>0</v>
      </c>
    </row>
    <row r="63" spans="1:23">
      <c r="A63" s="4" t="str">
        <f t="shared" si="1"/>
        <v>12月</v>
      </c>
      <c r="B63" s="5">
        <v>45274</v>
      </c>
      <c r="C63" s="6" t="s">
        <v>136</v>
      </c>
      <c r="D63" s="6" t="s">
        <v>137</v>
      </c>
      <c r="E63" s="6" t="s">
        <v>156</v>
      </c>
      <c r="F63" s="6" t="s">
        <v>157</v>
      </c>
      <c r="G63" s="6" t="s">
        <v>91</v>
      </c>
      <c r="H63" s="6" t="s">
        <v>89</v>
      </c>
      <c r="I63" s="7">
        <v>2759</v>
      </c>
      <c r="J63" s="7">
        <v>10</v>
      </c>
      <c r="K63" s="8">
        <v>0.00362450163102573</v>
      </c>
      <c r="L63" s="9">
        <v>1.121</v>
      </c>
      <c r="M63" s="9">
        <v>11.21</v>
      </c>
      <c r="N63" s="9">
        <v>0</v>
      </c>
      <c r="O63" s="3"/>
      <c r="P63" s="10">
        <v>0</v>
      </c>
      <c r="Q63" s="7">
        <v>0</v>
      </c>
      <c r="R63" s="7">
        <v>0</v>
      </c>
      <c r="S63" s="8">
        <v>0</v>
      </c>
      <c r="T63" s="7">
        <v>0</v>
      </c>
      <c r="U63" s="7">
        <v>0</v>
      </c>
      <c r="V63" s="9">
        <v>0</v>
      </c>
      <c r="W63" s="9">
        <v>0</v>
      </c>
    </row>
    <row r="64" spans="1:23">
      <c r="A64" s="4" t="str">
        <f t="shared" si="1"/>
        <v>12月</v>
      </c>
      <c r="B64" s="5">
        <v>45271</v>
      </c>
      <c r="C64" s="6" t="s">
        <v>136</v>
      </c>
      <c r="D64" s="6" t="s">
        <v>137</v>
      </c>
      <c r="E64" s="6" t="s">
        <v>158</v>
      </c>
      <c r="F64" s="6" t="s">
        <v>159</v>
      </c>
      <c r="G64" s="6" t="s">
        <v>95</v>
      </c>
      <c r="H64" s="6" t="s">
        <v>93</v>
      </c>
      <c r="I64" s="7">
        <v>1025</v>
      </c>
      <c r="J64" s="7">
        <v>6</v>
      </c>
      <c r="K64" s="8">
        <v>0.00585365853658537</v>
      </c>
      <c r="L64" s="9">
        <v>0.698333333333333</v>
      </c>
      <c r="M64" s="9">
        <v>4.19</v>
      </c>
      <c r="N64" s="9">
        <v>0</v>
      </c>
      <c r="O64" s="3"/>
      <c r="P64" s="10">
        <v>0</v>
      </c>
      <c r="Q64" s="7">
        <v>0</v>
      </c>
      <c r="R64" s="7">
        <v>0</v>
      </c>
      <c r="S64" s="8">
        <v>0</v>
      </c>
      <c r="T64" s="7">
        <v>0</v>
      </c>
      <c r="U64" s="7">
        <v>0</v>
      </c>
      <c r="V64" s="9">
        <v>0</v>
      </c>
      <c r="W64" s="9">
        <v>0</v>
      </c>
    </row>
    <row r="65" spans="1:23">
      <c r="A65" s="4" t="str">
        <f t="shared" si="1"/>
        <v>12月</v>
      </c>
      <c r="B65" s="5">
        <v>45272</v>
      </c>
      <c r="C65" s="6" t="s">
        <v>136</v>
      </c>
      <c r="D65" s="6" t="s">
        <v>137</v>
      </c>
      <c r="E65" s="6" t="s">
        <v>158</v>
      </c>
      <c r="F65" s="6" t="s">
        <v>159</v>
      </c>
      <c r="G65" s="6" t="s">
        <v>95</v>
      </c>
      <c r="H65" s="6" t="s">
        <v>93</v>
      </c>
      <c r="I65" s="7">
        <v>1806</v>
      </c>
      <c r="J65" s="7">
        <v>11</v>
      </c>
      <c r="K65" s="8">
        <v>0.00609080841638981</v>
      </c>
      <c r="L65" s="9">
        <v>0.977272727272727</v>
      </c>
      <c r="M65" s="9">
        <v>10.75</v>
      </c>
      <c r="N65" s="9">
        <v>0</v>
      </c>
      <c r="O65" s="3"/>
      <c r="P65" s="10">
        <v>0</v>
      </c>
      <c r="Q65" s="7">
        <v>0</v>
      </c>
      <c r="R65" s="7">
        <v>0</v>
      </c>
      <c r="S65" s="8">
        <v>0</v>
      </c>
      <c r="T65" s="7">
        <v>0</v>
      </c>
      <c r="U65" s="7">
        <v>0</v>
      </c>
      <c r="V65" s="9">
        <v>0</v>
      </c>
      <c r="W65" s="9">
        <v>0</v>
      </c>
    </row>
    <row r="66" spans="1:23">
      <c r="A66" s="4" t="str">
        <f t="shared" si="1"/>
        <v>12月</v>
      </c>
      <c r="B66" s="5">
        <v>45273</v>
      </c>
      <c r="C66" s="6" t="s">
        <v>136</v>
      </c>
      <c r="D66" s="6" t="s">
        <v>137</v>
      </c>
      <c r="E66" s="6" t="s">
        <v>158</v>
      </c>
      <c r="F66" s="6" t="s">
        <v>159</v>
      </c>
      <c r="G66" s="6" t="s">
        <v>95</v>
      </c>
      <c r="H66" s="6" t="s">
        <v>93</v>
      </c>
      <c r="I66" s="7">
        <v>416</v>
      </c>
      <c r="J66" s="7">
        <v>10</v>
      </c>
      <c r="K66" s="8">
        <v>0.0240384615384615</v>
      </c>
      <c r="L66" s="9">
        <v>0.955</v>
      </c>
      <c r="M66" s="9">
        <v>9.55</v>
      </c>
      <c r="N66" s="9">
        <v>23.39</v>
      </c>
      <c r="O66" s="8">
        <v>0.408294142796067</v>
      </c>
      <c r="P66" s="10">
        <v>2.44921465968586</v>
      </c>
      <c r="Q66" s="7">
        <v>1</v>
      </c>
      <c r="R66" s="7">
        <v>1</v>
      </c>
      <c r="S66" s="8">
        <v>0.1</v>
      </c>
      <c r="T66" s="7">
        <v>1</v>
      </c>
      <c r="U66" s="7">
        <v>0</v>
      </c>
      <c r="V66" s="9">
        <v>23.39</v>
      </c>
      <c r="W66" s="9">
        <v>0</v>
      </c>
    </row>
    <row r="67" spans="1:23">
      <c r="A67" s="4" t="str">
        <f t="shared" ref="A67:A98" si="2">IF(MONTH(B67)&lt;10,"0"&amp;MONTH(B67)&amp;"月",MONTH(B67)&amp;"月")</f>
        <v>12月</v>
      </c>
      <c r="B67" s="5">
        <v>45274</v>
      </c>
      <c r="C67" s="6" t="s">
        <v>136</v>
      </c>
      <c r="D67" s="6" t="s">
        <v>137</v>
      </c>
      <c r="E67" s="6" t="s">
        <v>158</v>
      </c>
      <c r="F67" s="6" t="s">
        <v>159</v>
      </c>
      <c r="G67" s="6" t="s">
        <v>95</v>
      </c>
      <c r="H67" s="6" t="s">
        <v>93</v>
      </c>
      <c r="I67" s="7">
        <v>1020</v>
      </c>
      <c r="J67" s="7">
        <v>15</v>
      </c>
      <c r="K67" s="8">
        <v>0.0147058823529412</v>
      </c>
      <c r="L67" s="9">
        <v>1.03133333333333</v>
      </c>
      <c r="M67" s="9">
        <v>15.47</v>
      </c>
      <c r="N67" s="9">
        <v>0</v>
      </c>
      <c r="O67" s="3"/>
      <c r="P67" s="10">
        <v>0</v>
      </c>
      <c r="Q67" s="7">
        <v>0</v>
      </c>
      <c r="R67" s="7">
        <v>0</v>
      </c>
      <c r="S67" s="8">
        <v>0</v>
      </c>
      <c r="T67" s="7">
        <v>0</v>
      </c>
      <c r="U67" s="7">
        <v>0</v>
      </c>
      <c r="V67" s="9">
        <v>0</v>
      </c>
      <c r="W67" s="9">
        <v>0</v>
      </c>
    </row>
    <row r="68" spans="1:23">
      <c r="A68" s="4" t="str">
        <f t="shared" si="2"/>
        <v>12月</v>
      </c>
      <c r="B68" s="5">
        <v>45271</v>
      </c>
      <c r="C68" s="6" t="s">
        <v>136</v>
      </c>
      <c r="D68" s="6" t="s">
        <v>137</v>
      </c>
      <c r="E68" s="6" t="s">
        <v>149</v>
      </c>
      <c r="F68" s="6" t="s">
        <v>160</v>
      </c>
      <c r="G68" s="6" t="s">
        <v>91</v>
      </c>
      <c r="H68" s="6" t="s">
        <v>89</v>
      </c>
      <c r="I68" s="7">
        <v>93</v>
      </c>
      <c r="J68" s="7">
        <v>0</v>
      </c>
      <c r="K68" s="8">
        <v>0</v>
      </c>
      <c r="L68" s="3"/>
      <c r="M68" s="9">
        <v>0</v>
      </c>
      <c r="N68" s="9">
        <v>0</v>
      </c>
      <c r="O68" s="3"/>
      <c r="P68" s="3"/>
      <c r="Q68" s="7">
        <v>0</v>
      </c>
      <c r="R68" s="7">
        <v>0</v>
      </c>
      <c r="S68" s="3"/>
      <c r="T68" s="7">
        <v>0</v>
      </c>
      <c r="U68" s="7">
        <v>0</v>
      </c>
      <c r="V68" s="9">
        <v>0</v>
      </c>
      <c r="W68" s="9">
        <v>0</v>
      </c>
    </row>
    <row r="69" spans="1:23">
      <c r="A69" s="4" t="str">
        <f t="shared" si="2"/>
        <v>12月</v>
      </c>
      <c r="B69" s="5">
        <v>45271</v>
      </c>
      <c r="C69" s="6" t="s">
        <v>136</v>
      </c>
      <c r="D69" s="6" t="s">
        <v>137</v>
      </c>
      <c r="E69" s="6" t="s">
        <v>161</v>
      </c>
      <c r="F69" s="6" t="s">
        <v>162</v>
      </c>
      <c r="G69" s="6" t="s">
        <v>99</v>
      </c>
      <c r="H69" s="6" t="s">
        <v>97</v>
      </c>
      <c r="I69" s="7">
        <v>5328</v>
      </c>
      <c r="J69" s="7">
        <v>30</v>
      </c>
      <c r="K69" s="8">
        <v>0.00563063063063063</v>
      </c>
      <c r="L69" s="9">
        <v>0.839</v>
      </c>
      <c r="M69" s="9">
        <v>25.17</v>
      </c>
      <c r="N69" s="9">
        <v>77.96</v>
      </c>
      <c r="O69" s="8">
        <v>0.322857875833761</v>
      </c>
      <c r="P69" s="10">
        <v>3.09733810091379</v>
      </c>
      <c r="Q69" s="7">
        <v>4</v>
      </c>
      <c r="R69" s="7">
        <v>4</v>
      </c>
      <c r="S69" s="8">
        <v>0.133333333333333</v>
      </c>
      <c r="T69" s="7">
        <v>2</v>
      </c>
      <c r="U69" s="7">
        <v>2</v>
      </c>
      <c r="V69" s="9">
        <v>25.98</v>
      </c>
      <c r="W69" s="9">
        <v>51.98</v>
      </c>
    </row>
    <row r="70" spans="1:23">
      <c r="A70" s="4" t="str">
        <f t="shared" si="2"/>
        <v>12月</v>
      </c>
      <c r="B70" s="5">
        <v>45272</v>
      </c>
      <c r="C70" s="6" t="s">
        <v>136</v>
      </c>
      <c r="D70" s="6" t="s">
        <v>137</v>
      </c>
      <c r="E70" s="6" t="s">
        <v>161</v>
      </c>
      <c r="F70" s="6" t="s">
        <v>162</v>
      </c>
      <c r="G70" s="6" t="s">
        <v>99</v>
      </c>
      <c r="H70" s="6" t="s">
        <v>97</v>
      </c>
      <c r="I70" s="7">
        <v>11080</v>
      </c>
      <c r="J70" s="7">
        <v>35</v>
      </c>
      <c r="K70" s="8">
        <v>0.00315884476534296</v>
      </c>
      <c r="L70" s="9">
        <v>0.87</v>
      </c>
      <c r="M70" s="9">
        <v>30.45</v>
      </c>
      <c r="N70" s="9">
        <v>25.98</v>
      </c>
      <c r="O70" s="8">
        <v>1.17205542725173</v>
      </c>
      <c r="P70" s="10">
        <v>0.85320197044335</v>
      </c>
      <c r="Q70" s="7">
        <v>2</v>
      </c>
      <c r="R70" s="7">
        <v>2</v>
      </c>
      <c r="S70" s="8">
        <v>0.0571428571428571</v>
      </c>
      <c r="T70" s="7">
        <v>2</v>
      </c>
      <c r="U70" s="7">
        <v>0</v>
      </c>
      <c r="V70" s="9">
        <v>25.98</v>
      </c>
      <c r="W70" s="9">
        <v>0</v>
      </c>
    </row>
    <row r="71" spans="1:23">
      <c r="A71" s="4" t="str">
        <f t="shared" si="2"/>
        <v>12月</v>
      </c>
      <c r="B71" s="5">
        <v>45273</v>
      </c>
      <c r="C71" s="6" t="s">
        <v>136</v>
      </c>
      <c r="D71" s="6" t="s">
        <v>137</v>
      </c>
      <c r="E71" s="6" t="s">
        <v>161</v>
      </c>
      <c r="F71" s="6" t="s">
        <v>162</v>
      </c>
      <c r="G71" s="6" t="s">
        <v>99</v>
      </c>
      <c r="H71" s="6" t="s">
        <v>97</v>
      </c>
      <c r="I71" s="7">
        <v>5728</v>
      </c>
      <c r="J71" s="7">
        <v>35</v>
      </c>
      <c r="K71" s="8">
        <v>0.00611033519553073</v>
      </c>
      <c r="L71" s="9">
        <v>0.872285714285714</v>
      </c>
      <c r="M71" s="9">
        <v>30.53</v>
      </c>
      <c r="N71" s="9">
        <v>124.72</v>
      </c>
      <c r="O71" s="8">
        <v>0.244788325849904</v>
      </c>
      <c r="P71" s="10">
        <v>4.08516213560432</v>
      </c>
      <c r="Q71" s="7">
        <v>3</v>
      </c>
      <c r="R71" s="7">
        <v>8</v>
      </c>
      <c r="S71" s="8">
        <v>0.0857142857142857</v>
      </c>
      <c r="T71" s="7">
        <v>6</v>
      </c>
      <c r="U71" s="7">
        <v>2</v>
      </c>
      <c r="V71" s="9">
        <v>77.94</v>
      </c>
      <c r="W71" s="9">
        <v>46.78</v>
      </c>
    </row>
    <row r="72" spans="1:23">
      <c r="A72" s="4" t="str">
        <f t="shared" si="2"/>
        <v>12月</v>
      </c>
      <c r="B72" s="5">
        <v>45274</v>
      </c>
      <c r="C72" s="6" t="s">
        <v>136</v>
      </c>
      <c r="D72" s="6" t="s">
        <v>137</v>
      </c>
      <c r="E72" s="6" t="s">
        <v>161</v>
      </c>
      <c r="F72" s="6" t="s">
        <v>162</v>
      </c>
      <c r="G72" s="6" t="s">
        <v>99</v>
      </c>
      <c r="H72" s="6" t="s">
        <v>97</v>
      </c>
      <c r="I72" s="7">
        <v>9711</v>
      </c>
      <c r="J72" s="7">
        <v>26</v>
      </c>
      <c r="K72" s="8">
        <v>0.00267737617135207</v>
      </c>
      <c r="L72" s="9">
        <v>0.981923076923077</v>
      </c>
      <c r="M72" s="9">
        <v>25.53</v>
      </c>
      <c r="N72" s="9">
        <v>0</v>
      </c>
      <c r="O72" s="3"/>
      <c r="P72" s="10">
        <v>0</v>
      </c>
      <c r="Q72" s="7">
        <v>0</v>
      </c>
      <c r="R72" s="7">
        <v>0</v>
      </c>
      <c r="S72" s="8">
        <v>0</v>
      </c>
      <c r="T72" s="7">
        <v>0</v>
      </c>
      <c r="U72" s="7">
        <v>0</v>
      </c>
      <c r="V72" s="9">
        <v>0</v>
      </c>
      <c r="W72" s="9">
        <v>0</v>
      </c>
    </row>
    <row r="73" spans="1:23">
      <c r="A73" s="4" t="str">
        <f t="shared" si="2"/>
        <v>12月</v>
      </c>
      <c r="B73" s="5">
        <v>45271</v>
      </c>
      <c r="C73" s="6" t="s">
        <v>136</v>
      </c>
      <c r="D73" s="6" t="s">
        <v>137</v>
      </c>
      <c r="E73" s="6" t="s">
        <v>163</v>
      </c>
      <c r="F73" s="6" t="s">
        <v>164</v>
      </c>
      <c r="G73" s="6" t="s">
        <v>91</v>
      </c>
      <c r="H73" s="6" t="s">
        <v>89</v>
      </c>
      <c r="I73" s="7">
        <v>820</v>
      </c>
      <c r="J73" s="7">
        <v>0</v>
      </c>
      <c r="K73" s="8">
        <v>0</v>
      </c>
      <c r="L73" s="3"/>
      <c r="M73" s="9">
        <v>0</v>
      </c>
      <c r="N73" s="9">
        <v>0</v>
      </c>
      <c r="O73" s="3"/>
      <c r="P73" s="3"/>
      <c r="Q73" s="7">
        <v>0</v>
      </c>
      <c r="R73" s="7">
        <v>0</v>
      </c>
      <c r="S73" s="3"/>
      <c r="T73" s="7">
        <v>0</v>
      </c>
      <c r="U73" s="7">
        <v>0</v>
      </c>
      <c r="V73" s="9">
        <v>0</v>
      </c>
      <c r="W73" s="9">
        <v>0</v>
      </c>
    </row>
    <row r="74" spans="1:23">
      <c r="A74" s="4" t="str">
        <f t="shared" si="2"/>
        <v>12月</v>
      </c>
      <c r="B74" s="5">
        <v>45272</v>
      </c>
      <c r="C74" s="6" t="s">
        <v>136</v>
      </c>
      <c r="D74" s="6" t="s">
        <v>137</v>
      </c>
      <c r="E74" s="6" t="s">
        <v>163</v>
      </c>
      <c r="F74" s="6" t="s">
        <v>164</v>
      </c>
      <c r="G74" s="6" t="s">
        <v>91</v>
      </c>
      <c r="H74" s="6" t="s">
        <v>89</v>
      </c>
      <c r="I74" s="7">
        <v>15919</v>
      </c>
      <c r="J74" s="7">
        <v>28</v>
      </c>
      <c r="K74" s="8">
        <v>0.00175890445379735</v>
      </c>
      <c r="L74" s="9">
        <v>1.15642857142857</v>
      </c>
      <c r="M74" s="9">
        <v>32.38</v>
      </c>
      <c r="N74" s="9">
        <v>23.39</v>
      </c>
      <c r="O74" s="8">
        <v>1.38435228730227</v>
      </c>
      <c r="P74" s="10">
        <v>0.722359481161211</v>
      </c>
      <c r="Q74" s="7">
        <v>1</v>
      </c>
      <c r="R74" s="7">
        <v>1</v>
      </c>
      <c r="S74" s="8">
        <v>0.0357142857142857</v>
      </c>
      <c r="T74" s="7">
        <v>0</v>
      </c>
      <c r="U74" s="7">
        <v>1</v>
      </c>
      <c r="V74" s="9">
        <v>0</v>
      </c>
      <c r="W74" s="9">
        <v>23.39</v>
      </c>
    </row>
    <row r="75" spans="1:23">
      <c r="A75" s="4" t="str">
        <f t="shared" si="2"/>
        <v>12月</v>
      </c>
      <c r="B75" s="5">
        <v>45273</v>
      </c>
      <c r="C75" s="6" t="s">
        <v>136</v>
      </c>
      <c r="D75" s="6" t="s">
        <v>137</v>
      </c>
      <c r="E75" s="6" t="s">
        <v>163</v>
      </c>
      <c r="F75" s="6" t="s">
        <v>164</v>
      </c>
      <c r="G75" s="6" t="s">
        <v>91</v>
      </c>
      <c r="H75" s="6" t="s">
        <v>89</v>
      </c>
      <c r="I75" s="7">
        <v>7050</v>
      </c>
      <c r="J75" s="7">
        <v>20</v>
      </c>
      <c r="K75" s="8">
        <v>0.00283687943262411</v>
      </c>
      <c r="L75" s="9">
        <v>1.0925</v>
      </c>
      <c r="M75" s="9">
        <v>21.85</v>
      </c>
      <c r="N75" s="9">
        <v>59.98</v>
      </c>
      <c r="O75" s="8">
        <v>0.364288096032011</v>
      </c>
      <c r="P75" s="10">
        <v>2.74508009153318</v>
      </c>
      <c r="Q75" s="7">
        <v>2</v>
      </c>
      <c r="R75" s="7">
        <v>2</v>
      </c>
      <c r="S75" s="8">
        <v>0.1</v>
      </c>
      <c r="T75" s="7">
        <v>2</v>
      </c>
      <c r="U75" s="7">
        <v>0</v>
      </c>
      <c r="V75" s="9">
        <v>59.98</v>
      </c>
      <c r="W75" s="9">
        <v>0</v>
      </c>
    </row>
    <row r="76" spans="1:23">
      <c r="A76" s="4" t="str">
        <f t="shared" si="2"/>
        <v>12月</v>
      </c>
      <c r="B76" s="5">
        <v>45274</v>
      </c>
      <c r="C76" s="6" t="s">
        <v>136</v>
      </c>
      <c r="D76" s="6" t="s">
        <v>137</v>
      </c>
      <c r="E76" s="6" t="s">
        <v>163</v>
      </c>
      <c r="F76" s="6" t="s">
        <v>164</v>
      </c>
      <c r="G76" s="6" t="s">
        <v>91</v>
      </c>
      <c r="H76" s="6" t="s">
        <v>89</v>
      </c>
      <c r="I76" s="7">
        <v>2557</v>
      </c>
      <c r="J76" s="7">
        <v>3</v>
      </c>
      <c r="K76" s="8">
        <v>0.00117324990222917</v>
      </c>
      <c r="L76" s="9">
        <v>1.10333333333333</v>
      </c>
      <c r="M76" s="9">
        <v>3.31</v>
      </c>
      <c r="N76" s="9">
        <v>0</v>
      </c>
      <c r="O76" s="3"/>
      <c r="P76" s="10">
        <v>0</v>
      </c>
      <c r="Q76" s="7">
        <v>0</v>
      </c>
      <c r="R76" s="7">
        <v>0</v>
      </c>
      <c r="S76" s="8">
        <v>0</v>
      </c>
      <c r="T76" s="7">
        <v>0</v>
      </c>
      <c r="U76" s="7">
        <v>0</v>
      </c>
      <c r="V76" s="9">
        <v>0</v>
      </c>
      <c r="W76" s="9">
        <v>0</v>
      </c>
    </row>
    <row r="77" spans="1:23">
      <c r="A77" s="4" t="str">
        <f t="shared" si="2"/>
        <v>12月</v>
      </c>
      <c r="B77" s="5">
        <v>45271</v>
      </c>
      <c r="C77" s="6" t="s">
        <v>136</v>
      </c>
      <c r="D77" s="6" t="s">
        <v>137</v>
      </c>
      <c r="E77" s="6" t="s">
        <v>163</v>
      </c>
      <c r="F77" s="6" t="s">
        <v>165</v>
      </c>
      <c r="G77" s="6" t="s">
        <v>91</v>
      </c>
      <c r="H77" s="6" t="s">
        <v>89</v>
      </c>
      <c r="I77" s="7">
        <v>35</v>
      </c>
      <c r="J77" s="7">
        <v>0</v>
      </c>
      <c r="K77" s="8">
        <v>0</v>
      </c>
      <c r="L77" s="3"/>
      <c r="M77" s="9">
        <v>0</v>
      </c>
      <c r="N77" s="9">
        <v>0</v>
      </c>
      <c r="O77" s="3"/>
      <c r="P77" s="3"/>
      <c r="Q77" s="7">
        <v>0</v>
      </c>
      <c r="R77" s="7">
        <v>0</v>
      </c>
      <c r="S77" s="3"/>
      <c r="T77" s="7">
        <v>0</v>
      </c>
      <c r="U77" s="7">
        <v>0</v>
      </c>
      <c r="V77" s="9">
        <v>0</v>
      </c>
      <c r="W77" s="9">
        <v>0</v>
      </c>
    </row>
    <row r="78" spans="1:23">
      <c r="A78" s="4" t="str">
        <f t="shared" si="2"/>
        <v>12月</v>
      </c>
      <c r="B78" s="5">
        <v>45272</v>
      </c>
      <c r="C78" s="6" t="s">
        <v>136</v>
      </c>
      <c r="D78" s="6" t="s">
        <v>137</v>
      </c>
      <c r="E78" s="6" t="s">
        <v>163</v>
      </c>
      <c r="F78" s="6" t="s">
        <v>165</v>
      </c>
      <c r="G78" s="6" t="s">
        <v>91</v>
      </c>
      <c r="H78" s="6" t="s">
        <v>89</v>
      </c>
      <c r="I78" s="7">
        <v>1103</v>
      </c>
      <c r="J78" s="7">
        <v>3</v>
      </c>
      <c r="K78" s="8">
        <v>0.00271985494106981</v>
      </c>
      <c r="L78" s="9">
        <v>1.1</v>
      </c>
      <c r="M78" s="9">
        <v>3.3</v>
      </c>
      <c r="N78" s="9">
        <v>0</v>
      </c>
      <c r="O78" s="3"/>
      <c r="P78" s="10">
        <v>0</v>
      </c>
      <c r="Q78" s="7">
        <v>0</v>
      </c>
      <c r="R78" s="7">
        <v>0</v>
      </c>
      <c r="S78" s="8">
        <v>0</v>
      </c>
      <c r="T78" s="7">
        <v>0</v>
      </c>
      <c r="U78" s="7">
        <v>0</v>
      </c>
      <c r="V78" s="9">
        <v>0</v>
      </c>
      <c r="W78" s="9">
        <v>0</v>
      </c>
    </row>
    <row r="79" spans="1:23">
      <c r="A79" s="4" t="str">
        <f t="shared" si="2"/>
        <v>12月</v>
      </c>
      <c r="B79" s="5">
        <v>45273</v>
      </c>
      <c r="C79" s="6" t="s">
        <v>136</v>
      </c>
      <c r="D79" s="6" t="s">
        <v>137</v>
      </c>
      <c r="E79" s="6" t="s">
        <v>163</v>
      </c>
      <c r="F79" s="6" t="s">
        <v>165</v>
      </c>
      <c r="G79" s="6" t="s">
        <v>91</v>
      </c>
      <c r="H79" s="6" t="s">
        <v>89</v>
      </c>
      <c r="I79" s="7">
        <v>1480</v>
      </c>
      <c r="J79" s="7">
        <v>3</v>
      </c>
      <c r="K79" s="8">
        <v>0.00202702702702703</v>
      </c>
      <c r="L79" s="9">
        <v>1.1</v>
      </c>
      <c r="M79" s="9">
        <v>3.3</v>
      </c>
      <c r="N79" s="9">
        <v>0</v>
      </c>
      <c r="O79" s="3"/>
      <c r="P79" s="10">
        <v>0</v>
      </c>
      <c r="Q79" s="7">
        <v>0</v>
      </c>
      <c r="R79" s="7">
        <v>0</v>
      </c>
      <c r="S79" s="8">
        <v>0</v>
      </c>
      <c r="T79" s="7">
        <v>0</v>
      </c>
      <c r="U79" s="7">
        <v>0</v>
      </c>
      <c r="V79" s="9">
        <v>0</v>
      </c>
      <c r="W79" s="9">
        <v>0</v>
      </c>
    </row>
    <row r="80" spans="1:23">
      <c r="A80" s="4" t="str">
        <f t="shared" si="2"/>
        <v>12月</v>
      </c>
      <c r="B80" s="5">
        <v>45274</v>
      </c>
      <c r="C80" s="6" t="s">
        <v>136</v>
      </c>
      <c r="D80" s="6" t="s">
        <v>137</v>
      </c>
      <c r="E80" s="6" t="s">
        <v>163</v>
      </c>
      <c r="F80" s="6" t="s">
        <v>165</v>
      </c>
      <c r="G80" s="6" t="s">
        <v>91</v>
      </c>
      <c r="H80" s="6" t="s">
        <v>89</v>
      </c>
      <c r="I80" s="7">
        <v>1092</v>
      </c>
      <c r="J80" s="7">
        <v>12</v>
      </c>
      <c r="K80" s="8">
        <v>0.010989010989011</v>
      </c>
      <c r="L80" s="9">
        <v>1.44666666666667</v>
      </c>
      <c r="M80" s="9">
        <v>17.36</v>
      </c>
      <c r="N80" s="9">
        <v>0</v>
      </c>
      <c r="O80" s="3"/>
      <c r="P80" s="10">
        <v>0</v>
      </c>
      <c r="Q80" s="7">
        <v>0</v>
      </c>
      <c r="R80" s="7">
        <v>0</v>
      </c>
      <c r="S80" s="8">
        <v>0</v>
      </c>
      <c r="T80" s="7">
        <v>0</v>
      </c>
      <c r="U80" s="7">
        <v>0</v>
      </c>
      <c r="V80" s="9">
        <v>0</v>
      </c>
      <c r="W80" s="9">
        <v>0</v>
      </c>
    </row>
    <row r="81" spans="1:23">
      <c r="A81" s="4" t="str">
        <f t="shared" si="2"/>
        <v>12月</v>
      </c>
      <c r="B81" s="5">
        <v>45272</v>
      </c>
      <c r="C81" s="6" t="s">
        <v>136</v>
      </c>
      <c r="D81" s="6" t="s">
        <v>137</v>
      </c>
      <c r="E81" s="6" t="s">
        <v>166</v>
      </c>
      <c r="F81" s="6" t="s">
        <v>167</v>
      </c>
      <c r="G81" s="6" t="s">
        <v>95</v>
      </c>
      <c r="H81" s="6" t="s">
        <v>93</v>
      </c>
      <c r="I81" s="7">
        <v>138</v>
      </c>
      <c r="J81" s="7">
        <v>0</v>
      </c>
      <c r="K81" s="8">
        <v>0</v>
      </c>
      <c r="L81" s="3"/>
      <c r="M81" s="9">
        <v>0</v>
      </c>
      <c r="N81" s="9">
        <v>0</v>
      </c>
      <c r="O81" s="3"/>
      <c r="P81" s="3"/>
      <c r="Q81" s="7">
        <v>0</v>
      </c>
      <c r="R81" s="7">
        <v>0</v>
      </c>
      <c r="S81" s="3"/>
      <c r="T81" s="7">
        <v>0</v>
      </c>
      <c r="U81" s="7">
        <v>0</v>
      </c>
      <c r="V81" s="9">
        <v>0</v>
      </c>
      <c r="W81" s="9">
        <v>0</v>
      </c>
    </row>
    <row r="82" spans="1:23">
      <c r="A82" s="4" t="str">
        <f t="shared" si="2"/>
        <v>12月</v>
      </c>
      <c r="B82" s="5">
        <v>45273</v>
      </c>
      <c r="C82" s="6" t="s">
        <v>136</v>
      </c>
      <c r="D82" s="6" t="s">
        <v>137</v>
      </c>
      <c r="E82" s="6" t="s">
        <v>166</v>
      </c>
      <c r="F82" s="6" t="s">
        <v>167</v>
      </c>
      <c r="G82" s="6" t="s">
        <v>95</v>
      </c>
      <c r="H82" s="6" t="s">
        <v>93</v>
      </c>
      <c r="I82" s="7">
        <v>861</v>
      </c>
      <c r="J82" s="7">
        <v>1</v>
      </c>
      <c r="K82" s="8">
        <v>0.00116144018583043</v>
      </c>
      <c r="L82" s="9">
        <v>0.82</v>
      </c>
      <c r="M82" s="9">
        <v>0.82</v>
      </c>
      <c r="N82" s="9">
        <v>0</v>
      </c>
      <c r="O82" s="3"/>
      <c r="P82" s="10">
        <v>0</v>
      </c>
      <c r="Q82" s="7">
        <v>0</v>
      </c>
      <c r="R82" s="7">
        <v>0</v>
      </c>
      <c r="S82" s="8">
        <v>0</v>
      </c>
      <c r="T82" s="7">
        <v>0</v>
      </c>
      <c r="U82" s="7">
        <v>0</v>
      </c>
      <c r="V82" s="9">
        <v>0</v>
      </c>
      <c r="W82" s="9">
        <v>0</v>
      </c>
    </row>
    <row r="83" spans="1:23">
      <c r="A83" s="4" t="str">
        <f t="shared" si="2"/>
        <v>12月</v>
      </c>
      <c r="B83" s="5">
        <v>45272</v>
      </c>
      <c r="C83" s="6" t="s">
        <v>136</v>
      </c>
      <c r="D83" s="6" t="s">
        <v>137</v>
      </c>
      <c r="E83" s="6" t="s">
        <v>166</v>
      </c>
      <c r="F83" s="6" t="s">
        <v>167</v>
      </c>
      <c r="G83" s="6" t="s">
        <v>99</v>
      </c>
      <c r="H83" s="6" t="s">
        <v>97</v>
      </c>
      <c r="I83" s="7">
        <v>4</v>
      </c>
      <c r="J83" s="7">
        <v>0</v>
      </c>
      <c r="K83" s="8">
        <v>0</v>
      </c>
      <c r="L83" s="3"/>
      <c r="M83" s="9">
        <v>0</v>
      </c>
      <c r="N83" s="9">
        <v>0</v>
      </c>
      <c r="O83" s="3"/>
      <c r="P83" s="3"/>
      <c r="Q83" s="7">
        <v>0</v>
      </c>
      <c r="R83" s="7">
        <v>0</v>
      </c>
      <c r="S83" s="3"/>
      <c r="T83" s="7">
        <v>0</v>
      </c>
      <c r="U83" s="7">
        <v>0</v>
      </c>
      <c r="V83" s="9">
        <v>0</v>
      </c>
      <c r="W83" s="9">
        <v>0</v>
      </c>
    </row>
    <row r="84" spans="1:23">
      <c r="A84" s="4" t="str">
        <f t="shared" si="2"/>
        <v>12月</v>
      </c>
      <c r="B84" s="5">
        <v>45273</v>
      </c>
      <c r="C84" s="6" t="s">
        <v>136</v>
      </c>
      <c r="D84" s="6" t="s">
        <v>137</v>
      </c>
      <c r="E84" s="6" t="s">
        <v>166</v>
      </c>
      <c r="F84" s="6" t="s">
        <v>167</v>
      </c>
      <c r="G84" s="6" t="s">
        <v>99</v>
      </c>
      <c r="H84" s="6" t="s">
        <v>97</v>
      </c>
      <c r="I84" s="7">
        <v>24</v>
      </c>
      <c r="J84" s="7">
        <v>0</v>
      </c>
      <c r="K84" s="8">
        <v>0</v>
      </c>
      <c r="L84" s="3"/>
      <c r="M84" s="9">
        <v>0</v>
      </c>
      <c r="N84" s="9">
        <v>0</v>
      </c>
      <c r="O84" s="3"/>
      <c r="P84" s="3"/>
      <c r="Q84" s="7">
        <v>0</v>
      </c>
      <c r="R84" s="7">
        <v>0</v>
      </c>
      <c r="S84" s="3"/>
      <c r="T84" s="7">
        <v>0</v>
      </c>
      <c r="U84" s="7">
        <v>0</v>
      </c>
      <c r="V84" s="9">
        <v>0</v>
      </c>
      <c r="W84" s="9">
        <v>0</v>
      </c>
    </row>
    <row r="85" spans="1:23">
      <c r="A85" s="4" t="str">
        <f t="shared" si="2"/>
        <v>12月</v>
      </c>
      <c r="B85" s="5">
        <v>45272</v>
      </c>
      <c r="C85" s="6" t="s">
        <v>136</v>
      </c>
      <c r="D85" s="6" t="s">
        <v>137</v>
      </c>
      <c r="E85" s="6" t="s">
        <v>166</v>
      </c>
      <c r="F85" s="6" t="s">
        <v>167</v>
      </c>
      <c r="G85" s="6" t="s">
        <v>91</v>
      </c>
      <c r="H85" s="6" t="s">
        <v>89</v>
      </c>
      <c r="I85" s="7">
        <v>16</v>
      </c>
      <c r="J85" s="7">
        <v>0</v>
      </c>
      <c r="K85" s="8">
        <v>0</v>
      </c>
      <c r="L85" s="3"/>
      <c r="M85" s="9">
        <v>0</v>
      </c>
      <c r="N85" s="9">
        <v>0</v>
      </c>
      <c r="O85" s="3"/>
      <c r="P85" s="3"/>
      <c r="Q85" s="7">
        <v>0</v>
      </c>
      <c r="R85" s="7">
        <v>0</v>
      </c>
      <c r="S85" s="3"/>
      <c r="T85" s="7">
        <v>0</v>
      </c>
      <c r="U85" s="7">
        <v>0</v>
      </c>
      <c r="V85" s="9">
        <v>0</v>
      </c>
      <c r="W85" s="9">
        <v>0</v>
      </c>
    </row>
    <row r="86" spans="1:23">
      <c r="A86" s="4" t="str">
        <f t="shared" si="2"/>
        <v>12月</v>
      </c>
      <c r="B86" s="5">
        <v>45273</v>
      </c>
      <c r="C86" s="6" t="s">
        <v>136</v>
      </c>
      <c r="D86" s="6" t="s">
        <v>137</v>
      </c>
      <c r="E86" s="6" t="s">
        <v>166</v>
      </c>
      <c r="F86" s="6" t="s">
        <v>167</v>
      </c>
      <c r="G86" s="6" t="s">
        <v>91</v>
      </c>
      <c r="H86" s="6" t="s">
        <v>89</v>
      </c>
      <c r="I86" s="7">
        <v>15904</v>
      </c>
      <c r="J86" s="7">
        <v>9</v>
      </c>
      <c r="K86" s="8">
        <v>0.0005658953722334</v>
      </c>
      <c r="L86" s="9">
        <v>0.9</v>
      </c>
      <c r="M86" s="9">
        <v>8.1</v>
      </c>
      <c r="N86" s="9">
        <v>0</v>
      </c>
      <c r="O86" s="3"/>
      <c r="P86" s="10">
        <v>0</v>
      </c>
      <c r="Q86" s="7">
        <v>0</v>
      </c>
      <c r="R86" s="7">
        <v>0</v>
      </c>
      <c r="S86" s="8">
        <v>0</v>
      </c>
      <c r="T86" s="7">
        <v>0</v>
      </c>
      <c r="U86" s="7">
        <v>0</v>
      </c>
      <c r="V86" s="9">
        <v>0</v>
      </c>
      <c r="W86" s="9">
        <v>0</v>
      </c>
    </row>
    <row r="87" spans="1:23">
      <c r="A87" s="4" t="str">
        <f t="shared" si="2"/>
        <v>12月</v>
      </c>
      <c r="B87" s="5">
        <v>45272</v>
      </c>
      <c r="C87" s="6" t="s">
        <v>168</v>
      </c>
      <c r="D87" s="6" t="s">
        <v>137</v>
      </c>
      <c r="E87" s="6" t="s">
        <v>169</v>
      </c>
      <c r="F87" s="6" t="s">
        <v>170</v>
      </c>
      <c r="G87" s="6" t="s">
        <v>91</v>
      </c>
      <c r="H87" s="6" t="s">
        <v>89</v>
      </c>
      <c r="I87" s="7">
        <v>57</v>
      </c>
      <c r="J87" s="7">
        <v>0</v>
      </c>
      <c r="K87" s="8">
        <v>0</v>
      </c>
      <c r="L87" s="3"/>
      <c r="M87" s="9">
        <v>0</v>
      </c>
      <c r="N87" s="9">
        <v>0</v>
      </c>
      <c r="O87" s="3"/>
      <c r="P87" s="3"/>
      <c r="Q87" s="7">
        <v>0</v>
      </c>
      <c r="R87" s="7">
        <v>0</v>
      </c>
      <c r="S87" s="3"/>
      <c r="T87" s="7">
        <v>0</v>
      </c>
      <c r="U87" s="7">
        <v>0</v>
      </c>
      <c r="V87" s="9">
        <v>0</v>
      </c>
      <c r="W87" s="9">
        <v>0</v>
      </c>
    </row>
    <row r="88" spans="1:23">
      <c r="A88" s="4" t="str">
        <f t="shared" si="2"/>
        <v>12月</v>
      </c>
      <c r="B88" s="5">
        <v>45273</v>
      </c>
      <c r="C88" s="6" t="s">
        <v>168</v>
      </c>
      <c r="D88" s="6" t="s">
        <v>137</v>
      </c>
      <c r="E88" s="6" t="s">
        <v>169</v>
      </c>
      <c r="F88" s="6" t="s">
        <v>170</v>
      </c>
      <c r="G88" s="6" t="s">
        <v>91</v>
      </c>
      <c r="H88" s="6" t="s">
        <v>89</v>
      </c>
      <c r="I88" s="7">
        <v>6838</v>
      </c>
      <c r="J88" s="7">
        <v>18</v>
      </c>
      <c r="K88" s="8">
        <v>0.0026323486399532</v>
      </c>
      <c r="L88" s="9">
        <v>1.26777777777778</v>
      </c>
      <c r="M88" s="9">
        <v>22.82</v>
      </c>
      <c r="N88" s="9">
        <v>126.35</v>
      </c>
      <c r="O88" s="8">
        <v>0.180609418282548</v>
      </c>
      <c r="P88" s="10">
        <v>5.53680981595092</v>
      </c>
      <c r="Q88" s="7">
        <v>4</v>
      </c>
      <c r="R88" s="7">
        <v>5</v>
      </c>
      <c r="S88" s="8">
        <v>0.222222222222222</v>
      </c>
      <c r="T88" s="7">
        <v>3</v>
      </c>
      <c r="U88" s="7">
        <v>2</v>
      </c>
      <c r="V88" s="9">
        <v>89.97</v>
      </c>
      <c r="W88" s="9">
        <v>36.38</v>
      </c>
    </row>
    <row r="89" spans="1:23">
      <c r="A89" s="4" t="str">
        <f t="shared" si="2"/>
        <v>12月</v>
      </c>
      <c r="B89" s="5">
        <v>45274</v>
      </c>
      <c r="C89" s="6" t="s">
        <v>168</v>
      </c>
      <c r="D89" s="6" t="s">
        <v>137</v>
      </c>
      <c r="E89" s="6" t="s">
        <v>169</v>
      </c>
      <c r="F89" s="6" t="s">
        <v>170</v>
      </c>
      <c r="G89" s="6" t="s">
        <v>91</v>
      </c>
      <c r="H89" s="6" t="s">
        <v>89</v>
      </c>
      <c r="I89" s="7">
        <v>8070</v>
      </c>
      <c r="J89" s="7">
        <v>10</v>
      </c>
      <c r="K89" s="8">
        <v>0.00123915737298637</v>
      </c>
      <c r="L89" s="9">
        <v>1.434</v>
      </c>
      <c r="M89" s="9">
        <v>14.34</v>
      </c>
      <c r="N89" s="9">
        <v>0</v>
      </c>
      <c r="O89" s="3"/>
      <c r="P89" s="10">
        <v>0</v>
      </c>
      <c r="Q89" s="7">
        <v>0</v>
      </c>
      <c r="R89" s="7">
        <v>0</v>
      </c>
      <c r="S89" s="8">
        <v>0</v>
      </c>
      <c r="T89" s="7">
        <v>0</v>
      </c>
      <c r="U89" s="7">
        <v>0</v>
      </c>
      <c r="V89" s="9">
        <v>0</v>
      </c>
      <c r="W89" s="9">
        <v>0</v>
      </c>
    </row>
    <row r="90" spans="1:23">
      <c r="A90" s="4" t="str">
        <f t="shared" si="2"/>
        <v>12月</v>
      </c>
      <c r="B90" s="5">
        <v>45273</v>
      </c>
      <c r="C90" s="6" t="s">
        <v>168</v>
      </c>
      <c r="D90" s="6" t="s">
        <v>137</v>
      </c>
      <c r="E90" s="6" t="s">
        <v>171</v>
      </c>
      <c r="F90" s="6" t="s">
        <v>172</v>
      </c>
      <c r="G90" s="6" t="s">
        <v>91</v>
      </c>
      <c r="H90" s="6" t="s">
        <v>89</v>
      </c>
      <c r="I90" s="7">
        <v>305</v>
      </c>
      <c r="J90" s="7">
        <v>7</v>
      </c>
      <c r="K90" s="8">
        <v>0.0229508196721311</v>
      </c>
      <c r="L90" s="9">
        <v>1.33571428571429</v>
      </c>
      <c r="M90" s="9">
        <v>9.35</v>
      </c>
      <c r="N90" s="9">
        <v>29.99</v>
      </c>
      <c r="O90" s="8">
        <v>0.311770590196732</v>
      </c>
      <c r="P90" s="10">
        <v>3.20748663101604</v>
      </c>
      <c r="Q90" s="7">
        <v>1</v>
      </c>
      <c r="R90" s="7">
        <v>1</v>
      </c>
      <c r="S90" s="8">
        <v>0.142857142857143</v>
      </c>
      <c r="T90" s="7">
        <v>1</v>
      </c>
      <c r="U90" s="7">
        <v>0</v>
      </c>
      <c r="V90" s="9">
        <v>29.99</v>
      </c>
      <c r="W90" s="9">
        <v>0</v>
      </c>
    </row>
    <row r="91" spans="1:23">
      <c r="A91" s="4" t="str">
        <f t="shared" si="2"/>
        <v>12月</v>
      </c>
      <c r="B91" s="5">
        <v>45274</v>
      </c>
      <c r="C91" s="6" t="s">
        <v>168</v>
      </c>
      <c r="D91" s="6" t="s">
        <v>137</v>
      </c>
      <c r="E91" s="6" t="s">
        <v>171</v>
      </c>
      <c r="F91" s="6" t="s">
        <v>172</v>
      </c>
      <c r="G91" s="6" t="s">
        <v>91</v>
      </c>
      <c r="H91" s="6" t="s">
        <v>89</v>
      </c>
      <c r="I91" s="7">
        <v>1052</v>
      </c>
      <c r="J91" s="7">
        <v>3</v>
      </c>
      <c r="K91" s="8">
        <v>0.00285171102661597</v>
      </c>
      <c r="L91" s="9">
        <v>1.45333333333333</v>
      </c>
      <c r="M91" s="9">
        <v>4.36</v>
      </c>
      <c r="N91" s="9">
        <v>0</v>
      </c>
      <c r="O91" s="3"/>
      <c r="P91" s="10">
        <v>0</v>
      </c>
      <c r="Q91" s="7">
        <v>0</v>
      </c>
      <c r="R91" s="7">
        <v>0</v>
      </c>
      <c r="S91" s="8">
        <v>0</v>
      </c>
      <c r="T91" s="7">
        <v>0</v>
      </c>
      <c r="U91" s="7">
        <v>0</v>
      </c>
      <c r="V91" s="9">
        <v>0</v>
      </c>
      <c r="W91" s="9">
        <v>0</v>
      </c>
    </row>
    <row r="92" spans="1:23">
      <c r="A92" s="4" t="str">
        <f t="shared" si="2"/>
        <v>12月</v>
      </c>
      <c r="B92" s="5">
        <v>45273</v>
      </c>
      <c r="C92" s="6" t="s">
        <v>168</v>
      </c>
      <c r="D92" s="6" t="s">
        <v>137</v>
      </c>
      <c r="E92" s="6" t="s">
        <v>173</v>
      </c>
      <c r="F92" s="6" t="s">
        <v>174</v>
      </c>
      <c r="G92" s="6" t="s">
        <v>91</v>
      </c>
      <c r="H92" s="6" t="s">
        <v>89</v>
      </c>
      <c r="I92" s="7">
        <v>3212</v>
      </c>
      <c r="J92" s="7">
        <v>14</v>
      </c>
      <c r="K92" s="8">
        <v>0.00435865504358655</v>
      </c>
      <c r="L92" s="9">
        <v>1.31071428571429</v>
      </c>
      <c r="M92" s="9">
        <v>18.35</v>
      </c>
      <c r="N92" s="9">
        <v>0</v>
      </c>
      <c r="O92" s="3"/>
      <c r="P92" s="10">
        <v>0</v>
      </c>
      <c r="Q92" s="7">
        <v>0</v>
      </c>
      <c r="R92" s="7">
        <v>0</v>
      </c>
      <c r="S92" s="8">
        <v>0</v>
      </c>
      <c r="T92" s="7">
        <v>0</v>
      </c>
      <c r="U92" s="7">
        <v>0</v>
      </c>
      <c r="V92" s="9">
        <v>0</v>
      </c>
      <c r="W92" s="9">
        <v>0</v>
      </c>
    </row>
    <row r="93" spans="1:23">
      <c r="A93" s="4" t="str">
        <f t="shared" si="2"/>
        <v>12月</v>
      </c>
      <c r="B93" s="5">
        <v>45274</v>
      </c>
      <c r="C93" s="6" t="s">
        <v>168</v>
      </c>
      <c r="D93" s="6" t="s">
        <v>137</v>
      </c>
      <c r="E93" s="6" t="s">
        <v>173</v>
      </c>
      <c r="F93" s="6" t="s">
        <v>174</v>
      </c>
      <c r="G93" s="6" t="s">
        <v>91</v>
      </c>
      <c r="H93" s="6" t="s">
        <v>89</v>
      </c>
      <c r="I93" s="7">
        <v>5823</v>
      </c>
      <c r="J93" s="7">
        <v>9</v>
      </c>
      <c r="K93" s="8">
        <v>0.00154559505409583</v>
      </c>
      <c r="L93" s="9">
        <v>1.10444444444444</v>
      </c>
      <c r="M93" s="9">
        <v>9.94</v>
      </c>
      <c r="N93" s="9">
        <v>29.99</v>
      </c>
      <c r="O93" s="8">
        <v>0.331443814604868</v>
      </c>
      <c r="P93" s="10">
        <v>3.01710261569416</v>
      </c>
      <c r="Q93" s="7">
        <v>1</v>
      </c>
      <c r="R93" s="7">
        <v>1</v>
      </c>
      <c r="S93" s="8">
        <v>0.111111111111111</v>
      </c>
      <c r="T93" s="7">
        <v>1</v>
      </c>
      <c r="U93" s="7">
        <v>0</v>
      </c>
      <c r="V93" s="9">
        <v>29.99</v>
      </c>
      <c r="W93" s="9">
        <v>0</v>
      </c>
    </row>
    <row r="94" spans="1:23">
      <c r="A94" s="4" t="str">
        <f t="shared" si="2"/>
        <v>12月</v>
      </c>
      <c r="B94" s="5">
        <v>45274</v>
      </c>
      <c r="C94" s="6" t="s">
        <v>168</v>
      </c>
      <c r="D94" s="6" t="s">
        <v>137</v>
      </c>
      <c r="E94" s="6" t="s">
        <v>175</v>
      </c>
      <c r="F94" s="6" t="s">
        <v>176</v>
      </c>
      <c r="G94" s="6" t="s">
        <v>91</v>
      </c>
      <c r="H94" s="6" t="s">
        <v>89</v>
      </c>
      <c r="I94" s="7">
        <v>3206</v>
      </c>
      <c r="J94" s="7">
        <v>2</v>
      </c>
      <c r="K94" s="8">
        <v>0.000623830318153462</v>
      </c>
      <c r="L94" s="9">
        <v>0.96</v>
      </c>
      <c r="M94" s="9">
        <v>1.92</v>
      </c>
      <c r="N94" s="9">
        <v>0</v>
      </c>
      <c r="O94" s="3"/>
      <c r="P94" s="10">
        <v>0</v>
      </c>
      <c r="Q94" s="7">
        <v>0</v>
      </c>
      <c r="R94" s="7">
        <v>0</v>
      </c>
      <c r="S94" s="8">
        <v>0</v>
      </c>
      <c r="T94" s="7">
        <v>0</v>
      </c>
      <c r="U94" s="7">
        <v>0</v>
      </c>
      <c r="V94" s="9">
        <v>0</v>
      </c>
      <c r="W94" s="9">
        <v>0</v>
      </c>
    </row>
    <row r="95" spans="1:23">
      <c r="A95" s="4" t="str">
        <f t="shared" si="2"/>
        <v>12月</v>
      </c>
      <c r="B95" s="5">
        <v>45274</v>
      </c>
      <c r="C95" s="6" t="s">
        <v>136</v>
      </c>
      <c r="D95" s="6" t="s">
        <v>137</v>
      </c>
      <c r="E95" s="6" t="s">
        <v>177</v>
      </c>
      <c r="F95" s="6" t="s">
        <v>178</v>
      </c>
      <c r="G95" s="6" t="s">
        <v>95</v>
      </c>
      <c r="H95" s="6" t="s">
        <v>93</v>
      </c>
      <c r="I95" s="7">
        <v>624</v>
      </c>
      <c r="J95" s="7">
        <v>8</v>
      </c>
      <c r="K95" s="8">
        <v>0.0128205128205128</v>
      </c>
      <c r="L95" s="9">
        <v>0.9675</v>
      </c>
      <c r="M95" s="9">
        <v>7.74</v>
      </c>
      <c r="N95" s="9">
        <v>0</v>
      </c>
      <c r="O95" s="3"/>
      <c r="P95" s="10">
        <v>0</v>
      </c>
      <c r="Q95" s="7">
        <v>0</v>
      </c>
      <c r="R95" s="7">
        <v>0</v>
      </c>
      <c r="S95" s="8">
        <v>0</v>
      </c>
      <c r="T95" s="7">
        <v>0</v>
      </c>
      <c r="U95" s="7">
        <v>0</v>
      </c>
      <c r="V95" s="9">
        <v>0</v>
      </c>
      <c r="W95" s="9">
        <v>0</v>
      </c>
    </row>
    <row r="96" spans="1:23">
      <c r="A96" s="4" t="str">
        <f t="shared" si="2"/>
        <v>12月</v>
      </c>
      <c r="B96" s="5">
        <v>45274</v>
      </c>
      <c r="C96" s="6" t="s">
        <v>168</v>
      </c>
      <c r="D96" s="6" t="s">
        <v>137</v>
      </c>
      <c r="E96" s="6" t="s">
        <v>179</v>
      </c>
      <c r="F96" s="6" t="s">
        <v>180</v>
      </c>
      <c r="G96" s="6" t="s">
        <v>95</v>
      </c>
      <c r="H96" s="6" t="s">
        <v>93</v>
      </c>
      <c r="I96" s="7">
        <v>5374</v>
      </c>
      <c r="J96" s="7">
        <v>19</v>
      </c>
      <c r="K96" s="8">
        <v>0.0035355414960923</v>
      </c>
      <c r="L96" s="9">
        <v>1.09578947368421</v>
      </c>
      <c r="M96" s="9">
        <v>20.82</v>
      </c>
      <c r="N96" s="9">
        <v>23.39</v>
      </c>
      <c r="O96" s="8">
        <v>0.890123984608807</v>
      </c>
      <c r="P96" s="10">
        <v>1.12343900096061</v>
      </c>
      <c r="Q96" s="7">
        <v>1</v>
      </c>
      <c r="R96" s="7">
        <v>1</v>
      </c>
      <c r="S96" s="8">
        <v>0.0526315789473684</v>
      </c>
      <c r="T96" s="7">
        <v>1</v>
      </c>
      <c r="U96" s="7">
        <v>0</v>
      </c>
      <c r="V96" s="9">
        <v>23.39</v>
      </c>
      <c r="W96" s="9">
        <v>0</v>
      </c>
    </row>
    <row r="97" spans="1:23">
      <c r="A97" s="4" t="str">
        <f t="shared" si="2"/>
        <v>12月</v>
      </c>
      <c r="B97" s="5">
        <v>45274</v>
      </c>
      <c r="C97" s="6" t="s">
        <v>136</v>
      </c>
      <c r="D97" s="6" t="s">
        <v>137</v>
      </c>
      <c r="E97" s="6" t="s">
        <v>181</v>
      </c>
      <c r="F97" s="6" t="s">
        <v>182</v>
      </c>
      <c r="G97" s="6" t="s">
        <v>95</v>
      </c>
      <c r="H97" s="6" t="s">
        <v>93</v>
      </c>
      <c r="I97" s="7">
        <v>3488</v>
      </c>
      <c r="J97" s="7">
        <v>22</v>
      </c>
      <c r="K97" s="8">
        <v>0.00630733944954128</v>
      </c>
      <c r="L97" s="9">
        <v>0.7</v>
      </c>
      <c r="M97" s="9">
        <v>15.4</v>
      </c>
      <c r="N97" s="9">
        <v>37.38</v>
      </c>
      <c r="O97" s="8">
        <v>0.411985018726592</v>
      </c>
      <c r="P97" s="10">
        <v>2.42727272727273</v>
      </c>
      <c r="Q97" s="7">
        <v>2</v>
      </c>
      <c r="R97" s="7">
        <v>2</v>
      </c>
      <c r="S97" s="8">
        <v>0.0909090909090909</v>
      </c>
      <c r="T97" s="7">
        <v>1</v>
      </c>
      <c r="U97" s="7">
        <v>1</v>
      </c>
      <c r="V97" s="9">
        <v>23.39</v>
      </c>
      <c r="W97" s="9">
        <v>13.99</v>
      </c>
    </row>
    <row r="98" spans="1:23">
      <c r="A98" s="4" t="str">
        <f t="shared" si="2"/>
        <v>12月</v>
      </c>
      <c r="B98" s="5">
        <v>45274</v>
      </c>
      <c r="C98" s="6" t="s">
        <v>183</v>
      </c>
      <c r="D98" s="6" t="s">
        <v>137</v>
      </c>
      <c r="E98" s="6" t="s">
        <v>184</v>
      </c>
      <c r="F98" s="6" t="s">
        <v>185</v>
      </c>
      <c r="G98" s="6" t="s">
        <v>91</v>
      </c>
      <c r="H98" s="6" t="s">
        <v>89</v>
      </c>
      <c r="I98" s="7">
        <v>1</v>
      </c>
      <c r="J98" s="7">
        <v>0</v>
      </c>
      <c r="K98" s="8">
        <v>0</v>
      </c>
      <c r="L98" s="3"/>
      <c r="M98" s="9">
        <v>0</v>
      </c>
      <c r="N98" s="9">
        <v>0</v>
      </c>
      <c r="O98" s="3"/>
      <c r="P98" s="3"/>
      <c r="Q98" s="7">
        <v>0</v>
      </c>
      <c r="R98" s="7">
        <v>0</v>
      </c>
      <c r="S98" s="3"/>
      <c r="T98" s="7">
        <v>0</v>
      </c>
      <c r="U98" s="7">
        <v>0</v>
      </c>
      <c r="V98" s="9">
        <v>0</v>
      </c>
      <c r="W98" s="9">
        <v>0</v>
      </c>
    </row>
    <row r="99" spans="1:23">
      <c r="A99" s="4" t="str">
        <f t="shared" ref="A99:A130" si="3">IF(MONTH(B99)&lt;10,"0"&amp;MONTH(B99)&amp;"月",MONTH(B99)&amp;"月")</f>
        <v>01月</v>
      </c>
      <c r="B99" s="4"/>
      <c r="C99" s="11"/>
      <c r="D99" s="11"/>
      <c r="E99" s="11"/>
      <c r="F99" s="11"/>
      <c r="G99" s="11"/>
      <c r="H99" s="11"/>
      <c r="I99" s="12"/>
      <c r="J99" s="12"/>
      <c r="K99" s="13"/>
      <c r="L99" s="14"/>
      <c r="M99" s="15"/>
      <c r="N99" s="15"/>
      <c r="O99" s="14"/>
      <c r="P99" s="14"/>
      <c r="Q99" s="12"/>
      <c r="R99" s="12"/>
      <c r="S99" s="14"/>
      <c r="T99" s="12"/>
      <c r="U99" s="12"/>
      <c r="V99" s="15"/>
      <c r="W99" s="15"/>
    </row>
    <row r="100" spans="1:23">
      <c r="A100" s="4" t="str">
        <f t="shared" si="3"/>
        <v>01月</v>
      </c>
      <c r="B100" s="4"/>
      <c r="C100" s="11"/>
      <c r="D100" s="11"/>
      <c r="E100" s="11"/>
      <c r="F100" s="11"/>
      <c r="G100" s="11"/>
      <c r="H100" s="11"/>
      <c r="I100" s="12"/>
      <c r="J100" s="12"/>
      <c r="K100" s="13"/>
      <c r="L100" s="15"/>
      <c r="M100" s="15"/>
      <c r="N100" s="15"/>
      <c r="O100" s="14"/>
      <c r="P100" s="16"/>
      <c r="Q100" s="12"/>
      <c r="R100" s="12"/>
      <c r="S100" s="13"/>
      <c r="T100" s="12"/>
      <c r="U100" s="12"/>
      <c r="V100" s="15"/>
      <c r="W100" s="15"/>
    </row>
    <row r="101" spans="1:23">
      <c r="A101" s="4" t="str">
        <f t="shared" si="3"/>
        <v>01月</v>
      </c>
      <c r="B101" s="4"/>
      <c r="C101" s="11"/>
      <c r="D101" s="11"/>
      <c r="E101" s="11"/>
      <c r="F101" s="11"/>
      <c r="G101" s="11"/>
      <c r="H101" s="11"/>
      <c r="I101" s="12"/>
      <c r="J101" s="12"/>
      <c r="K101" s="13"/>
      <c r="L101" s="14"/>
      <c r="M101" s="15"/>
      <c r="N101" s="15"/>
      <c r="O101" s="14"/>
      <c r="P101" s="14"/>
      <c r="Q101" s="12"/>
      <c r="R101" s="12"/>
      <c r="S101" s="14"/>
      <c r="T101" s="12"/>
      <c r="U101" s="12"/>
      <c r="V101" s="15"/>
      <c r="W101" s="15"/>
    </row>
    <row r="102" spans="1:23">
      <c r="A102" s="4" t="str">
        <f t="shared" si="3"/>
        <v>01月</v>
      </c>
      <c r="B102" s="4"/>
      <c r="C102" s="11"/>
      <c r="D102" s="11"/>
      <c r="E102" s="11"/>
      <c r="F102" s="11"/>
      <c r="G102" s="11"/>
      <c r="H102" s="11"/>
      <c r="I102" s="12"/>
      <c r="J102" s="12"/>
      <c r="K102" s="13"/>
      <c r="L102" s="15"/>
      <c r="M102" s="15"/>
      <c r="N102" s="15"/>
      <c r="O102" s="14"/>
      <c r="P102" s="16"/>
      <c r="Q102" s="12"/>
      <c r="R102" s="12"/>
      <c r="S102" s="13"/>
      <c r="T102" s="12"/>
      <c r="U102" s="12"/>
      <c r="V102" s="15"/>
      <c r="W102" s="15"/>
    </row>
    <row r="103" spans="1:23">
      <c r="A103" s="4" t="str">
        <f t="shared" si="3"/>
        <v>01月</v>
      </c>
      <c r="B103" s="4"/>
      <c r="C103" s="11"/>
      <c r="D103" s="11"/>
      <c r="E103" s="11"/>
      <c r="F103" s="11"/>
      <c r="G103" s="11"/>
      <c r="H103" s="11"/>
      <c r="I103" s="12"/>
      <c r="J103" s="12"/>
      <c r="K103" s="13"/>
      <c r="L103" s="15"/>
      <c r="M103" s="15"/>
      <c r="N103" s="15"/>
      <c r="O103" s="13"/>
      <c r="P103" s="16"/>
      <c r="Q103" s="12"/>
      <c r="R103" s="12"/>
      <c r="S103" s="13"/>
      <c r="T103" s="12"/>
      <c r="U103" s="12"/>
      <c r="V103" s="15"/>
      <c r="W103" s="15"/>
    </row>
    <row r="104" spans="1:23">
      <c r="A104" s="4" t="str">
        <f t="shared" si="3"/>
        <v>01月</v>
      </c>
      <c r="B104" s="4"/>
      <c r="C104" s="11"/>
      <c r="D104" s="11"/>
      <c r="E104" s="11"/>
      <c r="F104" s="11"/>
      <c r="G104" s="11"/>
      <c r="H104" s="11"/>
      <c r="I104" s="12"/>
      <c r="J104" s="12"/>
      <c r="K104" s="13"/>
      <c r="L104" s="15"/>
      <c r="M104" s="15"/>
      <c r="N104" s="15"/>
      <c r="O104" s="13"/>
      <c r="P104" s="16"/>
      <c r="Q104" s="12"/>
      <c r="R104" s="12"/>
      <c r="S104" s="13"/>
      <c r="T104" s="12"/>
      <c r="U104" s="12"/>
      <c r="V104" s="15"/>
      <c r="W104" s="15"/>
    </row>
    <row r="105" spans="1:23">
      <c r="A105" s="4" t="str">
        <f t="shared" si="3"/>
        <v>01月</v>
      </c>
      <c r="B105" s="4"/>
      <c r="C105" s="11"/>
      <c r="D105" s="11"/>
      <c r="E105" s="11"/>
      <c r="F105" s="11"/>
      <c r="G105" s="11"/>
      <c r="H105" s="11"/>
      <c r="I105" s="12"/>
      <c r="J105" s="12"/>
      <c r="K105" s="13"/>
      <c r="L105" s="15"/>
      <c r="M105" s="15"/>
      <c r="N105" s="15"/>
      <c r="O105" s="14"/>
      <c r="P105" s="16"/>
      <c r="Q105" s="12"/>
      <c r="R105" s="12"/>
      <c r="S105" s="13"/>
      <c r="T105" s="12"/>
      <c r="U105" s="12"/>
      <c r="V105" s="15"/>
      <c r="W105" s="15"/>
    </row>
    <row r="106" spans="1:23">
      <c r="A106" s="4" t="str">
        <f t="shared" si="3"/>
        <v>01月</v>
      </c>
      <c r="B106" s="4"/>
      <c r="C106" s="11"/>
      <c r="D106" s="11"/>
      <c r="E106" s="11"/>
      <c r="F106" s="11"/>
      <c r="G106" s="11"/>
      <c r="H106" s="11"/>
      <c r="I106" s="12"/>
      <c r="J106" s="12"/>
      <c r="K106" s="13"/>
      <c r="L106" s="14"/>
      <c r="M106" s="15"/>
      <c r="N106" s="15"/>
      <c r="O106" s="14"/>
      <c r="P106" s="14"/>
      <c r="Q106" s="12"/>
      <c r="R106" s="12"/>
      <c r="S106" s="14"/>
      <c r="T106" s="12"/>
      <c r="U106" s="12"/>
      <c r="V106" s="15"/>
      <c r="W106" s="15"/>
    </row>
    <row r="107" spans="1:23">
      <c r="A107" s="4" t="str">
        <f t="shared" si="3"/>
        <v>01月</v>
      </c>
      <c r="B107" s="4"/>
      <c r="C107" s="11"/>
      <c r="D107" s="11"/>
      <c r="E107" s="11"/>
      <c r="F107" s="11"/>
      <c r="G107" s="11"/>
      <c r="H107" s="11"/>
      <c r="I107" s="12"/>
      <c r="J107" s="12"/>
      <c r="K107" s="13"/>
      <c r="L107" s="15"/>
      <c r="M107" s="15"/>
      <c r="N107" s="15"/>
      <c r="O107" s="14"/>
      <c r="P107" s="16"/>
      <c r="Q107" s="12"/>
      <c r="R107" s="12"/>
      <c r="S107" s="13"/>
      <c r="T107" s="12"/>
      <c r="U107" s="12"/>
      <c r="V107" s="15"/>
      <c r="W107" s="15"/>
    </row>
    <row r="108" spans="1:23">
      <c r="A108" s="4" t="str">
        <f t="shared" si="3"/>
        <v>01月</v>
      </c>
      <c r="B108" s="4"/>
      <c r="C108" s="11"/>
      <c r="D108" s="11"/>
      <c r="E108" s="11"/>
      <c r="F108" s="11"/>
      <c r="G108" s="11"/>
      <c r="H108" s="11"/>
      <c r="I108" s="12"/>
      <c r="J108" s="12"/>
      <c r="K108" s="13"/>
      <c r="L108" s="14"/>
      <c r="M108" s="15"/>
      <c r="N108" s="15"/>
      <c r="O108" s="14"/>
      <c r="P108" s="14"/>
      <c r="Q108" s="12"/>
      <c r="R108" s="12"/>
      <c r="S108" s="14"/>
      <c r="T108" s="12"/>
      <c r="U108" s="12"/>
      <c r="V108" s="15"/>
      <c r="W108" s="15"/>
    </row>
    <row r="109" spans="1:23">
      <c r="A109" s="4" t="str">
        <f t="shared" si="3"/>
        <v>01月</v>
      </c>
      <c r="B109" s="4"/>
      <c r="C109" s="11"/>
      <c r="D109" s="11"/>
      <c r="E109" s="11"/>
      <c r="F109" s="11"/>
      <c r="G109" s="11"/>
      <c r="H109" s="11"/>
      <c r="I109" s="12"/>
      <c r="J109" s="12"/>
      <c r="K109" s="13"/>
      <c r="L109" s="15"/>
      <c r="M109" s="15"/>
      <c r="N109" s="15"/>
      <c r="O109" s="14"/>
      <c r="P109" s="16"/>
      <c r="Q109" s="12"/>
      <c r="R109" s="12"/>
      <c r="S109" s="13"/>
      <c r="T109" s="12"/>
      <c r="U109" s="12"/>
      <c r="V109" s="15"/>
      <c r="W109" s="15"/>
    </row>
    <row r="110" spans="1:23">
      <c r="A110" s="4" t="str">
        <f t="shared" si="3"/>
        <v>01月</v>
      </c>
      <c r="B110" s="4"/>
      <c r="C110" s="11"/>
      <c r="D110" s="11"/>
      <c r="E110" s="11"/>
      <c r="F110" s="11"/>
      <c r="G110" s="11"/>
      <c r="H110" s="11"/>
      <c r="I110" s="12"/>
      <c r="J110" s="12"/>
      <c r="K110" s="13"/>
      <c r="L110" s="15"/>
      <c r="M110" s="15"/>
      <c r="N110" s="15"/>
      <c r="O110" s="14"/>
      <c r="P110" s="16"/>
      <c r="Q110" s="12"/>
      <c r="R110" s="12"/>
      <c r="S110" s="13"/>
      <c r="T110" s="12"/>
      <c r="U110" s="12"/>
      <c r="V110" s="15"/>
      <c r="W110" s="15"/>
    </row>
    <row r="111" spans="1:23">
      <c r="A111" s="4" t="str">
        <f t="shared" si="3"/>
        <v>01月</v>
      </c>
      <c r="B111" s="4"/>
      <c r="C111" s="11"/>
      <c r="D111" s="11"/>
      <c r="E111" s="11"/>
      <c r="F111" s="11"/>
      <c r="G111" s="11"/>
      <c r="H111" s="11"/>
      <c r="I111" s="12"/>
      <c r="J111" s="12"/>
      <c r="K111" s="13"/>
      <c r="L111" s="14"/>
      <c r="M111" s="15"/>
      <c r="N111" s="15"/>
      <c r="O111" s="14"/>
      <c r="P111" s="14"/>
      <c r="Q111" s="12"/>
      <c r="R111" s="12"/>
      <c r="S111" s="14"/>
      <c r="T111" s="12"/>
      <c r="U111" s="12"/>
      <c r="V111" s="15"/>
      <c r="W111" s="15"/>
    </row>
    <row r="112" spans="1:23">
      <c r="A112" s="4" t="str">
        <f t="shared" si="3"/>
        <v>01月</v>
      </c>
      <c r="B112" s="4"/>
      <c r="C112" s="11"/>
      <c r="D112" s="11"/>
      <c r="E112" s="11"/>
      <c r="F112" s="11"/>
      <c r="G112" s="11"/>
      <c r="H112" s="11"/>
      <c r="I112" s="12"/>
      <c r="J112" s="12"/>
      <c r="K112" s="13"/>
      <c r="L112" s="14"/>
      <c r="M112" s="15"/>
      <c r="N112" s="15"/>
      <c r="O112" s="14"/>
      <c r="P112" s="14"/>
      <c r="Q112" s="12"/>
      <c r="R112" s="12"/>
      <c r="S112" s="14"/>
      <c r="T112" s="12"/>
      <c r="U112" s="12"/>
      <c r="V112" s="15"/>
      <c r="W112" s="15"/>
    </row>
    <row r="113" spans="1:23">
      <c r="A113" s="4" t="str">
        <f t="shared" si="3"/>
        <v>01月</v>
      </c>
      <c r="B113" s="4"/>
      <c r="C113" s="11"/>
      <c r="D113" s="11"/>
      <c r="E113" s="11"/>
      <c r="F113" s="11"/>
      <c r="G113" s="11"/>
      <c r="H113" s="11"/>
      <c r="I113" s="12"/>
      <c r="J113" s="12"/>
      <c r="K113" s="13"/>
      <c r="L113" s="14"/>
      <c r="M113" s="15"/>
      <c r="N113" s="15"/>
      <c r="O113" s="14"/>
      <c r="P113" s="14"/>
      <c r="Q113" s="12"/>
      <c r="R113" s="12"/>
      <c r="S113" s="14"/>
      <c r="T113" s="12"/>
      <c r="U113" s="12"/>
      <c r="V113" s="15"/>
      <c r="W113" s="15"/>
    </row>
    <row r="114" spans="1:23">
      <c r="A114" s="4" t="str">
        <f t="shared" si="3"/>
        <v>01月</v>
      </c>
      <c r="B114" s="4"/>
      <c r="C114" s="11"/>
      <c r="D114" s="11"/>
      <c r="E114" s="11"/>
      <c r="F114" s="11"/>
      <c r="G114" s="11"/>
      <c r="H114" s="11"/>
      <c r="I114" s="12"/>
      <c r="J114" s="12"/>
      <c r="K114" s="13"/>
      <c r="L114" s="15"/>
      <c r="M114" s="15"/>
      <c r="N114" s="15"/>
      <c r="O114" s="14"/>
      <c r="P114" s="16"/>
      <c r="Q114" s="12"/>
      <c r="R114" s="12"/>
      <c r="S114" s="13"/>
      <c r="T114" s="12"/>
      <c r="U114" s="12"/>
      <c r="V114" s="15"/>
      <c r="W114" s="15"/>
    </row>
    <row r="115" spans="1:23">
      <c r="A115" s="4" t="str">
        <f t="shared" si="3"/>
        <v>01月</v>
      </c>
      <c r="B115" s="4"/>
      <c r="C115" s="11"/>
      <c r="D115" s="11"/>
      <c r="E115" s="11"/>
      <c r="F115" s="11"/>
      <c r="G115" s="11"/>
      <c r="H115" s="11"/>
      <c r="I115" s="12"/>
      <c r="J115" s="12"/>
      <c r="K115" s="13"/>
      <c r="L115" s="15"/>
      <c r="M115" s="15"/>
      <c r="N115" s="15"/>
      <c r="O115" s="14"/>
      <c r="P115" s="16"/>
      <c r="Q115" s="12"/>
      <c r="R115" s="12"/>
      <c r="S115" s="13"/>
      <c r="T115" s="12"/>
      <c r="U115" s="12"/>
      <c r="V115" s="15"/>
      <c r="W115" s="15"/>
    </row>
    <row r="116" spans="1:23">
      <c r="A116" s="4" t="str">
        <f t="shared" si="3"/>
        <v>01月</v>
      </c>
      <c r="B116" s="4"/>
      <c r="C116" s="11"/>
      <c r="D116" s="11"/>
      <c r="E116" s="11"/>
      <c r="F116" s="11"/>
      <c r="G116" s="11"/>
      <c r="H116" s="11"/>
      <c r="I116" s="12"/>
      <c r="J116" s="12"/>
      <c r="K116" s="13"/>
      <c r="L116" s="15"/>
      <c r="M116" s="15"/>
      <c r="N116" s="15"/>
      <c r="O116" s="14"/>
      <c r="P116" s="16"/>
      <c r="Q116" s="12"/>
      <c r="R116" s="12"/>
      <c r="S116" s="13"/>
      <c r="T116" s="12"/>
      <c r="U116" s="12"/>
      <c r="V116" s="15"/>
      <c r="W116" s="15"/>
    </row>
    <row r="117" spans="1:23">
      <c r="A117" s="4" t="str">
        <f t="shared" si="3"/>
        <v>01月</v>
      </c>
      <c r="B117" s="4"/>
      <c r="C117" s="11"/>
      <c r="D117" s="11"/>
      <c r="E117" s="11"/>
      <c r="F117" s="11"/>
      <c r="G117" s="11"/>
      <c r="H117" s="11"/>
      <c r="I117" s="12"/>
      <c r="J117" s="12"/>
      <c r="K117" s="13"/>
      <c r="L117" s="15"/>
      <c r="M117" s="15"/>
      <c r="N117" s="15"/>
      <c r="O117" s="14"/>
      <c r="P117" s="16"/>
      <c r="Q117" s="12"/>
      <c r="R117" s="12"/>
      <c r="S117" s="13"/>
      <c r="T117" s="12"/>
      <c r="U117" s="12"/>
      <c r="V117" s="15"/>
      <c r="W117" s="15"/>
    </row>
    <row r="118" spans="1:23">
      <c r="A118" s="4" t="str">
        <f t="shared" si="3"/>
        <v>01月</v>
      </c>
      <c r="B118" s="4"/>
      <c r="C118" s="11"/>
      <c r="D118" s="11"/>
      <c r="E118" s="11"/>
      <c r="F118" s="11"/>
      <c r="G118" s="11"/>
      <c r="H118" s="11"/>
      <c r="I118" s="12"/>
      <c r="J118" s="12"/>
      <c r="K118" s="14"/>
      <c r="L118" s="14"/>
      <c r="M118" s="15"/>
      <c r="N118" s="15"/>
      <c r="O118" s="14"/>
      <c r="P118" s="14"/>
      <c r="Q118" s="12"/>
      <c r="R118" s="12"/>
      <c r="S118" s="14"/>
      <c r="T118" s="12"/>
      <c r="U118" s="12"/>
      <c r="V118" s="15"/>
      <c r="W118" s="15"/>
    </row>
    <row r="119" spans="1:23">
      <c r="A119" s="4" t="str">
        <f t="shared" si="3"/>
        <v>01月</v>
      </c>
      <c r="B119" s="4"/>
      <c r="C119" s="11"/>
      <c r="D119" s="11"/>
      <c r="E119" s="11"/>
      <c r="F119" s="11"/>
      <c r="G119" s="11"/>
      <c r="H119" s="11"/>
      <c r="I119" s="12"/>
      <c r="J119" s="12"/>
      <c r="K119" s="13"/>
      <c r="L119" s="15"/>
      <c r="M119" s="15"/>
      <c r="N119" s="15"/>
      <c r="O119" s="14"/>
      <c r="P119" s="16"/>
      <c r="Q119" s="12"/>
      <c r="R119" s="12"/>
      <c r="S119" s="13"/>
      <c r="T119" s="12"/>
      <c r="U119" s="12"/>
      <c r="V119" s="15"/>
      <c r="W119" s="15"/>
    </row>
    <row r="120" spans="1:23">
      <c r="A120" s="4" t="str">
        <f t="shared" si="3"/>
        <v>01月</v>
      </c>
      <c r="B120" s="4"/>
      <c r="C120" s="11"/>
      <c r="D120" s="11"/>
      <c r="E120" s="11"/>
      <c r="F120" s="11"/>
      <c r="G120" s="11"/>
      <c r="H120" s="11"/>
      <c r="I120" s="12"/>
      <c r="J120" s="12"/>
      <c r="K120" s="13"/>
      <c r="L120" s="14"/>
      <c r="M120" s="15"/>
      <c r="N120" s="15"/>
      <c r="O120" s="14"/>
      <c r="P120" s="14"/>
      <c r="Q120" s="12"/>
      <c r="R120" s="12"/>
      <c r="S120" s="14"/>
      <c r="T120" s="12"/>
      <c r="U120" s="12"/>
      <c r="V120" s="15"/>
      <c r="W120" s="15"/>
    </row>
    <row r="121" spans="1:23">
      <c r="A121" s="4" t="str">
        <f t="shared" si="3"/>
        <v>01月</v>
      </c>
      <c r="B121" s="4"/>
      <c r="C121" s="11"/>
      <c r="D121" s="11"/>
      <c r="E121" s="11"/>
      <c r="F121" s="11"/>
      <c r="G121" s="11"/>
      <c r="H121" s="11"/>
      <c r="I121" s="12"/>
      <c r="J121" s="12"/>
      <c r="K121" s="13"/>
      <c r="L121" s="14"/>
      <c r="M121" s="15"/>
      <c r="N121" s="15"/>
      <c r="O121" s="14"/>
      <c r="P121" s="14"/>
      <c r="Q121" s="12"/>
      <c r="R121" s="12"/>
      <c r="S121" s="14"/>
      <c r="T121" s="12"/>
      <c r="U121" s="12"/>
      <c r="V121" s="15"/>
      <c r="W121" s="15"/>
    </row>
    <row r="122" spans="1:23">
      <c r="A122" s="4" t="str">
        <f t="shared" si="3"/>
        <v>01月</v>
      </c>
      <c r="B122" s="4"/>
      <c r="C122" s="11"/>
      <c r="D122" s="11"/>
      <c r="E122" s="11"/>
      <c r="F122" s="11"/>
      <c r="G122" s="11"/>
      <c r="H122" s="11"/>
      <c r="I122" s="12"/>
      <c r="J122" s="12"/>
      <c r="K122" s="13"/>
      <c r="L122" s="14"/>
      <c r="M122" s="15"/>
      <c r="N122" s="15"/>
      <c r="O122" s="14"/>
      <c r="P122" s="14"/>
      <c r="Q122" s="12"/>
      <c r="R122" s="12"/>
      <c r="S122" s="14"/>
      <c r="T122" s="12"/>
      <c r="U122" s="12"/>
      <c r="V122" s="15"/>
      <c r="W122" s="15"/>
    </row>
    <row r="123" spans="1:23">
      <c r="A123" s="4" t="str">
        <f t="shared" si="3"/>
        <v>01月</v>
      </c>
      <c r="B123" s="4"/>
      <c r="C123" s="11"/>
      <c r="D123" s="11"/>
      <c r="E123" s="11"/>
      <c r="F123" s="11"/>
      <c r="G123" s="11"/>
      <c r="H123" s="11"/>
      <c r="I123" s="12"/>
      <c r="J123" s="12"/>
      <c r="K123" s="13"/>
      <c r="L123" s="14"/>
      <c r="M123" s="15"/>
      <c r="N123" s="15"/>
      <c r="O123" s="14"/>
      <c r="P123" s="14"/>
      <c r="Q123" s="12"/>
      <c r="R123" s="12"/>
      <c r="S123" s="14"/>
      <c r="T123" s="12"/>
      <c r="U123" s="12"/>
      <c r="V123" s="15"/>
      <c r="W123" s="15"/>
    </row>
    <row r="124" spans="1:23">
      <c r="A124" s="4" t="str">
        <f t="shared" si="3"/>
        <v>01月</v>
      </c>
      <c r="B124" s="4"/>
      <c r="C124" s="11"/>
      <c r="D124" s="11"/>
      <c r="E124" s="11"/>
      <c r="F124" s="11"/>
      <c r="G124" s="11"/>
      <c r="H124" s="11"/>
      <c r="I124" s="12"/>
      <c r="J124" s="12"/>
      <c r="K124" s="13"/>
      <c r="L124" s="15"/>
      <c r="M124" s="15"/>
      <c r="N124" s="15"/>
      <c r="O124" s="13"/>
      <c r="P124" s="16"/>
      <c r="Q124" s="12"/>
      <c r="R124" s="12"/>
      <c r="S124" s="13"/>
      <c r="T124" s="12"/>
      <c r="U124" s="12"/>
      <c r="V124" s="15"/>
      <c r="W124" s="15"/>
    </row>
    <row r="125" spans="1:23">
      <c r="A125" s="4" t="str">
        <f t="shared" si="3"/>
        <v>01月</v>
      </c>
      <c r="B125" s="4"/>
      <c r="C125" s="11"/>
      <c r="D125" s="11"/>
      <c r="E125" s="11"/>
      <c r="F125" s="11"/>
      <c r="G125" s="11"/>
      <c r="H125" s="11"/>
      <c r="I125" s="12"/>
      <c r="J125" s="12"/>
      <c r="K125" s="13"/>
      <c r="L125" s="14"/>
      <c r="M125" s="15"/>
      <c r="N125" s="15"/>
      <c r="O125" s="14"/>
      <c r="P125" s="14"/>
      <c r="Q125" s="12"/>
      <c r="R125" s="12"/>
      <c r="S125" s="14"/>
      <c r="T125" s="12"/>
      <c r="U125" s="12"/>
      <c r="V125" s="15"/>
      <c r="W125" s="15"/>
    </row>
    <row r="126" spans="1:23">
      <c r="A126" s="4" t="str">
        <f t="shared" si="3"/>
        <v>01月</v>
      </c>
      <c r="B126" s="4"/>
      <c r="C126" s="11"/>
      <c r="D126" s="11"/>
      <c r="E126" s="11"/>
      <c r="F126" s="11"/>
      <c r="G126" s="11"/>
      <c r="H126" s="11"/>
      <c r="I126" s="12"/>
      <c r="J126" s="12"/>
      <c r="K126" s="13"/>
      <c r="L126" s="15"/>
      <c r="M126" s="15"/>
      <c r="N126" s="15"/>
      <c r="O126" s="13"/>
      <c r="P126" s="16"/>
      <c r="Q126" s="12"/>
      <c r="R126" s="12"/>
      <c r="S126" s="13"/>
      <c r="T126" s="12"/>
      <c r="U126" s="12"/>
      <c r="V126" s="15"/>
      <c r="W126" s="15"/>
    </row>
    <row r="127" spans="1:23">
      <c r="A127" s="4" t="str">
        <f t="shared" si="3"/>
        <v>01月</v>
      </c>
      <c r="B127" s="4"/>
      <c r="C127" s="11"/>
      <c r="D127" s="11"/>
      <c r="E127" s="11"/>
      <c r="F127" s="11"/>
      <c r="G127" s="11"/>
      <c r="H127" s="11"/>
      <c r="I127" s="12"/>
      <c r="J127" s="12"/>
      <c r="K127" s="13"/>
      <c r="L127" s="15"/>
      <c r="M127" s="15"/>
      <c r="N127" s="15"/>
      <c r="O127" s="14"/>
      <c r="P127" s="16"/>
      <c r="Q127" s="12"/>
      <c r="R127" s="12"/>
      <c r="S127" s="13"/>
      <c r="T127" s="12"/>
      <c r="U127" s="12"/>
      <c r="V127" s="15"/>
      <c r="W127" s="15"/>
    </row>
    <row r="128" spans="1:23">
      <c r="A128" s="4" t="str">
        <f t="shared" si="3"/>
        <v>01月</v>
      </c>
      <c r="B128" s="4"/>
      <c r="C128" s="11"/>
      <c r="D128" s="11"/>
      <c r="E128" s="11"/>
      <c r="F128" s="11"/>
      <c r="G128" s="11"/>
      <c r="H128" s="11"/>
      <c r="I128" s="12"/>
      <c r="J128" s="12"/>
      <c r="K128" s="13"/>
      <c r="L128" s="15"/>
      <c r="M128" s="15"/>
      <c r="N128" s="15"/>
      <c r="O128" s="13"/>
      <c r="P128" s="16"/>
      <c r="Q128" s="12"/>
      <c r="R128" s="12"/>
      <c r="S128" s="13"/>
      <c r="T128" s="12"/>
      <c r="U128" s="12"/>
      <c r="V128" s="15"/>
      <c r="W128" s="15"/>
    </row>
    <row r="129" spans="1:23">
      <c r="A129" s="4" t="str">
        <f t="shared" si="3"/>
        <v>01月</v>
      </c>
      <c r="B129" s="4"/>
      <c r="C129" s="11"/>
      <c r="D129" s="11"/>
      <c r="E129" s="11"/>
      <c r="F129" s="11"/>
      <c r="G129" s="11"/>
      <c r="H129" s="11"/>
      <c r="I129" s="12"/>
      <c r="J129" s="12"/>
      <c r="K129" s="13"/>
      <c r="L129" s="15"/>
      <c r="M129" s="15"/>
      <c r="N129" s="15"/>
      <c r="O129" s="13"/>
      <c r="P129" s="16"/>
      <c r="Q129" s="12"/>
      <c r="R129" s="12"/>
      <c r="S129" s="13"/>
      <c r="T129" s="12"/>
      <c r="U129" s="12"/>
      <c r="V129" s="15"/>
      <c r="W129" s="15"/>
    </row>
    <row r="130" spans="1:23">
      <c r="A130" s="4" t="str">
        <f t="shared" si="3"/>
        <v>01月</v>
      </c>
      <c r="B130" s="4"/>
      <c r="C130" s="11"/>
      <c r="D130" s="11"/>
      <c r="E130" s="11"/>
      <c r="F130" s="11"/>
      <c r="G130" s="11"/>
      <c r="H130" s="11"/>
      <c r="I130" s="12"/>
      <c r="J130" s="12"/>
      <c r="K130" s="13"/>
      <c r="L130" s="15"/>
      <c r="M130" s="15"/>
      <c r="N130" s="15"/>
      <c r="O130" s="13"/>
      <c r="P130" s="16"/>
      <c r="Q130" s="12"/>
      <c r="R130" s="12"/>
      <c r="S130" s="13"/>
      <c r="T130" s="12"/>
      <c r="U130" s="12"/>
      <c r="V130" s="15"/>
      <c r="W130" s="15"/>
    </row>
    <row r="131" spans="1:23">
      <c r="A131" s="4" t="str">
        <f>IF(MONTH(B131)&lt;10,"0"&amp;MONTH(B131)&amp;"月",MONTH(B131)&amp;"月")</f>
        <v>01月</v>
      </c>
      <c r="B131" s="4"/>
      <c r="C131" s="11"/>
      <c r="D131" s="11"/>
      <c r="E131" s="11"/>
      <c r="F131" s="11"/>
      <c r="G131" s="11"/>
      <c r="H131" s="11"/>
      <c r="I131" s="12"/>
      <c r="J131" s="12"/>
      <c r="K131" s="13"/>
      <c r="L131" s="15"/>
      <c r="M131" s="15"/>
      <c r="N131" s="15"/>
      <c r="O131" s="13"/>
      <c r="P131" s="16"/>
      <c r="Q131" s="12"/>
      <c r="R131" s="12"/>
      <c r="S131" s="13"/>
      <c r="T131" s="12"/>
      <c r="U131" s="12"/>
      <c r="V131" s="15"/>
      <c r="W131" s="15"/>
    </row>
    <row r="132" spans="1:23">
      <c r="A132" s="4" t="str">
        <f>IF(MONTH(B132)&lt;10,"0"&amp;MONTH(B132)&amp;"月",MONTH(B132)&amp;"月")</f>
        <v>01月</v>
      </c>
      <c r="B132" s="4"/>
      <c r="C132" s="11"/>
      <c r="D132" s="11"/>
      <c r="E132" s="11"/>
      <c r="F132" s="11"/>
      <c r="G132" s="11"/>
      <c r="H132" s="11"/>
      <c r="I132" s="12"/>
      <c r="J132" s="12"/>
      <c r="K132" s="13"/>
      <c r="L132" s="15"/>
      <c r="M132" s="15"/>
      <c r="N132" s="15"/>
      <c r="O132" s="13"/>
      <c r="P132" s="16"/>
      <c r="Q132" s="12"/>
      <c r="R132" s="12"/>
      <c r="S132" s="13"/>
      <c r="T132" s="12"/>
      <c r="U132" s="12"/>
      <c r="V132" s="15"/>
      <c r="W132" s="15"/>
    </row>
    <row r="133" spans="1:23">
      <c r="A133" s="4" t="str">
        <f>IF(MONTH(B133)&lt;10,"0"&amp;MONTH(B133)&amp;"月",MONTH(B133)&amp;"月")</f>
        <v>01月</v>
      </c>
      <c r="B133" s="4"/>
      <c r="C133" s="11"/>
      <c r="D133" s="11"/>
      <c r="E133" s="11"/>
      <c r="F133" s="11"/>
      <c r="G133" s="11"/>
      <c r="H133" s="11"/>
      <c r="I133" s="12"/>
      <c r="J133" s="12"/>
      <c r="K133" s="13"/>
      <c r="L133" s="15"/>
      <c r="M133" s="15"/>
      <c r="N133" s="15"/>
      <c r="O133" s="13"/>
      <c r="P133" s="16"/>
      <c r="Q133" s="12"/>
      <c r="R133" s="12"/>
      <c r="S133" s="13"/>
      <c r="T133" s="12"/>
      <c r="U133" s="12"/>
      <c r="V133" s="15"/>
      <c r="W133" s="15"/>
    </row>
    <row r="134" spans="1:23">
      <c r="A134" s="4" t="str">
        <f>IF(MONTH(B134)&lt;10,"0"&amp;MONTH(B134)&amp;"月",MONTH(B134)&amp;"月")</f>
        <v>01月</v>
      </c>
      <c r="B134" s="4"/>
      <c r="C134" s="11"/>
      <c r="D134" s="11"/>
      <c r="E134" s="11"/>
      <c r="F134" s="11"/>
      <c r="G134" s="11"/>
      <c r="H134" s="11"/>
      <c r="I134" s="12"/>
      <c r="J134" s="12"/>
      <c r="K134" s="13"/>
      <c r="L134" s="15"/>
      <c r="M134" s="15"/>
      <c r="N134" s="15"/>
      <c r="O134" s="13"/>
      <c r="P134" s="16"/>
      <c r="Q134" s="12"/>
      <c r="R134" s="12"/>
      <c r="S134" s="13"/>
      <c r="T134" s="12"/>
      <c r="U134" s="12"/>
      <c r="V134" s="15"/>
      <c r="W134" s="15"/>
    </row>
    <row r="135" spans="1:23">
      <c r="A135" s="4" t="str">
        <f>IF(MONTH(B135)&lt;10,"0"&amp;MONTH(B135)&amp;"月",MONTH(B135)&amp;"月")</f>
        <v>01月</v>
      </c>
      <c r="B135" s="4"/>
      <c r="C135" s="11"/>
      <c r="D135" s="11"/>
      <c r="E135" s="11"/>
      <c r="F135" s="11"/>
      <c r="G135" s="11"/>
      <c r="H135" s="11"/>
      <c r="I135" s="12"/>
      <c r="J135" s="12"/>
      <c r="K135" s="13"/>
      <c r="L135" s="15"/>
      <c r="M135" s="15"/>
      <c r="N135" s="15"/>
      <c r="O135" s="13"/>
      <c r="P135" s="16"/>
      <c r="Q135" s="12"/>
      <c r="R135" s="12"/>
      <c r="S135" s="13"/>
      <c r="T135" s="12"/>
      <c r="U135" s="12"/>
      <c r="V135" s="15"/>
      <c r="W135" s="15"/>
    </row>
    <row r="136" spans="1:23">
      <c r="A136" s="4" t="str">
        <f>IF(MONTH(B136)&lt;10,"0"&amp;MONTH(B136)&amp;"月",MONTH(B136)&amp;"月")</f>
        <v>01月</v>
      </c>
      <c r="B136" s="4"/>
      <c r="C136" s="11"/>
      <c r="D136" s="11"/>
      <c r="E136" s="11"/>
      <c r="F136" s="11"/>
      <c r="G136" s="11"/>
      <c r="H136" s="11"/>
      <c r="I136" s="12"/>
      <c r="J136" s="12"/>
      <c r="K136" s="13"/>
      <c r="L136" s="15"/>
      <c r="M136" s="15"/>
      <c r="N136" s="15"/>
      <c r="O136" s="13"/>
      <c r="P136" s="16"/>
      <c r="Q136" s="12"/>
      <c r="R136" s="12"/>
      <c r="S136" s="13"/>
      <c r="T136" s="12"/>
      <c r="U136" s="12"/>
      <c r="V136" s="15"/>
      <c r="W136" s="15"/>
    </row>
    <row r="137" spans="1:23">
      <c r="A137" s="4" t="str">
        <f>IF(MONTH(B137)&lt;10,"0"&amp;MONTH(B137)&amp;"月",MONTH(B137)&amp;"月")</f>
        <v>01月</v>
      </c>
      <c r="B137" s="4"/>
      <c r="C137" s="11"/>
      <c r="D137" s="11"/>
      <c r="E137" s="11"/>
      <c r="F137" s="11"/>
      <c r="G137" s="11"/>
      <c r="H137" s="11"/>
      <c r="I137" s="12"/>
      <c r="J137" s="12"/>
      <c r="K137" s="13"/>
      <c r="L137" s="15"/>
      <c r="M137" s="15"/>
      <c r="N137" s="15"/>
      <c r="O137" s="13"/>
      <c r="P137" s="16"/>
      <c r="Q137" s="12"/>
      <c r="R137" s="12"/>
      <c r="S137" s="13"/>
      <c r="T137" s="12"/>
      <c r="U137" s="12"/>
      <c r="V137" s="15"/>
      <c r="W137" s="15"/>
    </row>
    <row r="138" spans="1:23">
      <c r="A138" s="4" t="str">
        <f>IF(MONTH(B138)&lt;10,"0"&amp;MONTH(B138)&amp;"月",MONTH(B138)&amp;"月")</f>
        <v>01月</v>
      </c>
      <c r="B138" s="4"/>
      <c r="C138" s="11"/>
      <c r="D138" s="11"/>
      <c r="E138" s="11"/>
      <c r="F138" s="11"/>
      <c r="G138" s="11"/>
      <c r="H138" s="11"/>
      <c r="I138" s="12"/>
      <c r="J138" s="12"/>
      <c r="K138" s="13"/>
      <c r="L138" s="15"/>
      <c r="M138" s="15"/>
      <c r="N138" s="15"/>
      <c r="O138" s="13"/>
      <c r="P138" s="16"/>
      <c r="Q138" s="12"/>
      <c r="R138" s="12"/>
      <c r="S138" s="13"/>
      <c r="T138" s="12"/>
      <c r="U138" s="12"/>
      <c r="V138" s="15"/>
      <c r="W138" s="15"/>
    </row>
  </sheetData>
  <autoFilter ref="A1:W13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跟进备注</vt:lpstr>
      <vt:lpstr>7.颜色分析（排名）</vt:lpstr>
      <vt:lpstr>6.颜色分析</vt:lpstr>
      <vt:lpstr>5.业务报告&amp;AD报告分析</vt:lpstr>
      <vt:lpstr>4.BusinessReport-1201-1214</vt:lpstr>
      <vt:lpstr>3.SKU处理-排名</vt:lpstr>
      <vt:lpstr>2.SKU透视表</vt:lpstr>
      <vt:lpstr> 1.Advertised report  （SKU报告）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</cp:lastModifiedBy>
  <dcterms:created xsi:type="dcterms:W3CDTF">2006-09-16T00:00:00Z</dcterms:created>
  <dcterms:modified xsi:type="dcterms:W3CDTF">2023-12-16T23:41:36Z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9D03EFD9092B43F89E2D31960C9BEEB6</vt:lpwstr>
  </property>
  <property fmtid="{D5CDD505-2E9C-101B-9397-08002B2CF9AE}" pid="3" name="KSOProductBuildVer">
    <vt:lpwstr>2052-12.1.0.16120</vt:lpwstr>
  </property>
</Properties>
</file>