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95" windowHeight="11940"/>
  </bookViews>
  <sheets>
    <sheet name="推广计划" sheetId="1" r:id="rId1"/>
    <sheet name="运营数据记录" sheetId="2" r:id="rId2"/>
    <sheet name="库存管理" sheetId="3" r:id="rId3"/>
    <sheet name="发货登记" sheetId="4" r:id="rId4"/>
    <sheet name="广告词总表" sheetId="5" r:id="rId5"/>
  </sheets>
  <calcPr calcId="144525"/>
</workbook>
</file>

<file path=xl/sharedStrings.xml><?xml version="1.0" encoding="utf-8"?>
<sst xmlns="http://schemas.openxmlformats.org/spreadsheetml/2006/main" count="217" uniqueCount="175">
  <si>
    <t>项目总纲</t>
  </si>
  <si>
    <t>基础信息</t>
  </si>
  <si>
    <t>项目名称</t>
  </si>
  <si>
    <t>目标市场</t>
  </si>
  <si>
    <t>目标排名</t>
  </si>
  <si>
    <t>目标销量</t>
  </si>
  <si>
    <t>定价</t>
  </si>
  <si>
    <t>品牌</t>
  </si>
  <si>
    <t>成本</t>
  </si>
  <si>
    <t>毛利率（不含推广退货）</t>
  </si>
  <si>
    <t>颜色</t>
  </si>
  <si>
    <t>推广周期</t>
  </si>
  <si>
    <t>推广计划</t>
  </si>
  <si>
    <t>推广思路分析</t>
  </si>
  <si>
    <t>执行时间</t>
  </si>
  <si>
    <t>阶段总述</t>
  </si>
  <si>
    <t>阶段目标</t>
  </si>
  <si>
    <t>内容说明</t>
  </si>
  <si>
    <t>总发货数量</t>
  </si>
  <si>
    <t>目标销售额</t>
  </si>
  <si>
    <t>广告订单</t>
  </si>
  <si>
    <t>广告预算</t>
  </si>
  <si>
    <t>站外/站内折扣</t>
  </si>
  <si>
    <t>VAT</t>
  </si>
  <si>
    <t>物流费用</t>
  </si>
  <si>
    <t>产品费用</t>
  </si>
  <si>
    <t>毛利</t>
  </si>
  <si>
    <t>投入产出比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</si>
  <si>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</si>
  <si>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</si>
  <si>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</si>
  <si>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</si>
  <si>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</si>
  <si>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</si>
  <si>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</si>
  <si>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</si>
  <si>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</si>
  <si>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</si>
  <si>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</si>
  <si>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时间</t>
  </si>
  <si>
    <t>目标订单</t>
  </si>
  <si>
    <t>核心数据</t>
  </si>
  <si>
    <t>链接状况</t>
  </si>
  <si>
    <t>广告</t>
  </si>
  <si>
    <t>阶段推广动作</t>
  </si>
  <si>
    <t>时间节奏</t>
  </si>
  <si>
    <t>日期</t>
  </si>
  <si>
    <t>销量目标值</t>
  </si>
  <si>
    <t>预计总销量</t>
  </si>
  <si>
    <t>目标订单递增率</t>
  </si>
  <si>
    <t>售价/€</t>
  </si>
  <si>
    <t>销售额/€</t>
  </si>
  <si>
    <t>站内站外总折扣</t>
  </si>
  <si>
    <t>销量</t>
  </si>
  <si>
    <t>订单数量</t>
  </si>
  <si>
    <t>自然订单</t>
  </si>
  <si>
    <t>自然订单占比</t>
  </si>
  <si>
    <t>销量增长率</t>
  </si>
  <si>
    <t>访客数</t>
  </si>
  <si>
    <t>自然转化率</t>
  </si>
  <si>
    <t>广告转化率</t>
  </si>
  <si>
    <t>业务报告转化率</t>
  </si>
  <si>
    <t>广告预算/€</t>
  </si>
  <si>
    <t>当日广告ACOS</t>
  </si>
  <si>
    <t>当日广告费占比ACOAS</t>
  </si>
  <si>
    <t>H10总收录词（TOTAL)</t>
  </si>
  <si>
    <t>H10自然排名词（ORGANIC)</t>
  </si>
  <si>
    <t>O/T</t>
  </si>
  <si>
    <t>小类排名</t>
  </si>
  <si>
    <t>大类排名</t>
  </si>
  <si>
    <t>评论数量</t>
  </si>
  <si>
    <t>评分</t>
  </si>
  <si>
    <t>H10总收录词（TOTAL)精准度</t>
  </si>
  <si>
    <t>TOTAL/BSR TOTAL占比</t>
  </si>
  <si>
    <t>退款率</t>
  </si>
  <si>
    <t>当日广告曝光量</t>
  </si>
  <si>
    <t>当日广告点击量</t>
  </si>
  <si>
    <t>当日广告点击量率</t>
  </si>
  <si>
    <t>广告单量</t>
  </si>
  <si>
    <t>当日Bid的价格CPC</t>
  </si>
  <si>
    <t>当日总广告花费</t>
  </si>
  <si>
    <t>当日广告费占比TACOS</t>
  </si>
  <si>
    <t>推广阶段1</t>
  </si>
  <si>
    <t>第1天</t>
  </si>
  <si>
    <t>第2天</t>
  </si>
  <si>
    <t>第3天</t>
  </si>
  <si>
    <t>第4天</t>
  </si>
  <si>
    <t>第5天</t>
  </si>
  <si>
    <t/>
  </si>
  <si>
    <t>第6天</t>
  </si>
  <si>
    <t>第7天</t>
  </si>
  <si>
    <t>第8天</t>
  </si>
  <si>
    <t>第9天</t>
  </si>
  <si>
    <t>第10天</t>
  </si>
  <si>
    <t>第11天</t>
  </si>
  <si>
    <t>第12天</t>
  </si>
  <si>
    <t>第13天</t>
  </si>
  <si>
    <t>第14天</t>
  </si>
  <si>
    <t>推广阶段2</t>
  </si>
  <si>
    <t>第15天</t>
  </si>
  <si>
    <t>第16天</t>
  </si>
  <si>
    <t>第17天</t>
  </si>
  <si>
    <t>第18天</t>
  </si>
  <si>
    <t>第19天</t>
  </si>
  <si>
    <t>第20天</t>
  </si>
  <si>
    <t>第21天</t>
  </si>
  <si>
    <t>第22天</t>
  </si>
  <si>
    <t>第23天</t>
  </si>
  <si>
    <t>第24天</t>
  </si>
  <si>
    <t>第25天</t>
  </si>
  <si>
    <t>第26天</t>
  </si>
  <si>
    <t>第27天</t>
  </si>
  <si>
    <t>第28天</t>
  </si>
  <si>
    <t>第29天</t>
  </si>
  <si>
    <t>第30天</t>
  </si>
  <si>
    <t>第31天</t>
  </si>
  <si>
    <t>第32天</t>
  </si>
  <si>
    <t>第33天</t>
  </si>
  <si>
    <t>第34天</t>
  </si>
  <si>
    <t>第35天</t>
  </si>
  <si>
    <t>第36天</t>
  </si>
  <si>
    <t>第37天</t>
  </si>
  <si>
    <t>第38天</t>
  </si>
  <si>
    <t>第39天</t>
  </si>
  <si>
    <t>第40天</t>
  </si>
  <si>
    <t>第41天</t>
  </si>
  <si>
    <t>第42天</t>
  </si>
  <si>
    <t>第43天</t>
  </si>
  <si>
    <t>第44天</t>
  </si>
  <si>
    <t>第45天</t>
  </si>
  <si>
    <t>第46天</t>
  </si>
  <si>
    <t>第47天</t>
  </si>
  <si>
    <t>第48天</t>
  </si>
  <si>
    <t>第49天</t>
  </si>
  <si>
    <t>库存汇总</t>
  </si>
  <si>
    <t>店铺</t>
  </si>
  <si>
    <t>产品</t>
  </si>
  <si>
    <t>站点</t>
  </si>
  <si>
    <t>ASIN</t>
  </si>
  <si>
    <t>预估销量</t>
  </si>
  <si>
    <t>FBA可售</t>
  </si>
  <si>
    <t>调仓中</t>
  </si>
  <si>
    <t>FBA+调仓可售天数</t>
  </si>
  <si>
    <t>已签收待上架数量</t>
  </si>
  <si>
    <t>5天内预计到货数量</t>
  </si>
  <si>
    <t>6-10天预计到货数量</t>
  </si>
  <si>
    <t>11-30天内预计到货数量</t>
  </si>
  <si>
    <t>30天以上预计到货数量</t>
  </si>
  <si>
    <t>总库存(FBA+路上)</t>
  </si>
  <si>
    <t>库存合计</t>
  </si>
  <si>
    <t>总库存可售天数</t>
  </si>
  <si>
    <t>备注</t>
  </si>
  <si>
    <t>站点汇总</t>
  </si>
  <si>
    <t>货件汇总</t>
  </si>
  <si>
    <t>作用</t>
  </si>
  <si>
    <t>国家</t>
  </si>
  <si>
    <t>FBA货件号</t>
  </si>
  <si>
    <t>物流方式</t>
  </si>
  <si>
    <t>发货数量</t>
  </si>
  <si>
    <t>发货日期</t>
  </si>
  <si>
    <t>预计到货日期</t>
  </si>
  <si>
    <t>货件状态</t>
  </si>
  <si>
    <t>物流单号</t>
  </si>
  <si>
    <t>物流状态</t>
  </si>
  <si>
    <t>签收数量</t>
  </si>
  <si>
    <t>签收异常处理进度</t>
  </si>
  <si>
    <t>广告投放计划</t>
  </si>
  <si>
    <t>广告投放词库</t>
  </si>
  <si>
    <t>词容量</t>
  </si>
  <si>
    <t>竞品数</t>
  </si>
  <si>
    <t>前台搜索数</t>
  </si>
  <si>
    <t>自然排名</t>
  </si>
  <si>
    <t>广告排名</t>
  </si>
  <si>
    <t>广告词组否定</t>
  </si>
  <si>
    <t>广告精准否定</t>
  </si>
</sst>
</file>

<file path=xl/styles.xml><?xml version="1.0" encoding="utf-8"?>
<styleSheet xmlns="http://schemas.openxmlformats.org/spreadsheetml/2006/main">
  <numFmts count="10">
    <numFmt numFmtId="176" formatCode="[$-804]aaaa;@"/>
    <numFmt numFmtId="177" formatCode="#,##0.00_ "/>
    <numFmt numFmtId="178" formatCode="yyyy/m/d;@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9" formatCode="0.000_ "/>
    <numFmt numFmtId="6" formatCode="&quot;￥&quot;#,##0;[Red]&quot;￥&quot;\-#,##0"/>
    <numFmt numFmtId="44" formatCode="_ &quot;￥&quot;* #,##0.00_ ;_ &quot;￥&quot;* \-#,##0.00_ ;_ &quot;￥&quot;* &quot;-&quot;??_ ;_ @_ "/>
    <numFmt numFmtId="180" formatCode="0.00_);[Red]\(0.00\)"/>
  </numFmts>
  <fonts count="55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11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微软雅黑"/>
      <charset val="134"/>
    </font>
    <font>
      <sz val="9"/>
      <name val="宋体"/>
      <charset val="134"/>
      <scheme val="minor"/>
    </font>
    <font>
      <b/>
      <sz val="11"/>
      <name val="微软雅黑"/>
      <charset val="134"/>
    </font>
    <font>
      <sz val="9"/>
      <color rgb="FFFF0000"/>
      <name val="微软雅黑"/>
      <charset val="134"/>
    </font>
    <font>
      <sz val="9"/>
      <color rgb="FF2B2B2B"/>
      <name val="微软雅黑"/>
      <charset val="134"/>
    </font>
    <font>
      <sz val="9"/>
      <color rgb="FF000000"/>
      <name val="宋体"/>
      <charset val="134"/>
      <scheme val="minor"/>
    </font>
    <font>
      <sz val="9"/>
      <color rgb="FF000000"/>
      <name val="BlinkMacSystemFont"/>
      <charset val="134"/>
    </font>
    <font>
      <b/>
      <sz val="10"/>
      <color rgb="FFFF0000"/>
      <name val="微软雅黑"/>
      <charset val="134"/>
    </font>
    <font>
      <b/>
      <sz val="9"/>
      <color rgb="FFFF0000"/>
      <name val="微软雅黑"/>
      <charset val="134"/>
    </font>
    <font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333333"/>
      <name val="微软雅黑"/>
      <charset val="134"/>
    </font>
    <font>
      <b/>
      <sz val="24"/>
      <name val="微软雅黑"/>
      <charset val="134"/>
    </font>
    <font>
      <b/>
      <sz val="16"/>
      <name val="微软雅黑"/>
      <charset val="134"/>
    </font>
    <font>
      <sz val="12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E2EFDA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6" fillId="19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31" borderId="26" applyNumberFormat="0" applyFont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7" fillId="7" borderId="19" applyNumberFormat="0" applyAlignment="0" applyProtection="0">
      <alignment vertical="center"/>
    </xf>
    <xf numFmtId="0" fontId="44" fillId="17" borderId="22" applyNumberFormat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21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58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left" wrapText="1"/>
    </xf>
    <xf numFmtId="0" fontId="2" fillId="5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2" fillId="6" borderId="1" xfId="0" applyNumberFormat="1" applyFont="1" applyFill="1" applyBorder="1" applyAlignment="1">
      <alignment horizontal="left" wrapText="1"/>
    </xf>
    <xf numFmtId="0" fontId="2" fillId="7" borderId="1" xfId="0" applyNumberFormat="1" applyFont="1" applyFill="1" applyBorder="1" applyAlignment="1">
      <alignment horizontal="left" wrapText="1"/>
    </xf>
    <xf numFmtId="177" fontId="2" fillId="0" borderId="1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left" wrapText="1"/>
    </xf>
    <xf numFmtId="0" fontId="2" fillId="6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47" applyFont="1" applyFill="1" applyBorder="1" applyAlignment="1">
      <alignment horizontal="left" vertical="center" wrapText="1"/>
    </xf>
    <xf numFmtId="0" fontId="4" fillId="0" borderId="1" xfId="47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/>
    </xf>
    <xf numFmtId="0" fontId="2" fillId="8" borderId="1" xfId="0" applyNumberFormat="1" applyFont="1" applyFill="1" applyBorder="1" applyAlignment="1">
      <alignment horizontal="left"/>
    </xf>
    <xf numFmtId="0" fontId="2" fillId="9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/>
    <xf numFmtId="0" fontId="2" fillId="9" borderId="1" xfId="0" applyNumberFormat="1" applyFont="1" applyFill="1" applyBorder="1" applyAlignment="1"/>
    <xf numFmtId="0" fontId="2" fillId="8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/>
    </xf>
    <xf numFmtId="180" fontId="10" fillId="0" borderId="3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11" xfId="0" applyNumberFormat="1" applyFont="1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5" fillId="12" borderId="12" xfId="0" applyNumberFormat="1" applyFont="1" applyFill="1" applyBorder="1" applyAlignment="1">
      <alignment horizontal="center" vertical="center"/>
    </xf>
    <xf numFmtId="0" fontId="15" fillId="12" borderId="2" xfId="0" applyNumberFormat="1" applyFont="1" applyFill="1" applyBorder="1" applyAlignment="1">
      <alignment horizontal="center" vertical="center"/>
    </xf>
    <xf numFmtId="180" fontId="15" fillId="12" borderId="2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180" fontId="11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180" fontId="15" fillId="0" borderId="0" xfId="0" applyNumberFormat="1" applyFont="1" applyFill="1" applyBorder="1" applyAlignment="1">
      <alignment vertical="center"/>
    </xf>
    <xf numFmtId="0" fontId="10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180" fontId="9" fillId="0" borderId="3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1" fillId="12" borderId="2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24" fillId="0" borderId="13" xfId="0" applyNumberFormat="1" applyFont="1" applyFill="1" applyBorder="1" applyAlignment="1">
      <alignment vertical="center"/>
    </xf>
    <xf numFmtId="0" fontId="25" fillId="0" borderId="14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0" fontId="26" fillId="0" borderId="0" xfId="0" applyNumberFormat="1" applyFont="1" applyFill="1" applyAlignment="1">
      <alignment vertical="center"/>
    </xf>
    <xf numFmtId="178" fontId="26" fillId="0" borderId="0" xfId="0" applyNumberFormat="1" applyFont="1" applyFill="1" applyAlignment="1">
      <alignment vertical="center"/>
    </xf>
    <xf numFmtId="10" fontId="26" fillId="0" borderId="0" xfId="0" applyNumberFormat="1" applyFont="1" applyFill="1" applyAlignment="1">
      <alignment vertical="center"/>
    </xf>
    <xf numFmtId="0" fontId="27" fillId="10" borderId="13" xfId="0" applyNumberFormat="1" applyFont="1" applyFill="1" applyBorder="1" applyAlignment="1">
      <alignment horizontal="center" vertical="center"/>
    </xf>
    <xf numFmtId="178" fontId="27" fillId="10" borderId="13" xfId="0" applyNumberFormat="1" applyFont="1" applyFill="1" applyBorder="1" applyAlignment="1">
      <alignment horizontal="center" vertical="center"/>
    </xf>
    <xf numFmtId="0" fontId="27" fillId="11" borderId="13" xfId="0" applyNumberFormat="1" applyFont="1" applyFill="1" applyBorder="1" applyAlignment="1">
      <alignment horizontal="center" vertical="center"/>
    </xf>
    <xf numFmtId="10" fontId="27" fillId="12" borderId="13" xfId="0" applyNumberFormat="1" applyFont="1" applyFill="1" applyBorder="1" applyAlignment="1">
      <alignment horizontal="center" vertical="center"/>
    </xf>
    <xf numFmtId="0" fontId="25" fillId="0" borderId="14" xfId="0" applyNumberFormat="1" applyFont="1" applyFill="1" applyBorder="1" applyAlignment="1">
      <alignment horizontal="center" vertical="center" wrapText="1"/>
    </xf>
    <xf numFmtId="178" fontId="25" fillId="0" borderId="14" xfId="0" applyNumberFormat="1" applyFont="1" applyFill="1" applyBorder="1" applyAlignment="1">
      <alignment horizontal="center" vertical="center" wrapText="1"/>
    </xf>
    <xf numFmtId="0" fontId="17" fillId="0" borderId="14" xfId="0" applyNumberFormat="1" applyFont="1" applyFill="1" applyBorder="1" applyAlignment="1">
      <alignment horizontal="center" vertical="center" wrapText="1"/>
    </xf>
    <xf numFmtId="10" fontId="17" fillId="0" borderId="14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/>
    </xf>
    <xf numFmtId="0" fontId="28" fillId="0" borderId="15" xfId="0" applyNumberFormat="1" applyFont="1" applyFill="1" applyBorder="1" applyAlignment="1">
      <alignment horizontal="center" vertical="center"/>
    </xf>
    <xf numFmtId="178" fontId="28" fillId="0" borderId="3" xfId="0" applyNumberFormat="1" applyFont="1" applyFill="1" applyBorder="1" applyAlignment="1">
      <alignment vertical="center"/>
    </xf>
    <xf numFmtId="10" fontId="9" fillId="0" borderId="3" xfId="0" applyNumberFormat="1" applyFont="1" applyFill="1" applyBorder="1" applyAlignment="1">
      <alignment horizontal="center" vertical="center"/>
    </xf>
    <xf numFmtId="4" fontId="28" fillId="0" borderId="3" xfId="0" applyNumberFormat="1" applyFont="1" applyFill="1" applyBorder="1" applyAlignment="1">
      <alignment horizontal="center" vertical="center"/>
    </xf>
    <xf numFmtId="0" fontId="28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/>
    </xf>
    <xf numFmtId="178" fontId="28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0" fontId="28" fillId="0" borderId="8" xfId="0" applyNumberFormat="1" applyFont="1" applyFill="1" applyBorder="1" applyAlignment="1">
      <alignment horizontal="center" vertical="center" wrapText="1"/>
    </xf>
    <xf numFmtId="0" fontId="28" fillId="0" borderId="16" xfId="0" applyNumberFormat="1" applyFont="1" applyFill="1" applyBorder="1" applyAlignment="1">
      <alignment horizontal="center" vertical="center" wrapText="1"/>
    </xf>
    <xf numFmtId="0" fontId="28" fillId="0" borderId="7" xfId="0" applyNumberFormat="1" applyFont="1" applyFill="1" applyBorder="1" applyAlignment="1">
      <alignment horizontal="center" vertical="center"/>
    </xf>
    <xf numFmtId="0" fontId="28" fillId="0" borderId="17" xfId="0" applyNumberFormat="1" applyFont="1" applyFill="1" applyBorder="1" applyAlignment="1">
      <alignment horizontal="center" vertical="center" wrapText="1"/>
    </xf>
    <xf numFmtId="0" fontId="28" fillId="0" borderId="11" xfId="0" applyNumberFormat="1" applyFont="1" applyFill="1" applyBorder="1" applyAlignment="1">
      <alignment horizontal="center" vertical="center"/>
    </xf>
    <xf numFmtId="178" fontId="28" fillId="0" borderId="8" xfId="0" applyNumberFormat="1" applyFont="1" applyFill="1" applyBorder="1" applyAlignment="1">
      <alignment vertical="center"/>
    </xf>
    <xf numFmtId="0" fontId="9" fillId="0" borderId="8" xfId="0" applyNumberFormat="1" applyFont="1" applyFill="1" applyBorder="1" applyAlignment="1">
      <alignment horizontal="center" vertical="center"/>
    </xf>
    <xf numFmtId="10" fontId="9" fillId="0" borderId="8" xfId="0" applyNumberFormat="1" applyFont="1" applyFill="1" applyBorder="1" applyAlignment="1">
      <alignment horizontal="center" vertical="center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/>
    </xf>
    <xf numFmtId="178" fontId="28" fillId="0" borderId="9" xfId="0" applyNumberFormat="1" applyFont="1" applyFill="1" applyBorder="1" applyAlignment="1">
      <alignment vertical="center"/>
    </xf>
    <xf numFmtId="0" fontId="9" fillId="0" borderId="9" xfId="0" applyNumberFormat="1" applyFont="1" applyFill="1" applyBorder="1" applyAlignment="1">
      <alignment horizontal="center" vertical="center"/>
    </xf>
    <xf numFmtId="10" fontId="9" fillId="0" borderId="9" xfId="0" applyNumberFormat="1" applyFont="1" applyFill="1" applyBorder="1" applyAlignment="1">
      <alignment horizontal="center" vertical="center"/>
    </xf>
    <xf numFmtId="4" fontId="28" fillId="0" borderId="5" xfId="0" applyNumberFormat="1" applyFont="1" applyFill="1" applyBorder="1" applyAlignment="1">
      <alignment horizontal="center" vertical="center"/>
    </xf>
    <xf numFmtId="10" fontId="25" fillId="0" borderId="14" xfId="0" applyNumberFormat="1" applyFont="1" applyFill="1" applyBorder="1" applyAlignment="1">
      <alignment horizontal="center" vertical="center" wrapText="1"/>
    </xf>
    <xf numFmtId="10" fontId="28" fillId="0" borderId="3" xfId="0" applyNumberFormat="1" applyFont="1" applyFill="1" applyBorder="1" applyAlignment="1">
      <alignment horizontal="center" vertical="center"/>
    </xf>
    <xf numFmtId="10" fontId="28" fillId="0" borderId="1" xfId="0" applyNumberFormat="1" applyFont="1" applyFill="1" applyBorder="1" applyAlignment="1">
      <alignment horizontal="center" vertical="center"/>
    </xf>
    <xf numFmtId="10" fontId="28" fillId="0" borderId="8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vertical="center"/>
    </xf>
    <xf numFmtId="0" fontId="29" fillId="0" borderId="1" xfId="0" applyNumberFormat="1" applyFont="1" applyFill="1" applyBorder="1" applyAlignment="1">
      <alignment horizontal="center" vertical="center"/>
    </xf>
    <xf numFmtId="0" fontId="28" fillId="0" borderId="8" xfId="0" applyNumberFormat="1" applyFont="1" applyFill="1" applyBorder="1" applyAlignment="1">
      <alignment horizontal="center" vertical="center"/>
    </xf>
    <xf numFmtId="10" fontId="27" fillId="11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31" fillId="10" borderId="13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32" fillId="0" borderId="0" xfId="0" applyFont="1" applyFill="1" applyAlignment="1">
      <alignment horizontal="center" vertical="center" wrapText="1"/>
    </xf>
    <xf numFmtId="0" fontId="31" fillId="11" borderId="13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left" vertical="center" wrapText="1"/>
    </xf>
    <xf numFmtId="0" fontId="33" fillId="12" borderId="18" xfId="0" applyFont="1" applyFill="1" applyBorder="1" applyAlignment="1">
      <alignment horizontal="center" vertical="center"/>
    </xf>
    <xf numFmtId="176" fontId="33" fillId="12" borderId="18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left" vertical="center" wrapText="1"/>
    </xf>
    <xf numFmtId="6" fontId="32" fillId="0" borderId="0" xfId="0" applyNumberFormat="1" applyFont="1" applyFill="1" applyAlignment="1">
      <alignment horizontal="center" vertical="center" wrapText="1"/>
    </xf>
    <xf numFmtId="9" fontId="32" fillId="0" borderId="0" xfId="0" applyNumberFormat="1" applyFont="1" applyFill="1" applyAlignment="1">
      <alignment horizontal="center" vertical="center" wrapText="1"/>
    </xf>
    <xf numFmtId="9" fontId="34" fillId="0" borderId="0" xfId="0" applyNumberFormat="1" applyFont="1" applyFill="1" applyBorder="1" applyAlignment="1">
      <alignment horizontal="left" vertical="center" wrapText="1"/>
    </xf>
    <xf numFmtId="10" fontId="34" fillId="0" borderId="0" xfId="0" applyNumberFormat="1" applyFont="1" applyFill="1" applyBorder="1" applyAlignment="1">
      <alignment horizontal="left" vertical="center" wrapText="1"/>
    </xf>
    <xf numFmtId="179" fontId="34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2 3" xfId="47"/>
    <cellStyle name="40% - 强调文字颜色 6" xfId="48" builtinId="51"/>
    <cellStyle name="60% - 强调文字颜色 6" xfId="49" builtinId="52"/>
  </cellStyles>
  <dxfs count="2">
    <dxf>
      <font>
        <color rgb="FF2B2B2B"/>
      </font>
      <fill>
        <patternFill patternType="solid">
          <bgColor rgb="FFFBD4D0"/>
        </patternFill>
      </fill>
    </dxf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"/>
  <sheetViews>
    <sheetView tabSelected="1" zoomScale="85" zoomScaleNormal="85" workbookViewId="0">
      <pane xSplit="16" ySplit="9" topLeftCell="Q10" activePane="bottomRight" state="frozen"/>
      <selection/>
      <selection pane="topRight"/>
      <selection pane="bottomLeft"/>
      <selection pane="bottomRight" activeCell="F10" sqref="F10:F16"/>
    </sheetView>
  </sheetViews>
  <sheetFormatPr defaultColWidth="9" defaultRowHeight="28" customHeight="1"/>
  <cols>
    <col min="1" max="21" width="15.3" style="148" customWidth="1"/>
    <col min="22" max="16384" width="9" style="148"/>
  </cols>
  <sheetData>
    <row r="1" ht="45" customHeight="1" spans="1:16">
      <c r="A1" s="149" t="s">
        <v>0</v>
      </c>
      <c r="B1" s="149"/>
      <c r="C1" s="149"/>
      <c r="D1" s="149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ht="35" customHeight="1" spans="1:16">
      <c r="A2" s="151" t="s">
        <v>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</row>
    <row r="3" customHeight="1" spans="1:16">
      <c r="A3" s="152" t="s">
        <v>2</v>
      </c>
      <c r="B3" s="152"/>
      <c r="C3" s="153"/>
      <c r="D3" s="153"/>
      <c r="E3" s="152" t="s">
        <v>3</v>
      </c>
      <c r="F3" s="152"/>
      <c r="G3" s="153"/>
      <c r="H3" s="153"/>
      <c r="I3" s="152" t="s">
        <v>4</v>
      </c>
      <c r="J3" s="152"/>
      <c r="K3" s="153"/>
      <c r="L3" s="153"/>
      <c r="M3" s="152" t="s">
        <v>5</v>
      </c>
      <c r="N3" s="152"/>
      <c r="O3" s="153"/>
      <c r="P3" s="153"/>
    </row>
    <row r="4" customHeight="1" spans="1:16">
      <c r="A4" s="152" t="s">
        <v>6</v>
      </c>
      <c r="B4" s="152"/>
      <c r="C4" s="153"/>
      <c r="D4" s="153"/>
      <c r="E4" s="152" t="s">
        <v>7</v>
      </c>
      <c r="F4" s="152"/>
      <c r="G4" s="153"/>
      <c r="H4" s="153"/>
      <c r="I4" s="152" t="s">
        <v>8</v>
      </c>
      <c r="J4" s="152"/>
      <c r="K4" s="162"/>
      <c r="L4" s="153"/>
      <c r="M4" s="152" t="s">
        <v>9</v>
      </c>
      <c r="N4" s="152"/>
      <c r="O4" s="163"/>
      <c r="P4" s="153"/>
    </row>
    <row r="5" customHeight="1" spans="1:16">
      <c r="A5" s="152" t="s">
        <v>10</v>
      </c>
      <c r="B5" s="152"/>
      <c r="C5" s="153"/>
      <c r="D5" s="153"/>
      <c r="E5" s="152" t="s">
        <v>11</v>
      </c>
      <c r="F5" s="152"/>
      <c r="G5" s="153"/>
      <c r="H5" s="153"/>
      <c r="I5" s="152"/>
      <c r="J5" s="152"/>
      <c r="K5" s="153"/>
      <c r="L5" s="153"/>
      <c r="M5" s="152"/>
      <c r="N5" s="152"/>
      <c r="O5" s="153"/>
      <c r="P5" s="153"/>
    </row>
    <row r="6" ht="35" customHeight="1" spans="1:18">
      <c r="A6" s="154" t="s">
        <v>12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67"/>
      <c r="R6" s="167"/>
    </row>
    <row r="7" customHeight="1" spans="1:18">
      <c r="A7" s="155" t="s">
        <v>13</v>
      </c>
      <c r="B7" s="155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67"/>
      <c r="R7" s="167"/>
    </row>
    <row r="8" customHeight="1" spans="1:18">
      <c r="A8" s="155"/>
      <c r="B8" s="155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67"/>
      <c r="R8" s="167"/>
    </row>
    <row r="9" customHeight="1" spans="1:18">
      <c r="A9" s="157" t="s">
        <v>14</v>
      </c>
      <c r="B9" s="157" t="s">
        <v>15</v>
      </c>
      <c r="C9" s="157" t="s">
        <v>16</v>
      </c>
      <c r="D9" s="158" t="s">
        <v>17</v>
      </c>
      <c r="E9" s="158"/>
      <c r="F9" s="158" t="s">
        <v>18</v>
      </c>
      <c r="G9" s="157" t="s">
        <v>5</v>
      </c>
      <c r="H9" s="157" t="s">
        <v>19</v>
      </c>
      <c r="I9" s="157" t="s">
        <v>20</v>
      </c>
      <c r="J9" s="157" t="s">
        <v>21</v>
      </c>
      <c r="K9" s="157" t="s">
        <v>22</v>
      </c>
      <c r="L9" s="157" t="s">
        <v>23</v>
      </c>
      <c r="M9" s="157" t="s">
        <v>24</v>
      </c>
      <c r="N9" s="157" t="s">
        <v>25</v>
      </c>
      <c r="O9" s="157" t="s">
        <v>26</v>
      </c>
      <c r="P9" s="157" t="s">
        <v>27</v>
      </c>
      <c r="Q9" s="167"/>
      <c r="R9" s="167"/>
    </row>
    <row r="10" customHeight="1" spans="1:16">
      <c r="A10" s="159" t="s">
        <v>28</v>
      </c>
      <c r="B10" s="160"/>
      <c r="C10" s="161"/>
      <c r="D10" s="156"/>
      <c r="E10" s="156"/>
      <c r="F10" s="160"/>
      <c r="G10" s="160"/>
      <c r="H10" s="160"/>
      <c r="I10" s="160"/>
      <c r="J10" s="160"/>
      <c r="K10" s="164"/>
      <c r="L10" s="165"/>
      <c r="M10" s="160"/>
      <c r="N10" s="160"/>
      <c r="O10" s="160"/>
      <c r="P10" s="166"/>
    </row>
    <row r="11" customHeight="1" spans="1:16">
      <c r="A11" s="159"/>
      <c r="B11" s="160"/>
      <c r="C11" s="160"/>
      <c r="D11" s="156"/>
      <c r="E11" s="156"/>
      <c r="F11" s="160"/>
      <c r="G11" s="160"/>
      <c r="H11" s="160"/>
      <c r="I11" s="160"/>
      <c r="J11" s="160"/>
      <c r="K11" s="160"/>
      <c r="L11" s="165"/>
      <c r="M11" s="160"/>
      <c r="N11" s="160"/>
      <c r="O11" s="160"/>
      <c r="P11" s="166"/>
    </row>
    <row r="12" customHeight="1" spans="1:16">
      <c r="A12" s="159"/>
      <c r="B12" s="160"/>
      <c r="C12" s="160"/>
      <c r="D12" s="156"/>
      <c r="E12" s="156"/>
      <c r="F12" s="160"/>
      <c r="G12" s="160"/>
      <c r="H12" s="160"/>
      <c r="I12" s="160"/>
      <c r="J12" s="160"/>
      <c r="K12" s="160"/>
      <c r="L12" s="165"/>
      <c r="M12" s="160"/>
      <c r="N12" s="160"/>
      <c r="O12" s="160"/>
      <c r="P12" s="166"/>
    </row>
    <row r="13" customHeight="1" spans="1:16">
      <c r="A13" s="159"/>
      <c r="B13" s="160"/>
      <c r="C13" s="160"/>
      <c r="D13" s="156"/>
      <c r="E13" s="156"/>
      <c r="F13" s="160"/>
      <c r="G13" s="160"/>
      <c r="H13" s="160"/>
      <c r="I13" s="160"/>
      <c r="J13" s="160"/>
      <c r="K13" s="160"/>
      <c r="L13" s="165"/>
      <c r="M13" s="160"/>
      <c r="N13" s="160"/>
      <c r="O13" s="160"/>
      <c r="P13" s="166"/>
    </row>
    <row r="14" customHeight="1" spans="1:16">
      <c r="A14" s="159"/>
      <c r="B14" s="160"/>
      <c r="C14" s="160"/>
      <c r="D14" s="156"/>
      <c r="E14" s="156"/>
      <c r="F14" s="160"/>
      <c r="G14" s="160"/>
      <c r="H14" s="160"/>
      <c r="I14" s="160"/>
      <c r="J14" s="160"/>
      <c r="K14" s="160"/>
      <c r="L14" s="165"/>
      <c r="M14" s="160"/>
      <c r="N14" s="160"/>
      <c r="O14" s="160"/>
      <c r="P14" s="166"/>
    </row>
    <row r="15" customHeight="1" spans="1:16">
      <c r="A15" s="159"/>
      <c r="B15" s="160"/>
      <c r="C15" s="160"/>
      <c r="D15" s="156"/>
      <c r="E15" s="156"/>
      <c r="F15" s="160"/>
      <c r="G15" s="160"/>
      <c r="H15" s="160"/>
      <c r="I15" s="160"/>
      <c r="J15" s="160"/>
      <c r="K15" s="160"/>
      <c r="L15" s="165"/>
      <c r="M15" s="160"/>
      <c r="N15" s="160"/>
      <c r="O15" s="160"/>
      <c r="P15" s="166"/>
    </row>
    <row r="16" customHeight="1" spans="1:16">
      <c r="A16" s="159"/>
      <c r="B16" s="160"/>
      <c r="C16" s="160"/>
      <c r="D16" s="156"/>
      <c r="E16" s="156"/>
      <c r="F16" s="160"/>
      <c r="G16" s="160"/>
      <c r="H16" s="160"/>
      <c r="I16" s="160"/>
      <c r="J16" s="160"/>
      <c r="K16" s="160"/>
      <c r="L16" s="165"/>
      <c r="M16" s="160"/>
      <c r="N16" s="160"/>
      <c r="O16" s="160"/>
      <c r="P16" s="166"/>
    </row>
    <row r="17" customHeight="1" spans="1:16">
      <c r="A17" s="159" t="s">
        <v>29</v>
      </c>
      <c r="B17" s="160"/>
      <c r="C17" s="160"/>
      <c r="D17" s="156"/>
      <c r="E17" s="156"/>
      <c r="F17" s="160"/>
      <c r="G17" s="160"/>
      <c r="H17" s="160"/>
      <c r="I17" s="160"/>
      <c r="J17" s="160"/>
      <c r="K17" s="160"/>
      <c r="L17" s="160"/>
      <c r="M17" s="160"/>
      <c r="N17" s="159"/>
      <c r="O17" s="160"/>
      <c r="P17" s="160"/>
    </row>
    <row r="18" customHeight="1" spans="1:16">
      <c r="A18" s="159"/>
      <c r="B18" s="160"/>
      <c r="C18" s="160"/>
      <c r="D18" s="156"/>
      <c r="E18" s="156"/>
      <c r="F18" s="160"/>
      <c r="G18" s="160"/>
      <c r="H18" s="160"/>
      <c r="I18" s="160"/>
      <c r="J18" s="160"/>
      <c r="K18" s="160"/>
      <c r="L18" s="160"/>
      <c r="M18" s="160"/>
      <c r="N18" s="159"/>
      <c r="O18" s="160"/>
      <c r="P18" s="160"/>
    </row>
    <row r="19" customHeight="1" spans="1:16">
      <c r="A19" s="159"/>
      <c r="B19" s="160"/>
      <c r="C19" s="160"/>
      <c r="D19" s="156"/>
      <c r="E19" s="156"/>
      <c r="F19" s="160"/>
      <c r="G19" s="160"/>
      <c r="H19" s="160"/>
      <c r="I19" s="160"/>
      <c r="J19" s="160"/>
      <c r="K19" s="160"/>
      <c r="L19" s="160"/>
      <c r="M19" s="160"/>
      <c r="N19" s="159"/>
      <c r="O19" s="160"/>
      <c r="P19" s="160"/>
    </row>
    <row r="20" customHeight="1" spans="1:16">
      <c r="A20" s="159"/>
      <c r="B20" s="160"/>
      <c r="C20" s="160"/>
      <c r="D20" s="156"/>
      <c r="E20" s="156"/>
      <c r="F20" s="160"/>
      <c r="G20" s="160"/>
      <c r="H20" s="160"/>
      <c r="I20" s="160"/>
      <c r="J20" s="160"/>
      <c r="K20" s="160"/>
      <c r="L20" s="160"/>
      <c r="M20" s="160"/>
      <c r="N20" s="159"/>
      <c r="O20" s="160"/>
      <c r="P20" s="160"/>
    </row>
    <row r="21" customHeight="1" spans="1:16">
      <c r="A21" s="159"/>
      <c r="B21" s="160"/>
      <c r="C21" s="160"/>
      <c r="D21" s="156"/>
      <c r="E21" s="156"/>
      <c r="F21" s="160"/>
      <c r="G21" s="160"/>
      <c r="H21" s="160"/>
      <c r="I21" s="160"/>
      <c r="J21" s="160"/>
      <c r="K21" s="160"/>
      <c r="L21" s="160"/>
      <c r="M21" s="160"/>
      <c r="N21" s="159"/>
      <c r="O21" s="160"/>
      <c r="P21" s="160"/>
    </row>
    <row r="22" customHeight="1" spans="1:16">
      <c r="A22" s="159"/>
      <c r="B22" s="160"/>
      <c r="C22" s="160"/>
      <c r="D22" s="156"/>
      <c r="E22" s="156"/>
      <c r="F22" s="160"/>
      <c r="G22" s="160"/>
      <c r="H22" s="160"/>
      <c r="I22" s="160"/>
      <c r="J22" s="160"/>
      <c r="K22" s="160"/>
      <c r="L22" s="160"/>
      <c r="M22" s="160"/>
      <c r="N22" s="159"/>
      <c r="O22" s="160"/>
      <c r="P22" s="160"/>
    </row>
    <row r="23" customHeight="1" spans="1:16">
      <c r="A23" s="159"/>
      <c r="B23" s="160"/>
      <c r="C23" s="160"/>
      <c r="D23" s="156"/>
      <c r="E23" s="156"/>
      <c r="F23" s="160"/>
      <c r="G23" s="160"/>
      <c r="H23" s="160"/>
      <c r="I23" s="160"/>
      <c r="J23" s="160"/>
      <c r="K23" s="160"/>
      <c r="L23" s="160"/>
      <c r="M23" s="160"/>
      <c r="N23" s="159"/>
      <c r="O23" s="160"/>
      <c r="P23" s="160"/>
    </row>
    <row r="24" customHeight="1" spans="1:16">
      <c r="A24" s="159" t="s">
        <v>30</v>
      </c>
      <c r="B24" s="160"/>
      <c r="C24" s="160"/>
      <c r="D24" s="156"/>
      <c r="E24" s="156"/>
      <c r="F24" s="160"/>
      <c r="G24" s="160"/>
      <c r="H24" s="160"/>
      <c r="I24" s="160"/>
      <c r="J24" s="160"/>
      <c r="K24" s="160"/>
      <c r="L24" s="160"/>
      <c r="M24" s="160"/>
      <c r="N24" s="159"/>
      <c r="O24" s="160"/>
      <c r="P24" s="160"/>
    </row>
    <row r="25" customHeight="1" spans="1:16">
      <c r="A25" s="159"/>
      <c r="B25" s="160"/>
      <c r="C25" s="160"/>
      <c r="D25" s="156"/>
      <c r="E25" s="156"/>
      <c r="F25" s="160"/>
      <c r="G25" s="160"/>
      <c r="H25" s="160"/>
      <c r="I25" s="160"/>
      <c r="J25" s="160"/>
      <c r="K25" s="160"/>
      <c r="L25" s="160"/>
      <c r="M25" s="160"/>
      <c r="N25" s="159"/>
      <c r="O25" s="160"/>
      <c r="P25" s="160"/>
    </row>
    <row r="26" customHeight="1" spans="1:16">
      <c r="A26" s="159"/>
      <c r="B26" s="160"/>
      <c r="C26" s="160"/>
      <c r="D26" s="156"/>
      <c r="E26" s="156"/>
      <c r="F26" s="160"/>
      <c r="G26" s="160"/>
      <c r="H26" s="160"/>
      <c r="I26" s="160"/>
      <c r="J26" s="160"/>
      <c r="K26" s="160"/>
      <c r="L26" s="160"/>
      <c r="M26" s="160"/>
      <c r="N26" s="159"/>
      <c r="O26" s="160"/>
      <c r="P26" s="160"/>
    </row>
    <row r="27" customHeight="1" spans="1:16">
      <c r="A27" s="159"/>
      <c r="B27" s="160"/>
      <c r="C27" s="160"/>
      <c r="D27" s="156"/>
      <c r="E27" s="156"/>
      <c r="F27" s="160"/>
      <c r="G27" s="160"/>
      <c r="H27" s="160"/>
      <c r="I27" s="160"/>
      <c r="J27" s="160"/>
      <c r="K27" s="160"/>
      <c r="L27" s="160"/>
      <c r="M27" s="160"/>
      <c r="N27" s="159"/>
      <c r="O27" s="160"/>
      <c r="P27" s="160"/>
    </row>
    <row r="28" customHeight="1" spans="1:16">
      <c r="A28" s="159"/>
      <c r="B28" s="160"/>
      <c r="C28" s="160"/>
      <c r="D28" s="156"/>
      <c r="E28" s="156"/>
      <c r="F28" s="160"/>
      <c r="G28" s="160"/>
      <c r="H28" s="160"/>
      <c r="I28" s="160"/>
      <c r="J28" s="160"/>
      <c r="K28" s="160"/>
      <c r="L28" s="160"/>
      <c r="M28" s="160"/>
      <c r="N28" s="159"/>
      <c r="O28" s="160"/>
      <c r="P28" s="160"/>
    </row>
    <row r="29" customHeight="1" spans="1:16">
      <c r="A29" s="159"/>
      <c r="B29" s="160"/>
      <c r="C29" s="160"/>
      <c r="D29" s="156"/>
      <c r="E29" s="156"/>
      <c r="F29" s="160"/>
      <c r="G29" s="160"/>
      <c r="H29" s="160"/>
      <c r="I29" s="160"/>
      <c r="J29" s="160"/>
      <c r="K29" s="160"/>
      <c r="L29" s="160"/>
      <c r="M29" s="160"/>
      <c r="N29" s="159"/>
      <c r="O29" s="160"/>
      <c r="P29" s="160"/>
    </row>
    <row r="30" customHeight="1" spans="1:16">
      <c r="A30" s="159"/>
      <c r="B30" s="160"/>
      <c r="C30" s="160"/>
      <c r="D30" s="156"/>
      <c r="E30" s="156"/>
      <c r="F30" s="160"/>
      <c r="G30" s="160"/>
      <c r="H30" s="160"/>
      <c r="I30" s="160"/>
      <c r="J30" s="160"/>
      <c r="K30" s="160"/>
      <c r="L30" s="160"/>
      <c r="M30" s="160"/>
      <c r="N30" s="159"/>
      <c r="O30" s="160"/>
      <c r="P30" s="160"/>
    </row>
    <row r="31" customHeight="1" spans="1:16">
      <c r="A31" s="159" t="s">
        <v>31</v>
      </c>
      <c r="B31" s="160"/>
      <c r="C31" s="160"/>
      <c r="D31" s="156"/>
      <c r="E31" s="156"/>
      <c r="F31" s="160"/>
      <c r="G31" s="160"/>
      <c r="H31" s="160"/>
      <c r="I31" s="160"/>
      <c r="J31" s="160"/>
      <c r="K31" s="160"/>
      <c r="L31" s="160"/>
      <c r="M31" s="160"/>
      <c r="N31" s="159"/>
      <c r="O31" s="160"/>
      <c r="P31" s="160"/>
    </row>
    <row r="32" customHeight="1" spans="1:16">
      <c r="A32" s="159"/>
      <c r="B32" s="160"/>
      <c r="C32" s="160"/>
      <c r="D32" s="156"/>
      <c r="E32" s="156"/>
      <c r="F32" s="160"/>
      <c r="G32" s="160"/>
      <c r="H32" s="160"/>
      <c r="I32" s="160"/>
      <c r="J32" s="160"/>
      <c r="K32" s="160"/>
      <c r="L32" s="160"/>
      <c r="M32" s="160"/>
      <c r="N32" s="159"/>
      <c r="O32" s="160"/>
      <c r="P32" s="160"/>
    </row>
    <row r="33" customHeight="1" spans="1:16">
      <c r="A33" s="159"/>
      <c r="B33" s="160"/>
      <c r="C33" s="160"/>
      <c r="D33" s="156"/>
      <c r="E33" s="156"/>
      <c r="F33" s="160"/>
      <c r="G33" s="160"/>
      <c r="H33" s="160"/>
      <c r="I33" s="160"/>
      <c r="J33" s="160"/>
      <c r="K33" s="160"/>
      <c r="L33" s="160"/>
      <c r="M33" s="160"/>
      <c r="N33" s="159"/>
      <c r="O33" s="160"/>
      <c r="P33" s="160"/>
    </row>
    <row r="34" customHeight="1" spans="1:16">
      <c r="A34" s="159"/>
      <c r="B34" s="160"/>
      <c r="C34" s="160"/>
      <c r="D34" s="156"/>
      <c r="E34" s="156"/>
      <c r="F34" s="160"/>
      <c r="G34" s="160"/>
      <c r="H34" s="160"/>
      <c r="I34" s="160"/>
      <c r="J34" s="160"/>
      <c r="K34" s="160"/>
      <c r="L34" s="160"/>
      <c r="M34" s="160"/>
      <c r="N34" s="159"/>
      <c r="O34" s="160"/>
      <c r="P34" s="160"/>
    </row>
    <row r="35" customHeight="1" spans="1:16">
      <c r="A35" s="159"/>
      <c r="B35" s="160"/>
      <c r="C35" s="160"/>
      <c r="D35" s="156"/>
      <c r="E35" s="156"/>
      <c r="F35" s="160"/>
      <c r="G35" s="160"/>
      <c r="H35" s="160"/>
      <c r="I35" s="160"/>
      <c r="J35" s="160"/>
      <c r="K35" s="160"/>
      <c r="L35" s="160"/>
      <c r="M35" s="160"/>
      <c r="N35" s="159"/>
      <c r="O35" s="160"/>
      <c r="P35" s="160"/>
    </row>
    <row r="36" customHeight="1" spans="1:16">
      <c r="A36" s="159"/>
      <c r="B36" s="160"/>
      <c r="C36" s="160"/>
      <c r="D36" s="156"/>
      <c r="E36" s="156"/>
      <c r="F36" s="160"/>
      <c r="G36" s="160"/>
      <c r="H36" s="160"/>
      <c r="I36" s="160"/>
      <c r="J36" s="160"/>
      <c r="K36" s="160"/>
      <c r="L36" s="160"/>
      <c r="M36" s="160"/>
      <c r="N36" s="159"/>
      <c r="O36" s="160"/>
      <c r="P36" s="160"/>
    </row>
    <row r="37" customHeight="1" spans="1:16">
      <c r="A37" s="159"/>
      <c r="B37" s="160"/>
      <c r="C37" s="160"/>
      <c r="D37" s="156"/>
      <c r="E37" s="156"/>
      <c r="F37" s="160"/>
      <c r="G37" s="160"/>
      <c r="H37" s="160"/>
      <c r="I37" s="160"/>
      <c r="J37" s="160"/>
      <c r="K37" s="160"/>
      <c r="L37" s="160"/>
      <c r="M37" s="160"/>
      <c r="N37" s="159"/>
      <c r="O37" s="160"/>
      <c r="P37" s="160"/>
    </row>
    <row r="38" customHeight="1" spans="1:16">
      <c r="A38" s="159" t="s">
        <v>32</v>
      </c>
      <c r="B38" s="160"/>
      <c r="C38" s="160"/>
      <c r="D38" s="156"/>
      <c r="E38" s="156"/>
      <c r="F38" s="160"/>
      <c r="G38" s="160"/>
      <c r="H38" s="160"/>
      <c r="I38" s="160"/>
      <c r="J38" s="160"/>
      <c r="K38" s="160"/>
      <c r="L38" s="160"/>
      <c r="M38" s="160"/>
      <c r="N38" s="159"/>
      <c r="O38" s="160"/>
      <c r="P38" s="160"/>
    </row>
    <row r="39" customHeight="1" spans="1:16">
      <c r="A39" s="159"/>
      <c r="B39" s="160"/>
      <c r="C39" s="160"/>
      <c r="D39" s="156"/>
      <c r="E39" s="156"/>
      <c r="F39" s="160"/>
      <c r="G39" s="160"/>
      <c r="H39" s="160"/>
      <c r="I39" s="160"/>
      <c r="J39" s="160"/>
      <c r="K39" s="160"/>
      <c r="L39" s="160"/>
      <c r="M39" s="160"/>
      <c r="N39" s="159"/>
      <c r="O39" s="160"/>
      <c r="P39" s="160"/>
    </row>
    <row r="40" customHeight="1" spans="1:16">
      <c r="A40" s="159"/>
      <c r="B40" s="160"/>
      <c r="C40" s="160"/>
      <c r="D40" s="156"/>
      <c r="E40" s="156"/>
      <c r="F40" s="160"/>
      <c r="G40" s="160"/>
      <c r="H40" s="160"/>
      <c r="I40" s="160"/>
      <c r="J40" s="160"/>
      <c r="K40" s="160"/>
      <c r="L40" s="160"/>
      <c r="M40" s="160"/>
      <c r="N40" s="159"/>
      <c r="O40" s="160"/>
      <c r="P40" s="160"/>
    </row>
    <row r="41" customHeight="1" spans="1:16">
      <c r="A41" s="159"/>
      <c r="B41" s="160"/>
      <c r="C41" s="160"/>
      <c r="D41" s="156"/>
      <c r="E41" s="156"/>
      <c r="F41" s="160"/>
      <c r="G41" s="160"/>
      <c r="H41" s="160"/>
      <c r="I41" s="160"/>
      <c r="J41" s="160"/>
      <c r="K41" s="160"/>
      <c r="L41" s="160"/>
      <c r="M41" s="160"/>
      <c r="N41" s="159"/>
      <c r="O41" s="160"/>
      <c r="P41" s="160"/>
    </row>
    <row r="42" customHeight="1" spans="1:16">
      <c r="A42" s="159"/>
      <c r="B42" s="160"/>
      <c r="C42" s="160"/>
      <c r="D42" s="156"/>
      <c r="E42" s="156"/>
      <c r="F42" s="160"/>
      <c r="G42" s="160"/>
      <c r="H42" s="160"/>
      <c r="I42" s="160"/>
      <c r="J42" s="160"/>
      <c r="K42" s="160"/>
      <c r="L42" s="160"/>
      <c r="M42" s="160"/>
      <c r="N42" s="159"/>
      <c r="O42" s="160"/>
      <c r="P42" s="160"/>
    </row>
    <row r="43" customHeight="1" spans="1:16">
      <c r="A43" s="159"/>
      <c r="B43" s="160"/>
      <c r="C43" s="160"/>
      <c r="D43" s="156"/>
      <c r="E43" s="156"/>
      <c r="F43" s="160"/>
      <c r="G43" s="160"/>
      <c r="H43" s="160"/>
      <c r="I43" s="160"/>
      <c r="J43" s="160"/>
      <c r="K43" s="160"/>
      <c r="L43" s="160"/>
      <c r="M43" s="160"/>
      <c r="N43" s="159"/>
      <c r="O43" s="160"/>
      <c r="P43" s="160"/>
    </row>
    <row r="44" customHeight="1" spans="1:16">
      <c r="A44" s="159"/>
      <c r="B44" s="160"/>
      <c r="C44" s="160"/>
      <c r="D44" s="156"/>
      <c r="E44" s="156"/>
      <c r="F44" s="160"/>
      <c r="G44" s="160"/>
      <c r="H44" s="160"/>
      <c r="I44" s="160"/>
      <c r="J44" s="160"/>
      <c r="K44" s="160"/>
      <c r="L44" s="160"/>
      <c r="M44" s="160"/>
      <c r="N44" s="159"/>
      <c r="O44" s="160"/>
      <c r="P44" s="160"/>
    </row>
    <row r="45" customHeight="1" spans="1:16">
      <c r="A45" s="159" t="s">
        <v>33</v>
      </c>
      <c r="B45" s="160"/>
      <c r="C45" s="160"/>
      <c r="D45" s="156"/>
      <c r="E45" s="156"/>
      <c r="F45" s="160"/>
      <c r="G45" s="160"/>
      <c r="H45" s="160"/>
      <c r="I45" s="160"/>
      <c r="J45" s="160"/>
      <c r="K45" s="160"/>
      <c r="L45" s="160"/>
      <c r="M45" s="160"/>
      <c r="N45" s="159"/>
      <c r="O45" s="160"/>
      <c r="P45" s="160"/>
    </row>
    <row r="46" customHeight="1" spans="1:16">
      <c r="A46" s="159"/>
      <c r="B46" s="160"/>
      <c r="C46" s="160"/>
      <c r="D46" s="156"/>
      <c r="E46" s="156"/>
      <c r="F46" s="160"/>
      <c r="G46" s="160"/>
      <c r="H46" s="160"/>
      <c r="I46" s="160"/>
      <c r="J46" s="160"/>
      <c r="K46" s="160"/>
      <c r="L46" s="160"/>
      <c r="M46" s="160"/>
      <c r="N46" s="159"/>
      <c r="O46" s="160"/>
      <c r="P46" s="160"/>
    </row>
    <row r="47" customHeight="1" spans="1:16">
      <c r="A47" s="159"/>
      <c r="B47" s="160"/>
      <c r="C47" s="160"/>
      <c r="D47" s="156"/>
      <c r="E47" s="156"/>
      <c r="F47" s="160"/>
      <c r="G47" s="160"/>
      <c r="H47" s="160"/>
      <c r="I47" s="160"/>
      <c r="J47" s="160"/>
      <c r="K47" s="160"/>
      <c r="L47" s="160"/>
      <c r="M47" s="160"/>
      <c r="N47" s="159"/>
      <c r="O47" s="160"/>
      <c r="P47" s="160"/>
    </row>
    <row r="48" customHeight="1" spans="1:16">
      <c r="A48" s="159"/>
      <c r="B48" s="160"/>
      <c r="C48" s="160"/>
      <c r="D48" s="156"/>
      <c r="E48" s="156"/>
      <c r="F48" s="160"/>
      <c r="G48" s="160"/>
      <c r="H48" s="160"/>
      <c r="I48" s="160"/>
      <c r="J48" s="160"/>
      <c r="K48" s="160"/>
      <c r="L48" s="160"/>
      <c r="M48" s="160"/>
      <c r="N48" s="159"/>
      <c r="O48" s="160"/>
      <c r="P48" s="160"/>
    </row>
    <row r="49" customHeight="1" spans="1:16">
      <c r="A49" s="159"/>
      <c r="B49" s="160"/>
      <c r="C49" s="160"/>
      <c r="D49" s="156"/>
      <c r="E49" s="156"/>
      <c r="F49" s="160"/>
      <c r="G49" s="160"/>
      <c r="H49" s="160"/>
      <c r="I49" s="160"/>
      <c r="J49" s="160"/>
      <c r="K49" s="160"/>
      <c r="L49" s="160"/>
      <c r="M49" s="160"/>
      <c r="N49" s="159"/>
      <c r="O49" s="160"/>
      <c r="P49" s="160"/>
    </row>
    <row r="50" customHeight="1" spans="1:16">
      <c r="A50" s="159"/>
      <c r="B50" s="160"/>
      <c r="C50" s="160"/>
      <c r="D50" s="156"/>
      <c r="E50" s="156"/>
      <c r="F50" s="160"/>
      <c r="G50" s="160"/>
      <c r="H50" s="160"/>
      <c r="I50" s="160"/>
      <c r="J50" s="160"/>
      <c r="K50" s="160"/>
      <c r="L50" s="160"/>
      <c r="M50" s="160"/>
      <c r="N50" s="159"/>
      <c r="O50" s="160"/>
      <c r="P50" s="160"/>
    </row>
    <row r="51" customHeight="1" spans="1:16">
      <c r="A51" s="159"/>
      <c r="B51" s="160"/>
      <c r="C51" s="160"/>
      <c r="D51" s="156"/>
      <c r="E51" s="156"/>
      <c r="F51" s="160"/>
      <c r="G51" s="160"/>
      <c r="H51" s="160"/>
      <c r="I51" s="160"/>
      <c r="J51" s="160"/>
      <c r="K51" s="160"/>
      <c r="L51" s="160"/>
      <c r="M51" s="160"/>
      <c r="N51" s="159"/>
      <c r="O51" s="160"/>
      <c r="P51" s="160"/>
    </row>
    <row r="52" customHeight="1" spans="1:16">
      <c r="A52" s="159" t="s">
        <v>34</v>
      </c>
      <c r="B52" s="160"/>
      <c r="C52" s="160"/>
      <c r="D52" s="156"/>
      <c r="E52" s="156"/>
      <c r="F52" s="160"/>
      <c r="G52" s="160"/>
      <c r="H52" s="160"/>
      <c r="I52" s="160"/>
      <c r="J52" s="160"/>
      <c r="K52" s="160"/>
      <c r="L52" s="160"/>
      <c r="M52" s="160"/>
      <c r="N52" s="159"/>
      <c r="O52" s="160"/>
      <c r="P52" s="160"/>
    </row>
    <row r="53" customHeight="1" spans="1:16">
      <c r="A53" s="159"/>
      <c r="B53" s="160"/>
      <c r="C53" s="160"/>
      <c r="D53" s="156"/>
      <c r="E53" s="156"/>
      <c r="F53" s="160"/>
      <c r="G53" s="160"/>
      <c r="H53" s="160"/>
      <c r="I53" s="160"/>
      <c r="J53" s="160"/>
      <c r="K53" s="160"/>
      <c r="L53" s="160"/>
      <c r="M53" s="160"/>
      <c r="N53" s="159"/>
      <c r="O53" s="160"/>
      <c r="P53" s="160"/>
    </row>
    <row r="54" customHeight="1" spans="1:16">
      <c r="A54" s="159"/>
      <c r="B54" s="160"/>
      <c r="C54" s="160"/>
      <c r="D54" s="156"/>
      <c r="E54" s="156"/>
      <c r="F54" s="160"/>
      <c r="G54" s="160"/>
      <c r="H54" s="160"/>
      <c r="I54" s="160"/>
      <c r="J54" s="160"/>
      <c r="K54" s="160"/>
      <c r="L54" s="160"/>
      <c r="M54" s="160"/>
      <c r="N54" s="159"/>
      <c r="O54" s="160"/>
      <c r="P54" s="160"/>
    </row>
    <row r="55" customHeight="1" spans="1:16">
      <c r="A55" s="159"/>
      <c r="B55" s="160"/>
      <c r="C55" s="160"/>
      <c r="D55" s="156"/>
      <c r="E55" s="156"/>
      <c r="F55" s="160"/>
      <c r="G55" s="160"/>
      <c r="H55" s="160"/>
      <c r="I55" s="160"/>
      <c r="J55" s="160"/>
      <c r="K55" s="160"/>
      <c r="L55" s="160"/>
      <c r="M55" s="160"/>
      <c r="N55" s="159"/>
      <c r="O55" s="160"/>
      <c r="P55" s="160"/>
    </row>
    <row r="56" customHeight="1" spans="1:16">
      <c r="A56" s="159"/>
      <c r="B56" s="160"/>
      <c r="C56" s="160"/>
      <c r="D56" s="156"/>
      <c r="E56" s="156"/>
      <c r="F56" s="160"/>
      <c r="G56" s="160"/>
      <c r="H56" s="160"/>
      <c r="I56" s="160"/>
      <c r="J56" s="160"/>
      <c r="K56" s="160"/>
      <c r="L56" s="160"/>
      <c r="M56" s="160"/>
      <c r="N56" s="159"/>
      <c r="O56" s="160"/>
      <c r="P56" s="160"/>
    </row>
    <row r="57" customHeight="1" spans="1:16">
      <c r="A57" s="159"/>
      <c r="B57" s="160"/>
      <c r="C57" s="160"/>
      <c r="D57" s="156"/>
      <c r="E57" s="156"/>
      <c r="F57" s="160"/>
      <c r="G57" s="160"/>
      <c r="H57" s="160"/>
      <c r="I57" s="160"/>
      <c r="J57" s="160"/>
      <c r="K57" s="160"/>
      <c r="L57" s="160"/>
      <c r="M57" s="160"/>
      <c r="N57" s="159"/>
      <c r="O57" s="160"/>
      <c r="P57" s="160"/>
    </row>
    <row r="58" customHeight="1" spans="1:16">
      <c r="A58" s="159"/>
      <c r="B58" s="160"/>
      <c r="C58" s="160"/>
      <c r="D58" s="156"/>
      <c r="E58" s="156"/>
      <c r="F58" s="160"/>
      <c r="G58" s="160"/>
      <c r="H58" s="160"/>
      <c r="I58" s="160"/>
      <c r="J58" s="160"/>
      <c r="K58" s="160"/>
      <c r="L58" s="160"/>
      <c r="M58" s="160"/>
      <c r="N58" s="159"/>
      <c r="O58" s="160"/>
      <c r="P58" s="160"/>
    </row>
    <row r="59" customHeight="1" spans="1:16">
      <c r="A59" s="159" t="s">
        <v>35</v>
      </c>
      <c r="B59" s="160"/>
      <c r="C59" s="160"/>
      <c r="D59" s="156"/>
      <c r="E59" s="156"/>
      <c r="F59" s="160"/>
      <c r="G59" s="160"/>
      <c r="H59" s="160"/>
      <c r="I59" s="160"/>
      <c r="J59" s="160"/>
      <c r="K59" s="160"/>
      <c r="L59" s="160"/>
      <c r="M59" s="160"/>
      <c r="N59" s="159"/>
      <c r="O59" s="160"/>
      <c r="P59" s="160"/>
    </row>
    <row r="60" customHeight="1" spans="1:16">
      <c r="A60" s="159"/>
      <c r="B60" s="160"/>
      <c r="C60" s="160"/>
      <c r="D60" s="156"/>
      <c r="E60" s="156"/>
      <c r="F60" s="160"/>
      <c r="G60" s="160"/>
      <c r="H60" s="160"/>
      <c r="I60" s="160"/>
      <c r="J60" s="160"/>
      <c r="K60" s="160"/>
      <c r="L60" s="160"/>
      <c r="M60" s="160"/>
      <c r="N60" s="159"/>
      <c r="O60" s="160"/>
      <c r="P60" s="160"/>
    </row>
    <row r="61" customHeight="1" spans="1:16">
      <c r="A61" s="159"/>
      <c r="B61" s="160"/>
      <c r="C61" s="160"/>
      <c r="D61" s="156"/>
      <c r="E61" s="156"/>
      <c r="F61" s="160"/>
      <c r="G61" s="160"/>
      <c r="H61" s="160"/>
      <c r="I61" s="160"/>
      <c r="J61" s="160"/>
      <c r="K61" s="160"/>
      <c r="L61" s="160"/>
      <c r="M61" s="160"/>
      <c r="N61" s="159"/>
      <c r="O61" s="160"/>
      <c r="P61" s="160"/>
    </row>
    <row r="62" customHeight="1" spans="1:16">
      <c r="A62" s="159"/>
      <c r="B62" s="160"/>
      <c r="C62" s="160"/>
      <c r="D62" s="156"/>
      <c r="E62" s="156"/>
      <c r="F62" s="160"/>
      <c r="G62" s="160"/>
      <c r="H62" s="160"/>
      <c r="I62" s="160"/>
      <c r="J62" s="160"/>
      <c r="K62" s="160"/>
      <c r="L62" s="160"/>
      <c r="M62" s="160"/>
      <c r="N62" s="159"/>
      <c r="O62" s="160"/>
      <c r="P62" s="160"/>
    </row>
    <row r="63" customHeight="1" spans="1:16">
      <c r="A63" s="159"/>
      <c r="B63" s="160"/>
      <c r="C63" s="160"/>
      <c r="D63" s="156"/>
      <c r="E63" s="156"/>
      <c r="F63" s="160"/>
      <c r="G63" s="160"/>
      <c r="H63" s="160"/>
      <c r="I63" s="160"/>
      <c r="J63" s="160"/>
      <c r="K63" s="160"/>
      <c r="L63" s="160"/>
      <c r="M63" s="160"/>
      <c r="N63" s="159"/>
      <c r="O63" s="160"/>
      <c r="P63" s="160"/>
    </row>
    <row r="64" customHeight="1" spans="1:16">
      <c r="A64" s="159"/>
      <c r="B64" s="160"/>
      <c r="C64" s="160"/>
      <c r="D64" s="156"/>
      <c r="E64" s="156"/>
      <c r="F64" s="160"/>
      <c r="G64" s="160"/>
      <c r="H64" s="160"/>
      <c r="I64" s="160"/>
      <c r="J64" s="160"/>
      <c r="K64" s="160"/>
      <c r="L64" s="160"/>
      <c r="M64" s="160"/>
      <c r="N64" s="159"/>
      <c r="O64" s="160"/>
      <c r="P64" s="160"/>
    </row>
    <row r="65" customHeight="1" spans="1:16">
      <c r="A65" s="159"/>
      <c r="B65" s="160"/>
      <c r="C65" s="160"/>
      <c r="D65" s="156"/>
      <c r="E65" s="156"/>
      <c r="F65" s="160"/>
      <c r="G65" s="160"/>
      <c r="H65" s="160"/>
      <c r="I65" s="160"/>
      <c r="J65" s="160"/>
      <c r="K65" s="160"/>
      <c r="L65" s="160"/>
      <c r="M65" s="160"/>
      <c r="N65" s="159"/>
      <c r="O65" s="160"/>
      <c r="P65" s="160"/>
    </row>
    <row r="66" customHeight="1" spans="1:16">
      <c r="A66" s="159" t="s">
        <v>36</v>
      </c>
      <c r="B66" s="160"/>
      <c r="C66" s="160"/>
      <c r="D66" s="156"/>
      <c r="E66" s="156"/>
      <c r="F66" s="160"/>
      <c r="G66" s="160"/>
      <c r="H66" s="160"/>
      <c r="I66" s="160"/>
      <c r="J66" s="160"/>
      <c r="K66" s="160"/>
      <c r="L66" s="160"/>
      <c r="M66" s="160"/>
      <c r="N66" s="159"/>
      <c r="O66" s="160"/>
      <c r="P66" s="160"/>
    </row>
    <row r="67" customHeight="1" spans="1:16">
      <c r="A67" s="159"/>
      <c r="B67" s="160"/>
      <c r="C67" s="160"/>
      <c r="D67" s="156"/>
      <c r="E67" s="156"/>
      <c r="F67" s="160"/>
      <c r="G67" s="160"/>
      <c r="H67" s="160"/>
      <c r="I67" s="160"/>
      <c r="J67" s="160"/>
      <c r="K67" s="160"/>
      <c r="L67" s="160"/>
      <c r="M67" s="160"/>
      <c r="N67" s="159"/>
      <c r="O67" s="160"/>
      <c r="P67" s="160"/>
    </row>
    <row r="68" customHeight="1" spans="1:16">
      <c r="A68" s="159"/>
      <c r="B68" s="160"/>
      <c r="C68" s="160"/>
      <c r="D68" s="156"/>
      <c r="E68" s="156"/>
      <c r="F68" s="160"/>
      <c r="G68" s="160"/>
      <c r="H68" s="160"/>
      <c r="I68" s="160"/>
      <c r="J68" s="160"/>
      <c r="K68" s="160"/>
      <c r="L68" s="160"/>
      <c r="M68" s="160"/>
      <c r="N68" s="159"/>
      <c r="O68" s="160"/>
      <c r="P68" s="160"/>
    </row>
    <row r="69" customHeight="1" spans="1:16">
      <c r="A69" s="159"/>
      <c r="B69" s="160"/>
      <c r="C69" s="160"/>
      <c r="D69" s="156"/>
      <c r="E69" s="156"/>
      <c r="F69" s="160"/>
      <c r="G69" s="160"/>
      <c r="H69" s="160"/>
      <c r="I69" s="160"/>
      <c r="J69" s="160"/>
      <c r="K69" s="160"/>
      <c r="L69" s="160"/>
      <c r="M69" s="160"/>
      <c r="N69" s="159"/>
      <c r="O69" s="160"/>
      <c r="P69" s="160"/>
    </row>
    <row r="70" customHeight="1" spans="1:16">
      <c r="A70" s="159"/>
      <c r="B70" s="160"/>
      <c r="C70" s="160"/>
      <c r="D70" s="156"/>
      <c r="E70" s="156"/>
      <c r="F70" s="160"/>
      <c r="G70" s="160"/>
      <c r="H70" s="160"/>
      <c r="I70" s="160"/>
      <c r="J70" s="160"/>
      <c r="K70" s="160"/>
      <c r="L70" s="160"/>
      <c r="M70" s="160"/>
      <c r="N70" s="159"/>
      <c r="O70" s="160"/>
      <c r="P70" s="160"/>
    </row>
    <row r="71" customHeight="1" spans="1:16">
      <c r="A71" s="159"/>
      <c r="B71" s="160"/>
      <c r="C71" s="160"/>
      <c r="D71" s="156"/>
      <c r="E71" s="156"/>
      <c r="F71" s="160"/>
      <c r="G71" s="160"/>
      <c r="H71" s="160"/>
      <c r="I71" s="160"/>
      <c r="J71" s="160"/>
      <c r="K71" s="160"/>
      <c r="L71" s="160"/>
      <c r="M71" s="160"/>
      <c r="N71" s="159"/>
      <c r="O71" s="160"/>
      <c r="P71" s="160"/>
    </row>
    <row r="72" customHeight="1" spans="1:16">
      <c r="A72" s="159"/>
      <c r="B72" s="160"/>
      <c r="C72" s="160"/>
      <c r="D72" s="156"/>
      <c r="E72" s="156"/>
      <c r="F72" s="160"/>
      <c r="G72" s="160"/>
      <c r="H72" s="160"/>
      <c r="I72" s="160"/>
      <c r="J72" s="160"/>
      <c r="K72" s="160"/>
      <c r="L72" s="160"/>
      <c r="M72" s="160"/>
      <c r="N72" s="159"/>
      <c r="O72" s="160"/>
      <c r="P72" s="160"/>
    </row>
    <row r="73" customHeight="1" spans="1:16">
      <c r="A73" s="159" t="s">
        <v>37</v>
      </c>
      <c r="B73" s="160"/>
      <c r="C73" s="160"/>
      <c r="D73" s="156"/>
      <c r="E73" s="156"/>
      <c r="F73" s="160"/>
      <c r="G73" s="160"/>
      <c r="H73" s="160"/>
      <c r="I73" s="160"/>
      <c r="J73" s="160"/>
      <c r="K73" s="160"/>
      <c r="L73" s="160"/>
      <c r="M73" s="160"/>
      <c r="N73" s="159"/>
      <c r="O73" s="160"/>
      <c r="P73" s="160"/>
    </row>
    <row r="74" customHeight="1" spans="1:16">
      <c r="A74" s="159"/>
      <c r="B74" s="160"/>
      <c r="C74" s="160"/>
      <c r="D74" s="156"/>
      <c r="E74" s="156"/>
      <c r="F74" s="160"/>
      <c r="G74" s="160"/>
      <c r="H74" s="160"/>
      <c r="I74" s="160"/>
      <c r="J74" s="160"/>
      <c r="K74" s="160"/>
      <c r="L74" s="160"/>
      <c r="M74" s="160"/>
      <c r="N74" s="159"/>
      <c r="O74" s="160"/>
      <c r="P74" s="160"/>
    </row>
    <row r="75" customHeight="1" spans="1:16">
      <c r="A75" s="159"/>
      <c r="B75" s="160"/>
      <c r="C75" s="160"/>
      <c r="D75" s="156"/>
      <c r="E75" s="156"/>
      <c r="F75" s="160"/>
      <c r="G75" s="160"/>
      <c r="H75" s="160"/>
      <c r="I75" s="160"/>
      <c r="J75" s="160"/>
      <c r="K75" s="160"/>
      <c r="L75" s="160"/>
      <c r="M75" s="160"/>
      <c r="N75" s="159"/>
      <c r="O75" s="160"/>
      <c r="P75" s="160"/>
    </row>
    <row r="76" customHeight="1" spans="1:16">
      <c r="A76" s="159"/>
      <c r="B76" s="160"/>
      <c r="C76" s="160"/>
      <c r="D76" s="156"/>
      <c r="E76" s="156"/>
      <c r="F76" s="160"/>
      <c r="G76" s="160"/>
      <c r="H76" s="160"/>
      <c r="I76" s="160"/>
      <c r="J76" s="160"/>
      <c r="K76" s="160"/>
      <c r="L76" s="160"/>
      <c r="M76" s="160"/>
      <c r="N76" s="159"/>
      <c r="O76" s="160"/>
      <c r="P76" s="160"/>
    </row>
    <row r="77" customHeight="1" spans="1:16">
      <c r="A77" s="159"/>
      <c r="B77" s="160"/>
      <c r="C77" s="160"/>
      <c r="D77" s="156"/>
      <c r="E77" s="156"/>
      <c r="F77" s="160"/>
      <c r="G77" s="160"/>
      <c r="H77" s="160"/>
      <c r="I77" s="160"/>
      <c r="J77" s="160"/>
      <c r="K77" s="160"/>
      <c r="L77" s="160"/>
      <c r="M77" s="160"/>
      <c r="N77" s="159"/>
      <c r="O77" s="160"/>
      <c r="P77" s="160"/>
    </row>
    <row r="78" customHeight="1" spans="1:16">
      <c r="A78" s="159"/>
      <c r="B78" s="160"/>
      <c r="C78" s="160"/>
      <c r="D78" s="156"/>
      <c r="E78" s="156"/>
      <c r="F78" s="160"/>
      <c r="G78" s="160"/>
      <c r="H78" s="160"/>
      <c r="I78" s="160"/>
      <c r="J78" s="160"/>
      <c r="K78" s="160"/>
      <c r="L78" s="160"/>
      <c r="M78" s="160"/>
      <c r="N78" s="159"/>
      <c r="O78" s="160"/>
      <c r="P78" s="160"/>
    </row>
    <row r="79" customHeight="1" spans="1:16">
      <c r="A79" s="159"/>
      <c r="B79" s="160"/>
      <c r="C79" s="160"/>
      <c r="D79" s="156"/>
      <c r="E79" s="156"/>
      <c r="F79" s="160"/>
      <c r="G79" s="160"/>
      <c r="H79" s="160"/>
      <c r="I79" s="160"/>
      <c r="J79" s="160"/>
      <c r="K79" s="160"/>
      <c r="L79" s="160"/>
      <c r="M79" s="160"/>
      <c r="N79" s="159"/>
      <c r="O79" s="160"/>
      <c r="P79" s="160"/>
    </row>
    <row r="80" customHeight="1" spans="1:16">
      <c r="A80" s="159" t="s">
        <v>38</v>
      </c>
      <c r="B80" s="160"/>
      <c r="C80" s="160"/>
      <c r="D80" s="156"/>
      <c r="E80" s="156"/>
      <c r="F80" s="160"/>
      <c r="G80" s="160"/>
      <c r="H80" s="160"/>
      <c r="I80" s="160"/>
      <c r="J80" s="160"/>
      <c r="K80" s="160"/>
      <c r="L80" s="160"/>
      <c r="M80" s="160"/>
      <c r="N80" s="159"/>
      <c r="O80" s="160"/>
      <c r="P80" s="160"/>
    </row>
    <row r="81" customHeight="1" spans="1:16">
      <c r="A81" s="159"/>
      <c r="B81" s="160"/>
      <c r="C81" s="160"/>
      <c r="D81" s="156"/>
      <c r="E81" s="156"/>
      <c r="F81" s="160"/>
      <c r="G81" s="160"/>
      <c r="H81" s="160"/>
      <c r="I81" s="160"/>
      <c r="J81" s="160"/>
      <c r="K81" s="160"/>
      <c r="L81" s="160"/>
      <c r="M81" s="160"/>
      <c r="N81" s="159"/>
      <c r="O81" s="160"/>
      <c r="P81" s="160"/>
    </row>
    <row r="82" customHeight="1" spans="1:16">
      <c r="A82" s="159"/>
      <c r="B82" s="160"/>
      <c r="C82" s="160"/>
      <c r="D82" s="156"/>
      <c r="E82" s="156"/>
      <c r="F82" s="160"/>
      <c r="G82" s="160"/>
      <c r="H82" s="160"/>
      <c r="I82" s="160"/>
      <c r="J82" s="160"/>
      <c r="K82" s="160"/>
      <c r="L82" s="160"/>
      <c r="M82" s="160"/>
      <c r="N82" s="159"/>
      <c r="O82" s="160"/>
      <c r="P82" s="160"/>
    </row>
    <row r="83" customHeight="1" spans="1:16">
      <c r="A83" s="159"/>
      <c r="B83" s="160"/>
      <c r="C83" s="160"/>
      <c r="D83" s="156"/>
      <c r="E83" s="156"/>
      <c r="F83" s="160"/>
      <c r="G83" s="160"/>
      <c r="H83" s="160"/>
      <c r="I83" s="160"/>
      <c r="J83" s="160"/>
      <c r="K83" s="160"/>
      <c r="L83" s="160"/>
      <c r="M83" s="160"/>
      <c r="N83" s="159"/>
      <c r="O83" s="160"/>
      <c r="P83" s="160"/>
    </row>
    <row r="84" customHeight="1" spans="1:16">
      <c r="A84" s="159"/>
      <c r="B84" s="160"/>
      <c r="C84" s="160"/>
      <c r="D84" s="156"/>
      <c r="E84" s="156"/>
      <c r="F84" s="160"/>
      <c r="G84" s="160"/>
      <c r="H84" s="160"/>
      <c r="I84" s="160"/>
      <c r="J84" s="160"/>
      <c r="K84" s="160"/>
      <c r="L84" s="160"/>
      <c r="M84" s="160"/>
      <c r="N84" s="159"/>
      <c r="O84" s="160"/>
      <c r="P84" s="160"/>
    </row>
    <row r="85" customHeight="1" spans="1:16">
      <c r="A85" s="159"/>
      <c r="B85" s="160"/>
      <c r="C85" s="160"/>
      <c r="D85" s="156"/>
      <c r="E85" s="156"/>
      <c r="F85" s="160"/>
      <c r="G85" s="160"/>
      <c r="H85" s="160"/>
      <c r="I85" s="160"/>
      <c r="J85" s="160"/>
      <c r="K85" s="160"/>
      <c r="L85" s="160"/>
      <c r="M85" s="160"/>
      <c r="N85" s="159"/>
      <c r="O85" s="160"/>
      <c r="P85" s="160"/>
    </row>
    <row r="86" customHeight="1" spans="1:16">
      <c r="A86" s="159"/>
      <c r="B86" s="160"/>
      <c r="C86" s="160"/>
      <c r="D86" s="156"/>
      <c r="E86" s="156"/>
      <c r="F86" s="160"/>
      <c r="G86" s="160"/>
      <c r="H86" s="160"/>
      <c r="I86" s="160"/>
      <c r="J86" s="160"/>
      <c r="K86" s="160"/>
      <c r="L86" s="160"/>
      <c r="M86" s="160"/>
      <c r="N86" s="159"/>
      <c r="O86" s="160"/>
      <c r="P86" s="160"/>
    </row>
  </sheetData>
  <mergeCells count="196">
    <mergeCell ref="A1:D1"/>
    <mergeCell ref="E1:P1"/>
    <mergeCell ref="A2:P2"/>
    <mergeCell ref="A3:B3"/>
    <mergeCell ref="C3:D3"/>
    <mergeCell ref="E3:F3"/>
    <mergeCell ref="G3:H3"/>
    <mergeCell ref="I3:J3"/>
    <mergeCell ref="K3:L3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6:P6"/>
    <mergeCell ref="D9:E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  <mergeCell ref="A80:A86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  <mergeCell ref="B80:B86"/>
    <mergeCell ref="C10:C16"/>
    <mergeCell ref="C17:C23"/>
    <mergeCell ref="C24:C30"/>
    <mergeCell ref="C31:C37"/>
    <mergeCell ref="C38:C44"/>
    <mergeCell ref="C45:C51"/>
    <mergeCell ref="C52:C58"/>
    <mergeCell ref="C59:C65"/>
    <mergeCell ref="C66:C72"/>
    <mergeCell ref="C73:C79"/>
    <mergeCell ref="C80:C86"/>
    <mergeCell ref="F10:F16"/>
    <mergeCell ref="F17:F23"/>
    <mergeCell ref="F24:F30"/>
    <mergeCell ref="F31:F37"/>
    <mergeCell ref="F38:F44"/>
    <mergeCell ref="F45:F51"/>
    <mergeCell ref="F52:F58"/>
    <mergeCell ref="F59:F65"/>
    <mergeCell ref="F66:F72"/>
    <mergeCell ref="F73:F79"/>
    <mergeCell ref="F80:F86"/>
    <mergeCell ref="G10:G16"/>
    <mergeCell ref="G17:G23"/>
    <mergeCell ref="G24:G30"/>
    <mergeCell ref="G31:G37"/>
    <mergeCell ref="G38:G44"/>
    <mergeCell ref="G45:G51"/>
    <mergeCell ref="G52:G58"/>
    <mergeCell ref="G59:G65"/>
    <mergeCell ref="G66:G72"/>
    <mergeCell ref="G73:G79"/>
    <mergeCell ref="G80:G86"/>
    <mergeCell ref="H10:H16"/>
    <mergeCell ref="H17:H23"/>
    <mergeCell ref="H24:H30"/>
    <mergeCell ref="H31:H37"/>
    <mergeCell ref="H38:H44"/>
    <mergeCell ref="H45:H51"/>
    <mergeCell ref="H52:H58"/>
    <mergeCell ref="H59:H65"/>
    <mergeCell ref="H66:H72"/>
    <mergeCell ref="H73:H79"/>
    <mergeCell ref="H80:H86"/>
    <mergeCell ref="I10:I16"/>
    <mergeCell ref="I17:I23"/>
    <mergeCell ref="I24:I30"/>
    <mergeCell ref="I31:I37"/>
    <mergeCell ref="I38:I44"/>
    <mergeCell ref="I45:I51"/>
    <mergeCell ref="I52:I58"/>
    <mergeCell ref="I59:I65"/>
    <mergeCell ref="I66:I72"/>
    <mergeCell ref="I73:I79"/>
    <mergeCell ref="I80:I86"/>
    <mergeCell ref="J10:J16"/>
    <mergeCell ref="J17:J23"/>
    <mergeCell ref="J24:J30"/>
    <mergeCell ref="J31:J37"/>
    <mergeCell ref="J38:J44"/>
    <mergeCell ref="J45:J51"/>
    <mergeCell ref="J52:J58"/>
    <mergeCell ref="J59:J65"/>
    <mergeCell ref="J66:J72"/>
    <mergeCell ref="J73:J79"/>
    <mergeCell ref="J80:J86"/>
    <mergeCell ref="K10:K16"/>
    <mergeCell ref="K17:K23"/>
    <mergeCell ref="K24:K30"/>
    <mergeCell ref="K31:K37"/>
    <mergeCell ref="K38:K44"/>
    <mergeCell ref="K45:K51"/>
    <mergeCell ref="K52:K58"/>
    <mergeCell ref="K59:K65"/>
    <mergeCell ref="K66:K72"/>
    <mergeCell ref="K73:K79"/>
    <mergeCell ref="K80:K86"/>
    <mergeCell ref="L10:L16"/>
    <mergeCell ref="L17:L23"/>
    <mergeCell ref="L24:L30"/>
    <mergeCell ref="L31:L37"/>
    <mergeCell ref="L38:L44"/>
    <mergeCell ref="L45:L51"/>
    <mergeCell ref="L52:L58"/>
    <mergeCell ref="L59:L65"/>
    <mergeCell ref="L66:L72"/>
    <mergeCell ref="L73:L79"/>
    <mergeCell ref="L80:L86"/>
    <mergeCell ref="M10:M16"/>
    <mergeCell ref="M17:M23"/>
    <mergeCell ref="M24:M30"/>
    <mergeCell ref="M31:M37"/>
    <mergeCell ref="M38:M44"/>
    <mergeCell ref="M45:M51"/>
    <mergeCell ref="M52:M58"/>
    <mergeCell ref="M59:M65"/>
    <mergeCell ref="M66:M72"/>
    <mergeCell ref="M73:M79"/>
    <mergeCell ref="M80:M86"/>
    <mergeCell ref="N10:N16"/>
    <mergeCell ref="N17:N23"/>
    <mergeCell ref="N24:N30"/>
    <mergeCell ref="N31:N37"/>
    <mergeCell ref="N38:N44"/>
    <mergeCell ref="N45:N51"/>
    <mergeCell ref="N52:N58"/>
    <mergeCell ref="N59:N65"/>
    <mergeCell ref="N66:N72"/>
    <mergeCell ref="N73:N79"/>
    <mergeCell ref="N80:N86"/>
    <mergeCell ref="O10:O16"/>
    <mergeCell ref="O17:O23"/>
    <mergeCell ref="O24:O30"/>
    <mergeCell ref="O31:O37"/>
    <mergeCell ref="O38:O44"/>
    <mergeCell ref="O45:O51"/>
    <mergeCell ref="O52:O58"/>
    <mergeCell ref="O59:O65"/>
    <mergeCell ref="O66:O72"/>
    <mergeCell ref="O73:O79"/>
    <mergeCell ref="O80:O86"/>
    <mergeCell ref="P10:P16"/>
    <mergeCell ref="P17:P23"/>
    <mergeCell ref="P24:P30"/>
    <mergeCell ref="P31:P37"/>
    <mergeCell ref="P38:P44"/>
    <mergeCell ref="P45:P51"/>
    <mergeCell ref="P52:P58"/>
    <mergeCell ref="P59:P65"/>
    <mergeCell ref="P66:P72"/>
    <mergeCell ref="P73:P79"/>
    <mergeCell ref="P80:P86"/>
    <mergeCell ref="A7:B8"/>
    <mergeCell ref="C7:P8"/>
    <mergeCell ref="D10:E16"/>
    <mergeCell ref="D17:E23"/>
    <mergeCell ref="D24:E30"/>
    <mergeCell ref="D31:E37"/>
    <mergeCell ref="D38:E44"/>
    <mergeCell ref="D45:E51"/>
    <mergeCell ref="D52:E58"/>
    <mergeCell ref="D59:E65"/>
    <mergeCell ref="D66:E72"/>
    <mergeCell ref="D73:E79"/>
    <mergeCell ref="D80:E8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1"/>
  <sheetViews>
    <sheetView zoomScale="85" zoomScaleNormal="85" workbookViewId="0">
      <pane xSplit="4" ySplit="2" topLeftCell="E27" activePane="bottomRight" state="frozen"/>
      <selection/>
      <selection pane="topRight"/>
      <selection pane="bottomLeft"/>
      <selection pane="bottomRight" activeCell="N14" sqref="N14"/>
    </sheetView>
  </sheetViews>
  <sheetFormatPr defaultColWidth="9" defaultRowHeight="20" customHeight="1"/>
  <cols>
    <col min="1" max="3" width="8.625" style="104" customWidth="1"/>
    <col min="4" max="4" width="10.75" style="105" customWidth="1"/>
    <col min="5" max="7" width="8.625" style="104" customWidth="1"/>
    <col min="8" max="26" width="8.625" style="106" customWidth="1"/>
    <col min="27" max="30" width="8.625" style="104" customWidth="1"/>
    <col min="31" max="32" width="8.625" style="106" customWidth="1"/>
    <col min="33" max="35" width="8.625" style="104" customWidth="1"/>
    <col min="36" max="36" width="8.625" style="106" customWidth="1"/>
    <col min="37" max="37" width="8.625" style="104" customWidth="1"/>
    <col min="38" max="38" width="8.625" style="106" customWidth="1"/>
    <col min="39" max="40" width="8.625" style="104" customWidth="1"/>
    <col min="41" max="42" width="8.625" style="106" customWidth="1"/>
    <col min="43" max="16384" width="9" style="104"/>
  </cols>
  <sheetData>
    <row r="1" s="98" customFormat="1" ht="40" customHeight="1" spans="1:42">
      <c r="A1" s="107" t="s">
        <v>39</v>
      </c>
      <c r="B1" s="107"/>
      <c r="C1" s="107"/>
      <c r="D1" s="108"/>
      <c r="E1" s="109" t="s">
        <v>40</v>
      </c>
      <c r="F1" s="109"/>
      <c r="G1" s="109"/>
      <c r="H1" s="110" t="s">
        <v>41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07" t="s">
        <v>42</v>
      </c>
      <c r="AB1" s="107"/>
      <c r="AC1" s="107"/>
      <c r="AD1" s="107"/>
      <c r="AE1" s="107"/>
      <c r="AF1" s="107"/>
      <c r="AG1" s="107"/>
      <c r="AH1" s="109" t="s">
        <v>43</v>
      </c>
      <c r="AI1" s="109"/>
      <c r="AJ1" s="147"/>
      <c r="AK1" s="109"/>
      <c r="AL1" s="147"/>
      <c r="AM1" s="109"/>
      <c r="AN1" s="109"/>
      <c r="AO1" s="147"/>
      <c r="AP1" s="147"/>
    </row>
    <row r="2" s="99" customFormat="1" ht="80" customHeight="1" spans="1:42">
      <c r="A2" s="111" t="s">
        <v>44</v>
      </c>
      <c r="B2" s="111" t="s">
        <v>45</v>
      </c>
      <c r="C2" s="111"/>
      <c r="D2" s="112" t="s">
        <v>46</v>
      </c>
      <c r="E2" s="113" t="s">
        <v>47</v>
      </c>
      <c r="F2" s="113" t="s">
        <v>48</v>
      </c>
      <c r="G2" s="114" t="s">
        <v>49</v>
      </c>
      <c r="H2" s="113" t="s">
        <v>50</v>
      </c>
      <c r="I2" s="140" t="s">
        <v>51</v>
      </c>
      <c r="J2" s="140" t="s">
        <v>52</v>
      </c>
      <c r="K2" s="111" t="s">
        <v>53</v>
      </c>
      <c r="L2" s="111" t="s">
        <v>54</v>
      </c>
      <c r="M2" s="113" t="s">
        <v>55</v>
      </c>
      <c r="N2" s="140" t="s">
        <v>20</v>
      </c>
      <c r="O2" s="114" t="s">
        <v>56</v>
      </c>
      <c r="P2" s="140" t="s">
        <v>57</v>
      </c>
      <c r="Q2" s="111" t="s">
        <v>58</v>
      </c>
      <c r="R2" s="111" t="s">
        <v>59</v>
      </c>
      <c r="S2" s="114" t="s">
        <v>60</v>
      </c>
      <c r="T2" s="114" t="s">
        <v>61</v>
      </c>
      <c r="U2" s="140" t="s">
        <v>62</v>
      </c>
      <c r="V2" s="140" t="s">
        <v>63</v>
      </c>
      <c r="W2" s="140" t="s">
        <v>64</v>
      </c>
      <c r="X2" s="140" t="s">
        <v>65</v>
      </c>
      <c r="Y2" s="140" t="s">
        <v>66</v>
      </c>
      <c r="Z2" s="140" t="s">
        <v>67</v>
      </c>
      <c r="AA2" s="113" t="s">
        <v>68</v>
      </c>
      <c r="AB2" s="113" t="s">
        <v>69</v>
      </c>
      <c r="AC2" s="113" t="s">
        <v>70</v>
      </c>
      <c r="AD2" s="113" t="s">
        <v>71</v>
      </c>
      <c r="AE2" s="114" t="s">
        <v>72</v>
      </c>
      <c r="AF2" s="114" t="s">
        <v>73</v>
      </c>
      <c r="AG2" s="111" t="s">
        <v>74</v>
      </c>
      <c r="AH2" s="113" t="s">
        <v>75</v>
      </c>
      <c r="AI2" s="113" t="s">
        <v>76</v>
      </c>
      <c r="AJ2" s="114" t="s">
        <v>77</v>
      </c>
      <c r="AK2" s="113" t="s">
        <v>78</v>
      </c>
      <c r="AL2" s="114" t="s">
        <v>60</v>
      </c>
      <c r="AM2" s="113" t="s">
        <v>79</v>
      </c>
      <c r="AN2" s="113" t="s">
        <v>80</v>
      </c>
      <c r="AO2" s="114" t="s">
        <v>63</v>
      </c>
      <c r="AP2" s="114" t="s">
        <v>81</v>
      </c>
    </row>
    <row r="3" s="100" customFormat="1" customHeight="1" spans="1:42">
      <c r="A3" s="115" t="s">
        <v>82</v>
      </c>
      <c r="B3" s="116" t="s">
        <v>83</v>
      </c>
      <c r="C3" s="117" t="s">
        <v>28</v>
      </c>
      <c r="D3" s="118">
        <v>44523</v>
      </c>
      <c r="E3" s="79">
        <v>3</v>
      </c>
      <c r="F3" s="79">
        <v>3</v>
      </c>
      <c r="G3" s="119"/>
      <c r="H3" s="120">
        <v>14.99</v>
      </c>
      <c r="I3" s="120">
        <f>H3*K3</f>
        <v>74.95</v>
      </c>
      <c r="J3" s="141">
        <v>0.2</v>
      </c>
      <c r="K3" s="116">
        <v>5</v>
      </c>
      <c r="L3" s="116">
        <f>SUM(M3:N3)</f>
        <v>0</v>
      </c>
      <c r="M3" s="116"/>
      <c r="N3" s="116">
        <v>0</v>
      </c>
      <c r="O3" s="142" t="str">
        <f>IFERROR(M3/L3,"")</f>
        <v/>
      </c>
      <c r="P3" s="142" t="str">
        <f>IFERROR(K3/K2,"")</f>
        <v/>
      </c>
      <c r="Q3" s="116">
        <v>14</v>
      </c>
      <c r="R3" s="141">
        <f>IFERROR(M3/Q3,"")</f>
        <v>0</v>
      </c>
      <c r="S3" s="141">
        <v>0</v>
      </c>
      <c r="T3" s="141">
        <v>0.357142857142857</v>
      </c>
      <c r="U3" s="120">
        <v>44.69</v>
      </c>
      <c r="V3" s="141">
        <v>0</v>
      </c>
      <c r="W3" s="141" t="e">
        <v>#DIV/0!</v>
      </c>
      <c r="X3" s="116">
        <v>538</v>
      </c>
      <c r="Y3" s="116">
        <v>103</v>
      </c>
      <c r="Z3" s="141">
        <f>IFERROR(Y3/X3,"")</f>
        <v>0.191449814126394</v>
      </c>
      <c r="AA3" s="116">
        <v>2865</v>
      </c>
      <c r="AB3" s="116">
        <v>452045</v>
      </c>
      <c r="AC3" s="116"/>
      <c r="AD3" s="116"/>
      <c r="AE3" s="141"/>
      <c r="AF3" s="141"/>
      <c r="AG3" s="116"/>
      <c r="AH3" s="116">
        <v>920</v>
      </c>
      <c r="AI3" s="116">
        <v>21</v>
      </c>
      <c r="AJ3" s="141">
        <f t="shared" ref="AJ3:AJ8" si="0">IFERROR(AI3/AH3,"")</f>
        <v>0.0228260869565217</v>
      </c>
      <c r="AK3" s="116">
        <v>0</v>
      </c>
      <c r="AL3" s="141">
        <f t="shared" ref="AL3:AL8" si="1">IFERROR(AK3/AI3,"")</f>
        <v>0</v>
      </c>
      <c r="AM3" s="116">
        <v>2.13</v>
      </c>
      <c r="AN3" s="116">
        <v>44.69</v>
      </c>
      <c r="AO3" s="141">
        <v>0</v>
      </c>
      <c r="AP3" s="141" t="e">
        <f>AN3/(#REF!*(1-#REF!)*(#REF!+#REF!))</f>
        <v>#REF!</v>
      </c>
    </row>
    <row r="4" s="101" customFormat="1" customHeight="1" spans="1:42">
      <c r="A4" s="121"/>
      <c r="B4" s="122" t="s">
        <v>84</v>
      </c>
      <c r="C4" s="117"/>
      <c r="D4" s="123">
        <v>44524</v>
      </c>
      <c r="E4" s="124">
        <v>4</v>
      </c>
      <c r="F4" s="124">
        <f>F3+E4</f>
        <v>7</v>
      </c>
      <c r="G4" s="125">
        <f>E4/E3</f>
        <v>1.33333333333333</v>
      </c>
      <c r="H4" s="120">
        <v>14.99</v>
      </c>
      <c r="I4" s="120">
        <f t="shared" ref="I4:I15" si="2">H4*K4</f>
        <v>119.92</v>
      </c>
      <c r="J4" s="141">
        <v>0.2</v>
      </c>
      <c r="K4" s="116">
        <v>8</v>
      </c>
      <c r="L4" s="116">
        <f t="shared" ref="L4:L19" si="3">SUM(M4:N4)</f>
        <v>8</v>
      </c>
      <c r="M4" s="116">
        <v>2</v>
      </c>
      <c r="N4" s="116">
        <v>6</v>
      </c>
      <c r="O4" s="142">
        <f>IFERROR(M4/L4,"")</f>
        <v>0.25</v>
      </c>
      <c r="P4" s="142">
        <f>IFERROR(K4/K3,"")</f>
        <v>1.6</v>
      </c>
      <c r="Q4" s="122">
        <v>28</v>
      </c>
      <c r="R4" s="141">
        <f t="shared" ref="R4:R26" si="4">IFERROR(M4/Q4,"")</f>
        <v>0.0714285714285714</v>
      </c>
      <c r="S4" s="141">
        <v>0.133333333333333</v>
      </c>
      <c r="T4" s="141">
        <v>0.285714285714286</v>
      </c>
      <c r="U4" s="120">
        <v>91.97</v>
      </c>
      <c r="V4" s="142">
        <v>0.59</v>
      </c>
      <c r="W4" s="142">
        <v>0.465793525383899</v>
      </c>
      <c r="X4" s="122">
        <v>576</v>
      </c>
      <c r="Y4" s="122">
        <v>131</v>
      </c>
      <c r="Z4" s="141">
        <f t="shared" ref="Z3:Z12" si="5">IFERROR(Y4/X4,"")</f>
        <v>0.227430555555556</v>
      </c>
      <c r="AA4" s="122">
        <v>456</v>
      </c>
      <c r="AB4" s="122">
        <v>25960</v>
      </c>
      <c r="AC4" s="122"/>
      <c r="AD4" s="122"/>
      <c r="AE4" s="142"/>
      <c r="AF4" s="142"/>
      <c r="AG4" s="122"/>
      <c r="AH4" s="122">
        <v>2720</v>
      </c>
      <c r="AI4" s="122">
        <v>45</v>
      </c>
      <c r="AJ4" s="142">
        <f t="shared" si="0"/>
        <v>0.0165441176470588</v>
      </c>
      <c r="AK4" s="122">
        <v>6</v>
      </c>
      <c r="AL4" s="142">
        <f t="shared" si="1"/>
        <v>0.133333333333333</v>
      </c>
      <c r="AM4" s="122">
        <v>2.04</v>
      </c>
      <c r="AN4" s="122">
        <v>91.97</v>
      </c>
      <c r="AO4" s="142">
        <v>0.59</v>
      </c>
      <c r="AP4" s="142" t="e">
        <f>AN4/(#REF!*(1-#REF!)*#REF!)</f>
        <v>#REF!</v>
      </c>
    </row>
    <row r="5" s="101" customFormat="1" customHeight="1" spans="1:42">
      <c r="A5" s="121"/>
      <c r="B5" s="122" t="s">
        <v>85</v>
      </c>
      <c r="C5" s="117"/>
      <c r="D5" s="123">
        <v>44525</v>
      </c>
      <c r="E5" s="124">
        <v>5</v>
      </c>
      <c r="F5" s="124">
        <f t="shared" ref="F5:F51" si="6">F4+E5</f>
        <v>12</v>
      </c>
      <c r="G5" s="125">
        <f t="shared" ref="G4:G51" si="7">E5/E4</f>
        <v>1.25</v>
      </c>
      <c r="H5" s="120">
        <v>14.99</v>
      </c>
      <c r="I5" s="120">
        <f t="shared" si="2"/>
        <v>164.89</v>
      </c>
      <c r="J5" s="141">
        <v>0.2</v>
      </c>
      <c r="K5" s="116">
        <v>11</v>
      </c>
      <c r="L5" s="116">
        <f t="shared" si="3"/>
        <v>10</v>
      </c>
      <c r="M5" s="116">
        <v>3</v>
      </c>
      <c r="N5" s="116">
        <v>7</v>
      </c>
      <c r="O5" s="142">
        <f t="shared" ref="O5:O24" si="8">IFERROR(M5/L5,"")</f>
        <v>0.3</v>
      </c>
      <c r="P5" s="142">
        <f t="shared" ref="P5:P24" si="9">IFERROR(K5/K4,"")</f>
        <v>1.375</v>
      </c>
      <c r="Q5" s="122">
        <v>29</v>
      </c>
      <c r="R5" s="141">
        <f t="shared" si="4"/>
        <v>0.103448275862069</v>
      </c>
      <c r="S5" s="141">
        <v>0.0843373493975904</v>
      </c>
      <c r="T5" s="141">
        <v>0.379310344827586</v>
      </c>
      <c r="U5" s="120">
        <v>157.32</v>
      </c>
      <c r="V5" s="142">
        <v>0.9463</v>
      </c>
      <c r="W5" s="142">
        <v>0.688116733151375</v>
      </c>
      <c r="X5" s="122">
        <v>730</v>
      </c>
      <c r="Y5" s="122">
        <v>302</v>
      </c>
      <c r="Z5" s="141">
        <f t="shared" si="5"/>
        <v>0.413698630136986</v>
      </c>
      <c r="AA5" s="122">
        <v>294</v>
      </c>
      <c r="AB5" s="122">
        <v>12205</v>
      </c>
      <c r="AC5" s="122"/>
      <c r="AD5" s="122"/>
      <c r="AE5" s="142"/>
      <c r="AF5" s="142"/>
      <c r="AG5" s="122"/>
      <c r="AH5" s="122">
        <v>8213</v>
      </c>
      <c r="AI5" s="122">
        <v>83</v>
      </c>
      <c r="AJ5" s="142">
        <f t="shared" si="0"/>
        <v>0.0101059296237672</v>
      </c>
      <c r="AK5" s="122">
        <v>7</v>
      </c>
      <c r="AL5" s="142">
        <f t="shared" si="1"/>
        <v>0.0843373493975904</v>
      </c>
      <c r="AM5" s="122">
        <v>1.9</v>
      </c>
      <c r="AN5" s="122">
        <v>157.32</v>
      </c>
      <c r="AO5" s="142">
        <v>0.9463</v>
      </c>
      <c r="AP5" s="142" t="e">
        <f>AN5/(#REF!*(1-#REF!)*#REF!)</f>
        <v>#REF!</v>
      </c>
    </row>
    <row r="6" s="101" customFormat="1" customHeight="1" spans="1:42">
      <c r="A6" s="121"/>
      <c r="B6" s="122" t="s">
        <v>86</v>
      </c>
      <c r="C6" s="117"/>
      <c r="D6" s="123">
        <v>44526</v>
      </c>
      <c r="E6" s="124">
        <v>6</v>
      </c>
      <c r="F6" s="124">
        <f t="shared" si="6"/>
        <v>18</v>
      </c>
      <c r="G6" s="125">
        <f t="shared" si="7"/>
        <v>1.2</v>
      </c>
      <c r="H6" s="120">
        <v>14.99</v>
      </c>
      <c r="I6" s="120">
        <f t="shared" si="2"/>
        <v>404.73</v>
      </c>
      <c r="J6" s="141">
        <v>0.2</v>
      </c>
      <c r="K6" s="116">
        <v>27</v>
      </c>
      <c r="L6" s="116">
        <f t="shared" si="3"/>
        <v>26</v>
      </c>
      <c r="M6" s="116">
        <v>9</v>
      </c>
      <c r="N6" s="116">
        <v>17</v>
      </c>
      <c r="O6" s="142">
        <f t="shared" si="8"/>
        <v>0.346153846153846</v>
      </c>
      <c r="P6" s="142">
        <f t="shared" si="9"/>
        <v>2.45454545454545</v>
      </c>
      <c r="Q6" s="122">
        <v>67</v>
      </c>
      <c r="R6" s="141">
        <f t="shared" si="4"/>
        <v>0.134328358208955</v>
      </c>
      <c r="S6" s="141">
        <v>0.101796407185629</v>
      </c>
      <c r="T6" s="141">
        <v>0.402985074626866</v>
      </c>
      <c r="U6" s="120">
        <v>358.46</v>
      </c>
      <c r="V6" s="142">
        <v>0.893</v>
      </c>
      <c r="W6" s="142">
        <v>0.638774841045818</v>
      </c>
      <c r="X6" s="122"/>
      <c r="Y6" s="122"/>
      <c r="Z6" s="141" t="str">
        <f t="shared" si="5"/>
        <v/>
      </c>
      <c r="AA6" s="122">
        <v>317</v>
      </c>
      <c r="AB6" s="122">
        <v>11084</v>
      </c>
      <c r="AC6" s="122">
        <v>0</v>
      </c>
      <c r="AD6" s="122"/>
      <c r="AE6" s="142"/>
      <c r="AF6" s="142"/>
      <c r="AG6" s="122"/>
      <c r="AH6" s="122">
        <v>19634</v>
      </c>
      <c r="AI6" s="122">
        <v>167</v>
      </c>
      <c r="AJ6" s="142">
        <f t="shared" si="0"/>
        <v>0.00850565345828664</v>
      </c>
      <c r="AK6" s="122">
        <v>17</v>
      </c>
      <c r="AL6" s="142">
        <f t="shared" si="1"/>
        <v>0.101796407185629</v>
      </c>
      <c r="AM6" s="122">
        <v>1.92</v>
      </c>
      <c r="AN6" s="122">
        <v>358.46</v>
      </c>
      <c r="AO6" s="142">
        <v>0.893</v>
      </c>
      <c r="AP6" s="142" t="e">
        <f>AN6/(#REF!*(1-#REF!)*#REF!)</f>
        <v>#REF!</v>
      </c>
    </row>
    <row r="7" s="101" customFormat="1" customHeight="1" spans="1:42">
      <c r="A7" s="121"/>
      <c r="B7" s="122" t="s">
        <v>87</v>
      </c>
      <c r="C7" s="117"/>
      <c r="D7" s="123">
        <v>44527</v>
      </c>
      <c r="E7" s="124">
        <v>8</v>
      </c>
      <c r="F7" s="124">
        <f t="shared" si="6"/>
        <v>26</v>
      </c>
      <c r="G7" s="125">
        <f t="shared" si="7"/>
        <v>1.33333333333333</v>
      </c>
      <c r="H7" s="120">
        <v>14.99</v>
      </c>
      <c r="I7" s="120">
        <f t="shared" si="2"/>
        <v>344.77</v>
      </c>
      <c r="J7" s="141">
        <v>0.2</v>
      </c>
      <c r="K7" s="116">
        <v>23</v>
      </c>
      <c r="L7" s="116">
        <f t="shared" si="3"/>
        <v>16</v>
      </c>
      <c r="M7" s="116">
        <v>2</v>
      </c>
      <c r="N7" s="116">
        <v>14</v>
      </c>
      <c r="O7" s="142">
        <f t="shared" si="8"/>
        <v>0.125</v>
      </c>
      <c r="P7" s="142">
        <f t="shared" si="9"/>
        <v>0.851851851851852</v>
      </c>
      <c r="Q7" s="122"/>
      <c r="R7" s="141" t="str">
        <f t="shared" si="4"/>
        <v/>
      </c>
      <c r="S7" s="141">
        <v>0.0760869565217391</v>
      </c>
      <c r="T7" s="141" t="s">
        <v>88</v>
      </c>
      <c r="U7" s="120">
        <v>354.05</v>
      </c>
      <c r="V7" s="142">
        <v>0.8113</v>
      </c>
      <c r="W7" s="142">
        <v>0.740640793921746</v>
      </c>
      <c r="X7" s="122"/>
      <c r="Y7" s="122"/>
      <c r="Z7" s="141" t="str">
        <f t="shared" si="5"/>
        <v/>
      </c>
      <c r="AA7" s="122">
        <v>327</v>
      </c>
      <c r="AB7" s="145">
        <v>11385</v>
      </c>
      <c r="AC7" s="122"/>
      <c r="AD7" s="122"/>
      <c r="AE7" s="142"/>
      <c r="AF7" s="142"/>
      <c r="AG7" s="122"/>
      <c r="AH7" s="122">
        <v>18517</v>
      </c>
      <c r="AI7" s="122">
        <v>184</v>
      </c>
      <c r="AJ7" s="142">
        <f t="shared" si="0"/>
        <v>0.00993681481881514</v>
      </c>
      <c r="AK7" s="122">
        <v>14</v>
      </c>
      <c r="AL7" s="142">
        <f t="shared" si="1"/>
        <v>0.0760869565217391</v>
      </c>
      <c r="AM7" s="122">
        <v>1.92</v>
      </c>
      <c r="AN7" s="122">
        <v>354.05</v>
      </c>
      <c r="AO7" s="142">
        <v>0.8113</v>
      </c>
      <c r="AP7" s="142" t="e">
        <f>AN7/(#REF!*(1-#REF!)*#REF!)</f>
        <v>#REF!</v>
      </c>
    </row>
    <row r="8" s="101" customFormat="1" customHeight="1" spans="1:42">
      <c r="A8" s="121"/>
      <c r="B8" s="122" t="s">
        <v>89</v>
      </c>
      <c r="C8" s="117"/>
      <c r="D8" s="123">
        <v>44528</v>
      </c>
      <c r="E8" s="124">
        <v>10</v>
      </c>
      <c r="F8" s="124">
        <f t="shared" si="6"/>
        <v>36</v>
      </c>
      <c r="G8" s="125">
        <f t="shared" si="7"/>
        <v>1.25</v>
      </c>
      <c r="H8" s="120">
        <v>14.99</v>
      </c>
      <c r="I8" s="120">
        <f t="shared" si="2"/>
        <v>179.88</v>
      </c>
      <c r="J8" s="141">
        <v>0.2</v>
      </c>
      <c r="K8" s="116">
        <v>12</v>
      </c>
      <c r="L8" s="116">
        <f t="shared" si="3"/>
        <v>12</v>
      </c>
      <c r="M8" s="116"/>
      <c r="N8" s="116">
        <v>12</v>
      </c>
      <c r="O8" s="142">
        <f t="shared" si="8"/>
        <v>0</v>
      </c>
      <c r="P8" s="142">
        <f t="shared" si="9"/>
        <v>0.521739130434783</v>
      </c>
      <c r="Q8" s="122"/>
      <c r="R8" s="141" t="str">
        <f t="shared" si="4"/>
        <v/>
      </c>
      <c r="S8" s="141">
        <v>0.0736196319018405</v>
      </c>
      <c r="T8" s="141" t="s">
        <v>88</v>
      </c>
      <c r="U8" s="120">
        <v>298.92</v>
      </c>
      <c r="V8" s="142">
        <v>1.1745</v>
      </c>
      <c r="W8" s="142">
        <v>1.19851809083911</v>
      </c>
      <c r="X8" s="122"/>
      <c r="Y8" s="122"/>
      <c r="Z8" s="141" t="str">
        <f t="shared" si="5"/>
        <v/>
      </c>
      <c r="AA8" s="122"/>
      <c r="AB8" s="122"/>
      <c r="AC8" s="122"/>
      <c r="AD8" s="122"/>
      <c r="AE8" s="142"/>
      <c r="AF8" s="142"/>
      <c r="AG8" s="122"/>
      <c r="AH8" s="122">
        <v>12746</v>
      </c>
      <c r="AI8" s="122">
        <v>163</v>
      </c>
      <c r="AJ8" s="142">
        <f t="shared" si="0"/>
        <v>0.0127883257492547</v>
      </c>
      <c r="AK8" s="122">
        <v>12</v>
      </c>
      <c r="AL8" s="142">
        <f t="shared" si="1"/>
        <v>0.0736196319018405</v>
      </c>
      <c r="AM8" s="122">
        <v>1.83</v>
      </c>
      <c r="AN8" s="122">
        <v>298.92</v>
      </c>
      <c r="AO8" s="142">
        <v>1.1745</v>
      </c>
      <c r="AP8" s="142" t="e">
        <f>AN8/(#REF!*(1-#REF!)*#REF!)</f>
        <v>#REF!</v>
      </c>
    </row>
    <row r="9" s="101" customFormat="1" customHeight="1" spans="1:42">
      <c r="A9" s="121"/>
      <c r="B9" s="122" t="s">
        <v>90</v>
      </c>
      <c r="C9" s="116"/>
      <c r="D9" s="123">
        <v>44529</v>
      </c>
      <c r="E9" s="124">
        <v>12</v>
      </c>
      <c r="F9" s="124">
        <f t="shared" si="6"/>
        <v>48</v>
      </c>
      <c r="G9" s="125">
        <f t="shared" si="7"/>
        <v>1.2</v>
      </c>
      <c r="H9" s="120">
        <v>14.99</v>
      </c>
      <c r="I9" s="120">
        <f t="shared" si="2"/>
        <v>509.66</v>
      </c>
      <c r="J9" s="141">
        <v>0.2</v>
      </c>
      <c r="K9" s="116">
        <v>34</v>
      </c>
      <c r="L9" s="116">
        <f t="shared" si="3"/>
        <v>34</v>
      </c>
      <c r="M9" s="116">
        <v>17</v>
      </c>
      <c r="N9" s="116">
        <v>17</v>
      </c>
      <c r="O9" s="142">
        <f t="shared" si="8"/>
        <v>0.5</v>
      </c>
      <c r="P9" s="142">
        <f t="shared" si="9"/>
        <v>2.83333333333333</v>
      </c>
      <c r="Q9" s="122"/>
      <c r="R9" s="141" t="str">
        <f t="shared" si="4"/>
        <v/>
      </c>
      <c r="S9" s="141" t="s">
        <v>88</v>
      </c>
      <c r="T9" s="141" t="s">
        <v>88</v>
      </c>
      <c r="U9" s="120"/>
      <c r="V9" s="142"/>
      <c r="W9" s="142"/>
      <c r="X9" s="122"/>
      <c r="Y9" s="122"/>
      <c r="Z9" s="141" t="str">
        <f t="shared" si="5"/>
        <v/>
      </c>
      <c r="AA9" s="122"/>
      <c r="AB9" s="122"/>
      <c r="AC9" s="122"/>
      <c r="AD9" s="122"/>
      <c r="AE9" s="142"/>
      <c r="AF9" s="142"/>
      <c r="AG9" s="122"/>
      <c r="AH9" s="122"/>
      <c r="AI9" s="122"/>
      <c r="AJ9" s="142" t="str">
        <f t="shared" ref="AJ9:AJ47" si="10">IFERROR(AI9/AH9,"")</f>
        <v/>
      </c>
      <c r="AK9" s="122"/>
      <c r="AL9" s="142" t="str">
        <f t="shared" ref="AL9:AL47" si="11">IFERROR(AK9/AI9,"")</f>
        <v/>
      </c>
      <c r="AM9" s="122"/>
      <c r="AN9" s="122"/>
      <c r="AO9" s="142"/>
      <c r="AP9" s="142"/>
    </row>
    <row r="10" s="101" customFormat="1" customHeight="1" spans="1:42">
      <c r="A10" s="121"/>
      <c r="B10" s="122" t="s">
        <v>91</v>
      </c>
      <c r="C10" s="117" t="s">
        <v>29</v>
      </c>
      <c r="D10" s="123">
        <v>44530</v>
      </c>
      <c r="E10" s="124">
        <v>14</v>
      </c>
      <c r="F10" s="124">
        <f t="shared" si="6"/>
        <v>62</v>
      </c>
      <c r="G10" s="125">
        <f t="shared" si="7"/>
        <v>1.16666666666667</v>
      </c>
      <c r="H10" s="120">
        <v>14.99</v>
      </c>
      <c r="I10" s="120">
        <f t="shared" si="2"/>
        <v>0</v>
      </c>
      <c r="J10" s="141">
        <v>0.2</v>
      </c>
      <c r="K10" s="116">
        <v>0</v>
      </c>
      <c r="L10" s="116">
        <f t="shared" si="3"/>
        <v>0</v>
      </c>
      <c r="M10" s="116"/>
      <c r="N10" s="116"/>
      <c r="O10" s="142" t="str">
        <f t="shared" si="8"/>
        <v/>
      </c>
      <c r="P10" s="142">
        <f t="shared" si="9"/>
        <v>0</v>
      </c>
      <c r="Q10" s="116"/>
      <c r="R10" s="141" t="str">
        <f t="shared" si="4"/>
        <v/>
      </c>
      <c r="S10" s="141" t="s">
        <v>88</v>
      </c>
      <c r="T10" s="141" t="s">
        <v>88</v>
      </c>
      <c r="U10" s="120"/>
      <c r="V10" s="142"/>
      <c r="W10" s="142"/>
      <c r="X10" s="122"/>
      <c r="Y10" s="122"/>
      <c r="Z10" s="141" t="str">
        <f t="shared" si="5"/>
        <v/>
      </c>
      <c r="AA10" s="122"/>
      <c r="AB10" s="122"/>
      <c r="AC10" s="122"/>
      <c r="AD10" s="122"/>
      <c r="AE10" s="142"/>
      <c r="AF10" s="142"/>
      <c r="AG10" s="122"/>
      <c r="AH10" s="122"/>
      <c r="AI10" s="122"/>
      <c r="AJ10" s="142" t="str">
        <f t="shared" si="10"/>
        <v/>
      </c>
      <c r="AK10" s="122"/>
      <c r="AL10" s="142" t="str">
        <f t="shared" si="11"/>
        <v/>
      </c>
      <c r="AM10" s="122"/>
      <c r="AN10" s="122"/>
      <c r="AO10" s="142"/>
      <c r="AP10" s="142"/>
    </row>
    <row r="11" s="101" customFormat="1" customHeight="1" spans="1:42">
      <c r="A11" s="121"/>
      <c r="B11" s="122" t="s">
        <v>92</v>
      </c>
      <c r="C11" s="117"/>
      <c r="D11" s="123">
        <v>44531</v>
      </c>
      <c r="E11" s="124">
        <v>16</v>
      </c>
      <c r="F11" s="124">
        <f t="shared" si="6"/>
        <v>78</v>
      </c>
      <c r="G11" s="125">
        <f t="shared" si="7"/>
        <v>1.14285714285714</v>
      </c>
      <c r="H11" s="120">
        <v>14.99</v>
      </c>
      <c r="I11" s="120">
        <f t="shared" si="2"/>
        <v>0</v>
      </c>
      <c r="J11" s="141">
        <v>0.2</v>
      </c>
      <c r="K11" s="116">
        <v>0</v>
      </c>
      <c r="L11" s="116">
        <f t="shared" si="3"/>
        <v>0</v>
      </c>
      <c r="M11" s="116"/>
      <c r="N11" s="116"/>
      <c r="O11" s="142" t="str">
        <f t="shared" si="8"/>
        <v/>
      </c>
      <c r="P11" s="142" t="str">
        <f t="shared" si="9"/>
        <v/>
      </c>
      <c r="Q11" s="116"/>
      <c r="R11" s="141" t="str">
        <f t="shared" si="4"/>
        <v/>
      </c>
      <c r="S11" s="141" t="s">
        <v>88</v>
      </c>
      <c r="T11" s="141" t="s">
        <v>88</v>
      </c>
      <c r="U11" s="120"/>
      <c r="V11" s="142"/>
      <c r="W11" s="142"/>
      <c r="X11" s="122"/>
      <c r="Y11" s="122"/>
      <c r="Z11" s="141" t="str">
        <f t="shared" si="5"/>
        <v/>
      </c>
      <c r="AA11" s="122"/>
      <c r="AB11" s="122"/>
      <c r="AC11" s="122"/>
      <c r="AD11" s="122"/>
      <c r="AE11" s="142"/>
      <c r="AF11" s="142"/>
      <c r="AG11" s="122"/>
      <c r="AH11" s="122"/>
      <c r="AI11" s="122"/>
      <c r="AJ11" s="142" t="str">
        <f t="shared" si="10"/>
        <v/>
      </c>
      <c r="AK11" s="122"/>
      <c r="AL11" s="142" t="str">
        <f t="shared" si="11"/>
        <v/>
      </c>
      <c r="AM11" s="122"/>
      <c r="AN11" s="122"/>
      <c r="AO11" s="142"/>
      <c r="AP11" s="142"/>
    </row>
    <row r="12" s="101" customFormat="1" customHeight="1" spans="1:42">
      <c r="A12" s="121"/>
      <c r="B12" s="122" t="s">
        <v>93</v>
      </c>
      <c r="C12" s="117"/>
      <c r="D12" s="123">
        <v>44532</v>
      </c>
      <c r="E12" s="124">
        <v>18</v>
      </c>
      <c r="F12" s="124">
        <f t="shared" si="6"/>
        <v>96</v>
      </c>
      <c r="G12" s="125">
        <f t="shared" si="7"/>
        <v>1.125</v>
      </c>
      <c r="H12" s="120">
        <v>14.99</v>
      </c>
      <c r="I12" s="120">
        <f t="shared" si="2"/>
        <v>0</v>
      </c>
      <c r="J12" s="141">
        <v>0.2</v>
      </c>
      <c r="K12" s="116"/>
      <c r="L12" s="116">
        <f t="shared" si="3"/>
        <v>0</v>
      </c>
      <c r="M12" s="116"/>
      <c r="N12" s="116"/>
      <c r="O12" s="142" t="str">
        <f t="shared" si="8"/>
        <v/>
      </c>
      <c r="P12" s="142" t="str">
        <f t="shared" si="9"/>
        <v/>
      </c>
      <c r="Q12" s="116"/>
      <c r="R12" s="141" t="str">
        <f t="shared" si="4"/>
        <v/>
      </c>
      <c r="S12" s="141" t="s">
        <v>88</v>
      </c>
      <c r="T12" s="141" t="s">
        <v>88</v>
      </c>
      <c r="U12" s="120"/>
      <c r="V12" s="142"/>
      <c r="W12" s="142"/>
      <c r="X12" s="122"/>
      <c r="Y12" s="122"/>
      <c r="Z12" s="141" t="str">
        <f t="shared" si="5"/>
        <v/>
      </c>
      <c r="AA12" s="122"/>
      <c r="AB12" s="145"/>
      <c r="AC12" s="122"/>
      <c r="AD12" s="122"/>
      <c r="AE12" s="142"/>
      <c r="AF12" s="142"/>
      <c r="AG12" s="122"/>
      <c r="AH12" s="122"/>
      <c r="AI12" s="122"/>
      <c r="AJ12" s="142" t="str">
        <f t="shared" si="10"/>
        <v/>
      </c>
      <c r="AK12" s="122"/>
      <c r="AL12" s="142" t="str">
        <f t="shared" si="11"/>
        <v/>
      </c>
      <c r="AM12" s="122"/>
      <c r="AN12" s="122"/>
      <c r="AO12" s="142"/>
      <c r="AP12" s="142"/>
    </row>
    <row r="13" s="101" customFormat="1" customHeight="1" spans="1:42">
      <c r="A13" s="121"/>
      <c r="B13" s="122" t="s">
        <v>94</v>
      </c>
      <c r="C13" s="117"/>
      <c r="D13" s="123">
        <v>44533</v>
      </c>
      <c r="E13" s="124">
        <v>20</v>
      </c>
      <c r="F13" s="124">
        <f t="shared" si="6"/>
        <v>116</v>
      </c>
      <c r="G13" s="125">
        <f t="shared" si="7"/>
        <v>1.11111111111111</v>
      </c>
      <c r="H13" s="120">
        <v>14.99</v>
      </c>
      <c r="I13" s="120">
        <f t="shared" si="2"/>
        <v>0</v>
      </c>
      <c r="J13" s="141">
        <v>0.2</v>
      </c>
      <c r="K13" s="116"/>
      <c r="L13" s="116">
        <f t="shared" si="3"/>
        <v>0</v>
      </c>
      <c r="M13" s="116"/>
      <c r="N13" s="116"/>
      <c r="O13" s="142" t="str">
        <f t="shared" si="8"/>
        <v/>
      </c>
      <c r="P13" s="142" t="str">
        <f t="shared" si="9"/>
        <v/>
      </c>
      <c r="Q13" s="116"/>
      <c r="R13" s="141" t="str">
        <f t="shared" si="4"/>
        <v/>
      </c>
      <c r="S13" s="141"/>
      <c r="T13" s="141" t="s">
        <v>88</v>
      </c>
      <c r="U13" s="120"/>
      <c r="V13" s="142"/>
      <c r="W13" s="142"/>
      <c r="X13" s="142"/>
      <c r="Y13" s="142"/>
      <c r="Z13" s="142"/>
      <c r="AA13" s="122"/>
      <c r="AB13" s="122"/>
      <c r="AC13" s="122"/>
      <c r="AD13" s="122"/>
      <c r="AE13" s="142"/>
      <c r="AF13" s="142"/>
      <c r="AG13" s="122"/>
      <c r="AH13" s="122"/>
      <c r="AI13" s="122"/>
      <c r="AJ13" s="142" t="str">
        <f t="shared" si="10"/>
        <v/>
      </c>
      <c r="AK13" s="122"/>
      <c r="AL13" s="142" t="str">
        <f t="shared" si="11"/>
        <v/>
      </c>
      <c r="AM13" s="122"/>
      <c r="AN13" s="122"/>
      <c r="AO13" s="142"/>
      <c r="AP13" s="142"/>
    </row>
    <row r="14" s="101" customFormat="1" customHeight="1" spans="1:42">
      <c r="A14" s="121"/>
      <c r="B14" s="122" t="s">
        <v>95</v>
      </c>
      <c r="C14" s="117"/>
      <c r="D14" s="123">
        <v>44534</v>
      </c>
      <c r="E14" s="124">
        <v>23</v>
      </c>
      <c r="F14" s="124">
        <f t="shared" si="6"/>
        <v>139</v>
      </c>
      <c r="G14" s="125">
        <f t="shared" si="7"/>
        <v>1.15</v>
      </c>
      <c r="H14" s="120">
        <v>14.99</v>
      </c>
      <c r="I14" s="120">
        <f t="shared" si="2"/>
        <v>0</v>
      </c>
      <c r="J14" s="141">
        <v>0.2</v>
      </c>
      <c r="K14" s="116"/>
      <c r="L14" s="116">
        <f t="shared" si="3"/>
        <v>0</v>
      </c>
      <c r="M14" s="116"/>
      <c r="N14" s="116"/>
      <c r="O14" s="142" t="str">
        <f t="shared" si="8"/>
        <v/>
      </c>
      <c r="P14" s="142" t="str">
        <f t="shared" si="9"/>
        <v/>
      </c>
      <c r="Q14" s="116"/>
      <c r="R14" s="141" t="str">
        <f t="shared" si="4"/>
        <v/>
      </c>
      <c r="S14" s="141"/>
      <c r="T14" s="141" t="s">
        <v>88</v>
      </c>
      <c r="U14" s="120"/>
      <c r="V14" s="142"/>
      <c r="W14" s="142"/>
      <c r="X14" s="142"/>
      <c r="Y14" s="142"/>
      <c r="Z14" s="142"/>
      <c r="AA14" s="122"/>
      <c r="AB14" s="122"/>
      <c r="AC14" s="122"/>
      <c r="AD14" s="122"/>
      <c r="AE14" s="142"/>
      <c r="AF14" s="142"/>
      <c r="AG14" s="122"/>
      <c r="AH14" s="122"/>
      <c r="AI14" s="122"/>
      <c r="AJ14" s="142" t="str">
        <f t="shared" si="10"/>
        <v/>
      </c>
      <c r="AK14" s="122"/>
      <c r="AL14" s="142" t="str">
        <f t="shared" si="11"/>
        <v/>
      </c>
      <c r="AM14" s="122"/>
      <c r="AN14" s="122"/>
      <c r="AO14" s="142"/>
      <c r="AP14" s="142"/>
    </row>
    <row r="15" s="101" customFormat="1" customHeight="1" spans="1:42">
      <c r="A15" s="121"/>
      <c r="B15" s="122" t="s">
        <v>96</v>
      </c>
      <c r="C15" s="117"/>
      <c r="D15" s="123">
        <v>44535</v>
      </c>
      <c r="E15" s="124">
        <v>26</v>
      </c>
      <c r="F15" s="124">
        <f t="shared" si="6"/>
        <v>165</v>
      </c>
      <c r="G15" s="125">
        <f t="shared" si="7"/>
        <v>1.1304347826087</v>
      </c>
      <c r="H15" s="120">
        <v>14.99</v>
      </c>
      <c r="I15" s="120">
        <f t="shared" si="2"/>
        <v>0</v>
      </c>
      <c r="J15" s="141">
        <v>0.2</v>
      </c>
      <c r="K15" s="116"/>
      <c r="L15" s="116">
        <f t="shared" si="3"/>
        <v>0</v>
      </c>
      <c r="M15" s="116"/>
      <c r="N15" s="116"/>
      <c r="O15" s="142" t="str">
        <f t="shared" si="8"/>
        <v/>
      </c>
      <c r="P15" s="142" t="str">
        <f t="shared" si="9"/>
        <v/>
      </c>
      <c r="Q15" s="116"/>
      <c r="R15" s="141" t="str">
        <f t="shared" si="4"/>
        <v/>
      </c>
      <c r="S15" s="141"/>
      <c r="T15" s="141" t="s">
        <v>88</v>
      </c>
      <c r="U15" s="120"/>
      <c r="V15" s="142"/>
      <c r="W15" s="142"/>
      <c r="X15" s="142"/>
      <c r="Y15" s="142"/>
      <c r="Z15" s="142"/>
      <c r="AA15" s="122"/>
      <c r="AB15" s="122"/>
      <c r="AC15" s="122"/>
      <c r="AD15" s="122"/>
      <c r="AE15" s="142"/>
      <c r="AF15" s="142"/>
      <c r="AG15" s="122"/>
      <c r="AH15" s="122"/>
      <c r="AI15" s="122"/>
      <c r="AJ15" s="142" t="str">
        <f t="shared" si="10"/>
        <v/>
      </c>
      <c r="AK15" s="122"/>
      <c r="AL15" s="142" t="str">
        <f t="shared" si="11"/>
        <v/>
      </c>
      <c r="AM15" s="122"/>
      <c r="AN15" s="122"/>
      <c r="AO15" s="142"/>
      <c r="AP15" s="142"/>
    </row>
    <row r="16" s="101" customFormat="1" customHeight="1" spans="1:42">
      <c r="A16" s="126"/>
      <c r="B16" s="122" t="s">
        <v>97</v>
      </c>
      <c r="C16" s="116"/>
      <c r="D16" s="123">
        <v>44536</v>
      </c>
      <c r="E16" s="124">
        <v>29</v>
      </c>
      <c r="F16" s="124">
        <f t="shared" si="6"/>
        <v>194</v>
      </c>
      <c r="G16" s="125">
        <f t="shared" si="7"/>
        <v>1.11538461538462</v>
      </c>
      <c r="H16" s="120"/>
      <c r="I16" s="120"/>
      <c r="J16" s="142"/>
      <c r="K16" s="116"/>
      <c r="L16" s="116">
        <f t="shared" si="3"/>
        <v>0</v>
      </c>
      <c r="M16" s="116"/>
      <c r="N16" s="116"/>
      <c r="O16" s="142" t="str">
        <f t="shared" si="8"/>
        <v/>
      </c>
      <c r="P16" s="142" t="str">
        <f t="shared" si="9"/>
        <v/>
      </c>
      <c r="Q16" s="116"/>
      <c r="R16" s="141" t="str">
        <f t="shared" si="4"/>
        <v/>
      </c>
      <c r="S16" s="141"/>
      <c r="T16" s="141" t="s">
        <v>88</v>
      </c>
      <c r="U16" s="120"/>
      <c r="V16" s="142"/>
      <c r="W16" s="142"/>
      <c r="X16" s="142"/>
      <c r="Y16" s="142"/>
      <c r="Z16" s="142"/>
      <c r="AA16" s="122"/>
      <c r="AB16" s="122"/>
      <c r="AC16" s="122"/>
      <c r="AD16" s="122"/>
      <c r="AE16" s="142"/>
      <c r="AF16" s="142"/>
      <c r="AG16" s="122"/>
      <c r="AH16" s="122"/>
      <c r="AI16" s="122"/>
      <c r="AJ16" s="142" t="str">
        <f t="shared" si="10"/>
        <v/>
      </c>
      <c r="AK16" s="122"/>
      <c r="AL16" s="142" t="str">
        <f t="shared" si="11"/>
        <v/>
      </c>
      <c r="AM16" s="122"/>
      <c r="AN16" s="122"/>
      <c r="AO16" s="142"/>
      <c r="AP16" s="142"/>
    </row>
    <row r="17" s="101" customFormat="1" customHeight="1" spans="1:42">
      <c r="A17" s="127" t="s">
        <v>98</v>
      </c>
      <c r="B17" s="128" t="s">
        <v>99</v>
      </c>
      <c r="C17" s="117" t="s">
        <v>30</v>
      </c>
      <c r="D17" s="123">
        <v>44537</v>
      </c>
      <c r="E17" s="124">
        <v>32</v>
      </c>
      <c r="F17" s="124">
        <f t="shared" si="6"/>
        <v>226</v>
      </c>
      <c r="G17" s="125">
        <f t="shared" si="7"/>
        <v>1.10344827586207</v>
      </c>
      <c r="H17" s="120"/>
      <c r="I17" s="120"/>
      <c r="J17" s="142"/>
      <c r="K17" s="116"/>
      <c r="L17" s="116">
        <f t="shared" si="3"/>
        <v>0</v>
      </c>
      <c r="M17" s="116"/>
      <c r="N17" s="116"/>
      <c r="O17" s="142" t="str">
        <f t="shared" si="8"/>
        <v/>
      </c>
      <c r="P17" s="142" t="str">
        <f t="shared" si="9"/>
        <v/>
      </c>
      <c r="Q17" s="116"/>
      <c r="R17" s="141" t="str">
        <f t="shared" si="4"/>
        <v/>
      </c>
      <c r="S17" s="141"/>
      <c r="T17" s="141" t="s">
        <v>88</v>
      </c>
      <c r="U17" s="120"/>
      <c r="V17" s="142"/>
      <c r="W17" s="142"/>
      <c r="X17" s="142"/>
      <c r="Y17" s="142"/>
      <c r="Z17" s="142"/>
      <c r="AA17" s="122"/>
      <c r="AB17" s="122"/>
      <c r="AC17" s="122"/>
      <c r="AD17" s="122"/>
      <c r="AE17" s="142"/>
      <c r="AF17" s="142"/>
      <c r="AG17" s="122"/>
      <c r="AH17" s="122"/>
      <c r="AI17" s="122"/>
      <c r="AJ17" s="142" t="str">
        <f t="shared" si="10"/>
        <v/>
      </c>
      <c r="AK17" s="122"/>
      <c r="AL17" s="142" t="str">
        <f t="shared" si="11"/>
        <v/>
      </c>
      <c r="AM17" s="122"/>
      <c r="AN17" s="122"/>
      <c r="AO17" s="142"/>
      <c r="AP17" s="142"/>
    </row>
    <row r="18" s="101" customFormat="1" customHeight="1" spans="1:42">
      <c r="A18" s="129"/>
      <c r="B18" s="128" t="s">
        <v>100</v>
      </c>
      <c r="C18" s="117"/>
      <c r="D18" s="123">
        <v>44538</v>
      </c>
      <c r="E18" s="124">
        <v>35</v>
      </c>
      <c r="F18" s="124">
        <f t="shared" si="6"/>
        <v>261</v>
      </c>
      <c r="G18" s="125">
        <f t="shared" si="7"/>
        <v>1.09375</v>
      </c>
      <c r="H18" s="120"/>
      <c r="I18" s="120"/>
      <c r="J18" s="142"/>
      <c r="K18" s="116"/>
      <c r="L18" s="116">
        <f t="shared" si="3"/>
        <v>0</v>
      </c>
      <c r="M18" s="116"/>
      <c r="N18" s="116"/>
      <c r="O18" s="142" t="str">
        <f t="shared" si="8"/>
        <v/>
      </c>
      <c r="P18" s="142" t="str">
        <f t="shared" si="9"/>
        <v/>
      </c>
      <c r="Q18" s="116"/>
      <c r="R18" s="141" t="str">
        <f t="shared" si="4"/>
        <v/>
      </c>
      <c r="S18" s="141"/>
      <c r="T18" s="141" t="s">
        <v>88</v>
      </c>
      <c r="U18" s="120"/>
      <c r="V18" s="142"/>
      <c r="W18" s="142"/>
      <c r="X18" s="142"/>
      <c r="Y18" s="142"/>
      <c r="Z18" s="142"/>
      <c r="AA18" s="122"/>
      <c r="AB18" s="122"/>
      <c r="AC18" s="122"/>
      <c r="AD18" s="122"/>
      <c r="AE18" s="142"/>
      <c r="AF18" s="142"/>
      <c r="AG18" s="122"/>
      <c r="AH18" s="122"/>
      <c r="AI18" s="122"/>
      <c r="AJ18" s="142" t="str">
        <f t="shared" si="10"/>
        <v/>
      </c>
      <c r="AK18" s="122"/>
      <c r="AL18" s="142" t="str">
        <f t="shared" si="11"/>
        <v/>
      </c>
      <c r="AM18" s="122"/>
      <c r="AN18" s="122"/>
      <c r="AO18" s="142"/>
      <c r="AP18" s="142"/>
    </row>
    <row r="19" s="101" customFormat="1" customHeight="1" spans="1:42">
      <c r="A19" s="129"/>
      <c r="B19" s="128" t="s">
        <v>101</v>
      </c>
      <c r="C19" s="117"/>
      <c r="D19" s="123">
        <v>44539</v>
      </c>
      <c r="E19" s="124">
        <v>38</v>
      </c>
      <c r="F19" s="124">
        <f t="shared" si="6"/>
        <v>299</v>
      </c>
      <c r="G19" s="125">
        <f t="shared" si="7"/>
        <v>1.08571428571429</v>
      </c>
      <c r="H19" s="120"/>
      <c r="I19" s="120"/>
      <c r="J19" s="142"/>
      <c r="K19" s="116"/>
      <c r="L19" s="116">
        <f t="shared" si="3"/>
        <v>0</v>
      </c>
      <c r="M19" s="116"/>
      <c r="N19" s="116"/>
      <c r="O19" s="142" t="str">
        <f t="shared" si="8"/>
        <v/>
      </c>
      <c r="P19" s="142" t="str">
        <f t="shared" si="9"/>
        <v/>
      </c>
      <c r="Q19" s="116"/>
      <c r="R19" s="141" t="str">
        <f t="shared" si="4"/>
        <v/>
      </c>
      <c r="S19" s="141"/>
      <c r="T19" s="141" t="s">
        <v>88</v>
      </c>
      <c r="U19" s="120"/>
      <c r="V19" s="142"/>
      <c r="W19" s="142"/>
      <c r="X19" s="142"/>
      <c r="Y19" s="142"/>
      <c r="Z19" s="142"/>
      <c r="AA19" s="122"/>
      <c r="AB19" s="122"/>
      <c r="AC19" s="122"/>
      <c r="AD19" s="122"/>
      <c r="AE19" s="142"/>
      <c r="AF19" s="142"/>
      <c r="AG19" s="122"/>
      <c r="AH19" s="122"/>
      <c r="AI19" s="122"/>
      <c r="AJ19" s="142" t="str">
        <f t="shared" si="10"/>
        <v/>
      </c>
      <c r="AK19" s="122"/>
      <c r="AL19" s="142" t="str">
        <f t="shared" si="11"/>
        <v/>
      </c>
      <c r="AM19" s="122"/>
      <c r="AN19" s="122"/>
      <c r="AO19" s="142"/>
      <c r="AP19" s="142"/>
    </row>
    <row r="20" s="101" customFormat="1" customHeight="1" spans="1:42">
      <c r="A20" s="129"/>
      <c r="B20" s="128" t="s">
        <v>102</v>
      </c>
      <c r="C20" s="117"/>
      <c r="D20" s="123">
        <v>44540</v>
      </c>
      <c r="E20" s="124">
        <v>41</v>
      </c>
      <c r="F20" s="124">
        <f t="shared" si="6"/>
        <v>340</v>
      </c>
      <c r="G20" s="125">
        <f t="shared" si="7"/>
        <v>1.07894736842105</v>
      </c>
      <c r="H20" s="120"/>
      <c r="I20" s="120"/>
      <c r="J20" s="142"/>
      <c r="K20" s="116"/>
      <c r="L20" s="116"/>
      <c r="M20" s="116"/>
      <c r="N20" s="116"/>
      <c r="O20" s="142" t="str">
        <f t="shared" si="8"/>
        <v/>
      </c>
      <c r="P20" s="142" t="str">
        <f t="shared" si="9"/>
        <v/>
      </c>
      <c r="Q20" s="116"/>
      <c r="R20" s="141" t="str">
        <f t="shared" si="4"/>
        <v/>
      </c>
      <c r="S20" s="141"/>
      <c r="T20" s="141" t="s">
        <v>88</v>
      </c>
      <c r="U20" s="120"/>
      <c r="V20" s="142"/>
      <c r="W20" s="142"/>
      <c r="X20" s="142"/>
      <c r="Y20" s="142"/>
      <c r="Z20" s="142"/>
      <c r="AA20" s="122"/>
      <c r="AB20" s="122"/>
      <c r="AC20" s="122"/>
      <c r="AD20" s="122"/>
      <c r="AE20" s="142"/>
      <c r="AF20" s="142"/>
      <c r="AG20" s="122"/>
      <c r="AH20" s="122"/>
      <c r="AI20" s="122"/>
      <c r="AJ20" s="142" t="str">
        <f t="shared" si="10"/>
        <v/>
      </c>
      <c r="AK20" s="122"/>
      <c r="AL20" s="142" t="str">
        <f t="shared" si="11"/>
        <v/>
      </c>
      <c r="AM20" s="122"/>
      <c r="AN20" s="122"/>
      <c r="AO20" s="142"/>
      <c r="AP20" s="142"/>
    </row>
    <row r="21" s="101" customFormat="1" customHeight="1" spans="1:42">
      <c r="A21" s="129"/>
      <c r="B21" s="128" t="s">
        <v>103</v>
      </c>
      <c r="C21" s="117"/>
      <c r="D21" s="123">
        <v>44541</v>
      </c>
      <c r="E21" s="124">
        <v>44</v>
      </c>
      <c r="F21" s="124">
        <f t="shared" si="6"/>
        <v>384</v>
      </c>
      <c r="G21" s="125">
        <f t="shared" si="7"/>
        <v>1.07317073170732</v>
      </c>
      <c r="H21" s="120"/>
      <c r="I21" s="120"/>
      <c r="J21" s="142"/>
      <c r="K21" s="116"/>
      <c r="L21" s="116"/>
      <c r="M21" s="116"/>
      <c r="N21" s="116"/>
      <c r="O21" s="142" t="str">
        <f t="shared" si="8"/>
        <v/>
      </c>
      <c r="P21" s="142" t="str">
        <f t="shared" si="9"/>
        <v/>
      </c>
      <c r="Q21" s="116"/>
      <c r="R21" s="141" t="str">
        <f t="shared" si="4"/>
        <v/>
      </c>
      <c r="S21" s="116"/>
      <c r="T21" s="141"/>
      <c r="U21" s="120"/>
      <c r="V21" s="142"/>
      <c r="W21" s="142"/>
      <c r="X21" s="142"/>
      <c r="Y21" s="142"/>
      <c r="Z21" s="142"/>
      <c r="AA21" s="122"/>
      <c r="AB21" s="122"/>
      <c r="AC21" s="122"/>
      <c r="AD21" s="122"/>
      <c r="AE21" s="142"/>
      <c r="AF21" s="142"/>
      <c r="AG21" s="122"/>
      <c r="AH21" s="122"/>
      <c r="AI21" s="122"/>
      <c r="AJ21" s="142" t="str">
        <f t="shared" si="10"/>
        <v/>
      </c>
      <c r="AK21" s="122"/>
      <c r="AL21" s="142" t="str">
        <f t="shared" si="11"/>
        <v/>
      </c>
      <c r="AM21" s="122"/>
      <c r="AN21" s="122"/>
      <c r="AO21" s="142"/>
      <c r="AP21" s="142"/>
    </row>
    <row r="22" s="101" customFormat="1" customHeight="1" spans="1:42">
      <c r="A22" s="129"/>
      <c r="B22" s="128" t="s">
        <v>104</v>
      </c>
      <c r="C22" s="117"/>
      <c r="D22" s="123">
        <v>44542</v>
      </c>
      <c r="E22" s="124">
        <v>47</v>
      </c>
      <c r="F22" s="124">
        <f t="shared" si="6"/>
        <v>431</v>
      </c>
      <c r="G22" s="125">
        <f t="shared" si="7"/>
        <v>1.06818181818182</v>
      </c>
      <c r="H22" s="120"/>
      <c r="I22" s="120"/>
      <c r="J22" s="142"/>
      <c r="K22" s="116"/>
      <c r="L22" s="116"/>
      <c r="M22" s="116"/>
      <c r="N22" s="116"/>
      <c r="O22" s="142" t="str">
        <f t="shared" si="8"/>
        <v/>
      </c>
      <c r="P22" s="142" t="str">
        <f t="shared" si="9"/>
        <v/>
      </c>
      <c r="Q22" s="116"/>
      <c r="R22" s="141" t="str">
        <f t="shared" si="4"/>
        <v/>
      </c>
      <c r="S22" s="116"/>
      <c r="T22" s="141"/>
      <c r="U22" s="120"/>
      <c r="V22" s="142"/>
      <c r="W22" s="142"/>
      <c r="X22" s="142"/>
      <c r="Y22" s="142"/>
      <c r="Z22" s="142"/>
      <c r="AA22" s="122"/>
      <c r="AB22" s="122"/>
      <c r="AC22" s="122"/>
      <c r="AD22" s="122"/>
      <c r="AE22" s="142"/>
      <c r="AF22" s="142"/>
      <c r="AG22" s="122"/>
      <c r="AH22" s="122"/>
      <c r="AI22" s="122"/>
      <c r="AJ22" s="142" t="str">
        <f t="shared" si="10"/>
        <v/>
      </c>
      <c r="AK22" s="122"/>
      <c r="AL22" s="142" t="str">
        <f t="shared" si="11"/>
        <v/>
      </c>
      <c r="AM22" s="122"/>
      <c r="AN22" s="122"/>
      <c r="AO22" s="142"/>
      <c r="AP22" s="142"/>
    </row>
    <row r="23" s="101" customFormat="1" customHeight="1" spans="1:42">
      <c r="A23" s="129"/>
      <c r="B23" s="128" t="s">
        <v>105</v>
      </c>
      <c r="C23" s="116"/>
      <c r="D23" s="123">
        <v>44543</v>
      </c>
      <c r="E23" s="124">
        <v>50</v>
      </c>
      <c r="F23" s="124">
        <f t="shared" si="6"/>
        <v>481</v>
      </c>
      <c r="G23" s="125">
        <f t="shared" si="7"/>
        <v>1.06382978723404</v>
      </c>
      <c r="H23" s="120"/>
      <c r="I23" s="120"/>
      <c r="J23" s="142"/>
      <c r="K23" s="116"/>
      <c r="L23" s="116"/>
      <c r="M23" s="116"/>
      <c r="N23" s="116"/>
      <c r="O23" s="142" t="str">
        <f t="shared" si="8"/>
        <v/>
      </c>
      <c r="P23" s="142" t="str">
        <f t="shared" si="9"/>
        <v/>
      </c>
      <c r="Q23" s="116"/>
      <c r="R23" s="141" t="str">
        <f t="shared" si="4"/>
        <v/>
      </c>
      <c r="S23" s="116"/>
      <c r="T23" s="141"/>
      <c r="U23" s="120"/>
      <c r="V23" s="142"/>
      <c r="W23" s="142"/>
      <c r="X23" s="142"/>
      <c r="Y23" s="142"/>
      <c r="Z23" s="142"/>
      <c r="AA23" s="122"/>
      <c r="AB23" s="122"/>
      <c r="AC23" s="122"/>
      <c r="AD23" s="122"/>
      <c r="AE23" s="142"/>
      <c r="AF23" s="142"/>
      <c r="AG23" s="122"/>
      <c r="AH23" s="122"/>
      <c r="AI23" s="122"/>
      <c r="AJ23" s="142" t="str">
        <f t="shared" si="10"/>
        <v/>
      </c>
      <c r="AK23" s="122"/>
      <c r="AL23" s="142" t="str">
        <f t="shared" si="11"/>
        <v/>
      </c>
      <c r="AM23" s="122"/>
      <c r="AN23" s="122"/>
      <c r="AO23" s="142"/>
      <c r="AP23" s="142"/>
    </row>
    <row r="24" s="101" customFormat="1" customHeight="1" spans="1:42">
      <c r="A24" s="129"/>
      <c r="B24" s="128" t="s">
        <v>106</v>
      </c>
      <c r="C24" s="117" t="s">
        <v>31</v>
      </c>
      <c r="D24" s="123">
        <v>44544</v>
      </c>
      <c r="E24" s="124">
        <v>50</v>
      </c>
      <c r="F24" s="124">
        <f t="shared" si="6"/>
        <v>531</v>
      </c>
      <c r="G24" s="125">
        <f t="shared" si="7"/>
        <v>1</v>
      </c>
      <c r="H24" s="120"/>
      <c r="I24" s="120"/>
      <c r="J24" s="142"/>
      <c r="K24" s="116"/>
      <c r="L24" s="116"/>
      <c r="M24" s="116"/>
      <c r="N24" s="116"/>
      <c r="O24" s="142" t="str">
        <f t="shared" si="8"/>
        <v/>
      </c>
      <c r="P24" s="142" t="str">
        <f t="shared" si="9"/>
        <v/>
      </c>
      <c r="Q24" s="116"/>
      <c r="R24" s="141" t="str">
        <f t="shared" si="4"/>
        <v/>
      </c>
      <c r="S24" s="116"/>
      <c r="T24" s="141"/>
      <c r="U24" s="120"/>
      <c r="V24" s="142"/>
      <c r="W24" s="142"/>
      <c r="X24" s="142"/>
      <c r="Y24" s="142"/>
      <c r="Z24" s="142"/>
      <c r="AA24" s="122"/>
      <c r="AB24" s="122"/>
      <c r="AC24" s="122"/>
      <c r="AD24" s="122"/>
      <c r="AE24" s="142"/>
      <c r="AF24" s="142"/>
      <c r="AG24" s="122"/>
      <c r="AH24" s="122"/>
      <c r="AI24" s="122"/>
      <c r="AJ24" s="142" t="str">
        <f t="shared" si="10"/>
        <v/>
      </c>
      <c r="AK24" s="122"/>
      <c r="AL24" s="142" t="str">
        <f t="shared" si="11"/>
        <v/>
      </c>
      <c r="AM24" s="122"/>
      <c r="AN24" s="122"/>
      <c r="AO24" s="142"/>
      <c r="AP24" s="142"/>
    </row>
    <row r="25" s="101" customFormat="1" customHeight="1" spans="1:42">
      <c r="A25" s="129"/>
      <c r="B25" s="128" t="s">
        <v>107</v>
      </c>
      <c r="C25" s="117"/>
      <c r="D25" s="123">
        <v>44545</v>
      </c>
      <c r="E25" s="124">
        <v>50</v>
      </c>
      <c r="F25" s="124">
        <f t="shared" si="6"/>
        <v>581</v>
      </c>
      <c r="G25" s="125">
        <f t="shared" si="7"/>
        <v>1</v>
      </c>
      <c r="H25" s="120"/>
      <c r="I25" s="120"/>
      <c r="J25" s="142"/>
      <c r="K25" s="116"/>
      <c r="L25" s="116"/>
      <c r="M25" s="116"/>
      <c r="N25" s="116"/>
      <c r="O25" s="116"/>
      <c r="P25" s="142" t="str">
        <f>IFERROR(N25/#REF!,"")</f>
        <v/>
      </c>
      <c r="Q25" s="142" t="str">
        <f t="shared" ref="Q15:Q51" si="12">IFERROR(K25/K24,"")</f>
        <v/>
      </c>
      <c r="R25" s="141" t="str">
        <f t="shared" si="4"/>
        <v/>
      </c>
      <c r="S25" s="116"/>
      <c r="T25" s="141"/>
      <c r="U25" s="120"/>
      <c r="V25" s="142"/>
      <c r="W25" s="142"/>
      <c r="X25" s="142"/>
      <c r="Y25" s="142"/>
      <c r="Z25" s="142"/>
      <c r="AA25" s="122"/>
      <c r="AB25" s="122"/>
      <c r="AC25" s="122"/>
      <c r="AD25" s="122"/>
      <c r="AE25" s="142"/>
      <c r="AF25" s="142"/>
      <c r="AG25" s="122"/>
      <c r="AH25" s="122"/>
      <c r="AI25" s="122"/>
      <c r="AJ25" s="142" t="str">
        <f t="shared" si="10"/>
        <v/>
      </c>
      <c r="AK25" s="122"/>
      <c r="AL25" s="142" t="str">
        <f t="shared" si="11"/>
        <v/>
      </c>
      <c r="AM25" s="122"/>
      <c r="AN25" s="122"/>
      <c r="AO25" s="142"/>
      <c r="AP25" s="142"/>
    </row>
    <row r="26" s="101" customFormat="1" customHeight="1" spans="1:42">
      <c r="A26" s="129"/>
      <c r="B26" s="128" t="s">
        <v>108</v>
      </c>
      <c r="C26" s="117"/>
      <c r="D26" s="123">
        <v>44546</v>
      </c>
      <c r="E26" s="124">
        <v>50</v>
      </c>
      <c r="F26" s="124">
        <f t="shared" si="6"/>
        <v>631</v>
      </c>
      <c r="G26" s="125">
        <f t="shared" si="7"/>
        <v>1</v>
      </c>
      <c r="H26" s="120"/>
      <c r="I26" s="120"/>
      <c r="J26" s="142"/>
      <c r="K26" s="116"/>
      <c r="L26" s="116"/>
      <c r="M26" s="116"/>
      <c r="N26" s="116"/>
      <c r="O26" s="116"/>
      <c r="P26" s="142" t="str">
        <f>IFERROR(N26/#REF!,"")</f>
        <v/>
      </c>
      <c r="Q26" s="142" t="str">
        <f t="shared" si="12"/>
        <v/>
      </c>
      <c r="R26" s="141" t="str">
        <f t="shared" si="4"/>
        <v/>
      </c>
      <c r="S26" s="116"/>
      <c r="T26" s="141"/>
      <c r="U26" s="120"/>
      <c r="V26" s="142"/>
      <c r="W26" s="142"/>
      <c r="X26" s="142"/>
      <c r="Y26" s="142"/>
      <c r="Z26" s="142"/>
      <c r="AA26" s="122"/>
      <c r="AB26" s="122"/>
      <c r="AC26" s="122"/>
      <c r="AD26" s="122"/>
      <c r="AE26" s="142"/>
      <c r="AF26" s="142"/>
      <c r="AG26" s="122"/>
      <c r="AH26" s="122"/>
      <c r="AI26" s="122"/>
      <c r="AJ26" s="142" t="str">
        <f t="shared" si="10"/>
        <v/>
      </c>
      <c r="AK26" s="122"/>
      <c r="AL26" s="142" t="str">
        <f t="shared" si="11"/>
        <v/>
      </c>
      <c r="AM26" s="122"/>
      <c r="AN26" s="122"/>
      <c r="AO26" s="142"/>
      <c r="AP26" s="142"/>
    </row>
    <row r="27" s="101" customFormat="1" customHeight="1" spans="1:42">
      <c r="A27" s="129"/>
      <c r="B27" s="128" t="s">
        <v>109</v>
      </c>
      <c r="C27" s="117"/>
      <c r="D27" s="123">
        <v>44547</v>
      </c>
      <c r="E27" s="124">
        <v>50</v>
      </c>
      <c r="F27" s="124">
        <f t="shared" si="6"/>
        <v>681</v>
      </c>
      <c r="G27" s="125">
        <f t="shared" si="7"/>
        <v>1</v>
      </c>
      <c r="H27" s="120"/>
      <c r="I27" s="120"/>
      <c r="J27" s="142"/>
      <c r="K27" s="116"/>
      <c r="L27" s="116"/>
      <c r="M27" s="116"/>
      <c r="N27" s="116"/>
      <c r="O27" s="116"/>
      <c r="P27" s="142" t="str">
        <f>IFERROR(N27/#REF!,"")</f>
        <v/>
      </c>
      <c r="Q27" s="142" t="str">
        <f t="shared" si="12"/>
        <v/>
      </c>
      <c r="R27" s="141" t="str">
        <f t="shared" ref="R27:R51" si="13">IFERROR(M27/Q27,"")</f>
        <v/>
      </c>
      <c r="S27" s="116"/>
      <c r="T27" s="141"/>
      <c r="U27" s="120"/>
      <c r="V27" s="142"/>
      <c r="W27" s="142"/>
      <c r="X27" s="142"/>
      <c r="Y27" s="142"/>
      <c r="Z27" s="142"/>
      <c r="AA27" s="122"/>
      <c r="AB27" s="122"/>
      <c r="AC27" s="122"/>
      <c r="AD27" s="122"/>
      <c r="AE27" s="142"/>
      <c r="AF27" s="142"/>
      <c r="AG27" s="122"/>
      <c r="AH27" s="122"/>
      <c r="AI27" s="122"/>
      <c r="AJ27" s="142" t="str">
        <f t="shared" si="10"/>
        <v/>
      </c>
      <c r="AK27" s="122"/>
      <c r="AL27" s="142" t="str">
        <f t="shared" si="11"/>
        <v/>
      </c>
      <c r="AM27" s="122"/>
      <c r="AN27" s="122"/>
      <c r="AO27" s="142"/>
      <c r="AP27" s="142"/>
    </row>
    <row r="28" s="101" customFormat="1" customHeight="1" spans="1:42">
      <c r="A28" s="129"/>
      <c r="B28" s="128" t="s">
        <v>110</v>
      </c>
      <c r="C28" s="117"/>
      <c r="D28" s="123">
        <v>44548</v>
      </c>
      <c r="E28" s="124">
        <v>50</v>
      </c>
      <c r="F28" s="124">
        <f t="shared" si="6"/>
        <v>731</v>
      </c>
      <c r="G28" s="125">
        <f t="shared" si="7"/>
        <v>1</v>
      </c>
      <c r="H28" s="120"/>
      <c r="I28" s="120"/>
      <c r="J28" s="142"/>
      <c r="K28" s="116"/>
      <c r="L28" s="116"/>
      <c r="M28" s="116"/>
      <c r="N28" s="116"/>
      <c r="O28" s="116"/>
      <c r="P28" s="142" t="str">
        <f>IFERROR(N28/#REF!,"")</f>
        <v/>
      </c>
      <c r="Q28" s="142" t="str">
        <f t="shared" si="12"/>
        <v/>
      </c>
      <c r="R28" s="141" t="str">
        <f t="shared" si="13"/>
        <v/>
      </c>
      <c r="S28" s="116"/>
      <c r="T28" s="141"/>
      <c r="U28" s="120"/>
      <c r="V28" s="142"/>
      <c r="W28" s="142"/>
      <c r="X28" s="142"/>
      <c r="Y28" s="142"/>
      <c r="Z28" s="142"/>
      <c r="AA28" s="122"/>
      <c r="AB28" s="122"/>
      <c r="AC28" s="122"/>
      <c r="AD28" s="122"/>
      <c r="AE28" s="142"/>
      <c r="AF28" s="142"/>
      <c r="AG28" s="122"/>
      <c r="AH28" s="122"/>
      <c r="AI28" s="122"/>
      <c r="AJ28" s="142" t="str">
        <f t="shared" si="10"/>
        <v/>
      </c>
      <c r="AK28" s="122"/>
      <c r="AL28" s="142" t="str">
        <f t="shared" si="11"/>
        <v/>
      </c>
      <c r="AM28" s="122"/>
      <c r="AN28" s="122"/>
      <c r="AO28" s="142"/>
      <c r="AP28" s="142"/>
    </row>
    <row r="29" s="101" customFormat="1" customHeight="1" spans="1:42">
      <c r="A29" s="129"/>
      <c r="B29" s="128" t="s">
        <v>111</v>
      </c>
      <c r="C29" s="117"/>
      <c r="D29" s="123">
        <v>44549</v>
      </c>
      <c r="E29" s="124">
        <v>50</v>
      </c>
      <c r="F29" s="124">
        <f t="shared" si="6"/>
        <v>781</v>
      </c>
      <c r="G29" s="125">
        <f t="shared" si="7"/>
        <v>1</v>
      </c>
      <c r="H29" s="120"/>
      <c r="I29" s="120"/>
      <c r="J29" s="142"/>
      <c r="K29" s="116"/>
      <c r="L29" s="116"/>
      <c r="M29" s="116"/>
      <c r="N29" s="116"/>
      <c r="O29" s="116"/>
      <c r="P29" s="142" t="str">
        <f>IFERROR(N29/#REF!,"")</f>
        <v/>
      </c>
      <c r="Q29" s="142" t="str">
        <f t="shared" si="12"/>
        <v/>
      </c>
      <c r="R29" s="141" t="str">
        <f t="shared" si="13"/>
        <v/>
      </c>
      <c r="S29" s="116"/>
      <c r="T29" s="141"/>
      <c r="U29" s="120"/>
      <c r="V29" s="142"/>
      <c r="W29" s="142"/>
      <c r="X29" s="142"/>
      <c r="Y29" s="142"/>
      <c r="Z29" s="142"/>
      <c r="AA29" s="122"/>
      <c r="AB29" s="122"/>
      <c r="AC29" s="122"/>
      <c r="AD29" s="122"/>
      <c r="AE29" s="142"/>
      <c r="AF29" s="142"/>
      <c r="AG29" s="122"/>
      <c r="AH29" s="122"/>
      <c r="AI29" s="122"/>
      <c r="AJ29" s="142" t="str">
        <f t="shared" si="10"/>
        <v/>
      </c>
      <c r="AK29" s="122"/>
      <c r="AL29" s="142" t="str">
        <f t="shared" si="11"/>
        <v/>
      </c>
      <c r="AM29" s="122"/>
      <c r="AN29" s="122"/>
      <c r="AO29" s="142"/>
      <c r="AP29" s="142"/>
    </row>
    <row r="30" s="101" customFormat="1" customHeight="1" spans="1:42">
      <c r="A30" s="129"/>
      <c r="B30" s="128" t="s">
        <v>112</v>
      </c>
      <c r="C30" s="116"/>
      <c r="D30" s="123">
        <v>44550</v>
      </c>
      <c r="E30" s="124">
        <v>50</v>
      </c>
      <c r="F30" s="124">
        <f t="shared" si="6"/>
        <v>831</v>
      </c>
      <c r="G30" s="125">
        <f t="shared" si="7"/>
        <v>1</v>
      </c>
      <c r="H30" s="120"/>
      <c r="I30" s="120"/>
      <c r="J30" s="142"/>
      <c r="K30" s="116"/>
      <c r="L30" s="116"/>
      <c r="M30" s="116"/>
      <c r="N30" s="116"/>
      <c r="O30" s="116"/>
      <c r="P30" s="142" t="str">
        <f>IFERROR(N30/#REF!,"")</f>
        <v/>
      </c>
      <c r="Q30" s="142" t="str">
        <f t="shared" si="12"/>
        <v/>
      </c>
      <c r="R30" s="141" t="str">
        <f t="shared" si="13"/>
        <v/>
      </c>
      <c r="S30" s="116"/>
      <c r="T30" s="141"/>
      <c r="U30" s="120"/>
      <c r="V30" s="142"/>
      <c r="W30" s="142"/>
      <c r="X30" s="142"/>
      <c r="Y30" s="142"/>
      <c r="Z30" s="142"/>
      <c r="AA30" s="122"/>
      <c r="AB30" s="122"/>
      <c r="AC30" s="122"/>
      <c r="AD30" s="122"/>
      <c r="AE30" s="142"/>
      <c r="AF30" s="142"/>
      <c r="AG30" s="122"/>
      <c r="AH30" s="122"/>
      <c r="AI30" s="122"/>
      <c r="AJ30" s="142" t="str">
        <f t="shared" si="10"/>
        <v/>
      </c>
      <c r="AK30" s="122"/>
      <c r="AL30" s="142" t="str">
        <f t="shared" si="11"/>
        <v/>
      </c>
      <c r="AM30" s="122"/>
      <c r="AN30" s="122"/>
      <c r="AO30" s="142"/>
      <c r="AP30" s="142"/>
    </row>
    <row r="31" s="101" customFormat="1" customHeight="1" spans="1:42">
      <c r="A31" s="129"/>
      <c r="B31" s="128" t="s">
        <v>113</v>
      </c>
      <c r="C31" s="117" t="s">
        <v>32</v>
      </c>
      <c r="D31" s="123">
        <v>44551</v>
      </c>
      <c r="E31" s="124">
        <v>50</v>
      </c>
      <c r="F31" s="124">
        <f t="shared" si="6"/>
        <v>881</v>
      </c>
      <c r="G31" s="125">
        <f t="shared" si="7"/>
        <v>1</v>
      </c>
      <c r="H31" s="120"/>
      <c r="I31" s="120"/>
      <c r="J31" s="142"/>
      <c r="K31" s="116"/>
      <c r="L31" s="116"/>
      <c r="M31" s="116"/>
      <c r="N31" s="116"/>
      <c r="O31" s="116"/>
      <c r="P31" s="142" t="str">
        <f>IFERROR(N31/#REF!,"")</f>
        <v/>
      </c>
      <c r="Q31" s="142" t="str">
        <f t="shared" si="12"/>
        <v/>
      </c>
      <c r="R31" s="141" t="str">
        <f t="shared" si="13"/>
        <v/>
      </c>
      <c r="S31" s="116"/>
      <c r="T31" s="141"/>
      <c r="U31" s="120"/>
      <c r="V31" s="142"/>
      <c r="W31" s="142"/>
      <c r="X31" s="142"/>
      <c r="Y31" s="142"/>
      <c r="Z31" s="142"/>
      <c r="AA31" s="122"/>
      <c r="AB31" s="122"/>
      <c r="AC31" s="122"/>
      <c r="AD31" s="122"/>
      <c r="AE31" s="142"/>
      <c r="AF31" s="142"/>
      <c r="AG31" s="122"/>
      <c r="AH31" s="122"/>
      <c r="AI31" s="122"/>
      <c r="AJ31" s="142" t="str">
        <f t="shared" si="10"/>
        <v/>
      </c>
      <c r="AK31" s="122"/>
      <c r="AL31" s="142" t="str">
        <f t="shared" si="11"/>
        <v/>
      </c>
      <c r="AM31" s="122"/>
      <c r="AN31" s="122"/>
      <c r="AO31" s="142"/>
      <c r="AP31" s="142"/>
    </row>
    <row r="32" s="101" customFormat="1" customHeight="1" spans="1:42">
      <c r="A32" s="129"/>
      <c r="B32" s="128" t="s">
        <v>114</v>
      </c>
      <c r="C32" s="117"/>
      <c r="D32" s="123">
        <v>44552</v>
      </c>
      <c r="E32" s="124">
        <v>50</v>
      </c>
      <c r="F32" s="124">
        <f t="shared" si="6"/>
        <v>931</v>
      </c>
      <c r="G32" s="125">
        <f t="shared" si="7"/>
        <v>1</v>
      </c>
      <c r="H32" s="120"/>
      <c r="I32" s="120"/>
      <c r="J32" s="142"/>
      <c r="K32" s="116"/>
      <c r="L32" s="116"/>
      <c r="M32" s="116"/>
      <c r="N32" s="116"/>
      <c r="O32" s="116"/>
      <c r="P32" s="142" t="str">
        <f>IFERROR(N32/#REF!,"")</f>
        <v/>
      </c>
      <c r="Q32" s="142" t="str">
        <f t="shared" si="12"/>
        <v/>
      </c>
      <c r="R32" s="141" t="str">
        <f t="shared" si="13"/>
        <v/>
      </c>
      <c r="S32" s="116"/>
      <c r="T32" s="141"/>
      <c r="U32" s="120"/>
      <c r="V32" s="142"/>
      <c r="W32" s="142"/>
      <c r="X32" s="142"/>
      <c r="Y32" s="142"/>
      <c r="Z32" s="142"/>
      <c r="AA32" s="122"/>
      <c r="AB32" s="122"/>
      <c r="AC32" s="122"/>
      <c r="AD32" s="122"/>
      <c r="AE32" s="142"/>
      <c r="AF32" s="142"/>
      <c r="AG32" s="122"/>
      <c r="AH32" s="122"/>
      <c r="AI32" s="122"/>
      <c r="AJ32" s="142" t="str">
        <f t="shared" si="10"/>
        <v/>
      </c>
      <c r="AK32" s="122"/>
      <c r="AL32" s="142" t="str">
        <f t="shared" si="11"/>
        <v/>
      </c>
      <c r="AM32" s="122"/>
      <c r="AN32" s="122"/>
      <c r="AO32" s="142"/>
      <c r="AP32" s="142"/>
    </row>
    <row r="33" s="101" customFormat="1" customHeight="1" spans="1:42">
      <c r="A33" s="129"/>
      <c r="B33" s="128" t="s">
        <v>115</v>
      </c>
      <c r="C33" s="117"/>
      <c r="D33" s="123">
        <v>44553</v>
      </c>
      <c r="E33" s="124">
        <v>50</v>
      </c>
      <c r="F33" s="124">
        <f t="shared" si="6"/>
        <v>981</v>
      </c>
      <c r="G33" s="125">
        <f t="shared" si="7"/>
        <v>1</v>
      </c>
      <c r="H33" s="120"/>
      <c r="I33" s="120"/>
      <c r="J33" s="142"/>
      <c r="K33" s="116"/>
      <c r="L33" s="116"/>
      <c r="M33" s="116"/>
      <c r="N33" s="116"/>
      <c r="O33" s="116"/>
      <c r="P33" s="142" t="str">
        <f>IFERROR(N33/#REF!,"")</f>
        <v/>
      </c>
      <c r="Q33" s="142" t="str">
        <f t="shared" si="12"/>
        <v/>
      </c>
      <c r="R33" s="141" t="str">
        <f t="shared" si="13"/>
        <v/>
      </c>
      <c r="S33" s="116"/>
      <c r="T33" s="141"/>
      <c r="U33" s="120"/>
      <c r="V33" s="142"/>
      <c r="W33" s="142"/>
      <c r="X33" s="142"/>
      <c r="Y33" s="142"/>
      <c r="Z33" s="142"/>
      <c r="AA33" s="122"/>
      <c r="AB33" s="122"/>
      <c r="AC33" s="122"/>
      <c r="AD33" s="122"/>
      <c r="AE33" s="142"/>
      <c r="AF33" s="142"/>
      <c r="AG33" s="122"/>
      <c r="AH33" s="122"/>
      <c r="AI33" s="122"/>
      <c r="AJ33" s="142" t="str">
        <f t="shared" si="10"/>
        <v/>
      </c>
      <c r="AK33" s="122"/>
      <c r="AL33" s="142" t="str">
        <f t="shared" si="11"/>
        <v/>
      </c>
      <c r="AM33" s="122"/>
      <c r="AN33" s="122"/>
      <c r="AO33" s="142"/>
      <c r="AP33" s="142"/>
    </row>
    <row r="34" s="101" customFormat="1" customHeight="1" spans="1:42">
      <c r="A34" s="129"/>
      <c r="B34" s="128" t="s">
        <v>116</v>
      </c>
      <c r="C34" s="117"/>
      <c r="D34" s="123">
        <v>44554</v>
      </c>
      <c r="E34" s="124">
        <v>50</v>
      </c>
      <c r="F34" s="124">
        <f t="shared" si="6"/>
        <v>1031</v>
      </c>
      <c r="G34" s="125">
        <f t="shared" si="7"/>
        <v>1</v>
      </c>
      <c r="H34" s="120"/>
      <c r="I34" s="120"/>
      <c r="J34" s="142"/>
      <c r="K34" s="116"/>
      <c r="L34" s="116"/>
      <c r="M34" s="116"/>
      <c r="N34" s="116"/>
      <c r="O34" s="116"/>
      <c r="P34" s="142" t="str">
        <f>IFERROR(N34/#REF!,"")</f>
        <v/>
      </c>
      <c r="Q34" s="142" t="str">
        <f t="shared" si="12"/>
        <v/>
      </c>
      <c r="R34" s="141" t="str">
        <f t="shared" si="13"/>
        <v/>
      </c>
      <c r="S34" s="116"/>
      <c r="T34" s="141"/>
      <c r="U34" s="120"/>
      <c r="V34" s="142"/>
      <c r="W34" s="142"/>
      <c r="X34" s="142"/>
      <c r="Y34" s="142"/>
      <c r="Z34" s="142"/>
      <c r="AA34" s="122"/>
      <c r="AB34" s="122"/>
      <c r="AC34" s="122"/>
      <c r="AD34" s="122"/>
      <c r="AE34" s="142"/>
      <c r="AF34" s="142"/>
      <c r="AG34" s="122"/>
      <c r="AH34" s="122"/>
      <c r="AI34" s="122"/>
      <c r="AJ34" s="142" t="str">
        <f t="shared" si="10"/>
        <v/>
      </c>
      <c r="AK34" s="122"/>
      <c r="AL34" s="142" t="str">
        <f t="shared" si="11"/>
        <v/>
      </c>
      <c r="AM34" s="122"/>
      <c r="AN34" s="122"/>
      <c r="AO34" s="142"/>
      <c r="AP34" s="142"/>
    </row>
    <row r="35" s="101" customFormat="1" customHeight="1" spans="1:42">
      <c r="A35" s="129"/>
      <c r="B35" s="128" t="s">
        <v>117</v>
      </c>
      <c r="C35" s="117"/>
      <c r="D35" s="123">
        <v>44555</v>
      </c>
      <c r="E35" s="124">
        <v>50</v>
      </c>
      <c r="F35" s="124">
        <f t="shared" si="6"/>
        <v>1081</v>
      </c>
      <c r="G35" s="125">
        <f t="shared" si="7"/>
        <v>1</v>
      </c>
      <c r="H35" s="120"/>
      <c r="I35" s="120"/>
      <c r="J35" s="142"/>
      <c r="K35" s="116"/>
      <c r="L35" s="116"/>
      <c r="M35" s="116"/>
      <c r="N35" s="116"/>
      <c r="O35" s="116"/>
      <c r="P35" s="142" t="str">
        <f>IFERROR(N35/#REF!,"")</f>
        <v/>
      </c>
      <c r="Q35" s="142" t="str">
        <f t="shared" si="12"/>
        <v/>
      </c>
      <c r="R35" s="141" t="str">
        <f t="shared" si="13"/>
        <v/>
      </c>
      <c r="S35" s="116"/>
      <c r="T35" s="141"/>
      <c r="U35" s="120"/>
      <c r="V35" s="142"/>
      <c r="W35" s="142"/>
      <c r="X35" s="142"/>
      <c r="Y35" s="142"/>
      <c r="Z35" s="142"/>
      <c r="AA35" s="122"/>
      <c r="AB35" s="122"/>
      <c r="AC35" s="122"/>
      <c r="AD35" s="122"/>
      <c r="AE35" s="142"/>
      <c r="AF35" s="142"/>
      <c r="AG35" s="122"/>
      <c r="AH35" s="122"/>
      <c r="AI35" s="122"/>
      <c r="AJ35" s="142" t="str">
        <f t="shared" si="10"/>
        <v/>
      </c>
      <c r="AK35" s="122"/>
      <c r="AL35" s="142" t="str">
        <f t="shared" si="11"/>
        <v/>
      </c>
      <c r="AM35" s="122"/>
      <c r="AN35" s="122"/>
      <c r="AO35" s="142"/>
      <c r="AP35" s="142"/>
    </row>
    <row r="36" s="101" customFormat="1" customHeight="1" spans="1:42">
      <c r="A36" s="129"/>
      <c r="B36" s="128" t="s">
        <v>118</v>
      </c>
      <c r="C36" s="117"/>
      <c r="D36" s="123">
        <v>44556</v>
      </c>
      <c r="E36" s="124">
        <v>50</v>
      </c>
      <c r="F36" s="124">
        <f t="shared" si="6"/>
        <v>1131</v>
      </c>
      <c r="G36" s="125">
        <f t="shared" si="7"/>
        <v>1</v>
      </c>
      <c r="H36" s="120"/>
      <c r="I36" s="120"/>
      <c r="J36" s="142"/>
      <c r="K36" s="116"/>
      <c r="L36" s="116"/>
      <c r="M36" s="116"/>
      <c r="N36" s="116"/>
      <c r="O36" s="116"/>
      <c r="P36" s="142" t="str">
        <f>IFERROR(N36/#REF!,"")</f>
        <v/>
      </c>
      <c r="Q36" s="142" t="str">
        <f t="shared" si="12"/>
        <v/>
      </c>
      <c r="R36" s="141" t="str">
        <f t="shared" si="13"/>
        <v/>
      </c>
      <c r="S36" s="116"/>
      <c r="T36" s="141"/>
      <c r="U36" s="120"/>
      <c r="V36" s="142"/>
      <c r="W36" s="142"/>
      <c r="X36" s="142"/>
      <c r="Y36" s="142"/>
      <c r="Z36" s="142"/>
      <c r="AA36" s="122"/>
      <c r="AB36" s="122"/>
      <c r="AC36" s="122"/>
      <c r="AD36" s="122"/>
      <c r="AE36" s="142"/>
      <c r="AF36" s="142"/>
      <c r="AG36" s="122"/>
      <c r="AH36" s="122"/>
      <c r="AI36" s="122"/>
      <c r="AJ36" s="142" t="str">
        <f t="shared" si="10"/>
        <v/>
      </c>
      <c r="AK36" s="122"/>
      <c r="AL36" s="142" t="str">
        <f t="shared" si="11"/>
        <v/>
      </c>
      <c r="AM36" s="122"/>
      <c r="AN36" s="122"/>
      <c r="AO36" s="142"/>
      <c r="AP36" s="142"/>
    </row>
    <row r="37" s="101" customFormat="1" customHeight="1" spans="1:42">
      <c r="A37" s="129"/>
      <c r="B37" s="128" t="s">
        <v>119</v>
      </c>
      <c r="C37" s="116"/>
      <c r="D37" s="123">
        <v>44557</v>
      </c>
      <c r="E37" s="124">
        <v>50</v>
      </c>
      <c r="F37" s="124">
        <f t="shared" si="6"/>
        <v>1181</v>
      </c>
      <c r="G37" s="125">
        <f t="shared" si="7"/>
        <v>1</v>
      </c>
      <c r="H37" s="120"/>
      <c r="I37" s="120"/>
      <c r="J37" s="142"/>
      <c r="K37" s="116"/>
      <c r="L37" s="116"/>
      <c r="M37" s="116"/>
      <c r="N37" s="116"/>
      <c r="O37" s="116"/>
      <c r="P37" s="142" t="str">
        <f>IFERROR(N37/#REF!,"")</f>
        <v/>
      </c>
      <c r="Q37" s="142" t="str">
        <f t="shared" si="12"/>
        <v/>
      </c>
      <c r="R37" s="141" t="str">
        <f t="shared" si="13"/>
        <v/>
      </c>
      <c r="S37" s="116"/>
      <c r="T37" s="141"/>
      <c r="U37" s="120"/>
      <c r="V37" s="142"/>
      <c r="W37" s="142"/>
      <c r="X37" s="142"/>
      <c r="Y37" s="142"/>
      <c r="Z37" s="142"/>
      <c r="AA37" s="122"/>
      <c r="AB37" s="122"/>
      <c r="AC37" s="122"/>
      <c r="AD37" s="122"/>
      <c r="AE37" s="142"/>
      <c r="AF37" s="142"/>
      <c r="AG37" s="122"/>
      <c r="AH37" s="122"/>
      <c r="AI37" s="122"/>
      <c r="AJ37" s="142" t="str">
        <f t="shared" si="10"/>
        <v/>
      </c>
      <c r="AK37" s="122"/>
      <c r="AL37" s="142" t="str">
        <f t="shared" si="11"/>
        <v/>
      </c>
      <c r="AM37" s="122"/>
      <c r="AN37" s="122"/>
      <c r="AO37" s="142"/>
      <c r="AP37" s="142"/>
    </row>
    <row r="38" s="101" customFormat="1" customHeight="1" spans="1:42">
      <c r="A38" s="129"/>
      <c r="B38" s="128" t="s">
        <v>120</v>
      </c>
      <c r="C38" s="117" t="s">
        <v>33</v>
      </c>
      <c r="D38" s="123">
        <v>44558</v>
      </c>
      <c r="E38" s="124">
        <v>50</v>
      </c>
      <c r="F38" s="124">
        <f t="shared" si="6"/>
        <v>1231</v>
      </c>
      <c r="G38" s="125">
        <f t="shared" si="7"/>
        <v>1</v>
      </c>
      <c r="H38" s="120"/>
      <c r="I38" s="120"/>
      <c r="J38" s="142"/>
      <c r="K38" s="116"/>
      <c r="L38" s="116"/>
      <c r="M38" s="116"/>
      <c r="N38" s="116"/>
      <c r="O38" s="116"/>
      <c r="P38" s="142" t="str">
        <f>IFERROR(N38/#REF!,"")</f>
        <v/>
      </c>
      <c r="Q38" s="142" t="str">
        <f t="shared" si="12"/>
        <v/>
      </c>
      <c r="R38" s="141" t="str">
        <f t="shared" si="13"/>
        <v/>
      </c>
      <c r="S38" s="116"/>
      <c r="T38" s="141"/>
      <c r="U38" s="120"/>
      <c r="V38" s="142"/>
      <c r="W38" s="142"/>
      <c r="X38" s="142"/>
      <c r="Y38" s="142"/>
      <c r="Z38" s="142"/>
      <c r="AA38" s="122"/>
      <c r="AB38" s="122"/>
      <c r="AC38" s="122"/>
      <c r="AD38" s="122"/>
      <c r="AE38" s="142"/>
      <c r="AF38" s="142"/>
      <c r="AG38" s="122"/>
      <c r="AH38" s="122"/>
      <c r="AI38" s="122"/>
      <c r="AJ38" s="142" t="str">
        <f t="shared" si="10"/>
        <v/>
      </c>
      <c r="AK38" s="122"/>
      <c r="AL38" s="142" t="str">
        <f t="shared" si="11"/>
        <v/>
      </c>
      <c r="AM38" s="122"/>
      <c r="AN38" s="122"/>
      <c r="AO38" s="142"/>
      <c r="AP38" s="142"/>
    </row>
    <row r="39" s="101" customFormat="1" customHeight="1" spans="1:42">
      <c r="A39" s="129"/>
      <c r="B39" s="128" t="s">
        <v>121</v>
      </c>
      <c r="C39" s="117"/>
      <c r="D39" s="123">
        <v>44559</v>
      </c>
      <c r="E39" s="124">
        <v>50</v>
      </c>
      <c r="F39" s="124">
        <f t="shared" si="6"/>
        <v>1281</v>
      </c>
      <c r="G39" s="125">
        <f t="shared" si="7"/>
        <v>1</v>
      </c>
      <c r="H39" s="120"/>
      <c r="I39" s="120"/>
      <c r="J39" s="142"/>
      <c r="K39" s="116"/>
      <c r="L39" s="116"/>
      <c r="M39" s="116"/>
      <c r="N39" s="116"/>
      <c r="O39" s="116"/>
      <c r="P39" s="142" t="str">
        <f>IFERROR(N39/#REF!,"")</f>
        <v/>
      </c>
      <c r="Q39" s="142" t="str">
        <f t="shared" si="12"/>
        <v/>
      </c>
      <c r="R39" s="141" t="str">
        <f t="shared" si="13"/>
        <v/>
      </c>
      <c r="S39" s="116"/>
      <c r="T39" s="141"/>
      <c r="U39" s="120"/>
      <c r="V39" s="142"/>
      <c r="W39" s="142"/>
      <c r="X39" s="142"/>
      <c r="Y39" s="142"/>
      <c r="Z39" s="142"/>
      <c r="AA39" s="122"/>
      <c r="AB39" s="122"/>
      <c r="AC39" s="122"/>
      <c r="AD39" s="122"/>
      <c r="AE39" s="142"/>
      <c r="AF39" s="142"/>
      <c r="AG39" s="122"/>
      <c r="AH39" s="122"/>
      <c r="AI39" s="122"/>
      <c r="AJ39" s="142" t="str">
        <f t="shared" si="10"/>
        <v/>
      </c>
      <c r="AK39" s="122"/>
      <c r="AL39" s="142" t="str">
        <f t="shared" si="11"/>
        <v/>
      </c>
      <c r="AM39" s="122"/>
      <c r="AN39" s="122"/>
      <c r="AO39" s="142"/>
      <c r="AP39" s="142"/>
    </row>
    <row r="40" s="101" customFormat="1" customHeight="1" spans="1:42">
      <c r="A40" s="129"/>
      <c r="B40" s="128" t="s">
        <v>122</v>
      </c>
      <c r="C40" s="117"/>
      <c r="D40" s="123">
        <v>44560</v>
      </c>
      <c r="E40" s="124">
        <v>50</v>
      </c>
      <c r="F40" s="124">
        <f t="shared" si="6"/>
        <v>1331</v>
      </c>
      <c r="G40" s="125">
        <f t="shared" si="7"/>
        <v>1</v>
      </c>
      <c r="H40" s="120"/>
      <c r="I40" s="120"/>
      <c r="J40" s="142"/>
      <c r="K40" s="116"/>
      <c r="L40" s="116"/>
      <c r="M40" s="116"/>
      <c r="N40" s="116"/>
      <c r="O40" s="116"/>
      <c r="P40" s="142" t="str">
        <f>IFERROR(N40/#REF!,"")</f>
        <v/>
      </c>
      <c r="Q40" s="142" t="str">
        <f t="shared" si="12"/>
        <v/>
      </c>
      <c r="R40" s="141" t="str">
        <f t="shared" si="13"/>
        <v/>
      </c>
      <c r="S40" s="116"/>
      <c r="T40" s="141"/>
      <c r="U40" s="120"/>
      <c r="V40" s="142"/>
      <c r="W40" s="142"/>
      <c r="X40" s="142"/>
      <c r="Y40" s="142"/>
      <c r="Z40" s="142"/>
      <c r="AA40" s="122"/>
      <c r="AB40" s="122"/>
      <c r="AC40" s="122"/>
      <c r="AD40" s="122"/>
      <c r="AE40" s="142"/>
      <c r="AF40" s="142"/>
      <c r="AG40" s="122"/>
      <c r="AH40" s="122"/>
      <c r="AI40" s="122"/>
      <c r="AJ40" s="142" t="str">
        <f t="shared" si="10"/>
        <v/>
      </c>
      <c r="AK40" s="122"/>
      <c r="AL40" s="142" t="str">
        <f t="shared" si="11"/>
        <v/>
      </c>
      <c r="AM40" s="122"/>
      <c r="AN40" s="122"/>
      <c r="AO40" s="142"/>
      <c r="AP40" s="142"/>
    </row>
    <row r="41" s="101" customFormat="1" customHeight="1" spans="1:42">
      <c r="A41" s="129"/>
      <c r="B41" s="128" t="s">
        <v>123</v>
      </c>
      <c r="C41" s="117"/>
      <c r="D41" s="123">
        <v>44561</v>
      </c>
      <c r="E41" s="124">
        <v>50</v>
      </c>
      <c r="F41" s="124">
        <f t="shared" si="6"/>
        <v>1381</v>
      </c>
      <c r="G41" s="125">
        <f t="shared" si="7"/>
        <v>1</v>
      </c>
      <c r="H41" s="120"/>
      <c r="I41" s="120"/>
      <c r="J41" s="142"/>
      <c r="K41" s="116"/>
      <c r="L41" s="116"/>
      <c r="M41" s="116"/>
      <c r="N41" s="116"/>
      <c r="O41" s="116"/>
      <c r="P41" s="142" t="str">
        <f>IFERROR(N41/#REF!,"")</f>
        <v/>
      </c>
      <c r="Q41" s="142" t="str">
        <f t="shared" si="12"/>
        <v/>
      </c>
      <c r="R41" s="141" t="str">
        <f t="shared" si="13"/>
        <v/>
      </c>
      <c r="S41" s="116"/>
      <c r="T41" s="141"/>
      <c r="U41" s="120"/>
      <c r="V41" s="142"/>
      <c r="W41" s="142"/>
      <c r="X41" s="142"/>
      <c r="Y41" s="142"/>
      <c r="Z41" s="142"/>
      <c r="AA41" s="122"/>
      <c r="AB41" s="122"/>
      <c r="AC41" s="122"/>
      <c r="AD41" s="122"/>
      <c r="AE41" s="142"/>
      <c r="AF41" s="142"/>
      <c r="AG41" s="122"/>
      <c r="AH41" s="122"/>
      <c r="AI41" s="122"/>
      <c r="AJ41" s="142" t="str">
        <f t="shared" si="10"/>
        <v/>
      </c>
      <c r="AK41" s="122"/>
      <c r="AL41" s="142" t="str">
        <f t="shared" si="11"/>
        <v/>
      </c>
      <c r="AM41" s="122"/>
      <c r="AN41" s="122"/>
      <c r="AO41" s="142"/>
      <c r="AP41" s="142"/>
    </row>
    <row r="42" s="101" customFormat="1" customHeight="1" spans="1:42">
      <c r="A42" s="129"/>
      <c r="B42" s="128" t="s">
        <v>124</v>
      </c>
      <c r="C42" s="117"/>
      <c r="D42" s="123">
        <v>44562</v>
      </c>
      <c r="E42" s="124">
        <v>50</v>
      </c>
      <c r="F42" s="124">
        <f t="shared" si="6"/>
        <v>1431</v>
      </c>
      <c r="G42" s="125">
        <f t="shared" si="7"/>
        <v>1</v>
      </c>
      <c r="H42" s="120"/>
      <c r="I42" s="120"/>
      <c r="J42" s="142"/>
      <c r="K42" s="116"/>
      <c r="L42" s="116"/>
      <c r="M42" s="116"/>
      <c r="N42" s="116"/>
      <c r="O42" s="116"/>
      <c r="P42" s="142" t="str">
        <f>IFERROR(N42/#REF!,"")</f>
        <v/>
      </c>
      <c r="Q42" s="142" t="str">
        <f t="shared" si="12"/>
        <v/>
      </c>
      <c r="R42" s="141" t="str">
        <f t="shared" si="13"/>
        <v/>
      </c>
      <c r="S42" s="116"/>
      <c r="T42" s="141"/>
      <c r="U42" s="120"/>
      <c r="V42" s="142"/>
      <c r="W42" s="142"/>
      <c r="X42" s="142"/>
      <c r="Y42" s="142"/>
      <c r="Z42" s="142"/>
      <c r="AA42" s="122"/>
      <c r="AB42" s="122"/>
      <c r="AC42" s="122"/>
      <c r="AD42" s="122"/>
      <c r="AE42" s="142"/>
      <c r="AF42" s="142"/>
      <c r="AG42" s="122"/>
      <c r="AH42" s="122"/>
      <c r="AI42" s="122"/>
      <c r="AJ42" s="142" t="str">
        <f t="shared" si="10"/>
        <v/>
      </c>
      <c r="AK42" s="122"/>
      <c r="AL42" s="142" t="str">
        <f t="shared" si="11"/>
        <v/>
      </c>
      <c r="AM42" s="122"/>
      <c r="AN42" s="122"/>
      <c r="AO42" s="142"/>
      <c r="AP42" s="142"/>
    </row>
    <row r="43" s="101" customFormat="1" customHeight="1" spans="1:42">
      <c r="A43" s="129"/>
      <c r="B43" s="128" t="s">
        <v>125</v>
      </c>
      <c r="C43" s="117"/>
      <c r="D43" s="123">
        <v>44563</v>
      </c>
      <c r="E43" s="124">
        <v>50</v>
      </c>
      <c r="F43" s="124">
        <f t="shared" si="6"/>
        <v>1481</v>
      </c>
      <c r="G43" s="125">
        <f t="shared" si="7"/>
        <v>1</v>
      </c>
      <c r="H43" s="120"/>
      <c r="I43" s="120"/>
      <c r="J43" s="142"/>
      <c r="K43" s="116"/>
      <c r="L43" s="116"/>
      <c r="M43" s="116"/>
      <c r="N43" s="116"/>
      <c r="O43" s="116"/>
      <c r="P43" s="142" t="str">
        <f>IFERROR(N43/#REF!,"")</f>
        <v/>
      </c>
      <c r="Q43" s="142" t="str">
        <f t="shared" si="12"/>
        <v/>
      </c>
      <c r="R43" s="141" t="str">
        <f t="shared" si="13"/>
        <v/>
      </c>
      <c r="S43" s="116"/>
      <c r="T43" s="141"/>
      <c r="U43" s="120"/>
      <c r="V43" s="142"/>
      <c r="W43" s="142"/>
      <c r="X43" s="142"/>
      <c r="Y43" s="142"/>
      <c r="Z43" s="142"/>
      <c r="AA43" s="122"/>
      <c r="AB43" s="122"/>
      <c r="AC43" s="122"/>
      <c r="AD43" s="122"/>
      <c r="AE43" s="142"/>
      <c r="AF43" s="142"/>
      <c r="AG43" s="122"/>
      <c r="AH43" s="122"/>
      <c r="AI43" s="122"/>
      <c r="AJ43" s="142" t="str">
        <f t="shared" si="10"/>
        <v/>
      </c>
      <c r="AK43" s="122"/>
      <c r="AL43" s="142" t="str">
        <f t="shared" si="11"/>
        <v/>
      </c>
      <c r="AM43" s="122"/>
      <c r="AN43" s="122"/>
      <c r="AO43" s="142"/>
      <c r="AP43" s="142"/>
    </row>
    <row r="44" s="101" customFormat="1" customHeight="1" spans="1:42">
      <c r="A44" s="129"/>
      <c r="B44" s="128" t="s">
        <v>126</v>
      </c>
      <c r="C44" s="116"/>
      <c r="D44" s="123">
        <v>44564</v>
      </c>
      <c r="E44" s="124">
        <v>50</v>
      </c>
      <c r="F44" s="124">
        <f t="shared" si="6"/>
        <v>1531</v>
      </c>
      <c r="G44" s="125">
        <f t="shared" si="7"/>
        <v>1</v>
      </c>
      <c r="H44" s="120"/>
      <c r="I44" s="120"/>
      <c r="J44" s="142"/>
      <c r="K44" s="116"/>
      <c r="L44" s="116"/>
      <c r="M44" s="116"/>
      <c r="N44" s="116"/>
      <c r="O44" s="116"/>
      <c r="P44" s="142" t="str">
        <f>IFERROR(N44/#REF!,"")</f>
        <v/>
      </c>
      <c r="Q44" s="142" t="str">
        <f t="shared" si="12"/>
        <v/>
      </c>
      <c r="R44" s="141" t="str">
        <f t="shared" si="13"/>
        <v/>
      </c>
      <c r="S44" s="116"/>
      <c r="T44" s="141"/>
      <c r="U44" s="120"/>
      <c r="V44" s="142"/>
      <c r="W44" s="142"/>
      <c r="X44" s="142"/>
      <c r="Y44" s="142"/>
      <c r="Z44" s="142"/>
      <c r="AA44" s="122"/>
      <c r="AB44" s="122"/>
      <c r="AC44" s="122"/>
      <c r="AD44" s="122"/>
      <c r="AE44" s="142"/>
      <c r="AF44" s="142"/>
      <c r="AG44" s="122"/>
      <c r="AH44" s="122"/>
      <c r="AI44" s="122"/>
      <c r="AJ44" s="142" t="str">
        <f t="shared" si="10"/>
        <v/>
      </c>
      <c r="AK44" s="122"/>
      <c r="AL44" s="142" t="str">
        <f t="shared" si="11"/>
        <v/>
      </c>
      <c r="AM44" s="122"/>
      <c r="AN44" s="122"/>
      <c r="AO44" s="142"/>
      <c r="AP44" s="142"/>
    </row>
    <row r="45" s="101" customFormat="1" customHeight="1" spans="1:42">
      <c r="A45" s="129"/>
      <c r="B45" s="128" t="s">
        <v>127</v>
      </c>
      <c r="C45" s="117" t="s">
        <v>34</v>
      </c>
      <c r="D45" s="123">
        <v>44565</v>
      </c>
      <c r="E45" s="124">
        <v>50</v>
      </c>
      <c r="F45" s="124">
        <f t="shared" si="6"/>
        <v>1581</v>
      </c>
      <c r="G45" s="125">
        <f t="shared" si="7"/>
        <v>1</v>
      </c>
      <c r="H45" s="120"/>
      <c r="I45" s="120"/>
      <c r="J45" s="142"/>
      <c r="K45" s="116"/>
      <c r="L45" s="116"/>
      <c r="M45" s="116"/>
      <c r="N45" s="116"/>
      <c r="O45" s="116"/>
      <c r="P45" s="142" t="str">
        <f>IFERROR(N45/#REF!,"")</f>
        <v/>
      </c>
      <c r="Q45" s="142" t="str">
        <f t="shared" si="12"/>
        <v/>
      </c>
      <c r="R45" s="141" t="str">
        <f t="shared" si="13"/>
        <v/>
      </c>
      <c r="S45" s="116"/>
      <c r="T45" s="141"/>
      <c r="U45" s="120"/>
      <c r="V45" s="142"/>
      <c r="W45" s="142"/>
      <c r="X45" s="142"/>
      <c r="Y45" s="142"/>
      <c r="Z45" s="142"/>
      <c r="AA45" s="122"/>
      <c r="AB45" s="122"/>
      <c r="AC45" s="122"/>
      <c r="AD45" s="122"/>
      <c r="AE45" s="142"/>
      <c r="AF45" s="142"/>
      <c r="AG45" s="122"/>
      <c r="AH45" s="122"/>
      <c r="AI45" s="122"/>
      <c r="AJ45" s="142" t="str">
        <f t="shared" si="10"/>
        <v/>
      </c>
      <c r="AK45" s="122"/>
      <c r="AL45" s="142" t="str">
        <f t="shared" si="11"/>
        <v/>
      </c>
      <c r="AM45" s="122"/>
      <c r="AN45" s="122"/>
      <c r="AO45" s="142"/>
      <c r="AP45" s="142"/>
    </row>
    <row r="46" s="101" customFormat="1" customHeight="1" spans="1:42">
      <c r="A46" s="129"/>
      <c r="B46" s="128" t="s">
        <v>128</v>
      </c>
      <c r="C46" s="117"/>
      <c r="D46" s="123">
        <v>44566</v>
      </c>
      <c r="E46" s="124">
        <v>50</v>
      </c>
      <c r="F46" s="124">
        <f t="shared" si="6"/>
        <v>1631</v>
      </c>
      <c r="G46" s="125">
        <f t="shared" si="7"/>
        <v>1</v>
      </c>
      <c r="H46" s="120"/>
      <c r="I46" s="120"/>
      <c r="J46" s="142"/>
      <c r="K46" s="116"/>
      <c r="L46" s="116"/>
      <c r="M46" s="116"/>
      <c r="N46" s="116"/>
      <c r="O46" s="116"/>
      <c r="P46" s="142" t="str">
        <f>IFERROR(N46/#REF!,"")</f>
        <v/>
      </c>
      <c r="Q46" s="142" t="str">
        <f t="shared" si="12"/>
        <v/>
      </c>
      <c r="R46" s="141" t="str">
        <f t="shared" si="13"/>
        <v/>
      </c>
      <c r="S46" s="116"/>
      <c r="T46" s="141"/>
      <c r="U46" s="120"/>
      <c r="V46" s="142"/>
      <c r="W46" s="142"/>
      <c r="X46" s="142"/>
      <c r="Y46" s="142"/>
      <c r="Z46" s="142"/>
      <c r="AA46" s="122"/>
      <c r="AB46" s="122"/>
      <c r="AC46" s="122"/>
      <c r="AD46" s="122"/>
      <c r="AE46" s="142"/>
      <c r="AF46" s="142"/>
      <c r="AG46" s="122"/>
      <c r="AH46" s="122"/>
      <c r="AI46" s="122"/>
      <c r="AJ46" s="142" t="str">
        <f t="shared" si="10"/>
        <v/>
      </c>
      <c r="AK46" s="122"/>
      <c r="AL46" s="142" t="str">
        <f t="shared" si="11"/>
        <v/>
      </c>
      <c r="AM46" s="122"/>
      <c r="AN46" s="122"/>
      <c r="AO46" s="142"/>
      <c r="AP46" s="142"/>
    </row>
    <row r="47" s="102" customFormat="1" customHeight="1" spans="1:42">
      <c r="A47" s="129"/>
      <c r="B47" s="130" t="s">
        <v>129</v>
      </c>
      <c r="C47" s="117"/>
      <c r="D47" s="131">
        <v>44567</v>
      </c>
      <c r="E47" s="132">
        <v>50</v>
      </c>
      <c r="F47" s="124">
        <f t="shared" si="6"/>
        <v>1681</v>
      </c>
      <c r="G47" s="133">
        <f t="shared" si="7"/>
        <v>1</v>
      </c>
      <c r="H47" s="120"/>
      <c r="I47" s="120"/>
      <c r="J47" s="143"/>
      <c r="K47" s="116"/>
      <c r="L47" s="116"/>
      <c r="M47" s="116"/>
      <c r="N47" s="116"/>
      <c r="O47" s="116"/>
      <c r="P47" s="142" t="str">
        <f>IFERROR(N47/#REF!,"")</f>
        <v/>
      </c>
      <c r="Q47" s="142" t="str">
        <f t="shared" si="12"/>
        <v/>
      </c>
      <c r="R47" s="141" t="str">
        <f t="shared" si="13"/>
        <v/>
      </c>
      <c r="S47" s="116"/>
      <c r="T47" s="141"/>
      <c r="U47" s="120"/>
      <c r="V47" s="143"/>
      <c r="W47" s="143"/>
      <c r="X47" s="143"/>
      <c r="Y47" s="143"/>
      <c r="Z47" s="143"/>
      <c r="AA47" s="146"/>
      <c r="AB47" s="146"/>
      <c r="AC47" s="146"/>
      <c r="AD47" s="146"/>
      <c r="AE47" s="143">
        <v>0.8</v>
      </c>
      <c r="AF47" s="143">
        <v>0.5</v>
      </c>
      <c r="AG47" s="146"/>
      <c r="AH47" s="146"/>
      <c r="AI47" s="146"/>
      <c r="AJ47" s="143" t="str">
        <f t="shared" si="10"/>
        <v/>
      </c>
      <c r="AK47" s="146"/>
      <c r="AL47" s="143" t="str">
        <f t="shared" si="11"/>
        <v/>
      </c>
      <c r="AM47" s="146"/>
      <c r="AN47" s="146"/>
      <c r="AO47" s="143"/>
      <c r="AP47" s="143"/>
    </row>
    <row r="48" s="103" customFormat="1" customHeight="1" spans="1:42">
      <c r="A48" s="134"/>
      <c r="B48" s="135" t="s">
        <v>130</v>
      </c>
      <c r="C48" s="135"/>
      <c r="D48" s="131">
        <v>44568</v>
      </c>
      <c r="E48" s="132">
        <v>50</v>
      </c>
      <c r="F48" s="124">
        <f t="shared" si="6"/>
        <v>1731</v>
      </c>
      <c r="G48" s="133">
        <f t="shared" si="7"/>
        <v>1</v>
      </c>
      <c r="H48" s="120"/>
      <c r="I48" s="120"/>
      <c r="J48" s="144"/>
      <c r="K48" s="116"/>
      <c r="L48" s="116"/>
      <c r="M48" s="116"/>
      <c r="N48" s="116"/>
      <c r="O48" s="116"/>
      <c r="P48" s="142" t="str">
        <f>IFERROR(N48/#REF!,"")</f>
        <v/>
      </c>
      <c r="Q48" s="142" t="str">
        <f t="shared" si="12"/>
        <v/>
      </c>
      <c r="R48" s="141" t="str">
        <f t="shared" si="13"/>
        <v/>
      </c>
      <c r="S48" s="116"/>
      <c r="T48" s="141"/>
      <c r="U48" s="120"/>
      <c r="V48" s="144"/>
      <c r="W48" s="144"/>
      <c r="X48" s="144"/>
      <c r="Y48" s="144"/>
      <c r="Z48" s="144"/>
      <c r="AE48" s="144"/>
      <c r="AF48" s="144"/>
      <c r="AJ48" s="144"/>
      <c r="AL48" s="144"/>
      <c r="AO48" s="144"/>
      <c r="AP48" s="144"/>
    </row>
    <row r="49" s="103" customFormat="1" customHeight="1" spans="1:42">
      <c r="A49" s="134"/>
      <c r="B49" s="135" t="s">
        <v>131</v>
      </c>
      <c r="C49" s="135"/>
      <c r="D49" s="131">
        <v>44569</v>
      </c>
      <c r="E49" s="132">
        <v>50</v>
      </c>
      <c r="F49" s="124">
        <f t="shared" si="6"/>
        <v>1781</v>
      </c>
      <c r="G49" s="133">
        <f t="shared" si="7"/>
        <v>1</v>
      </c>
      <c r="H49" s="120"/>
      <c r="I49" s="120"/>
      <c r="J49" s="144"/>
      <c r="K49" s="116"/>
      <c r="L49" s="116"/>
      <c r="M49" s="116"/>
      <c r="N49" s="116"/>
      <c r="O49" s="116"/>
      <c r="P49" s="142" t="str">
        <f>IFERROR(N49/#REF!,"")</f>
        <v/>
      </c>
      <c r="Q49" s="142" t="str">
        <f t="shared" si="12"/>
        <v/>
      </c>
      <c r="R49" s="141" t="str">
        <f t="shared" si="13"/>
        <v/>
      </c>
      <c r="S49" s="116"/>
      <c r="T49" s="141"/>
      <c r="U49" s="120"/>
      <c r="V49" s="144"/>
      <c r="W49" s="144"/>
      <c r="X49" s="144"/>
      <c r="Y49" s="144"/>
      <c r="Z49" s="144"/>
      <c r="AE49" s="144"/>
      <c r="AF49" s="144"/>
      <c r="AJ49" s="144"/>
      <c r="AL49" s="144"/>
      <c r="AO49" s="144"/>
      <c r="AP49" s="144"/>
    </row>
    <row r="50" s="103" customFormat="1" customHeight="1" spans="1:42">
      <c r="A50" s="134"/>
      <c r="B50" s="135" t="s">
        <v>132</v>
      </c>
      <c r="C50" s="135"/>
      <c r="D50" s="131">
        <v>44570</v>
      </c>
      <c r="E50" s="132">
        <v>50</v>
      </c>
      <c r="F50" s="132">
        <f t="shared" si="6"/>
        <v>1831</v>
      </c>
      <c r="G50" s="133">
        <f t="shared" si="7"/>
        <v>1</v>
      </c>
      <c r="H50" s="120"/>
      <c r="I50" s="120"/>
      <c r="J50" s="144"/>
      <c r="K50" s="116"/>
      <c r="L50" s="116"/>
      <c r="M50" s="116"/>
      <c r="N50" s="116"/>
      <c r="O50" s="116"/>
      <c r="P50" s="142" t="str">
        <f>IFERROR(N50/#REF!,"")</f>
        <v/>
      </c>
      <c r="Q50" s="142" t="str">
        <f t="shared" si="12"/>
        <v/>
      </c>
      <c r="R50" s="141" t="str">
        <f t="shared" si="13"/>
        <v/>
      </c>
      <c r="S50" s="116"/>
      <c r="T50" s="141"/>
      <c r="U50" s="120"/>
      <c r="V50" s="144"/>
      <c r="W50" s="144"/>
      <c r="X50" s="144"/>
      <c r="Y50" s="144"/>
      <c r="Z50" s="144"/>
      <c r="AE50" s="144"/>
      <c r="AF50" s="144"/>
      <c r="AJ50" s="144"/>
      <c r="AL50" s="144"/>
      <c r="AO50" s="144"/>
      <c r="AP50" s="144"/>
    </row>
    <row r="51" s="103" customFormat="1" customHeight="1" spans="1:42">
      <c r="A51" s="134"/>
      <c r="B51" s="135" t="s">
        <v>133</v>
      </c>
      <c r="C51" s="135"/>
      <c r="D51" s="136">
        <v>44571</v>
      </c>
      <c r="E51" s="137">
        <v>50</v>
      </c>
      <c r="F51" s="137">
        <f t="shared" si="6"/>
        <v>1881</v>
      </c>
      <c r="G51" s="138">
        <f t="shared" si="7"/>
        <v>1</v>
      </c>
      <c r="H51" s="139"/>
      <c r="I51" s="120"/>
      <c r="J51" s="144"/>
      <c r="K51" s="116"/>
      <c r="L51" s="116"/>
      <c r="M51" s="116"/>
      <c r="N51" s="116"/>
      <c r="O51" s="116"/>
      <c r="P51" s="142" t="str">
        <f>IFERROR(N51/#REF!,"")</f>
        <v/>
      </c>
      <c r="Q51" s="142" t="str">
        <f t="shared" si="12"/>
        <v/>
      </c>
      <c r="R51" s="141" t="str">
        <f t="shared" si="13"/>
        <v/>
      </c>
      <c r="S51" s="116"/>
      <c r="T51" s="141"/>
      <c r="U51" s="120"/>
      <c r="V51" s="144"/>
      <c r="W51" s="144"/>
      <c r="X51" s="144"/>
      <c r="Y51" s="144"/>
      <c r="Z51" s="144"/>
      <c r="AE51" s="144"/>
      <c r="AF51" s="144"/>
      <c r="AJ51" s="144"/>
      <c r="AL51" s="144"/>
      <c r="AO51" s="144"/>
      <c r="AP51" s="144"/>
    </row>
  </sheetData>
  <mergeCells count="14">
    <mergeCell ref="A1:D1"/>
    <mergeCell ref="E1:G1"/>
    <mergeCell ref="H1:Z1"/>
    <mergeCell ref="AA1:AG1"/>
    <mergeCell ref="AH1:AP1"/>
    <mergeCell ref="A3:A16"/>
    <mergeCell ref="A17:A51"/>
    <mergeCell ref="C3:C9"/>
    <mergeCell ref="C10:C16"/>
    <mergeCell ref="C17:C23"/>
    <mergeCell ref="C24:C30"/>
    <mergeCell ref="C31:C37"/>
    <mergeCell ref="C38:C44"/>
    <mergeCell ref="C45:C51"/>
  </mergeCells>
  <conditionalFormatting sqref="S21:S2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{e83f264b-c66e-4adf-90a1-167d93587bd8}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64b-c66e-4adf-90a1-167d93587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S21:S24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3"/>
  <sheetViews>
    <sheetView workbookViewId="0">
      <selection activeCell="J8" sqref="J8"/>
    </sheetView>
  </sheetViews>
  <sheetFormatPr defaultColWidth="11" defaultRowHeight="25" customHeight="1"/>
  <cols>
    <col min="1" max="1" width="15.625" style="35" customWidth="1"/>
    <col min="2" max="2" width="10" style="35" customWidth="1"/>
    <col min="3" max="3" width="9" style="35" customWidth="1"/>
    <col min="4" max="4" width="15.625" style="35" customWidth="1"/>
    <col min="5" max="5" width="7.83333333333333" style="35" customWidth="1"/>
    <col min="6" max="7" width="9.16666666666667" style="35" customWidth="1"/>
    <col min="8" max="8" width="10.8333333333333" style="35" customWidth="1"/>
    <col min="9" max="14" width="15.625" style="35" customWidth="1"/>
    <col min="15" max="15" width="9.83333333333333" style="35" customWidth="1"/>
    <col min="16" max="17" width="15.625" style="35" customWidth="1"/>
    <col min="18" max="18" width="10.8333333333333" style="35" customWidth="1"/>
    <col min="19" max="16383" width="11" style="35"/>
  </cols>
  <sheetData>
    <row r="1" s="50" customFormat="1" ht="44" customHeight="1" spans="1:18">
      <c r="A1" s="52" t="s">
        <v>134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91"/>
    </row>
    <row r="2" s="51" customFormat="1" ht="31" customHeight="1" spans="1:18">
      <c r="A2" s="53" t="s">
        <v>135</v>
      </c>
      <c r="B2" s="53" t="s">
        <v>136</v>
      </c>
      <c r="C2" s="53" t="s">
        <v>137</v>
      </c>
      <c r="D2" s="53" t="s">
        <v>138</v>
      </c>
      <c r="E2" s="53" t="s">
        <v>139</v>
      </c>
      <c r="F2" s="54" t="s">
        <v>140</v>
      </c>
      <c r="G2" s="53" t="s">
        <v>141</v>
      </c>
      <c r="H2" s="53" t="s">
        <v>142</v>
      </c>
      <c r="I2" s="53" t="s">
        <v>143</v>
      </c>
      <c r="J2" s="53" t="s">
        <v>144</v>
      </c>
      <c r="K2" s="53" t="s">
        <v>145</v>
      </c>
      <c r="L2" s="53" t="s">
        <v>146</v>
      </c>
      <c r="M2" s="53" t="s">
        <v>147</v>
      </c>
      <c r="N2" s="53" t="s">
        <v>148</v>
      </c>
      <c r="O2" s="53" t="s">
        <v>149</v>
      </c>
      <c r="P2" s="53" t="s">
        <v>150</v>
      </c>
      <c r="Q2" s="53" t="s">
        <v>151</v>
      </c>
      <c r="R2" s="92"/>
    </row>
    <row r="3" s="35" customFormat="1" customHeight="1" spans="1:18">
      <c r="A3" s="55"/>
      <c r="B3" s="56"/>
      <c r="C3" s="56"/>
      <c r="D3" s="56"/>
      <c r="E3" s="57"/>
      <c r="F3" s="58"/>
      <c r="G3" s="59"/>
      <c r="H3" s="60"/>
      <c r="I3" s="56"/>
      <c r="J3" s="56"/>
      <c r="K3" s="56"/>
      <c r="L3" s="56"/>
      <c r="M3" s="56"/>
      <c r="N3" s="78"/>
      <c r="O3" s="79"/>
      <c r="P3" s="80"/>
      <c r="Q3" s="93"/>
      <c r="R3" s="94"/>
    </row>
    <row r="4" s="35" customFormat="1" customHeight="1" spans="1:18">
      <c r="A4" s="46"/>
      <c r="B4" s="56"/>
      <c r="C4" s="56"/>
      <c r="D4" s="38"/>
      <c r="E4" s="61"/>
      <c r="F4" s="58"/>
      <c r="G4" s="62"/>
      <c r="H4" s="63"/>
      <c r="I4" s="38"/>
      <c r="J4" s="39"/>
      <c r="K4" s="38"/>
      <c r="L4" s="38"/>
      <c r="M4" s="38"/>
      <c r="N4" s="39"/>
      <c r="O4" s="81"/>
      <c r="P4" s="82"/>
      <c r="Q4" s="81"/>
      <c r="R4" s="94"/>
    </row>
    <row r="5" s="35" customFormat="1" customHeight="1" spans="1:18">
      <c r="A5" s="46"/>
      <c r="B5" s="56"/>
      <c r="C5" s="56"/>
      <c r="D5" s="38"/>
      <c r="E5" s="61"/>
      <c r="F5" s="58"/>
      <c r="G5" s="62"/>
      <c r="H5" s="63"/>
      <c r="I5" s="38"/>
      <c r="J5" s="83"/>
      <c r="K5" s="38"/>
      <c r="L5" s="39"/>
      <c r="M5" s="38"/>
      <c r="N5" s="39"/>
      <c r="O5" s="81"/>
      <c r="P5" s="82"/>
      <c r="Q5" s="95"/>
      <c r="R5" s="94"/>
    </row>
    <row r="6" s="35" customFormat="1" customHeight="1" spans="1:18">
      <c r="A6" s="46"/>
      <c r="B6" s="56"/>
      <c r="C6" s="56"/>
      <c r="D6" s="38"/>
      <c r="E6" s="61"/>
      <c r="F6" s="58"/>
      <c r="G6" s="62"/>
      <c r="H6" s="63"/>
      <c r="I6" s="38"/>
      <c r="J6" s="38"/>
      <c r="K6" s="38"/>
      <c r="L6" s="38"/>
      <c r="M6" s="38"/>
      <c r="N6" s="39"/>
      <c r="O6" s="81"/>
      <c r="P6" s="82"/>
      <c r="Q6" s="95"/>
      <c r="R6" s="94"/>
    </row>
    <row r="7" s="35" customFormat="1" customHeight="1" spans="1:18">
      <c r="A7" s="46"/>
      <c r="B7" s="56"/>
      <c r="C7" s="56"/>
      <c r="D7" s="38"/>
      <c r="E7" s="61"/>
      <c r="F7" s="58"/>
      <c r="G7" s="62"/>
      <c r="H7" s="63"/>
      <c r="I7" s="38"/>
      <c r="J7" s="38"/>
      <c r="K7" s="38"/>
      <c r="L7" s="38"/>
      <c r="M7" s="38"/>
      <c r="N7" s="39"/>
      <c r="O7" s="81"/>
      <c r="P7" s="82"/>
      <c r="Q7" s="95"/>
      <c r="R7" s="94"/>
    </row>
    <row r="8" s="35" customFormat="1" customHeight="1" spans="1:18">
      <c r="A8" s="64"/>
      <c r="B8" s="65" t="s">
        <v>152</v>
      </c>
      <c r="C8" s="65"/>
      <c r="D8" s="65"/>
      <c r="E8" s="65"/>
      <c r="F8" s="66">
        <f t="shared" ref="F8:N8" si="0">SUM(F3:F7)</f>
        <v>0</v>
      </c>
      <c r="G8" s="67">
        <f t="shared" si="0"/>
        <v>0</v>
      </c>
      <c r="H8" s="68">
        <f t="shared" si="0"/>
        <v>0</v>
      </c>
      <c r="I8" s="67">
        <f t="shared" si="0"/>
        <v>0</v>
      </c>
      <c r="J8" s="67">
        <f t="shared" si="0"/>
        <v>0</v>
      </c>
      <c r="K8" s="67">
        <f t="shared" si="0"/>
        <v>0</v>
      </c>
      <c r="L8" s="67">
        <f t="shared" si="0"/>
        <v>0</v>
      </c>
      <c r="M8" s="67">
        <f t="shared" si="0"/>
        <v>0</v>
      </c>
      <c r="N8" s="67">
        <f t="shared" si="0"/>
        <v>0</v>
      </c>
      <c r="O8" s="65"/>
      <c r="P8" s="68">
        <f>SUM(P3:P7)</f>
        <v>0</v>
      </c>
      <c r="Q8" s="96">
        <v>0</v>
      </c>
      <c r="R8" s="94"/>
    </row>
    <row r="9" s="35" customFormat="1" customHeight="1" spans="1:18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94"/>
    </row>
    <row r="10" s="35" customFormat="1" customHeight="1" spans="1:18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94"/>
    </row>
    <row r="11" s="35" customFormat="1" customHeight="1" spans="1:18">
      <c r="A11" s="71"/>
      <c r="B11" s="72"/>
      <c r="C11" s="72"/>
      <c r="D11" s="72"/>
      <c r="E11" s="73"/>
      <c r="F11" s="74"/>
      <c r="G11" s="74"/>
      <c r="H11" s="75"/>
      <c r="I11" s="72"/>
      <c r="J11" s="72"/>
      <c r="K11" s="72"/>
      <c r="L11" s="84"/>
      <c r="M11" s="84"/>
      <c r="N11" s="74"/>
      <c r="O11" s="73"/>
      <c r="P11" s="77"/>
      <c r="Q11" s="97"/>
      <c r="R11" s="94"/>
    </row>
    <row r="12" s="35" customFormat="1" customHeight="1" spans="1:18">
      <c r="A12" s="71"/>
      <c r="B12" s="72"/>
      <c r="C12" s="72"/>
      <c r="D12" s="72"/>
      <c r="E12" s="73"/>
      <c r="F12" s="74"/>
      <c r="G12" s="74"/>
      <c r="H12" s="75"/>
      <c r="I12" s="72"/>
      <c r="J12" s="72"/>
      <c r="K12" s="72"/>
      <c r="L12" s="84"/>
      <c r="M12" s="84"/>
      <c r="N12" s="74"/>
      <c r="O12" s="73"/>
      <c r="P12" s="77"/>
      <c r="Q12" s="97"/>
      <c r="R12" s="94"/>
    </row>
    <row r="13" s="35" customFormat="1" customHeight="1" spans="1:18">
      <c r="A13" s="71"/>
      <c r="B13" s="72"/>
      <c r="C13" s="72"/>
      <c r="D13" s="72"/>
      <c r="E13" s="73"/>
      <c r="F13" s="74"/>
      <c r="G13" s="74"/>
      <c r="H13" s="75"/>
      <c r="I13" s="72"/>
      <c r="J13" s="84"/>
      <c r="K13" s="72"/>
      <c r="L13" s="84"/>
      <c r="M13" s="84"/>
      <c r="N13" s="74"/>
      <c r="O13" s="73"/>
      <c r="P13" s="77"/>
      <c r="Q13" s="97"/>
      <c r="R13" s="94"/>
    </row>
    <row r="14" s="35" customFormat="1" customHeight="1" spans="1:18">
      <c r="A14" s="71"/>
      <c r="B14" s="72"/>
      <c r="C14" s="72"/>
      <c r="D14" s="72"/>
      <c r="E14" s="73"/>
      <c r="F14" s="74"/>
      <c r="G14" s="74"/>
      <c r="H14" s="75"/>
      <c r="I14" s="72"/>
      <c r="J14" s="72"/>
      <c r="K14" s="72"/>
      <c r="L14" s="84"/>
      <c r="M14" s="84"/>
      <c r="N14" s="74"/>
      <c r="O14" s="73"/>
      <c r="P14" s="77"/>
      <c r="Q14" s="97"/>
      <c r="R14" s="94"/>
    </row>
    <row r="15" s="35" customFormat="1" customHeight="1" spans="1:18">
      <c r="A15" s="72"/>
      <c r="B15" s="76"/>
      <c r="C15" s="76"/>
      <c r="D15" s="76"/>
      <c r="E15" s="76"/>
      <c r="F15" s="73"/>
      <c r="G15" s="73"/>
      <c r="H15" s="77"/>
      <c r="I15" s="73"/>
      <c r="J15" s="73"/>
      <c r="K15" s="73"/>
      <c r="L15" s="73"/>
      <c r="M15" s="73"/>
      <c r="N15" s="73"/>
      <c r="O15" s="76"/>
      <c r="P15" s="77"/>
      <c r="Q15" s="74"/>
      <c r="R15" s="94"/>
    </row>
    <row r="16" s="35" customFormat="1" customHeight="1" spans="1:18">
      <c r="A16" s="71"/>
      <c r="B16" s="72"/>
      <c r="C16" s="72"/>
      <c r="D16" s="72"/>
      <c r="E16" s="73"/>
      <c r="F16" s="74"/>
      <c r="G16" s="74"/>
      <c r="H16" s="75"/>
      <c r="I16" s="72"/>
      <c r="J16" s="72"/>
      <c r="K16" s="72"/>
      <c r="L16" s="84"/>
      <c r="M16" s="84"/>
      <c r="N16" s="74"/>
      <c r="O16" s="73"/>
      <c r="P16" s="77"/>
      <c r="Q16" s="97"/>
      <c r="R16" s="94"/>
    </row>
    <row r="17" s="35" customFormat="1" customHeight="1" spans="1:18">
      <c r="A17" s="71"/>
      <c r="B17" s="72"/>
      <c r="C17" s="72"/>
      <c r="D17" s="72"/>
      <c r="E17" s="73"/>
      <c r="F17" s="74"/>
      <c r="G17" s="74"/>
      <c r="H17" s="75"/>
      <c r="I17" s="72"/>
      <c r="J17" s="72"/>
      <c r="K17" s="72"/>
      <c r="L17" s="84"/>
      <c r="M17" s="84"/>
      <c r="N17" s="74"/>
      <c r="O17" s="73"/>
      <c r="P17" s="77"/>
      <c r="Q17" s="97"/>
      <c r="R17" s="94"/>
    </row>
    <row r="18" s="35" customFormat="1" customHeight="1" spans="1:18">
      <c r="A18" s="71"/>
      <c r="B18" s="72"/>
      <c r="C18" s="72"/>
      <c r="D18" s="72"/>
      <c r="E18" s="73"/>
      <c r="F18" s="74"/>
      <c r="G18" s="74"/>
      <c r="H18" s="75"/>
      <c r="I18" s="69"/>
      <c r="J18" s="72"/>
      <c r="K18" s="72"/>
      <c r="L18" s="84"/>
      <c r="M18" s="84"/>
      <c r="N18" s="74"/>
      <c r="O18" s="73"/>
      <c r="P18" s="77"/>
      <c r="Q18" s="97"/>
      <c r="R18" s="94"/>
    </row>
    <row r="19" s="35" customFormat="1" customHeight="1" spans="1:18">
      <c r="A19" s="71"/>
      <c r="B19" s="72"/>
      <c r="C19" s="72"/>
      <c r="D19" s="72"/>
      <c r="E19" s="73"/>
      <c r="F19" s="74"/>
      <c r="G19" s="74"/>
      <c r="H19" s="75"/>
      <c r="I19" s="72"/>
      <c r="J19" s="72"/>
      <c r="K19" s="72"/>
      <c r="L19" s="84"/>
      <c r="M19" s="84"/>
      <c r="N19" s="74"/>
      <c r="O19" s="73"/>
      <c r="P19" s="77"/>
      <c r="Q19" s="97"/>
      <c r="R19" s="94"/>
    </row>
    <row r="20" s="35" customFormat="1" customHeight="1" spans="1:18">
      <c r="A20" s="71"/>
      <c r="B20" s="72"/>
      <c r="C20" s="72"/>
      <c r="D20" s="72"/>
      <c r="E20" s="73"/>
      <c r="F20" s="74"/>
      <c r="G20" s="74"/>
      <c r="H20" s="75"/>
      <c r="I20" s="72"/>
      <c r="J20" s="72"/>
      <c r="K20" s="72"/>
      <c r="L20" s="84"/>
      <c r="M20" s="84"/>
      <c r="N20" s="74"/>
      <c r="O20" s="73"/>
      <c r="P20" s="77"/>
      <c r="Q20" s="97"/>
      <c r="R20" s="94"/>
    </row>
    <row r="21" s="35" customFormat="1" customHeight="1" spans="1:18">
      <c r="A21" s="72"/>
      <c r="B21" s="76"/>
      <c r="C21" s="76"/>
      <c r="D21" s="76"/>
      <c r="E21" s="76"/>
      <c r="F21" s="73"/>
      <c r="G21" s="73"/>
      <c r="H21" s="77"/>
      <c r="I21" s="73"/>
      <c r="J21" s="73"/>
      <c r="K21" s="73"/>
      <c r="L21" s="73"/>
      <c r="M21" s="73"/>
      <c r="N21" s="73"/>
      <c r="O21" s="76"/>
      <c r="P21" s="77"/>
      <c r="Q21" s="74"/>
      <c r="R21" s="94"/>
    </row>
    <row r="22" s="35" customFormat="1" customHeight="1" spans="1:18">
      <c r="A22" s="71"/>
      <c r="B22" s="72"/>
      <c r="C22" s="72"/>
      <c r="D22" s="72"/>
      <c r="E22" s="73"/>
      <c r="F22" s="74"/>
      <c r="G22" s="74"/>
      <c r="H22" s="75"/>
      <c r="I22" s="72"/>
      <c r="J22" s="72"/>
      <c r="K22" s="72"/>
      <c r="L22" s="72"/>
      <c r="M22" s="72"/>
      <c r="N22" s="74"/>
      <c r="O22" s="73"/>
      <c r="P22" s="77"/>
      <c r="Q22" s="76"/>
      <c r="R22" s="94"/>
    </row>
    <row r="23" s="35" customFormat="1" customHeight="1" spans="1:18">
      <c r="A23" s="71"/>
      <c r="B23" s="72"/>
      <c r="C23" s="72"/>
      <c r="D23" s="72"/>
      <c r="E23" s="73"/>
      <c r="F23" s="74"/>
      <c r="G23" s="74"/>
      <c r="H23" s="75"/>
      <c r="I23" s="72"/>
      <c r="J23" s="72"/>
      <c r="K23" s="72"/>
      <c r="L23" s="84"/>
      <c r="M23" s="84"/>
      <c r="N23" s="74"/>
      <c r="O23" s="73"/>
      <c r="P23" s="77"/>
      <c r="Q23" s="97"/>
      <c r="R23" s="94"/>
    </row>
    <row r="24" s="35" customFormat="1" customHeight="1" spans="1:18">
      <c r="A24" s="71"/>
      <c r="B24" s="72"/>
      <c r="C24" s="72"/>
      <c r="D24" s="72"/>
      <c r="E24" s="73"/>
      <c r="F24" s="74"/>
      <c r="G24" s="74"/>
      <c r="H24" s="75"/>
      <c r="I24" s="72"/>
      <c r="J24" s="72"/>
      <c r="K24" s="72"/>
      <c r="L24" s="69"/>
      <c r="M24" s="84"/>
      <c r="N24" s="74"/>
      <c r="O24" s="73"/>
      <c r="P24" s="77"/>
      <c r="Q24" s="97"/>
      <c r="R24" s="94"/>
    </row>
    <row r="25" s="35" customFormat="1" customHeight="1" spans="1:18">
      <c r="A25" s="71"/>
      <c r="B25" s="72"/>
      <c r="C25" s="72"/>
      <c r="D25" s="72"/>
      <c r="E25" s="73"/>
      <c r="F25" s="74"/>
      <c r="G25" s="74"/>
      <c r="H25" s="75"/>
      <c r="I25" s="72"/>
      <c r="J25" s="72"/>
      <c r="K25" s="72"/>
      <c r="L25" s="72"/>
      <c r="M25" s="72"/>
      <c r="N25" s="74"/>
      <c r="O25" s="73"/>
      <c r="P25" s="77"/>
      <c r="Q25" s="76"/>
      <c r="R25" s="94"/>
    </row>
    <row r="26" s="35" customFormat="1" customHeight="1" spans="1:18">
      <c r="A26" s="71"/>
      <c r="B26" s="72"/>
      <c r="C26" s="72"/>
      <c r="D26" s="72"/>
      <c r="E26" s="73"/>
      <c r="F26" s="74"/>
      <c r="G26" s="74"/>
      <c r="H26" s="75"/>
      <c r="I26" s="72"/>
      <c r="J26" s="72"/>
      <c r="K26" s="72"/>
      <c r="L26" s="72"/>
      <c r="M26" s="72"/>
      <c r="N26" s="74"/>
      <c r="O26" s="73"/>
      <c r="P26" s="77"/>
      <c r="Q26" s="76"/>
      <c r="R26" s="94"/>
    </row>
    <row r="27" s="35" customFormat="1" customHeight="1" spans="1:18">
      <c r="A27" s="76"/>
      <c r="B27" s="76"/>
      <c r="C27" s="76"/>
      <c r="D27" s="76"/>
      <c r="E27" s="73"/>
      <c r="F27" s="73"/>
      <c r="G27" s="73"/>
      <c r="H27" s="77"/>
      <c r="I27" s="73"/>
      <c r="J27" s="73"/>
      <c r="K27" s="73"/>
      <c r="L27" s="73"/>
      <c r="M27" s="73"/>
      <c r="N27" s="73"/>
      <c r="O27" s="73"/>
      <c r="P27" s="77"/>
      <c r="Q27" s="73"/>
      <c r="R27" s="94"/>
    </row>
    <row r="28" s="35" customFormat="1" customHeight="1" spans="1:18">
      <c r="A28" s="71"/>
      <c r="B28" s="72"/>
      <c r="C28" s="72"/>
      <c r="D28" s="72"/>
      <c r="E28" s="73"/>
      <c r="F28" s="74"/>
      <c r="G28" s="74"/>
      <c r="H28" s="75"/>
      <c r="I28" s="72"/>
      <c r="J28" s="72"/>
      <c r="K28" s="72"/>
      <c r="L28" s="72"/>
      <c r="M28" s="72"/>
      <c r="N28" s="74"/>
      <c r="O28" s="73"/>
      <c r="P28" s="77"/>
      <c r="Q28" s="72"/>
      <c r="R28" s="94"/>
    </row>
    <row r="29" s="35" customFormat="1" customHeight="1" spans="1:18">
      <c r="A29" s="71"/>
      <c r="B29" s="72"/>
      <c r="C29" s="72"/>
      <c r="D29" s="72"/>
      <c r="E29" s="73"/>
      <c r="F29" s="74"/>
      <c r="G29" s="74"/>
      <c r="H29" s="75"/>
      <c r="I29" s="72"/>
      <c r="J29" s="72"/>
      <c r="K29" s="72"/>
      <c r="L29" s="72"/>
      <c r="M29" s="72"/>
      <c r="N29" s="74"/>
      <c r="O29" s="73"/>
      <c r="P29" s="77"/>
      <c r="Q29" s="72"/>
      <c r="R29" s="94"/>
    </row>
    <row r="30" s="35" customFormat="1" customHeight="1" spans="1:18">
      <c r="A30" s="71"/>
      <c r="B30" s="72"/>
      <c r="C30" s="72"/>
      <c r="D30" s="72"/>
      <c r="E30" s="73"/>
      <c r="F30" s="74"/>
      <c r="G30" s="74"/>
      <c r="H30" s="75"/>
      <c r="I30" s="72"/>
      <c r="J30" s="72"/>
      <c r="K30" s="72"/>
      <c r="L30" s="72"/>
      <c r="M30" s="72"/>
      <c r="N30" s="74"/>
      <c r="O30" s="73"/>
      <c r="P30" s="77"/>
      <c r="Q30" s="72"/>
      <c r="R30" s="94"/>
    </row>
    <row r="31" s="35" customFormat="1" customHeight="1" spans="1:18">
      <c r="A31" s="71"/>
      <c r="B31" s="72"/>
      <c r="C31" s="72"/>
      <c r="D31" s="72"/>
      <c r="E31" s="73"/>
      <c r="F31" s="74"/>
      <c r="G31" s="74"/>
      <c r="H31" s="75"/>
      <c r="I31" s="72"/>
      <c r="J31" s="72"/>
      <c r="K31" s="72"/>
      <c r="L31" s="74"/>
      <c r="M31" s="74"/>
      <c r="N31" s="74"/>
      <c r="O31" s="73"/>
      <c r="P31" s="77"/>
      <c r="Q31" s="72"/>
      <c r="R31" s="94"/>
    </row>
    <row r="32" s="35" customFormat="1" customHeight="1" spans="1:18">
      <c r="A32" s="71"/>
      <c r="B32" s="72"/>
      <c r="C32" s="72"/>
      <c r="D32" s="72"/>
      <c r="E32" s="73"/>
      <c r="F32" s="74"/>
      <c r="G32" s="74"/>
      <c r="H32" s="75"/>
      <c r="I32" s="72"/>
      <c r="J32" s="72"/>
      <c r="K32" s="72"/>
      <c r="L32" s="72"/>
      <c r="M32" s="72"/>
      <c r="N32" s="74"/>
      <c r="O32" s="73"/>
      <c r="P32" s="77"/>
      <c r="Q32" s="72"/>
      <c r="R32" s="94"/>
    </row>
    <row r="33" s="35" customFormat="1" customHeight="1" spans="1:18">
      <c r="A33" s="71"/>
      <c r="B33" s="72"/>
      <c r="C33" s="72"/>
      <c r="D33" s="72"/>
      <c r="E33" s="73"/>
      <c r="F33" s="74"/>
      <c r="G33" s="74"/>
      <c r="H33" s="75"/>
      <c r="I33" s="72"/>
      <c r="J33" s="72"/>
      <c r="K33" s="72"/>
      <c r="L33" s="72"/>
      <c r="M33" s="72"/>
      <c r="N33" s="74"/>
      <c r="O33" s="73"/>
      <c r="P33" s="77"/>
      <c r="Q33" s="72"/>
      <c r="R33" s="94"/>
    </row>
    <row r="34" s="35" customFormat="1" customHeight="1" spans="1:18">
      <c r="A34" s="72"/>
      <c r="B34" s="72"/>
      <c r="C34" s="72"/>
      <c r="D34" s="72"/>
      <c r="E34" s="73"/>
      <c r="F34" s="73"/>
      <c r="G34" s="73"/>
      <c r="H34" s="77"/>
      <c r="I34" s="73"/>
      <c r="J34" s="73"/>
      <c r="K34" s="73"/>
      <c r="L34" s="73"/>
      <c r="M34" s="73"/>
      <c r="N34" s="73"/>
      <c r="O34" s="73"/>
      <c r="P34" s="77"/>
      <c r="Q34" s="74"/>
      <c r="R34" s="94"/>
    </row>
    <row r="35" s="35" customFormat="1" customHeight="1" spans="1:18">
      <c r="A35" s="71"/>
      <c r="B35" s="72"/>
      <c r="C35" s="72"/>
      <c r="D35" s="72"/>
      <c r="E35" s="76"/>
      <c r="F35" s="72"/>
      <c r="G35" s="72"/>
      <c r="H35" s="75"/>
      <c r="I35" s="72"/>
      <c r="J35" s="72"/>
      <c r="K35" s="72"/>
      <c r="L35" s="72"/>
      <c r="M35" s="72"/>
      <c r="N35" s="72"/>
      <c r="O35" s="76"/>
      <c r="P35" s="77"/>
      <c r="Q35" s="76"/>
      <c r="R35" s="94"/>
    </row>
    <row r="36" s="35" customFormat="1" customHeight="1" spans="1:18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94"/>
    </row>
    <row r="37" s="35" customFormat="1" customHeight="1" spans="1:18">
      <c r="A37" s="71"/>
      <c r="B37" s="72"/>
      <c r="C37" s="72"/>
      <c r="D37" s="72"/>
      <c r="E37" s="73"/>
      <c r="F37" s="74"/>
      <c r="G37" s="74"/>
      <c r="H37" s="75"/>
      <c r="I37" s="72"/>
      <c r="J37" s="72"/>
      <c r="K37" s="72"/>
      <c r="L37" s="72"/>
      <c r="M37" s="72"/>
      <c r="N37" s="74"/>
      <c r="O37" s="73"/>
      <c r="P37" s="77"/>
      <c r="Q37" s="76"/>
      <c r="R37" s="94"/>
    </row>
    <row r="38" s="35" customFormat="1" customHeight="1" spans="1:18">
      <c r="A38" s="71"/>
      <c r="B38" s="72"/>
      <c r="C38" s="72"/>
      <c r="D38" s="72"/>
      <c r="E38" s="73"/>
      <c r="F38" s="74"/>
      <c r="G38" s="74"/>
      <c r="H38" s="75"/>
      <c r="I38" s="72"/>
      <c r="J38" s="72"/>
      <c r="K38" s="72"/>
      <c r="L38" s="72"/>
      <c r="M38" s="72"/>
      <c r="N38" s="74"/>
      <c r="O38" s="73"/>
      <c r="P38" s="77"/>
      <c r="Q38" s="97"/>
      <c r="R38" s="94"/>
    </row>
    <row r="39" s="35" customFormat="1" customHeight="1" spans="1:18">
      <c r="A39" s="71"/>
      <c r="B39" s="72"/>
      <c r="C39" s="72"/>
      <c r="D39" s="72"/>
      <c r="E39" s="73"/>
      <c r="F39" s="74"/>
      <c r="G39" s="74"/>
      <c r="H39" s="75"/>
      <c r="I39" s="72"/>
      <c r="J39" s="72"/>
      <c r="K39" s="72"/>
      <c r="L39" s="84"/>
      <c r="M39" s="84"/>
      <c r="N39" s="74"/>
      <c r="O39" s="73"/>
      <c r="P39" s="77"/>
      <c r="Q39" s="97"/>
      <c r="R39" s="94"/>
    </row>
    <row r="40" s="35" customFormat="1" customHeight="1" spans="1:18">
      <c r="A40" s="71"/>
      <c r="B40" s="72"/>
      <c r="C40" s="72"/>
      <c r="D40" s="72"/>
      <c r="E40" s="73"/>
      <c r="F40" s="74"/>
      <c r="G40" s="74"/>
      <c r="H40" s="75"/>
      <c r="I40" s="72"/>
      <c r="J40" s="72"/>
      <c r="K40" s="85"/>
      <c r="L40" s="74"/>
      <c r="M40" s="74"/>
      <c r="N40" s="74"/>
      <c r="O40" s="73"/>
      <c r="P40" s="77"/>
      <c r="Q40" s="76"/>
      <c r="R40" s="94"/>
    </row>
    <row r="41" s="35" customFormat="1" customHeight="1" spans="1:18">
      <c r="A41" s="71"/>
      <c r="B41" s="72"/>
      <c r="C41" s="72"/>
      <c r="D41" s="72"/>
      <c r="E41" s="73"/>
      <c r="F41" s="74"/>
      <c r="G41" s="74"/>
      <c r="H41" s="75"/>
      <c r="I41" s="72"/>
      <c r="J41" s="72"/>
      <c r="K41" s="72"/>
      <c r="L41" s="72"/>
      <c r="M41" s="72"/>
      <c r="N41" s="74"/>
      <c r="O41" s="73"/>
      <c r="P41" s="77"/>
      <c r="Q41" s="76"/>
      <c r="R41" s="94"/>
    </row>
    <row r="42" s="35" customFormat="1" customHeight="1" spans="1:18">
      <c r="A42" s="76"/>
      <c r="B42" s="76"/>
      <c r="C42" s="76"/>
      <c r="D42" s="76"/>
      <c r="E42" s="73"/>
      <c r="F42" s="73"/>
      <c r="G42" s="73"/>
      <c r="H42" s="77"/>
      <c r="I42" s="73"/>
      <c r="J42" s="73"/>
      <c r="K42" s="73"/>
      <c r="L42" s="73"/>
      <c r="M42" s="73"/>
      <c r="N42" s="73"/>
      <c r="O42" s="76"/>
      <c r="P42" s="77"/>
      <c r="Q42" s="73"/>
      <c r="R42" s="94"/>
    </row>
    <row r="43" s="35" customFormat="1" customHeight="1" spans="1:18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94"/>
    </row>
    <row r="44" s="35" customFormat="1" customHeight="1" spans="1:18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94"/>
    </row>
    <row r="45" s="35" customFormat="1" customHeight="1" spans="1:18">
      <c r="A45" s="71"/>
      <c r="B45" s="72"/>
      <c r="C45" s="72"/>
      <c r="D45" s="72"/>
      <c r="E45" s="73"/>
      <c r="F45" s="74"/>
      <c r="G45" s="74"/>
      <c r="H45" s="75"/>
      <c r="I45" s="72"/>
      <c r="J45" s="72"/>
      <c r="K45" s="72"/>
      <c r="L45" s="84"/>
      <c r="M45" s="84"/>
      <c r="N45" s="74"/>
      <c r="O45" s="73"/>
      <c r="P45" s="77"/>
      <c r="Q45" s="97"/>
      <c r="R45" s="94"/>
    </row>
    <row r="46" s="35" customFormat="1" customHeight="1" spans="1:18">
      <c r="A46" s="71"/>
      <c r="B46" s="72"/>
      <c r="C46" s="72"/>
      <c r="D46" s="72"/>
      <c r="E46" s="73"/>
      <c r="F46" s="74"/>
      <c r="G46" s="74"/>
      <c r="H46" s="75"/>
      <c r="I46" s="72"/>
      <c r="J46" s="72"/>
      <c r="K46" s="86"/>
      <c r="L46" s="69"/>
      <c r="M46" s="86"/>
      <c r="N46" s="74"/>
      <c r="O46" s="73"/>
      <c r="P46" s="77"/>
      <c r="Q46" s="97"/>
      <c r="R46" s="94"/>
    </row>
    <row r="47" s="35" customFormat="1" customHeight="1" spans="1:18">
      <c r="A47" s="71"/>
      <c r="B47" s="72"/>
      <c r="C47" s="72"/>
      <c r="D47" s="72"/>
      <c r="E47" s="73"/>
      <c r="F47" s="74"/>
      <c r="G47" s="74"/>
      <c r="H47" s="75"/>
      <c r="I47" s="72"/>
      <c r="J47" s="72"/>
      <c r="K47" s="86"/>
      <c r="L47" s="86"/>
      <c r="M47" s="86"/>
      <c r="N47" s="74"/>
      <c r="O47" s="73"/>
      <c r="P47" s="77"/>
      <c r="Q47" s="97"/>
      <c r="R47" s="94"/>
    </row>
    <row r="48" s="35" customFormat="1" customHeight="1" spans="1:18">
      <c r="A48" s="71"/>
      <c r="B48" s="72"/>
      <c r="C48" s="72"/>
      <c r="D48" s="72"/>
      <c r="E48" s="73"/>
      <c r="F48" s="74"/>
      <c r="G48" s="74"/>
      <c r="H48" s="75"/>
      <c r="I48" s="72"/>
      <c r="J48" s="72"/>
      <c r="K48" s="86"/>
      <c r="L48" s="86"/>
      <c r="M48" s="86"/>
      <c r="N48" s="74"/>
      <c r="O48" s="73"/>
      <c r="P48" s="77"/>
      <c r="Q48" s="97"/>
      <c r="R48" s="94"/>
    </row>
    <row r="49" s="35" customFormat="1" customHeight="1" spans="1:18">
      <c r="A49" s="72"/>
      <c r="B49" s="76"/>
      <c r="C49" s="76"/>
      <c r="D49" s="76"/>
      <c r="E49" s="76"/>
      <c r="F49" s="73"/>
      <c r="G49" s="73"/>
      <c r="H49" s="77"/>
      <c r="I49" s="73"/>
      <c r="J49" s="73"/>
      <c r="K49" s="73"/>
      <c r="L49" s="73"/>
      <c r="M49" s="73"/>
      <c r="N49" s="73"/>
      <c r="O49" s="76"/>
      <c r="P49" s="77"/>
      <c r="Q49" s="74"/>
      <c r="R49" s="94"/>
    </row>
    <row r="50" s="35" customFormat="1" customHeight="1" spans="1:18">
      <c r="A50" s="71"/>
      <c r="B50" s="72"/>
      <c r="C50" s="72"/>
      <c r="D50" s="72"/>
      <c r="E50" s="73"/>
      <c r="F50" s="74"/>
      <c r="G50" s="74"/>
      <c r="H50" s="75"/>
      <c r="I50" s="72"/>
      <c r="J50" s="72"/>
      <c r="K50" s="72"/>
      <c r="L50" s="84"/>
      <c r="M50" s="84"/>
      <c r="N50" s="74"/>
      <c r="O50" s="73"/>
      <c r="P50" s="77"/>
      <c r="Q50" s="97"/>
      <c r="R50" s="94"/>
    </row>
    <row r="51" s="35" customFormat="1" customHeight="1" spans="1:18">
      <c r="A51" s="71"/>
      <c r="B51" s="72"/>
      <c r="C51" s="72"/>
      <c r="D51" s="72"/>
      <c r="E51" s="73"/>
      <c r="F51" s="74"/>
      <c r="G51" s="74"/>
      <c r="H51" s="75"/>
      <c r="I51" s="72"/>
      <c r="J51" s="72"/>
      <c r="K51" s="74"/>
      <c r="L51" s="84"/>
      <c r="M51" s="87"/>
      <c r="N51" s="74"/>
      <c r="O51" s="73"/>
      <c r="P51" s="77"/>
      <c r="Q51" s="97"/>
      <c r="R51" s="94"/>
    </row>
    <row r="52" s="35" customFormat="1" customHeight="1" spans="1:18">
      <c r="A52" s="72"/>
      <c r="B52" s="76"/>
      <c r="C52" s="76"/>
      <c r="D52" s="76"/>
      <c r="E52" s="76"/>
      <c r="F52" s="73"/>
      <c r="G52" s="73"/>
      <c r="H52" s="77"/>
      <c r="I52" s="73"/>
      <c r="J52" s="73"/>
      <c r="K52" s="73"/>
      <c r="L52" s="73"/>
      <c r="M52" s="73"/>
      <c r="N52" s="73"/>
      <c r="O52" s="76"/>
      <c r="P52" s="77"/>
      <c r="Q52" s="74"/>
      <c r="R52" s="94"/>
    </row>
    <row r="53" s="35" customFormat="1" customHeight="1" spans="1:18">
      <c r="A53" s="71"/>
      <c r="B53" s="72"/>
      <c r="C53" s="72"/>
      <c r="D53" s="72"/>
      <c r="E53" s="73"/>
      <c r="F53" s="74"/>
      <c r="G53" s="74"/>
      <c r="H53" s="75"/>
      <c r="I53" s="72"/>
      <c r="J53" s="72"/>
      <c r="K53" s="74"/>
      <c r="L53" s="84"/>
      <c r="M53" s="84"/>
      <c r="N53" s="74"/>
      <c r="O53" s="73"/>
      <c r="P53" s="77"/>
      <c r="Q53" s="97"/>
      <c r="R53" s="94"/>
    </row>
    <row r="54" s="35" customFormat="1" customHeight="1" spans="1:18">
      <c r="A54" s="72"/>
      <c r="B54" s="76"/>
      <c r="C54" s="76"/>
      <c r="D54" s="76"/>
      <c r="E54" s="76"/>
      <c r="F54" s="73"/>
      <c r="G54" s="73"/>
      <c r="H54" s="77"/>
      <c r="I54" s="73"/>
      <c r="J54" s="73"/>
      <c r="K54" s="73"/>
      <c r="L54" s="73"/>
      <c r="M54" s="73"/>
      <c r="N54" s="73"/>
      <c r="O54" s="76"/>
      <c r="P54" s="77"/>
      <c r="Q54" s="74"/>
      <c r="R54" s="94"/>
    </row>
    <row r="55" s="35" customFormat="1" customHeight="1" spans="1:18">
      <c r="A55" s="71"/>
      <c r="B55" s="72"/>
      <c r="C55" s="72"/>
      <c r="D55" s="72"/>
      <c r="E55" s="73"/>
      <c r="F55" s="74"/>
      <c r="G55" s="74"/>
      <c r="H55" s="75"/>
      <c r="I55" s="72"/>
      <c r="J55" s="72"/>
      <c r="K55" s="72"/>
      <c r="L55" s="72"/>
      <c r="M55" s="72"/>
      <c r="N55" s="74"/>
      <c r="O55" s="73"/>
      <c r="P55" s="77"/>
      <c r="Q55" s="72"/>
      <c r="R55" s="94"/>
    </row>
    <row r="56" s="35" customFormat="1" customHeight="1" spans="1:18">
      <c r="A56" s="71"/>
      <c r="B56" s="72"/>
      <c r="C56" s="72"/>
      <c r="D56" s="72"/>
      <c r="E56" s="73"/>
      <c r="F56" s="74"/>
      <c r="G56" s="74"/>
      <c r="H56" s="75"/>
      <c r="I56" s="72"/>
      <c r="J56" s="72"/>
      <c r="K56" s="88"/>
      <c r="L56" s="72"/>
      <c r="M56" s="89"/>
      <c r="N56" s="74"/>
      <c r="O56" s="73"/>
      <c r="P56" s="77"/>
      <c r="Q56" s="72"/>
      <c r="R56" s="94"/>
    </row>
    <row r="57" s="35" customFormat="1" customHeight="1" spans="1:18">
      <c r="A57" s="71"/>
      <c r="B57" s="72"/>
      <c r="C57" s="72"/>
      <c r="D57" s="72"/>
      <c r="E57" s="73"/>
      <c r="F57" s="74"/>
      <c r="G57" s="74"/>
      <c r="H57" s="75"/>
      <c r="I57" s="72"/>
      <c r="J57" s="72"/>
      <c r="K57" s="72"/>
      <c r="L57" s="72"/>
      <c r="M57" s="72"/>
      <c r="N57" s="74"/>
      <c r="O57" s="73"/>
      <c r="P57" s="77"/>
      <c r="Q57" s="72"/>
      <c r="R57" s="94"/>
    </row>
    <row r="58" s="35" customFormat="1" customHeight="1" spans="1:18">
      <c r="A58" s="71"/>
      <c r="B58" s="72"/>
      <c r="C58" s="72"/>
      <c r="D58" s="72"/>
      <c r="E58" s="73"/>
      <c r="F58" s="74"/>
      <c r="G58" s="74"/>
      <c r="H58" s="75"/>
      <c r="I58" s="72"/>
      <c r="J58" s="72"/>
      <c r="K58" s="72"/>
      <c r="L58" s="72"/>
      <c r="M58" s="88"/>
      <c r="N58" s="74"/>
      <c r="O58" s="73"/>
      <c r="P58" s="77"/>
      <c r="Q58" s="72"/>
      <c r="R58" s="94"/>
    </row>
    <row r="59" s="35" customFormat="1" customHeight="1" spans="1:18">
      <c r="A59" s="71"/>
      <c r="B59" s="72"/>
      <c r="C59" s="72"/>
      <c r="D59" s="72"/>
      <c r="E59" s="73"/>
      <c r="F59" s="74"/>
      <c r="G59" s="74"/>
      <c r="H59" s="75"/>
      <c r="I59" s="72"/>
      <c r="J59" s="72"/>
      <c r="K59" s="74"/>
      <c r="L59" s="90"/>
      <c r="M59" s="74"/>
      <c r="N59" s="74"/>
      <c r="O59" s="73"/>
      <c r="P59" s="77"/>
      <c r="Q59" s="72"/>
      <c r="R59" s="94"/>
    </row>
    <row r="60" s="35" customFormat="1" customHeight="1" spans="1:18">
      <c r="A60" s="71"/>
      <c r="B60" s="72"/>
      <c r="C60" s="72"/>
      <c r="D60" s="72"/>
      <c r="E60" s="73"/>
      <c r="F60" s="74"/>
      <c r="G60" s="74"/>
      <c r="H60" s="75"/>
      <c r="I60" s="72"/>
      <c r="J60" s="72"/>
      <c r="K60" s="72"/>
      <c r="L60" s="72"/>
      <c r="M60" s="72"/>
      <c r="N60" s="74"/>
      <c r="O60" s="73"/>
      <c r="P60" s="77"/>
      <c r="Q60" s="72"/>
      <c r="R60" s="94"/>
    </row>
    <row r="61" s="35" customFormat="1" customHeight="1" spans="1:18">
      <c r="A61" s="72"/>
      <c r="B61" s="76"/>
      <c r="C61" s="76"/>
      <c r="D61" s="76"/>
      <c r="E61" s="73"/>
      <c r="F61" s="73"/>
      <c r="G61" s="73"/>
      <c r="H61" s="77"/>
      <c r="I61" s="73"/>
      <c r="J61" s="73"/>
      <c r="K61" s="73"/>
      <c r="L61" s="73"/>
      <c r="M61" s="73"/>
      <c r="N61" s="73"/>
      <c r="O61" s="73"/>
      <c r="P61" s="77"/>
      <c r="Q61" s="74"/>
      <c r="R61" s="94"/>
    </row>
    <row r="62" s="35" customFormat="1" customHeight="1" spans="1:18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94"/>
    </row>
    <row r="63" s="35" customFormat="1" customHeight="1" spans="1:18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94"/>
    </row>
    <row r="64" s="35" customFormat="1" customHeight="1" spans="1:18">
      <c r="A64" s="71"/>
      <c r="B64" s="72"/>
      <c r="C64" s="72"/>
      <c r="D64" s="72"/>
      <c r="E64" s="73"/>
      <c r="F64" s="74"/>
      <c r="G64" s="74"/>
      <c r="H64" s="75"/>
      <c r="I64" s="72"/>
      <c r="J64" s="72"/>
      <c r="K64" s="72"/>
      <c r="L64" s="84"/>
      <c r="M64" s="84"/>
      <c r="N64" s="74"/>
      <c r="O64" s="73"/>
      <c r="P64" s="77"/>
      <c r="Q64" s="97"/>
      <c r="R64" s="94"/>
    </row>
    <row r="65" s="35" customFormat="1" customHeight="1" spans="1:18">
      <c r="A65" s="71"/>
      <c r="B65" s="72"/>
      <c r="C65" s="72"/>
      <c r="D65" s="72"/>
      <c r="E65" s="73"/>
      <c r="F65" s="74"/>
      <c r="G65" s="74"/>
      <c r="H65" s="75"/>
      <c r="I65" s="72"/>
      <c r="J65" s="72"/>
      <c r="K65" s="72"/>
      <c r="L65" s="72"/>
      <c r="M65" s="84"/>
      <c r="N65" s="74"/>
      <c r="O65" s="73"/>
      <c r="P65" s="77"/>
      <c r="Q65" s="97"/>
      <c r="R65" s="94"/>
    </row>
    <row r="66" s="35" customFormat="1" customHeight="1" spans="1:18">
      <c r="A66" s="71"/>
      <c r="B66" s="72"/>
      <c r="C66" s="72"/>
      <c r="D66" s="72"/>
      <c r="E66" s="73"/>
      <c r="F66" s="74"/>
      <c r="G66" s="74"/>
      <c r="H66" s="75"/>
      <c r="I66" s="72"/>
      <c r="J66" s="72"/>
      <c r="K66" s="72"/>
      <c r="L66" s="84"/>
      <c r="M66" s="84"/>
      <c r="N66" s="74"/>
      <c r="O66" s="73"/>
      <c r="P66" s="77"/>
      <c r="Q66" s="97"/>
      <c r="R66" s="94"/>
    </row>
    <row r="67" s="35" customFormat="1" customHeight="1" spans="1:18">
      <c r="A67" s="71"/>
      <c r="B67" s="72"/>
      <c r="C67" s="72"/>
      <c r="D67" s="72"/>
      <c r="E67" s="73"/>
      <c r="F67" s="74"/>
      <c r="G67" s="74"/>
      <c r="H67" s="75"/>
      <c r="I67" s="72"/>
      <c r="J67" s="72"/>
      <c r="K67" s="72"/>
      <c r="L67" s="84"/>
      <c r="M67" s="84"/>
      <c r="N67" s="74"/>
      <c r="O67" s="73"/>
      <c r="P67" s="77"/>
      <c r="Q67" s="97"/>
      <c r="R67" s="94"/>
    </row>
    <row r="68" s="35" customFormat="1" customHeight="1" spans="1:18">
      <c r="A68" s="72"/>
      <c r="B68" s="76"/>
      <c r="C68" s="76"/>
      <c r="D68" s="76"/>
      <c r="E68" s="76"/>
      <c r="F68" s="73"/>
      <c r="G68" s="73"/>
      <c r="H68" s="77"/>
      <c r="I68" s="73"/>
      <c r="J68" s="73"/>
      <c r="K68" s="73"/>
      <c r="L68" s="73"/>
      <c r="M68" s="73"/>
      <c r="N68" s="73"/>
      <c r="O68" s="76"/>
      <c r="P68" s="77"/>
      <c r="Q68" s="74"/>
      <c r="R68" s="94"/>
    </row>
    <row r="69" s="35" customFormat="1" customHeight="1" spans="1:18">
      <c r="A69" s="71"/>
      <c r="B69" s="72"/>
      <c r="C69" s="72"/>
      <c r="D69" s="72"/>
      <c r="E69" s="73"/>
      <c r="F69" s="74"/>
      <c r="G69" s="74"/>
      <c r="H69" s="75"/>
      <c r="I69" s="72"/>
      <c r="J69" s="72"/>
      <c r="K69" s="72"/>
      <c r="L69" s="72"/>
      <c r="M69" s="72"/>
      <c r="N69" s="74"/>
      <c r="O69" s="73"/>
      <c r="P69" s="77"/>
      <c r="Q69" s="72"/>
      <c r="R69" s="94"/>
    </row>
    <row r="70" s="35" customFormat="1" customHeight="1" spans="1:18">
      <c r="A70" s="71"/>
      <c r="B70" s="72"/>
      <c r="C70" s="72"/>
      <c r="D70" s="72"/>
      <c r="E70" s="73"/>
      <c r="F70" s="74"/>
      <c r="G70" s="74"/>
      <c r="H70" s="75"/>
      <c r="I70" s="72"/>
      <c r="J70" s="72"/>
      <c r="K70" s="72"/>
      <c r="L70" s="72"/>
      <c r="M70" s="72"/>
      <c r="N70" s="74"/>
      <c r="O70" s="73"/>
      <c r="P70" s="77"/>
      <c r="Q70" s="72"/>
      <c r="R70" s="94"/>
    </row>
    <row r="71" s="35" customFormat="1" customHeight="1" spans="1:18">
      <c r="A71" s="71"/>
      <c r="B71" s="72"/>
      <c r="C71" s="72"/>
      <c r="D71" s="72"/>
      <c r="E71" s="73"/>
      <c r="F71" s="74"/>
      <c r="G71" s="74"/>
      <c r="H71" s="75"/>
      <c r="I71" s="72"/>
      <c r="J71" s="72"/>
      <c r="K71" s="72"/>
      <c r="L71" s="72"/>
      <c r="M71" s="72"/>
      <c r="N71" s="74"/>
      <c r="O71" s="73"/>
      <c r="P71" s="77"/>
      <c r="Q71" s="72"/>
      <c r="R71" s="94"/>
    </row>
    <row r="72" s="35" customFormat="1" customHeight="1" spans="1:18">
      <c r="A72" s="71"/>
      <c r="B72" s="72"/>
      <c r="C72" s="72"/>
      <c r="D72" s="72"/>
      <c r="E72" s="73"/>
      <c r="F72" s="74"/>
      <c r="G72" s="74"/>
      <c r="H72" s="75"/>
      <c r="I72" s="72"/>
      <c r="J72" s="72"/>
      <c r="K72" s="72"/>
      <c r="L72" s="72"/>
      <c r="M72" s="72"/>
      <c r="N72" s="74"/>
      <c r="O72" s="73"/>
      <c r="P72" s="77"/>
      <c r="Q72" s="72"/>
      <c r="R72" s="94"/>
    </row>
    <row r="73" s="35" customFormat="1" customHeight="1" spans="1:18">
      <c r="A73" s="72"/>
      <c r="B73" s="72"/>
      <c r="C73" s="72"/>
      <c r="D73" s="72"/>
      <c r="E73" s="73"/>
      <c r="F73" s="73"/>
      <c r="G73" s="73"/>
      <c r="H73" s="77"/>
      <c r="I73" s="73"/>
      <c r="J73" s="73"/>
      <c r="K73" s="73"/>
      <c r="L73" s="73"/>
      <c r="M73" s="73"/>
      <c r="N73" s="73"/>
      <c r="O73" s="73"/>
      <c r="P73" s="77"/>
      <c r="Q73" s="74"/>
      <c r="R73" s="94"/>
    </row>
    <row r="74" s="35" customFormat="1" customHeight="1" spans="1:18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94"/>
    </row>
    <row r="75" s="35" customFormat="1" customHeight="1" spans="1:18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94"/>
    </row>
    <row r="76" s="35" customFormat="1" customHeight="1" spans="1:18">
      <c r="A76" s="71"/>
      <c r="B76" s="72"/>
      <c r="C76" s="72"/>
      <c r="D76" s="72"/>
      <c r="E76" s="73"/>
      <c r="F76" s="74"/>
      <c r="G76" s="74"/>
      <c r="H76" s="75"/>
      <c r="I76" s="72"/>
      <c r="J76" s="74"/>
      <c r="K76" s="72"/>
      <c r="L76" s="84"/>
      <c r="M76" s="84"/>
      <c r="N76" s="74"/>
      <c r="O76" s="73"/>
      <c r="P76" s="77"/>
      <c r="Q76" s="97"/>
      <c r="R76" s="94"/>
    </row>
    <row r="77" s="35" customFormat="1" customHeight="1" spans="1:18">
      <c r="A77" s="71"/>
      <c r="B77" s="72"/>
      <c r="C77" s="72"/>
      <c r="D77" s="72"/>
      <c r="E77" s="73"/>
      <c r="F77" s="74"/>
      <c r="G77" s="74"/>
      <c r="H77" s="75"/>
      <c r="I77" s="72"/>
      <c r="J77" s="74"/>
      <c r="K77" s="72"/>
      <c r="L77" s="72"/>
      <c r="M77" s="84"/>
      <c r="N77" s="74"/>
      <c r="O77" s="73"/>
      <c r="P77" s="77"/>
      <c r="Q77" s="97"/>
      <c r="R77" s="94"/>
    </row>
    <row r="78" s="35" customFormat="1" customHeight="1" spans="1:18">
      <c r="A78" s="72"/>
      <c r="B78" s="76"/>
      <c r="C78" s="76"/>
      <c r="D78" s="76"/>
      <c r="E78" s="76"/>
      <c r="F78" s="73"/>
      <c r="G78" s="73"/>
      <c r="H78" s="77"/>
      <c r="I78" s="73"/>
      <c r="J78" s="73"/>
      <c r="K78" s="73"/>
      <c r="L78" s="73"/>
      <c r="M78" s="73"/>
      <c r="N78" s="73"/>
      <c r="O78" s="76"/>
      <c r="P78" s="77"/>
      <c r="Q78" s="74"/>
      <c r="R78" s="94"/>
    </row>
    <row r="79" s="35" customFormat="1" customHeight="1" spans="1:18">
      <c r="A79" s="71"/>
      <c r="B79" s="72"/>
      <c r="C79" s="72"/>
      <c r="D79" s="72"/>
      <c r="E79" s="73"/>
      <c r="F79" s="74"/>
      <c r="G79" s="74"/>
      <c r="H79" s="75"/>
      <c r="I79" s="72"/>
      <c r="J79" s="72"/>
      <c r="K79" s="72"/>
      <c r="L79" s="74"/>
      <c r="M79" s="72"/>
      <c r="N79" s="74"/>
      <c r="O79" s="73"/>
      <c r="P79" s="77"/>
      <c r="Q79" s="72"/>
      <c r="R79" s="94"/>
    </row>
    <row r="80" s="35" customFormat="1" customHeight="1" spans="1:18">
      <c r="A80" s="71"/>
      <c r="B80" s="72"/>
      <c r="C80" s="72"/>
      <c r="D80" s="72"/>
      <c r="E80" s="73"/>
      <c r="F80" s="74"/>
      <c r="G80" s="74"/>
      <c r="H80" s="75"/>
      <c r="I80" s="72"/>
      <c r="J80" s="69"/>
      <c r="K80" s="72"/>
      <c r="L80" s="74"/>
      <c r="M80" s="74"/>
      <c r="N80" s="74"/>
      <c r="O80" s="73"/>
      <c r="P80" s="77"/>
      <c r="Q80" s="72"/>
      <c r="R80" s="94"/>
    </row>
    <row r="81" s="35" customFormat="1" customHeight="1" spans="1:18">
      <c r="A81" s="72"/>
      <c r="B81" s="72"/>
      <c r="C81" s="72"/>
      <c r="D81" s="72"/>
      <c r="E81" s="73"/>
      <c r="F81" s="73"/>
      <c r="G81" s="73"/>
      <c r="H81" s="77"/>
      <c r="I81" s="73"/>
      <c r="J81" s="73"/>
      <c r="K81" s="73"/>
      <c r="L81" s="73"/>
      <c r="M81" s="73"/>
      <c r="N81" s="73"/>
      <c r="O81" s="73"/>
      <c r="P81" s="77"/>
      <c r="Q81" s="74"/>
      <c r="R81" s="94"/>
    </row>
    <row r="82" s="35" customFormat="1" customHeight="1" spans="1:18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94"/>
    </row>
    <row r="83" s="35" customFormat="1" customHeight="1" spans="1:18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94"/>
    </row>
    <row r="84" s="35" customFormat="1" customHeight="1" spans="1:18">
      <c r="A84" s="71"/>
      <c r="B84" s="72"/>
      <c r="C84" s="72"/>
      <c r="D84" s="72"/>
      <c r="E84" s="73"/>
      <c r="F84" s="74"/>
      <c r="G84" s="74"/>
      <c r="H84" s="75"/>
      <c r="I84" s="72"/>
      <c r="J84" s="72"/>
      <c r="K84" s="72"/>
      <c r="L84" s="84"/>
      <c r="M84" s="84"/>
      <c r="N84" s="74"/>
      <c r="O84" s="73"/>
      <c r="P84" s="77"/>
      <c r="Q84" s="97"/>
      <c r="R84" s="94"/>
    </row>
    <row r="85" s="35" customFormat="1" customHeight="1" spans="1:18">
      <c r="A85" s="71"/>
      <c r="B85" s="72"/>
      <c r="C85" s="72"/>
      <c r="D85" s="72"/>
      <c r="E85" s="73"/>
      <c r="F85" s="74"/>
      <c r="G85" s="74"/>
      <c r="H85" s="75"/>
      <c r="I85" s="72"/>
      <c r="J85" s="74"/>
      <c r="K85" s="72"/>
      <c r="L85" s="72"/>
      <c r="M85" s="84"/>
      <c r="N85" s="74"/>
      <c r="O85" s="73"/>
      <c r="P85" s="77"/>
      <c r="Q85" s="97"/>
      <c r="R85" s="94"/>
    </row>
    <row r="86" s="35" customFormat="1" customHeight="1" spans="1:18">
      <c r="A86" s="72"/>
      <c r="B86" s="76"/>
      <c r="C86" s="76"/>
      <c r="D86" s="76"/>
      <c r="E86" s="76"/>
      <c r="F86" s="73"/>
      <c r="G86" s="73"/>
      <c r="H86" s="77"/>
      <c r="I86" s="73"/>
      <c r="J86" s="73"/>
      <c r="K86" s="73"/>
      <c r="L86" s="73"/>
      <c r="M86" s="73"/>
      <c r="N86" s="73"/>
      <c r="O86" s="76"/>
      <c r="P86" s="77"/>
      <c r="Q86" s="74"/>
      <c r="R86" s="94"/>
    </row>
    <row r="87" s="35" customFormat="1" customHeight="1" spans="1:18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94"/>
    </row>
    <row r="88" s="35" customFormat="1" customHeight="1" spans="1:1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94"/>
    </row>
    <row r="89" s="35" customFormat="1" customHeight="1" spans="1:18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94"/>
    </row>
    <row r="90" s="35" customFormat="1" customHeight="1" spans="1:18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94"/>
    </row>
    <row r="91" s="35" customFormat="1" customHeight="1" spans="1:18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94"/>
    </row>
    <row r="92" s="35" customFormat="1" customHeight="1" spans="1:18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94"/>
    </row>
    <row r="93" s="35" customFormat="1" customHeight="1" spans="1:18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94"/>
    </row>
    <row r="94" s="35" customFormat="1" customHeight="1" spans="1:18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</row>
    <row r="95" s="35" customFormat="1" customHeight="1" spans="1:18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</row>
    <row r="96" s="35" customFormat="1" customHeight="1" spans="1:18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</row>
    <row r="97" s="35" customFormat="1" customHeight="1" spans="1:18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</row>
    <row r="98" s="35" customFormat="1" customHeight="1" spans="1:1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</row>
    <row r="99" s="35" customFormat="1" customHeight="1" spans="1:18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</row>
    <row r="100" s="35" customFormat="1" customHeight="1" spans="1:18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</row>
    <row r="101" s="35" customFormat="1" customHeight="1" spans="1:18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</row>
    <row r="102" s="35" customFormat="1" customHeight="1" spans="1:18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</row>
    <row r="103" s="35" customFormat="1" customHeight="1" spans="1:18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</row>
    <row r="104" s="35" customFormat="1" customHeight="1" spans="1:18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</row>
    <row r="105" s="35" customFormat="1" customHeight="1" spans="1:18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</row>
    <row r="106" s="35" customFormat="1" customHeight="1" spans="1:18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</row>
    <row r="107" s="35" customFormat="1" customHeight="1" spans="1:18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</row>
    <row r="108" s="35" customFormat="1" customHeight="1" spans="1:1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</row>
    <row r="109" s="35" customFormat="1" customHeight="1" spans="1:18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</row>
    <row r="110" s="35" customFormat="1" customHeight="1" spans="1:18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</row>
    <row r="111" s="35" customFormat="1" customHeight="1" spans="1:18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</row>
    <row r="112" s="35" customFormat="1" customHeight="1" spans="1:18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</row>
    <row r="113" s="35" customFormat="1" customHeight="1" spans="1:18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</row>
    <row r="114" s="35" customFormat="1" customHeight="1" spans="1:18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</row>
    <row r="115" s="35" customFormat="1" customHeight="1" spans="1:18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</row>
    <row r="116" s="35" customFormat="1" customHeight="1" spans="1:18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</row>
    <row r="117" s="35" customFormat="1" customHeight="1" spans="1:18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</row>
    <row r="118" s="35" customFormat="1" customHeight="1" spans="1: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</row>
    <row r="119" s="35" customFormat="1" customHeight="1" spans="1:18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</row>
    <row r="120" s="35" customFormat="1" customHeight="1" spans="1:18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</row>
    <row r="121" s="35" customFormat="1" customHeight="1" spans="1:18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</row>
    <row r="122" s="35" customFormat="1" customHeight="1" spans="1:18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</row>
    <row r="123" s="35" customFormat="1" customHeight="1" spans="1:18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</row>
    <row r="124" s="35" customFormat="1" customHeight="1" spans="1:18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</row>
    <row r="125" s="35" customFormat="1" customHeight="1" spans="1:18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</row>
    <row r="126" s="35" customFormat="1" customHeight="1" spans="1:18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</row>
    <row r="127" s="35" customFormat="1" customHeight="1" spans="1:18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</row>
    <row r="128" s="35" customFormat="1" customHeight="1" spans="1:1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</row>
    <row r="129" s="35" customFormat="1" customHeight="1" spans="1:18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</row>
    <row r="130" s="35" customFormat="1" customHeight="1" spans="1:18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</row>
    <row r="131" s="35" customFormat="1" customHeight="1" spans="1:18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</row>
    <row r="132" s="35" customFormat="1" customHeight="1" spans="1:18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</row>
    <row r="133" s="35" customFormat="1" customHeight="1" spans="1:18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</row>
    <row r="134" s="35" customFormat="1" customHeight="1" spans="1:18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</row>
    <row r="135" s="35" customFormat="1" customHeight="1" spans="1:18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</row>
    <row r="136" s="35" customFormat="1" customHeight="1" spans="1:18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</row>
    <row r="137" s="35" customFormat="1" customHeight="1" spans="1:18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</row>
    <row r="138" s="35" customFormat="1" customHeight="1" spans="1:1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</row>
    <row r="139" s="35" customFormat="1" customHeight="1" spans="1:18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</row>
    <row r="140" s="35" customFormat="1" customHeight="1" spans="1:18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</row>
    <row r="141" s="35" customFormat="1" customHeight="1" spans="1:18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</row>
    <row r="142" s="35" customFormat="1" customHeight="1" spans="1:18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</row>
    <row r="143" s="35" customFormat="1" customHeight="1" spans="1:18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</row>
    <row r="144" s="35" customFormat="1" customHeight="1" spans="1:18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</row>
    <row r="145" s="35" customFormat="1" customHeight="1" spans="1:18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</row>
    <row r="146" s="35" customFormat="1" customHeight="1" spans="1:18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</row>
    <row r="147" s="35" customFormat="1" customHeight="1" spans="1:18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</row>
    <row r="148" s="35" customFormat="1" customHeight="1" spans="1:1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</row>
    <row r="149" s="35" customFormat="1" customHeight="1" spans="1:18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</row>
    <row r="150" s="35" customFormat="1" customHeight="1" spans="1:18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</row>
    <row r="151" s="35" customFormat="1" customHeight="1" spans="1:18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</row>
    <row r="152" s="35" customFormat="1" customHeight="1" spans="1:18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</row>
    <row r="153" s="35" customFormat="1" customHeight="1" spans="1:18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</row>
    <row r="154" s="35" customFormat="1" customHeight="1" spans="1:18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</row>
    <row r="155" s="35" customFormat="1" customHeight="1" spans="1:18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</row>
    <row r="156" s="35" customFormat="1" customHeight="1" spans="1:18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</row>
    <row r="157" s="35" customFormat="1" customHeight="1" spans="1:18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</row>
    <row r="158" s="35" customFormat="1" customHeight="1" spans="1:1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</row>
    <row r="159" s="35" customFormat="1" customHeight="1" spans="1:18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</row>
    <row r="160" s="35" customFormat="1" customHeight="1" spans="1:18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</row>
    <row r="161" s="35" customFormat="1" customHeight="1" spans="1:18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</row>
    <row r="162" s="35" customFormat="1" customHeight="1" spans="1:18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</row>
    <row r="163" s="35" customFormat="1" customHeight="1" spans="1:18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</row>
    <row r="164" s="35" customFormat="1" customHeight="1" spans="1:18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</row>
    <row r="165" s="35" customFormat="1" customHeight="1" spans="1:18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</row>
    <row r="166" s="35" customFormat="1" customHeight="1" spans="1:18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</row>
    <row r="167" s="35" customFormat="1" customHeight="1" spans="1:18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</row>
    <row r="168" s="35" customFormat="1" customHeight="1" spans="1:1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</row>
    <row r="169" s="35" customFormat="1" customHeight="1" spans="1:18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</row>
    <row r="170" s="35" customFormat="1" customHeight="1" spans="1:18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  <row r="171" s="35" customFormat="1" customHeight="1" spans="1:18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</row>
    <row r="172" s="35" customFormat="1" customHeight="1" spans="1:18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</row>
    <row r="173" s="35" customFormat="1" customHeight="1" spans="1:18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</row>
    <row r="174" s="35" customFormat="1" customHeight="1" spans="1:18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</row>
    <row r="175" s="35" customFormat="1" customHeight="1" spans="1:18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</row>
    <row r="176" s="35" customFormat="1" customHeight="1" spans="1:18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</row>
    <row r="177" s="35" customFormat="1" customHeight="1" spans="1:18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</row>
    <row r="178" s="35" customFormat="1" customHeight="1" spans="1:1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</row>
    <row r="179" s="35" customFormat="1" customHeight="1" spans="1:18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</row>
    <row r="180" s="35" customFormat="1" customHeight="1" spans="1:18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</row>
    <row r="181" s="35" customFormat="1" customHeight="1" spans="1:18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</row>
    <row r="182" s="35" customFormat="1" customHeight="1" spans="1:18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</row>
    <row r="183" s="35" customFormat="1" customHeight="1" spans="1:18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</row>
  </sheetData>
  <mergeCells count="4">
    <mergeCell ref="A1:Q1"/>
    <mergeCell ref="B8:D8"/>
    <mergeCell ref="E3:E7"/>
    <mergeCell ref="O3:O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4"/>
  <sheetViews>
    <sheetView workbookViewId="0">
      <selection activeCell="I12" sqref="I12"/>
    </sheetView>
  </sheetViews>
  <sheetFormatPr defaultColWidth="9" defaultRowHeight="20" customHeight="1"/>
  <cols>
    <col min="1" max="1" width="12.625" style="34" customWidth="1"/>
    <col min="2" max="2" width="12.625" style="35" customWidth="1"/>
    <col min="3" max="3" width="6.66666666666667" style="35" customWidth="1"/>
    <col min="4" max="5" width="12.625" style="35" customWidth="1"/>
    <col min="6" max="6" width="20.625" style="35" customWidth="1"/>
    <col min="7" max="10" width="12.625" style="35" customWidth="1"/>
    <col min="11" max="12" width="20.625" style="35" customWidth="1"/>
    <col min="13" max="15" width="12.625" style="35" customWidth="1"/>
  </cols>
  <sheetData>
    <row r="1" ht="40" customHeight="1" spans="1:15">
      <c r="A1" s="36" t="s">
        <v>153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="33" customFormat="1" customHeight="1" spans="1:15">
      <c r="A2" s="37" t="s">
        <v>135</v>
      </c>
      <c r="B2" s="37" t="s">
        <v>154</v>
      </c>
      <c r="C2" s="37" t="s">
        <v>155</v>
      </c>
      <c r="D2" s="37" t="s">
        <v>136</v>
      </c>
      <c r="E2" s="37" t="s">
        <v>138</v>
      </c>
      <c r="F2" s="37" t="s">
        <v>156</v>
      </c>
      <c r="G2" s="37" t="s">
        <v>157</v>
      </c>
      <c r="H2" s="37" t="s">
        <v>158</v>
      </c>
      <c r="I2" s="37" t="s">
        <v>159</v>
      </c>
      <c r="J2" s="37" t="s">
        <v>160</v>
      </c>
      <c r="K2" s="42" t="s">
        <v>161</v>
      </c>
      <c r="L2" s="37" t="s">
        <v>162</v>
      </c>
      <c r="M2" s="43" t="s">
        <v>163</v>
      </c>
      <c r="N2" s="37" t="s">
        <v>164</v>
      </c>
      <c r="O2" s="37" t="s">
        <v>165</v>
      </c>
    </row>
    <row r="3" customHeight="1" spans="1:15">
      <c r="A3" s="38"/>
      <c r="B3" s="38"/>
      <c r="C3" s="38"/>
      <c r="D3" s="38"/>
      <c r="E3" s="38"/>
      <c r="F3" s="38"/>
      <c r="G3" s="38"/>
      <c r="H3" s="39"/>
      <c r="I3" s="44"/>
      <c r="J3" s="38"/>
      <c r="K3" s="45"/>
      <c r="L3" s="46"/>
      <c r="M3" s="47"/>
      <c r="N3" s="48"/>
      <c r="O3" s="38"/>
    </row>
    <row r="4" customHeight="1" spans="1:15">
      <c r="A4" s="38"/>
      <c r="B4" s="38"/>
      <c r="C4" s="38"/>
      <c r="D4" s="38"/>
      <c r="E4" s="38"/>
      <c r="F4" s="38"/>
      <c r="G4" s="38"/>
      <c r="H4" s="39"/>
      <c r="I4" s="44"/>
      <c r="J4" s="38"/>
      <c r="K4" s="45"/>
      <c r="L4" s="46"/>
      <c r="M4" s="47"/>
      <c r="N4" s="48"/>
      <c r="O4" s="38"/>
    </row>
    <row r="5" customHeight="1" spans="1:15">
      <c r="A5" s="38"/>
      <c r="B5" s="38"/>
      <c r="C5" s="38"/>
      <c r="D5" s="38"/>
      <c r="E5" s="38"/>
      <c r="F5" s="38"/>
      <c r="G5" s="38"/>
      <c r="H5" s="39"/>
      <c r="I5" s="44"/>
      <c r="J5" s="38"/>
      <c r="K5" s="45"/>
      <c r="L5" s="38"/>
      <c r="M5" s="47"/>
      <c r="N5" s="48"/>
      <c r="O5" s="38"/>
    </row>
    <row r="6" customHeight="1" spans="1:15">
      <c r="A6" s="38"/>
      <c r="B6" s="38"/>
      <c r="C6" s="38"/>
      <c r="D6" s="38"/>
      <c r="E6" s="38"/>
      <c r="F6" s="38"/>
      <c r="G6" s="38"/>
      <c r="H6" s="39"/>
      <c r="I6" s="44"/>
      <c r="J6" s="38"/>
      <c r="K6" s="45"/>
      <c r="L6" s="38"/>
      <c r="M6" s="47"/>
      <c r="N6" s="48"/>
      <c r="O6" s="38"/>
    </row>
    <row r="7" customHeight="1" spans="1:15">
      <c r="A7" s="38"/>
      <c r="B7" s="38"/>
      <c r="C7" s="38"/>
      <c r="D7" s="38"/>
      <c r="E7" s="38"/>
      <c r="F7" s="38"/>
      <c r="G7" s="38"/>
      <c r="H7" s="39"/>
      <c r="I7" s="44"/>
      <c r="J7" s="38"/>
      <c r="K7" s="45"/>
      <c r="L7" s="38"/>
      <c r="M7" s="47"/>
      <c r="N7" s="48"/>
      <c r="O7" s="38"/>
    </row>
    <row r="8" customHeight="1" spans="1:15">
      <c r="A8" s="38"/>
      <c r="B8" s="38"/>
      <c r="C8" s="38"/>
      <c r="D8" s="38"/>
      <c r="E8" s="38"/>
      <c r="F8" s="38"/>
      <c r="G8" s="38"/>
      <c r="H8" s="39"/>
      <c r="I8" s="44"/>
      <c r="J8" s="38"/>
      <c r="K8" s="45"/>
      <c r="L8" s="38"/>
      <c r="M8" s="47"/>
      <c r="N8" s="48"/>
      <c r="O8" s="38"/>
    </row>
    <row r="9" customHeight="1" spans="1:15">
      <c r="A9" s="38"/>
      <c r="B9" s="38"/>
      <c r="C9" s="38"/>
      <c r="D9" s="38"/>
      <c r="E9" s="38"/>
      <c r="F9" s="38"/>
      <c r="G9" s="38"/>
      <c r="H9" s="39"/>
      <c r="I9" s="44"/>
      <c r="J9" s="38"/>
      <c r="K9" s="45"/>
      <c r="L9" s="38"/>
      <c r="M9" s="47"/>
      <c r="N9" s="48"/>
      <c r="O9" s="38"/>
    </row>
    <row r="10" customHeight="1" spans="1:1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45"/>
      <c r="L10" s="38"/>
      <c r="M10" s="49"/>
      <c r="N10" s="46"/>
      <c r="O10" s="38"/>
    </row>
    <row r="11" customHeight="1" spans="1: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45"/>
      <c r="L11" s="38"/>
      <c r="M11" s="49"/>
      <c r="N11" s="46"/>
      <c r="O11" s="38"/>
    </row>
    <row r="12" customHeight="1" spans="1: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45"/>
      <c r="L12" s="38"/>
      <c r="M12" s="49"/>
      <c r="N12" s="46"/>
      <c r="O12" s="38"/>
    </row>
    <row r="13" customHeight="1" spans="1:1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45"/>
      <c r="L13" s="38"/>
      <c r="M13" s="49"/>
      <c r="N13" s="46"/>
      <c r="O13" s="38"/>
    </row>
    <row r="14" customHeight="1" spans="1:1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45"/>
      <c r="L14" s="38"/>
      <c r="M14" s="49"/>
      <c r="N14" s="46"/>
      <c r="O14" s="38"/>
    </row>
    <row r="15" customHeight="1" spans="1: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45"/>
      <c r="L15" s="38"/>
      <c r="M15" s="49"/>
      <c r="N15" s="46"/>
      <c r="O15" s="38"/>
    </row>
    <row r="16" customHeight="1" spans="1: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customHeight="1" spans="1: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customHeight="1" spans="1:15">
      <c r="A18" s="40"/>
      <c r="B18" s="40"/>
      <c r="C18" s="40"/>
      <c r="D18" s="40"/>
      <c r="E18" s="40"/>
      <c r="F18" s="41"/>
      <c r="G18" s="40"/>
      <c r="H18" s="40"/>
      <c r="I18" s="40"/>
      <c r="J18" s="40"/>
      <c r="K18" s="40"/>
      <c r="L18" s="40"/>
      <c r="M18" s="40"/>
      <c r="N18" s="40"/>
      <c r="O18" s="40"/>
    </row>
    <row r="19" customHeight="1" spans="1:15">
      <c r="A19" s="40"/>
      <c r="B19" s="40"/>
      <c r="C19" s="40"/>
      <c r="D19" s="40"/>
      <c r="E19" s="40"/>
      <c r="F19" s="41"/>
      <c r="G19" s="40"/>
      <c r="H19" s="40"/>
      <c r="I19" s="40"/>
      <c r="J19" s="40"/>
      <c r="K19" s="40"/>
      <c r="L19" s="40"/>
      <c r="M19" s="40"/>
      <c r="N19" s="40"/>
      <c r="O19" s="40"/>
    </row>
    <row r="20" customHeight="1" spans="1:15">
      <c r="A20" s="40"/>
      <c r="B20" s="40"/>
      <c r="C20" s="40"/>
      <c r="D20" s="40"/>
      <c r="E20" s="40"/>
      <c r="F20" s="41"/>
      <c r="G20" s="40"/>
      <c r="H20" s="40"/>
      <c r="I20" s="40"/>
      <c r="J20" s="40"/>
      <c r="K20" s="40"/>
      <c r="L20" s="40"/>
      <c r="M20" s="40"/>
      <c r="N20" s="40"/>
      <c r="O20" s="40"/>
    </row>
    <row r="21" customHeight="1" spans="1:15">
      <c r="A21" s="40"/>
      <c r="B21" s="40"/>
      <c r="C21" s="40"/>
      <c r="D21" s="40"/>
      <c r="E21" s="40"/>
      <c r="F21" s="41"/>
      <c r="G21" s="40"/>
      <c r="H21" s="40"/>
      <c r="I21" s="40"/>
      <c r="J21" s="40"/>
      <c r="K21" s="40"/>
      <c r="L21" s="40"/>
      <c r="M21" s="40"/>
      <c r="N21" s="40"/>
      <c r="O21" s="40"/>
    </row>
    <row r="22" customHeight="1" spans="1:15">
      <c r="A22" s="40"/>
      <c r="B22" s="40"/>
      <c r="C22" s="40"/>
      <c r="D22" s="40"/>
      <c r="E22" s="40"/>
      <c r="F22" s="41"/>
      <c r="G22" s="40"/>
      <c r="H22" s="40"/>
      <c r="I22" s="40"/>
      <c r="J22" s="40"/>
      <c r="K22" s="40"/>
      <c r="L22" s="40"/>
      <c r="M22" s="40"/>
      <c r="N22" s="40"/>
      <c r="O22" s="40"/>
    </row>
    <row r="23" customHeight="1" spans="1:15">
      <c r="A23" s="40"/>
      <c r="B23" s="40"/>
      <c r="C23" s="40"/>
      <c r="D23" s="40"/>
      <c r="E23" s="40"/>
      <c r="F23" s="41"/>
      <c r="G23" s="40"/>
      <c r="H23" s="40"/>
      <c r="I23" s="40"/>
      <c r="J23" s="40"/>
      <c r="K23" s="40"/>
      <c r="L23" s="40"/>
      <c r="M23" s="40"/>
      <c r="N23" s="40"/>
      <c r="O23" s="40"/>
    </row>
    <row r="24" customHeight="1" spans="1:15">
      <c r="A24" s="40"/>
      <c r="B24" s="40"/>
      <c r="C24" s="40"/>
      <c r="D24" s="40"/>
      <c r="E24" s="40"/>
      <c r="F24" s="41"/>
      <c r="G24" s="40"/>
      <c r="H24" s="40"/>
      <c r="I24" s="40"/>
      <c r="J24" s="40"/>
      <c r="K24" s="40"/>
      <c r="L24" s="40"/>
      <c r="M24" s="40"/>
      <c r="N24" s="40"/>
      <c r="O24" s="40"/>
    </row>
    <row r="25" customHeight="1" spans="1:15">
      <c r="A25" s="40"/>
      <c r="B25" s="40"/>
      <c r="C25" s="40"/>
      <c r="D25" s="40"/>
      <c r="E25" s="40"/>
      <c r="F25" s="41"/>
      <c r="G25" s="40"/>
      <c r="H25" s="40"/>
      <c r="I25" s="40"/>
      <c r="J25" s="40"/>
      <c r="K25" s="40"/>
      <c r="L25" s="40"/>
      <c r="M25" s="40"/>
      <c r="N25" s="40"/>
      <c r="O25" s="40"/>
    </row>
    <row r="26" customHeight="1" spans="1:15">
      <c r="A26" s="40"/>
      <c r="B26" s="40"/>
      <c r="C26" s="40"/>
      <c r="D26" s="40"/>
      <c r="E26" s="40"/>
      <c r="F26" s="41"/>
      <c r="G26" s="40"/>
      <c r="H26" s="40"/>
      <c r="I26" s="40"/>
      <c r="J26" s="40"/>
      <c r="K26" s="40"/>
      <c r="L26" s="40"/>
      <c r="M26" s="40"/>
      <c r="N26" s="40"/>
      <c r="O26" s="40"/>
    </row>
    <row r="27" customHeight="1" spans="1:15">
      <c r="A27" s="40"/>
      <c r="B27" s="40"/>
      <c r="C27" s="40"/>
      <c r="D27" s="40"/>
      <c r="E27" s="40"/>
      <c r="F27" s="41"/>
      <c r="G27" s="40"/>
      <c r="H27" s="40"/>
      <c r="I27" s="40"/>
      <c r="J27" s="40"/>
      <c r="K27" s="40"/>
      <c r="L27" s="40"/>
      <c r="M27" s="40"/>
      <c r="N27" s="40"/>
      <c r="O27" s="40"/>
    </row>
    <row r="28" customHeight="1" spans="1:15">
      <c r="A28" s="40"/>
      <c r="B28" s="40"/>
      <c r="C28" s="40"/>
      <c r="D28" s="40"/>
      <c r="E28" s="40"/>
      <c r="F28" s="41"/>
      <c r="G28" s="40"/>
      <c r="H28" s="40"/>
      <c r="I28" s="40"/>
      <c r="J28" s="40"/>
      <c r="K28" s="40"/>
      <c r="L28" s="40"/>
      <c r="M28" s="40"/>
      <c r="N28" s="40"/>
      <c r="O28" s="40"/>
    </row>
    <row r="29" customHeight="1" spans="1:15">
      <c r="A29" s="40"/>
      <c r="B29" s="40"/>
      <c r="C29" s="40"/>
      <c r="D29" s="40"/>
      <c r="E29" s="40"/>
      <c r="F29" s="41"/>
      <c r="G29" s="40"/>
      <c r="H29" s="40"/>
      <c r="I29" s="40"/>
      <c r="J29" s="40"/>
      <c r="K29" s="40"/>
      <c r="L29" s="40"/>
      <c r="M29" s="40"/>
      <c r="N29" s="40"/>
      <c r="O29" s="40"/>
    </row>
    <row r="30" customHeight="1" spans="1:15">
      <c r="A30" s="40"/>
      <c r="B30" s="40"/>
      <c r="C30" s="40"/>
      <c r="D30" s="40"/>
      <c r="E30" s="40"/>
      <c r="F30" s="41"/>
      <c r="G30" s="40"/>
      <c r="H30" s="40"/>
      <c r="I30" s="40"/>
      <c r="J30" s="40"/>
      <c r="K30" s="40"/>
      <c r="L30" s="40"/>
      <c r="M30" s="40"/>
      <c r="N30" s="40"/>
      <c r="O30" s="40"/>
    </row>
    <row r="31" customHeight="1" spans="1:15">
      <c r="A31" s="40"/>
      <c r="B31" s="40"/>
      <c r="C31" s="40"/>
      <c r="D31" s="40"/>
      <c r="E31" s="40"/>
      <c r="F31" s="41"/>
      <c r="G31" s="40"/>
      <c r="H31" s="40"/>
      <c r="I31" s="40"/>
      <c r="J31" s="40"/>
      <c r="K31" s="40"/>
      <c r="L31" s="40"/>
      <c r="M31" s="40"/>
      <c r="N31" s="40"/>
      <c r="O31" s="40"/>
    </row>
    <row r="32" customHeight="1" spans="1:15">
      <c r="A32" s="40"/>
      <c r="B32" s="40"/>
      <c r="C32" s="40"/>
      <c r="D32" s="40"/>
      <c r="E32" s="40"/>
      <c r="F32" s="41"/>
      <c r="G32" s="40"/>
      <c r="H32" s="40"/>
      <c r="I32" s="40"/>
      <c r="J32" s="40"/>
      <c r="K32" s="40"/>
      <c r="L32" s="40"/>
      <c r="M32" s="40"/>
      <c r="N32" s="40"/>
      <c r="O32" s="40"/>
    </row>
    <row r="33" customHeight="1" spans="1:15">
      <c r="A33" s="40"/>
      <c r="B33" s="40"/>
      <c r="C33" s="40"/>
      <c r="D33" s="40"/>
      <c r="E33" s="40"/>
      <c r="F33" s="41"/>
      <c r="G33" s="40"/>
      <c r="H33" s="40"/>
      <c r="I33" s="40"/>
      <c r="J33" s="40"/>
      <c r="K33" s="40"/>
      <c r="L33" s="40"/>
      <c r="M33" s="40"/>
      <c r="N33" s="40"/>
      <c r="O33" s="40"/>
    </row>
    <row r="34" customHeight="1" spans="1:15">
      <c r="A34" s="40"/>
      <c r="B34" s="40"/>
      <c r="C34" s="40"/>
      <c r="D34" s="40"/>
      <c r="E34" s="40"/>
      <c r="F34" s="41"/>
      <c r="G34" s="40"/>
      <c r="H34" s="40"/>
      <c r="I34" s="40"/>
      <c r="J34" s="40"/>
      <c r="K34" s="40"/>
      <c r="L34" s="40"/>
      <c r="M34" s="40"/>
      <c r="N34" s="40"/>
      <c r="O34" s="40"/>
    </row>
    <row r="35" customHeight="1" spans="1:15">
      <c r="A35" s="40"/>
      <c r="B35" s="40"/>
      <c r="C35" s="40"/>
      <c r="D35" s="40"/>
      <c r="E35" s="40"/>
      <c r="F35" s="41"/>
      <c r="G35" s="40"/>
      <c r="H35" s="40"/>
      <c r="I35" s="40"/>
      <c r="J35" s="40"/>
      <c r="K35" s="40"/>
      <c r="L35" s="40"/>
      <c r="M35" s="40"/>
      <c r="N35" s="40"/>
      <c r="O35" s="40"/>
    </row>
    <row r="36" customHeight="1" spans="1:15">
      <c r="A36" s="40"/>
      <c r="B36" s="40"/>
      <c r="C36" s="40"/>
      <c r="D36" s="40"/>
      <c r="E36" s="40"/>
      <c r="F36" s="41"/>
      <c r="G36" s="40"/>
      <c r="H36" s="40"/>
      <c r="I36" s="40"/>
      <c r="J36" s="40"/>
      <c r="K36" s="40"/>
      <c r="L36" s="40"/>
      <c r="M36" s="40"/>
      <c r="N36" s="40"/>
      <c r="O36" s="40"/>
    </row>
    <row r="37" customHeight="1" spans="1:15">
      <c r="A37" s="40"/>
      <c r="B37" s="40"/>
      <c r="C37" s="40"/>
      <c r="D37" s="40"/>
      <c r="E37" s="40"/>
      <c r="F37" s="41"/>
      <c r="G37" s="40"/>
      <c r="H37" s="40"/>
      <c r="I37" s="40"/>
      <c r="J37" s="40"/>
      <c r="K37" s="40"/>
      <c r="L37" s="40"/>
      <c r="M37" s="40"/>
      <c r="N37" s="40"/>
      <c r="O37" s="40"/>
    </row>
    <row r="38" customHeight="1" spans="1:15">
      <c r="A38" s="40"/>
      <c r="B38" s="40"/>
      <c r="C38" s="40"/>
      <c r="D38" s="40"/>
      <c r="E38" s="40"/>
      <c r="F38" s="41"/>
      <c r="G38" s="40"/>
      <c r="H38" s="40"/>
      <c r="I38" s="40"/>
      <c r="J38" s="40"/>
      <c r="K38" s="40"/>
      <c r="L38" s="40"/>
      <c r="M38" s="40"/>
      <c r="N38" s="40"/>
      <c r="O38" s="40"/>
    </row>
    <row r="39" customHeight="1" spans="1:15">
      <c r="A39" s="40"/>
      <c r="B39" s="40"/>
      <c r="C39" s="40"/>
      <c r="D39" s="40"/>
      <c r="E39" s="40"/>
      <c r="F39" s="41"/>
      <c r="G39" s="40"/>
      <c r="H39" s="40"/>
      <c r="I39" s="40"/>
      <c r="J39" s="40"/>
      <c r="K39" s="40"/>
      <c r="L39" s="40"/>
      <c r="M39" s="40"/>
      <c r="N39" s="40"/>
      <c r="O39" s="40"/>
    </row>
    <row r="40" customHeight="1" spans="1:15">
      <c r="A40" s="40"/>
      <c r="B40" s="40"/>
      <c r="C40" s="40"/>
      <c r="D40" s="40"/>
      <c r="E40" s="40"/>
      <c r="F40" s="41"/>
      <c r="G40" s="40"/>
      <c r="H40" s="40"/>
      <c r="I40" s="40"/>
      <c r="J40" s="40"/>
      <c r="K40" s="40"/>
      <c r="L40" s="40"/>
      <c r="M40" s="40"/>
      <c r="N40" s="40"/>
      <c r="O40" s="40"/>
    </row>
    <row r="41" customHeight="1" spans="1:15">
      <c r="A41" s="40"/>
      <c r="B41" s="40"/>
      <c r="C41" s="40"/>
      <c r="D41" s="40"/>
      <c r="E41" s="40"/>
      <c r="F41" s="41"/>
      <c r="G41" s="40"/>
      <c r="H41" s="40"/>
      <c r="I41" s="40"/>
      <c r="J41" s="40"/>
      <c r="K41" s="40"/>
      <c r="L41" s="40"/>
      <c r="M41" s="40"/>
      <c r="N41" s="40"/>
      <c r="O41" s="40"/>
    </row>
    <row r="42" customHeight="1" spans="1:15">
      <c r="A42" s="40"/>
      <c r="B42" s="40"/>
      <c r="C42" s="40"/>
      <c r="D42" s="40"/>
      <c r="E42" s="40"/>
      <c r="F42" s="41"/>
      <c r="G42" s="40"/>
      <c r="H42" s="40"/>
      <c r="I42" s="40"/>
      <c r="J42" s="40"/>
      <c r="K42" s="40"/>
      <c r="L42" s="40"/>
      <c r="M42" s="40"/>
      <c r="N42" s="40"/>
      <c r="O42" s="40"/>
    </row>
    <row r="43" customHeight="1" spans="1:15">
      <c r="A43" s="40"/>
      <c r="B43" s="40"/>
      <c r="C43" s="40"/>
      <c r="D43" s="40"/>
      <c r="E43" s="40"/>
      <c r="F43" s="41"/>
      <c r="G43" s="40"/>
      <c r="H43" s="40"/>
      <c r="I43" s="40"/>
      <c r="J43" s="40"/>
      <c r="K43" s="40"/>
      <c r="L43" s="40"/>
      <c r="M43" s="40"/>
      <c r="N43" s="40"/>
      <c r="O43" s="40"/>
    </row>
    <row r="44" customHeight="1" spans="1:1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customHeight="1" spans="1:1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customHeight="1" spans="1:1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customHeight="1" spans="1:1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customHeight="1" spans="1:1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customHeight="1" spans="1:1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customHeight="1" spans="1:1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customHeight="1" spans="1:1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customHeight="1" spans="1:1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customHeight="1" spans="1:1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customHeight="1" spans="1:1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customHeight="1" spans="1:1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customHeight="1" spans="1:1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customHeight="1" spans="1:1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customHeight="1" spans="1:1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customHeight="1" spans="1:1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customHeight="1" spans="1:1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customHeight="1" spans="1:1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customHeight="1" spans="1:1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customHeight="1" spans="1:1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customHeight="1" spans="1:1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customHeight="1" spans="1:1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customHeight="1" spans="1:1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customHeight="1" spans="1:1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customHeight="1" spans="1:1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customHeight="1" spans="1:1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customHeight="1" spans="1:1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customHeight="1" spans="1:1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customHeight="1" spans="1:1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customHeight="1" spans="1:1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customHeight="1" spans="1:1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customHeight="1" spans="1:1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customHeight="1" spans="1:1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customHeight="1" spans="1:1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customHeight="1" spans="1:1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customHeight="1" spans="1: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customHeight="1" spans="1:1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customHeight="1" spans="1:1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  <row r="82" customHeight="1" spans="1:1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customHeight="1" spans="1:1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customHeight="1" spans="1:1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customHeight="1" spans="1: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customHeight="1" spans="1:1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customHeight="1" spans="1:1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customHeight="1" spans="1:1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customHeight="1" spans="1:1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customHeight="1" spans="1:1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customHeight="1" spans="1:1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customHeight="1" spans="1:1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customHeight="1" spans="1:1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customHeight="1" spans="1:1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customHeight="1" spans="1:1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customHeight="1" spans="1:1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customHeight="1" spans="1:1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customHeight="1" spans="1:1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customHeight="1" spans="1:1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</row>
    <row r="100" customHeight="1" spans="1:1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customHeight="1" spans="1:1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customHeight="1" spans="1:1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customHeight="1" spans="1:1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customHeight="1" spans="1:1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customHeight="1" spans="1:1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  <row r="106" customHeight="1" spans="1:1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</row>
    <row r="107" customHeight="1" spans="1:1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customHeight="1" spans="1:1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customHeight="1" spans="1:1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customHeight="1" spans="1:1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customHeight="1" spans="1:1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customHeight="1" spans="1:1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customHeight="1" spans="1:1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customHeight="1" spans="1:1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</row>
    <row r="115" customHeight="1" spans="1: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</row>
    <row r="116" customHeight="1" spans="1:1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customHeight="1" spans="1:1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</row>
    <row r="118" customHeight="1" spans="1:1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customHeight="1" spans="1:1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customHeight="1" spans="1:1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customHeight="1" spans="1:1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</row>
    <row r="122" customHeight="1" spans="1:1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</row>
    <row r="123" customHeight="1" spans="1:1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customHeight="1" spans="1:1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customHeight="1" spans="1:1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customHeight="1" spans="1:1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ht="14.25" customHeight="1" spans="1:1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ht="14.25" customHeight="1" spans="1:1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ht="14.25" customHeight="1" spans="1:1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ht="14.25" customHeight="1" spans="1:1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ht="14.25" customHeight="1" spans="1:1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ht="14.25" customHeight="1" spans="1:1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ht="14.25" customHeight="1" spans="1:1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ht="14.25" customHeight="1" spans="1:1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ht="14.25" customHeight="1" spans="1:1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ht="14.25" customHeight="1" spans="1:1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ht="14.25" customHeight="1" spans="1:1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ht="14.25" customHeight="1" spans="1:1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ht="14.25" customHeight="1" spans="1:1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ht="14.25" customHeight="1" spans="1:1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ht="14.25" customHeight="1" spans="1:1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ht="14.25" customHeight="1" spans="1:1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ht="14.25" customHeight="1" spans="1:1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ht="14.25" customHeight="1" spans="1:1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</sheetData>
  <mergeCells count="1">
    <mergeCell ref="A1:O1"/>
  </mergeCells>
  <conditionalFormatting sqref="F1:F144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8"/>
  <sheetViews>
    <sheetView topLeftCell="A428" workbookViewId="0">
      <selection activeCell="I447" sqref="I447"/>
    </sheetView>
  </sheetViews>
  <sheetFormatPr defaultColWidth="9.9" defaultRowHeight="15" customHeight="1"/>
  <cols>
    <col min="1" max="2" width="7.875" style="2" customWidth="1"/>
    <col min="3" max="3" width="37.3083333333333" style="3" customWidth="1"/>
    <col min="4" max="5" width="7" style="3" customWidth="1"/>
    <col min="6" max="6" width="12.625" style="3" customWidth="1"/>
    <col min="7" max="24" width="12.625" style="2" customWidth="1"/>
    <col min="25" max="25" width="12.625" style="4" customWidth="1"/>
    <col min="26" max="33" width="12.625" style="2" customWidth="1"/>
    <col min="34" max="16384" width="9.9" style="2"/>
  </cols>
  <sheetData>
    <row r="1" s="1" customFormat="1" customHeight="1" spans="1:27">
      <c r="A1" s="1" t="s">
        <v>166</v>
      </c>
      <c r="C1" s="5" t="s">
        <v>167</v>
      </c>
      <c r="D1" s="5" t="s">
        <v>168</v>
      </c>
      <c r="E1" s="5" t="s">
        <v>169</v>
      </c>
      <c r="F1" s="5" t="s">
        <v>170</v>
      </c>
      <c r="G1" s="6">
        <v>44521</v>
      </c>
      <c r="H1" s="6">
        <v>44522</v>
      </c>
      <c r="I1" s="6">
        <v>44523</v>
      </c>
      <c r="J1" s="6">
        <v>44524</v>
      </c>
      <c r="K1" s="6">
        <v>44525</v>
      </c>
      <c r="L1" s="6">
        <v>44526</v>
      </c>
      <c r="M1" s="6">
        <v>44527</v>
      </c>
      <c r="N1" s="6">
        <v>44528</v>
      </c>
      <c r="O1" s="6">
        <v>44529</v>
      </c>
      <c r="P1" s="6">
        <v>44530</v>
      </c>
      <c r="Q1" s="6"/>
      <c r="R1" s="20"/>
      <c r="S1" s="20"/>
      <c r="T1" s="7"/>
      <c r="U1" s="7"/>
      <c r="V1" s="7"/>
      <c r="W1" s="7"/>
      <c r="X1" s="7"/>
      <c r="Z1" s="7"/>
      <c r="AA1" s="7"/>
    </row>
    <row r="2" s="1" customFormat="1" customHeight="1" spans="3:27">
      <c r="C2" s="5"/>
      <c r="D2" s="5"/>
      <c r="E2" s="5"/>
      <c r="F2" s="5"/>
      <c r="G2" s="7" t="s">
        <v>171</v>
      </c>
      <c r="H2" s="7" t="s">
        <v>171</v>
      </c>
      <c r="I2" s="7" t="s">
        <v>171</v>
      </c>
      <c r="J2" s="7" t="s">
        <v>171</v>
      </c>
      <c r="K2" s="7" t="s">
        <v>171</v>
      </c>
      <c r="L2" s="7" t="s">
        <v>171</v>
      </c>
      <c r="M2" s="7" t="s">
        <v>171</v>
      </c>
      <c r="N2" s="7" t="s">
        <v>171</v>
      </c>
      <c r="O2" s="7" t="s">
        <v>171</v>
      </c>
      <c r="P2" s="7" t="s">
        <v>171</v>
      </c>
      <c r="Q2" s="7" t="s">
        <v>172</v>
      </c>
      <c r="R2" s="7" t="s">
        <v>171</v>
      </c>
      <c r="S2" s="7" t="s">
        <v>172</v>
      </c>
      <c r="T2" s="7"/>
      <c r="U2" s="7"/>
      <c r="V2" s="7"/>
      <c r="W2" s="7"/>
      <c r="X2" s="7"/>
      <c r="Y2" s="7"/>
      <c r="Z2" s="21" t="s">
        <v>173</v>
      </c>
      <c r="AA2" s="21" t="s">
        <v>174</v>
      </c>
    </row>
    <row r="3" s="2" customFormat="1" customHeight="1" spans="3:27"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22"/>
      <c r="AA3" s="22"/>
    </row>
    <row r="4" s="2" customFormat="1" customHeight="1" spans="3:27"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22"/>
      <c r="AA4" s="22"/>
    </row>
    <row r="5" s="2" customFormat="1" customHeight="1" spans="3:27"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22"/>
      <c r="AA5" s="22"/>
    </row>
    <row r="6" s="2" customFormat="1" customHeight="1" spans="3:25">
      <c r="C6" s="3"/>
      <c r="D6" s="10"/>
      <c r="E6" s="10"/>
      <c r="F6" s="10"/>
      <c r="I6" s="14"/>
      <c r="J6" s="14"/>
      <c r="L6" s="14"/>
      <c r="M6" s="15"/>
      <c r="N6" s="15"/>
      <c r="O6" s="16"/>
      <c r="P6" s="17"/>
      <c r="Q6" s="17"/>
      <c r="R6" s="17"/>
      <c r="S6" s="17"/>
      <c r="T6" s="15"/>
      <c r="U6" s="15"/>
      <c r="V6" s="15"/>
      <c r="W6" s="15"/>
      <c r="X6" s="15"/>
      <c r="Y6" s="4"/>
    </row>
    <row r="7" s="2" customFormat="1" customHeight="1" spans="3:25">
      <c r="C7" s="3"/>
      <c r="D7" s="10"/>
      <c r="E7" s="10"/>
      <c r="F7" s="10"/>
      <c r="I7" s="17"/>
      <c r="J7" s="17"/>
      <c r="L7" s="17"/>
      <c r="M7" s="15"/>
      <c r="N7" s="15"/>
      <c r="O7" s="16"/>
      <c r="P7" s="17"/>
      <c r="Q7" s="17"/>
      <c r="R7" s="17"/>
      <c r="S7" s="17"/>
      <c r="T7" s="15"/>
      <c r="U7" s="15"/>
      <c r="V7" s="15"/>
      <c r="W7" s="15"/>
      <c r="X7" s="15"/>
      <c r="Y7" s="4"/>
    </row>
    <row r="8" s="2" customFormat="1" customHeight="1" spans="3:25">
      <c r="C8" s="3"/>
      <c r="D8" s="11"/>
      <c r="E8" s="10"/>
      <c r="F8" s="11"/>
      <c r="I8" s="14"/>
      <c r="J8" s="14"/>
      <c r="L8" s="14"/>
      <c r="M8" s="15"/>
      <c r="N8" s="15"/>
      <c r="O8" s="16"/>
      <c r="P8" s="17"/>
      <c r="Q8" s="17"/>
      <c r="R8" s="17"/>
      <c r="S8" s="17"/>
      <c r="T8" s="15"/>
      <c r="U8" s="15"/>
      <c r="V8" s="15"/>
      <c r="W8" s="15"/>
      <c r="X8" s="15"/>
      <c r="Y8" s="4"/>
    </row>
    <row r="9" s="2" customFormat="1" customHeight="1" spans="3:25">
      <c r="C9" s="3"/>
      <c r="D9" s="11"/>
      <c r="E9" s="10"/>
      <c r="F9" s="11"/>
      <c r="I9" s="17"/>
      <c r="J9" s="17"/>
      <c r="L9" s="17"/>
      <c r="M9" s="15"/>
      <c r="N9" s="15"/>
      <c r="O9" s="16"/>
      <c r="P9" s="17"/>
      <c r="Q9" s="17"/>
      <c r="R9" s="17"/>
      <c r="S9" s="17"/>
      <c r="T9" s="15"/>
      <c r="U9" s="15"/>
      <c r="V9" s="15"/>
      <c r="W9" s="15"/>
      <c r="X9" s="15"/>
      <c r="Y9" s="4"/>
    </row>
    <row r="10" s="2" customFormat="1" customHeight="1" spans="3:25">
      <c r="C10" s="3"/>
      <c r="D10" s="11"/>
      <c r="E10" s="10"/>
      <c r="F10" s="11"/>
      <c r="I10" s="14"/>
      <c r="J10" s="14"/>
      <c r="L10" s="14"/>
      <c r="M10" s="15"/>
      <c r="N10" s="15"/>
      <c r="O10" s="16"/>
      <c r="P10" s="17"/>
      <c r="Q10" s="17"/>
      <c r="R10" s="17"/>
      <c r="S10" s="17"/>
      <c r="T10" s="15"/>
      <c r="U10" s="15"/>
      <c r="V10" s="15"/>
      <c r="W10" s="15"/>
      <c r="X10" s="15"/>
      <c r="Y10" s="4"/>
    </row>
    <row r="11" s="2" customFormat="1" customHeight="1" spans="3:25">
      <c r="C11" s="3"/>
      <c r="D11" s="11"/>
      <c r="E11" s="10"/>
      <c r="F11" s="11"/>
      <c r="I11" s="17"/>
      <c r="J11" s="17"/>
      <c r="L11" s="17"/>
      <c r="M11" s="15"/>
      <c r="N11" s="15"/>
      <c r="O11" s="16"/>
      <c r="P11" s="17"/>
      <c r="Q11" s="17"/>
      <c r="R11" s="17"/>
      <c r="S11" s="17"/>
      <c r="T11" s="15"/>
      <c r="U11" s="15"/>
      <c r="V11" s="15"/>
      <c r="W11" s="15"/>
      <c r="X11" s="15"/>
      <c r="Y11" s="4"/>
    </row>
    <row r="12" s="2" customFormat="1" customHeight="1" spans="3:25">
      <c r="C12" s="3"/>
      <c r="D12" s="11"/>
      <c r="E12" s="10"/>
      <c r="F12" s="11"/>
      <c r="I12" s="14"/>
      <c r="J12" s="14"/>
      <c r="L12" s="14"/>
      <c r="M12" s="15"/>
      <c r="N12" s="15"/>
      <c r="O12" s="16"/>
      <c r="P12" s="17"/>
      <c r="Q12" s="17"/>
      <c r="R12" s="17"/>
      <c r="S12" s="17"/>
      <c r="T12" s="15"/>
      <c r="U12" s="15"/>
      <c r="V12" s="15"/>
      <c r="W12" s="15"/>
      <c r="X12" s="15"/>
      <c r="Y12" s="4"/>
    </row>
    <row r="13" s="2" customFormat="1" customHeight="1" spans="3:25">
      <c r="C13" s="3"/>
      <c r="D13" s="10"/>
      <c r="E13" s="10"/>
      <c r="F13" s="10"/>
      <c r="I13" s="17"/>
      <c r="J13" s="17"/>
      <c r="L13" s="17"/>
      <c r="M13" s="15"/>
      <c r="N13" s="15"/>
      <c r="O13" s="16"/>
      <c r="P13" s="17"/>
      <c r="Q13" s="17"/>
      <c r="R13" s="17"/>
      <c r="S13" s="17"/>
      <c r="T13" s="15"/>
      <c r="U13" s="15"/>
      <c r="V13" s="15"/>
      <c r="W13" s="15"/>
      <c r="X13" s="15"/>
      <c r="Y13" s="4"/>
    </row>
    <row r="14" s="2" customFormat="1" customHeight="1" spans="3:25">
      <c r="C14" s="3"/>
      <c r="D14" s="11"/>
      <c r="E14" s="10"/>
      <c r="F14" s="11"/>
      <c r="I14" s="14"/>
      <c r="J14" s="14"/>
      <c r="L14" s="14"/>
      <c r="M14" s="15"/>
      <c r="N14" s="15"/>
      <c r="O14" s="16"/>
      <c r="P14" s="17"/>
      <c r="Q14" s="17"/>
      <c r="R14" s="17"/>
      <c r="S14" s="17"/>
      <c r="T14" s="15"/>
      <c r="U14" s="15"/>
      <c r="V14" s="15"/>
      <c r="W14" s="15"/>
      <c r="X14" s="15"/>
      <c r="Y14" s="4"/>
    </row>
    <row r="15" s="2" customFormat="1" customHeight="1" spans="3:25">
      <c r="C15" s="3"/>
      <c r="D15" s="11"/>
      <c r="E15" s="10"/>
      <c r="F15" s="11"/>
      <c r="I15" s="17"/>
      <c r="J15" s="17"/>
      <c r="L15" s="17"/>
      <c r="M15" s="15"/>
      <c r="N15" s="15"/>
      <c r="O15" s="16"/>
      <c r="P15" s="17"/>
      <c r="Q15" s="17"/>
      <c r="R15" s="17"/>
      <c r="S15" s="17"/>
      <c r="T15" s="15"/>
      <c r="U15" s="15"/>
      <c r="V15" s="15"/>
      <c r="W15" s="15"/>
      <c r="X15" s="15"/>
      <c r="Y15" s="4"/>
    </row>
    <row r="16" s="2" customFormat="1" customHeight="1" spans="3:25">
      <c r="C16" s="3"/>
      <c r="D16" s="10"/>
      <c r="E16" s="10"/>
      <c r="F16" s="10"/>
      <c r="I16" s="14"/>
      <c r="J16" s="14"/>
      <c r="L16" s="14"/>
      <c r="M16" s="15"/>
      <c r="N16" s="15"/>
      <c r="O16" s="16"/>
      <c r="P16" s="17"/>
      <c r="Q16" s="17"/>
      <c r="R16" s="17"/>
      <c r="S16" s="17"/>
      <c r="T16" s="15"/>
      <c r="U16" s="15"/>
      <c r="V16" s="15"/>
      <c r="W16" s="15"/>
      <c r="X16" s="15"/>
      <c r="Y16" s="4"/>
    </row>
    <row r="17" s="2" customFormat="1" customHeight="1" spans="3:25">
      <c r="C17" s="3"/>
      <c r="D17" s="10"/>
      <c r="E17" s="10"/>
      <c r="F17" s="10"/>
      <c r="I17" s="17"/>
      <c r="J17" s="17"/>
      <c r="L17" s="17"/>
      <c r="M17" s="15"/>
      <c r="N17" s="15"/>
      <c r="O17" s="16"/>
      <c r="P17" s="17"/>
      <c r="Q17" s="17"/>
      <c r="R17" s="17"/>
      <c r="S17" s="17"/>
      <c r="T17" s="15"/>
      <c r="U17" s="15"/>
      <c r="V17" s="15"/>
      <c r="W17" s="15"/>
      <c r="X17" s="15"/>
      <c r="Y17" s="4"/>
    </row>
    <row r="18" s="2" customFormat="1" customHeight="1" spans="3:25">
      <c r="C18" s="3"/>
      <c r="D18" s="10"/>
      <c r="E18" s="10"/>
      <c r="F18" s="10"/>
      <c r="I18" s="14"/>
      <c r="J18" s="14"/>
      <c r="L18" s="14"/>
      <c r="M18" s="15"/>
      <c r="N18" s="15"/>
      <c r="O18" s="16"/>
      <c r="P18" s="17"/>
      <c r="Q18" s="17"/>
      <c r="R18" s="17"/>
      <c r="S18" s="17"/>
      <c r="T18" s="15"/>
      <c r="U18" s="15"/>
      <c r="V18" s="15"/>
      <c r="W18" s="15"/>
      <c r="X18" s="15"/>
      <c r="Y18" s="4"/>
    </row>
    <row r="19" s="2" customFormat="1" customHeight="1" spans="3:25">
      <c r="C19" s="3"/>
      <c r="D19" s="11"/>
      <c r="E19" s="10"/>
      <c r="F19" s="11"/>
      <c r="I19" s="17"/>
      <c r="J19" s="17"/>
      <c r="L19" s="17"/>
      <c r="M19" s="15"/>
      <c r="N19" s="15"/>
      <c r="O19" s="16"/>
      <c r="P19" s="17"/>
      <c r="Q19" s="17"/>
      <c r="R19" s="17"/>
      <c r="S19" s="17"/>
      <c r="T19" s="15"/>
      <c r="U19" s="15"/>
      <c r="V19" s="15"/>
      <c r="W19" s="15"/>
      <c r="X19" s="15"/>
      <c r="Y19" s="4"/>
    </row>
    <row r="20" s="2" customFormat="1" customHeight="1" spans="3:25">
      <c r="C20" s="3"/>
      <c r="D20" s="11"/>
      <c r="E20" s="10"/>
      <c r="F20" s="11"/>
      <c r="I20" s="14"/>
      <c r="J20" s="14"/>
      <c r="L20" s="14"/>
      <c r="M20" s="15"/>
      <c r="N20" s="15"/>
      <c r="O20" s="16"/>
      <c r="P20" s="17"/>
      <c r="Q20" s="17"/>
      <c r="R20" s="17"/>
      <c r="S20" s="17"/>
      <c r="T20" s="15"/>
      <c r="U20" s="15"/>
      <c r="V20" s="15"/>
      <c r="W20" s="15"/>
      <c r="X20" s="15"/>
      <c r="Y20" s="4"/>
    </row>
    <row r="21" s="2" customFormat="1" customHeight="1" spans="3:25">
      <c r="C21" s="3"/>
      <c r="D21" s="10"/>
      <c r="E21" s="10"/>
      <c r="F21" s="10"/>
      <c r="I21" s="17"/>
      <c r="J21" s="17"/>
      <c r="L21" s="17"/>
      <c r="M21" s="15"/>
      <c r="N21" s="15"/>
      <c r="O21" s="16"/>
      <c r="P21" s="17"/>
      <c r="Q21" s="17"/>
      <c r="R21" s="17"/>
      <c r="S21" s="17"/>
      <c r="T21" s="15"/>
      <c r="U21" s="15"/>
      <c r="V21" s="15"/>
      <c r="W21" s="15"/>
      <c r="X21" s="15"/>
      <c r="Y21" s="4"/>
    </row>
    <row r="22" s="2" customFormat="1" customHeight="1" spans="3:25">
      <c r="C22" s="3"/>
      <c r="D22" s="10"/>
      <c r="E22" s="10"/>
      <c r="F22" s="10"/>
      <c r="I22" s="14"/>
      <c r="J22" s="14"/>
      <c r="L22" s="14"/>
      <c r="M22" s="15"/>
      <c r="N22" s="15"/>
      <c r="O22" s="16"/>
      <c r="P22" s="17"/>
      <c r="Q22" s="17"/>
      <c r="R22" s="17"/>
      <c r="S22" s="17"/>
      <c r="T22" s="15"/>
      <c r="U22" s="15"/>
      <c r="V22" s="15"/>
      <c r="W22" s="15"/>
      <c r="X22" s="15"/>
      <c r="Y22" s="4"/>
    </row>
    <row r="23" s="2" customFormat="1" customHeight="1" spans="3:25">
      <c r="C23" s="3"/>
      <c r="D23" s="11"/>
      <c r="E23" s="10"/>
      <c r="F23" s="11"/>
      <c r="I23" s="17"/>
      <c r="J23" s="17"/>
      <c r="L23" s="17"/>
      <c r="M23" s="15"/>
      <c r="N23" s="15"/>
      <c r="O23" s="16"/>
      <c r="P23" s="17"/>
      <c r="Q23" s="17"/>
      <c r="R23" s="17"/>
      <c r="S23" s="17"/>
      <c r="T23" s="15"/>
      <c r="U23" s="15"/>
      <c r="V23" s="15"/>
      <c r="W23" s="15"/>
      <c r="X23" s="15"/>
      <c r="Y23" s="4"/>
    </row>
    <row r="24" s="2" customFormat="1" customHeight="1" spans="3:25">
      <c r="C24" s="3"/>
      <c r="D24" s="11"/>
      <c r="E24" s="10"/>
      <c r="F24" s="11"/>
      <c r="I24" s="14"/>
      <c r="J24" s="14"/>
      <c r="K24" s="2"/>
      <c r="L24" s="14"/>
      <c r="M24" s="15"/>
      <c r="N24" s="18"/>
      <c r="O24" s="16"/>
      <c r="P24" s="17"/>
      <c r="Q24" s="17"/>
      <c r="R24" s="17"/>
      <c r="S24" s="17"/>
      <c r="T24" s="15"/>
      <c r="U24" s="15"/>
      <c r="V24" s="15"/>
      <c r="W24" s="15"/>
      <c r="X24" s="15"/>
      <c r="Y24" s="4"/>
    </row>
    <row r="25" s="2" customFormat="1" customHeight="1" spans="3:25">
      <c r="C25" s="3"/>
      <c r="D25" s="11"/>
      <c r="E25" s="10"/>
      <c r="F25" s="11"/>
      <c r="I25" s="17"/>
      <c r="J25" s="17"/>
      <c r="L25" s="17"/>
      <c r="M25" s="15"/>
      <c r="N25" s="19"/>
      <c r="O25" s="16"/>
      <c r="P25" s="17"/>
      <c r="Q25" s="17"/>
      <c r="R25" s="17"/>
      <c r="S25" s="17"/>
      <c r="T25" s="15"/>
      <c r="U25" s="15"/>
      <c r="V25" s="15"/>
      <c r="W25" s="15"/>
      <c r="X25" s="15"/>
      <c r="Y25" s="4"/>
    </row>
    <row r="26" s="2" customFormat="1" customHeight="1" spans="3:25">
      <c r="C26" s="3"/>
      <c r="D26" s="10"/>
      <c r="E26" s="10"/>
      <c r="F26" s="10"/>
      <c r="I26" s="14"/>
      <c r="J26" s="14"/>
      <c r="L26" s="14"/>
      <c r="M26" s="15"/>
      <c r="N26" s="18"/>
      <c r="O26" s="16"/>
      <c r="P26" s="17"/>
      <c r="Q26" s="17"/>
      <c r="R26" s="17"/>
      <c r="S26" s="17"/>
      <c r="T26" s="15"/>
      <c r="U26" s="15"/>
      <c r="V26" s="15"/>
      <c r="W26" s="15"/>
      <c r="X26" s="15"/>
      <c r="Y26" s="4"/>
    </row>
    <row r="27" s="2" customFormat="1" customHeight="1" spans="3:25">
      <c r="C27" s="3"/>
      <c r="D27" s="10"/>
      <c r="E27" s="10"/>
      <c r="F27" s="10"/>
      <c r="I27" s="17"/>
      <c r="J27" s="17"/>
      <c r="L27" s="17"/>
      <c r="M27" s="15"/>
      <c r="N27" s="19"/>
      <c r="O27" s="16"/>
      <c r="P27" s="17"/>
      <c r="Q27" s="17"/>
      <c r="R27" s="17"/>
      <c r="S27" s="17"/>
      <c r="T27" s="15"/>
      <c r="U27" s="15"/>
      <c r="V27" s="15"/>
      <c r="W27" s="15"/>
      <c r="X27" s="15"/>
      <c r="Y27" s="4"/>
    </row>
    <row r="28" s="2" customFormat="1" customHeight="1" spans="3:25">
      <c r="C28" s="3"/>
      <c r="D28" s="10"/>
      <c r="E28" s="10"/>
      <c r="F28" s="10"/>
      <c r="I28" s="14"/>
      <c r="J28" s="14"/>
      <c r="L28" s="14"/>
      <c r="M28" s="15"/>
      <c r="N28" s="18"/>
      <c r="O28" s="16"/>
      <c r="P28" s="17"/>
      <c r="Q28" s="17"/>
      <c r="R28" s="17"/>
      <c r="S28" s="17"/>
      <c r="T28" s="15"/>
      <c r="U28" s="15"/>
      <c r="V28" s="15"/>
      <c r="W28" s="15"/>
      <c r="X28" s="15"/>
      <c r="Y28" s="4"/>
    </row>
    <row r="29" s="2" customFormat="1" customHeight="1" spans="3:25">
      <c r="C29" s="3"/>
      <c r="D29" s="11"/>
      <c r="E29" s="10"/>
      <c r="F29" s="11"/>
      <c r="I29" s="17"/>
      <c r="J29" s="17"/>
      <c r="L29" s="17"/>
      <c r="M29" s="15"/>
      <c r="N29" s="19"/>
      <c r="O29" s="16"/>
      <c r="P29" s="17"/>
      <c r="Q29" s="17"/>
      <c r="R29" s="17"/>
      <c r="S29" s="17"/>
      <c r="T29" s="15"/>
      <c r="U29" s="15"/>
      <c r="V29" s="15"/>
      <c r="W29" s="15"/>
      <c r="X29" s="15"/>
      <c r="Y29" s="4"/>
    </row>
    <row r="30" s="2" customFormat="1" customHeight="1" spans="3:25">
      <c r="C30" s="3"/>
      <c r="D30" s="10"/>
      <c r="E30" s="10"/>
      <c r="F30" s="10"/>
      <c r="I30" s="14"/>
      <c r="J30" s="14"/>
      <c r="L30" s="14"/>
      <c r="M30" s="15"/>
      <c r="N30" s="18"/>
      <c r="O30" s="16"/>
      <c r="P30" s="17"/>
      <c r="Q30" s="17"/>
      <c r="R30" s="17"/>
      <c r="S30" s="17"/>
      <c r="T30" s="15"/>
      <c r="U30" s="15"/>
      <c r="V30" s="15"/>
      <c r="W30" s="15"/>
      <c r="X30" s="15"/>
      <c r="Y30" s="4"/>
    </row>
    <row r="31" s="2" customFormat="1" customHeight="1" spans="3:25">
      <c r="C31" s="3"/>
      <c r="D31" s="11"/>
      <c r="E31" s="10"/>
      <c r="F31" s="11"/>
      <c r="I31" s="17"/>
      <c r="J31" s="17"/>
      <c r="L31" s="17"/>
      <c r="M31" s="15"/>
      <c r="N31" s="19"/>
      <c r="O31" s="16"/>
      <c r="P31" s="17"/>
      <c r="Q31" s="17"/>
      <c r="R31" s="17"/>
      <c r="S31" s="17"/>
      <c r="T31" s="15"/>
      <c r="U31" s="15"/>
      <c r="V31" s="15"/>
      <c r="W31" s="15"/>
      <c r="X31" s="15"/>
      <c r="Y31" s="4"/>
    </row>
    <row r="32" s="2" customFormat="1" customHeight="1" spans="3:25">
      <c r="C32" s="3"/>
      <c r="D32" s="11"/>
      <c r="E32" s="10"/>
      <c r="F32" s="11"/>
      <c r="I32" s="14"/>
      <c r="J32" s="14"/>
      <c r="L32" s="14"/>
      <c r="M32" s="15"/>
      <c r="N32" s="18"/>
      <c r="O32" s="16"/>
      <c r="P32" s="17"/>
      <c r="Q32" s="17"/>
      <c r="R32" s="17"/>
      <c r="S32" s="17"/>
      <c r="T32" s="15"/>
      <c r="U32" s="15"/>
      <c r="V32" s="15"/>
      <c r="W32" s="15"/>
      <c r="X32" s="15"/>
      <c r="Y32" s="4"/>
    </row>
    <row r="33" s="2" customFormat="1" customHeight="1" spans="3:25">
      <c r="C33" s="3"/>
      <c r="D33" s="11"/>
      <c r="E33" s="10"/>
      <c r="F33" s="11"/>
      <c r="I33" s="17"/>
      <c r="J33" s="17"/>
      <c r="L33" s="17"/>
      <c r="M33" s="15"/>
      <c r="N33" s="19"/>
      <c r="O33" s="16"/>
      <c r="P33" s="17"/>
      <c r="Q33" s="17"/>
      <c r="R33" s="17"/>
      <c r="S33" s="17"/>
      <c r="T33" s="15"/>
      <c r="U33" s="15"/>
      <c r="V33" s="15"/>
      <c r="W33" s="15"/>
      <c r="X33" s="15"/>
      <c r="Y33" s="4"/>
    </row>
    <row r="34" s="2" customFormat="1" customHeight="1" spans="3:25">
      <c r="C34" s="3"/>
      <c r="D34" s="11"/>
      <c r="E34" s="10"/>
      <c r="F34" s="11"/>
      <c r="I34" s="14"/>
      <c r="J34" s="14"/>
      <c r="L34" s="14"/>
      <c r="M34" s="15"/>
      <c r="N34" s="18"/>
      <c r="O34" s="16"/>
      <c r="P34" s="17"/>
      <c r="Q34" s="17"/>
      <c r="R34" s="17"/>
      <c r="S34" s="17"/>
      <c r="T34" s="15"/>
      <c r="U34" s="15"/>
      <c r="V34" s="15"/>
      <c r="W34" s="15"/>
      <c r="X34" s="15"/>
      <c r="Y34" s="4"/>
    </row>
    <row r="35" s="2" customFormat="1" customHeight="1" spans="3:25">
      <c r="C35" s="3"/>
      <c r="D35" s="11"/>
      <c r="E35" s="10"/>
      <c r="F35" s="11"/>
      <c r="I35" s="17"/>
      <c r="J35" s="17"/>
      <c r="L35" s="17"/>
      <c r="M35" s="15"/>
      <c r="N35" s="19"/>
      <c r="O35" s="16"/>
      <c r="P35" s="17"/>
      <c r="Q35" s="17"/>
      <c r="R35" s="17"/>
      <c r="S35" s="17"/>
      <c r="T35" s="15"/>
      <c r="U35" s="15"/>
      <c r="V35" s="15"/>
      <c r="W35" s="15"/>
      <c r="X35" s="15"/>
      <c r="Y35" s="4"/>
    </row>
    <row r="36" s="2" customFormat="1" customHeight="1" spans="3:25">
      <c r="C36" s="3"/>
      <c r="D36" s="10"/>
      <c r="E36" s="10"/>
      <c r="F36" s="10"/>
      <c r="I36" s="14"/>
      <c r="J36" s="14"/>
      <c r="L36" s="14"/>
      <c r="M36" s="15"/>
      <c r="N36" s="18"/>
      <c r="O36" s="16"/>
      <c r="P36" s="17"/>
      <c r="Q36" s="17"/>
      <c r="R36" s="17"/>
      <c r="S36" s="17"/>
      <c r="T36" s="15"/>
      <c r="U36" s="15"/>
      <c r="V36" s="15"/>
      <c r="W36" s="15"/>
      <c r="X36" s="15"/>
      <c r="Y36" s="4"/>
    </row>
    <row r="37" s="2" customFormat="1" customHeight="1" spans="3:25">
      <c r="C37" s="3"/>
      <c r="D37" s="10"/>
      <c r="E37" s="10"/>
      <c r="F37" s="10"/>
      <c r="I37" s="17"/>
      <c r="J37" s="17"/>
      <c r="L37" s="17"/>
      <c r="M37" s="15"/>
      <c r="N37" s="19"/>
      <c r="O37" s="16"/>
      <c r="P37" s="17"/>
      <c r="Q37" s="17"/>
      <c r="R37" s="17"/>
      <c r="S37" s="17"/>
      <c r="T37" s="15"/>
      <c r="U37" s="15"/>
      <c r="V37" s="15"/>
      <c r="W37" s="15"/>
      <c r="X37" s="15"/>
      <c r="Y37" s="4"/>
    </row>
    <row r="38" s="2" customFormat="1" customHeight="1" spans="3:25">
      <c r="C38" s="3"/>
      <c r="D38" s="3"/>
      <c r="E38" s="10"/>
      <c r="F38" s="3"/>
      <c r="I38" s="14"/>
      <c r="J38" s="14"/>
      <c r="L38" s="14"/>
      <c r="M38" s="15"/>
      <c r="N38" s="18"/>
      <c r="O38" s="16"/>
      <c r="P38" s="17"/>
      <c r="Q38" s="17"/>
      <c r="R38" s="17"/>
      <c r="S38" s="17"/>
      <c r="T38" s="15"/>
      <c r="U38" s="15"/>
      <c r="V38" s="15"/>
      <c r="W38" s="15"/>
      <c r="X38" s="15"/>
      <c r="Y38" s="4"/>
    </row>
    <row r="39" s="2" customFormat="1" customHeight="1" spans="3:25">
      <c r="C39" s="3"/>
      <c r="D39" s="10"/>
      <c r="E39" s="10"/>
      <c r="F39" s="10"/>
      <c r="I39" s="14"/>
      <c r="J39" s="17"/>
      <c r="L39" s="17"/>
      <c r="M39" s="15"/>
      <c r="N39" s="19"/>
      <c r="O39" s="16"/>
      <c r="P39" s="17"/>
      <c r="Q39" s="17"/>
      <c r="R39" s="17"/>
      <c r="S39" s="17"/>
      <c r="T39" s="15"/>
      <c r="U39" s="15"/>
      <c r="V39" s="15"/>
      <c r="W39" s="15"/>
      <c r="X39" s="15"/>
      <c r="Y39" s="4"/>
    </row>
    <row r="40" s="2" customFormat="1" customHeight="1" spans="3:25">
      <c r="C40" s="3"/>
      <c r="D40" s="10"/>
      <c r="E40" s="10"/>
      <c r="F40" s="10"/>
      <c r="I40" s="17"/>
      <c r="J40" s="14"/>
      <c r="K40" s="18"/>
      <c r="L40" s="14"/>
      <c r="M40" s="18"/>
      <c r="N40" s="18"/>
      <c r="O40" s="16"/>
      <c r="P40" s="17"/>
      <c r="Q40" s="17"/>
      <c r="R40" s="17"/>
      <c r="S40" s="17"/>
      <c r="T40" s="15"/>
      <c r="U40" s="15"/>
      <c r="V40" s="15"/>
      <c r="W40" s="15"/>
      <c r="X40" s="15"/>
      <c r="Y40" s="4"/>
    </row>
    <row r="41" s="2" customFormat="1" customHeight="1" spans="3:25">
      <c r="C41" s="3"/>
      <c r="D41" s="11"/>
      <c r="E41" s="10"/>
      <c r="F41" s="11"/>
      <c r="I41" s="14"/>
      <c r="J41" s="17"/>
      <c r="K41" s="19"/>
      <c r="L41" s="17"/>
      <c r="M41" s="19"/>
      <c r="N41" s="19"/>
      <c r="O41" s="16"/>
      <c r="P41" s="17"/>
      <c r="Q41" s="17"/>
      <c r="R41" s="17"/>
      <c r="S41" s="17"/>
      <c r="T41" s="15"/>
      <c r="U41" s="15"/>
      <c r="V41" s="15"/>
      <c r="W41" s="15"/>
      <c r="X41" s="15"/>
      <c r="Y41" s="4"/>
    </row>
    <row r="42" s="2" customFormat="1" customHeight="1" spans="3:25">
      <c r="C42" s="3"/>
      <c r="D42" s="11"/>
      <c r="E42" s="10"/>
      <c r="F42" s="11"/>
      <c r="I42" s="17"/>
      <c r="J42" s="14"/>
      <c r="K42" s="18"/>
      <c r="L42" s="14"/>
      <c r="M42" s="18"/>
      <c r="N42" s="18"/>
      <c r="O42" s="16"/>
      <c r="P42" s="17"/>
      <c r="Q42" s="17"/>
      <c r="R42" s="17"/>
      <c r="S42" s="17"/>
      <c r="T42" s="15"/>
      <c r="U42" s="15"/>
      <c r="V42" s="15"/>
      <c r="W42" s="15"/>
      <c r="X42" s="15"/>
      <c r="Y42" s="4"/>
    </row>
    <row r="43" s="2" customFormat="1" customHeight="1" spans="3:25">
      <c r="C43" s="3"/>
      <c r="D43" s="10"/>
      <c r="E43" s="10"/>
      <c r="F43" s="10"/>
      <c r="I43" s="14"/>
      <c r="J43" s="17"/>
      <c r="K43" s="19"/>
      <c r="L43" s="17"/>
      <c r="M43" s="19"/>
      <c r="N43" s="19"/>
      <c r="O43" s="16"/>
      <c r="P43" s="17"/>
      <c r="Q43" s="17"/>
      <c r="R43" s="17"/>
      <c r="S43" s="17"/>
      <c r="T43" s="15"/>
      <c r="U43" s="15"/>
      <c r="V43" s="15"/>
      <c r="W43" s="15"/>
      <c r="X43" s="15"/>
      <c r="Y43" s="4"/>
    </row>
    <row r="44" s="2" customFormat="1" customHeight="1" spans="3:25">
      <c r="C44" s="3"/>
      <c r="D44" s="10"/>
      <c r="E44" s="10"/>
      <c r="F44" s="10"/>
      <c r="I44" s="17"/>
      <c r="J44" s="14"/>
      <c r="K44" s="18"/>
      <c r="L44" s="14"/>
      <c r="M44" s="18"/>
      <c r="N44" s="18"/>
      <c r="O44" s="16"/>
      <c r="P44" s="17"/>
      <c r="Q44" s="17"/>
      <c r="R44" s="17"/>
      <c r="S44" s="17"/>
      <c r="T44" s="15"/>
      <c r="U44" s="15"/>
      <c r="V44" s="15"/>
      <c r="W44" s="15"/>
      <c r="X44" s="15"/>
      <c r="Y44" s="4"/>
    </row>
    <row r="45" s="2" customFormat="1" customHeight="1" spans="3:25">
      <c r="C45" s="3"/>
      <c r="D45" s="11"/>
      <c r="E45" s="10"/>
      <c r="F45" s="11"/>
      <c r="I45" s="14"/>
      <c r="J45" s="17"/>
      <c r="K45" s="19"/>
      <c r="L45" s="17"/>
      <c r="M45" s="19"/>
      <c r="N45" s="19"/>
      <c r="O45" s="16"/>
      <c r="P45" s="17"/>
      <c r="Q45" s="17"/>
      <c r="R45" s="17"/>
      <c r="S45" s="17"/>
      <c r="T45" s="15"/>
      <c r="U45" s="15"/>
      <c r="V45" s="15"/>
      <c r="W45" s="15"/>
      <c r="X45" s="15"/>
      <c r="Y45" s="4"/>
    </row>
    <row r="46" s="2" customFormat="1" customHeight="1" spans="3:25">
      <c r="C46" s="3"/>
      <c r="D46" s="10"/>
      <c r="E46" s="10"/>
      <c r="F46" s="10"/>
      <c r="I46" s="17"/>
      <c r="J46" s="14"/>
      <c r="K46" s="18"/>
      <c r="L46" s="14"/>
      <c r="M46" s="18"/>
      <c r="N46" s="18"/>
      <c r="O46" s="16"/>
      <c r="P46" s="17"/>
      <c r="Q46" s="17"/>
      <c r="R46" s="17"/>
      <c r="S46" s="17"/>
      <c r="T46" s="15"/>
      <c r="U46" s="15"/>
      <c r="V46" s="15"/>
      <c r="W46" s="15"/>
      <c r="X46" s="15"/>
      <c r="Y46" s="4"/>
    </row>
    <row r="47" s="2" customFormat="1" customHeight="1" spans="3:25">
      <c r="C47" s="3"/>
      <c r="D47" s="11"/>
      <c r="E47" s="10"/>
      <c r="F47" s="11"/>
      <c r="I47" s="14"/>
      <c r="J47" s="17"/>
      <c r="K47" s="19"/>
      <c r="L47" s="17"/>
      <c r="M47" s="19"/>
      <c r="N47" s="19"/>
      <c r="O47" s="16"/>
      <c r="P47" s="17"/>
      <c r="Q47" s="17"/>
      <c r="R47" s="17"/>
      <c r="S47" s="17"/>
      <c r="T47" s="15"/>
      <c r="U47" s="15"/>
      <c r="V47" s="15"/>
      <c r="W47" s="15"/>
      <c r="X47" s="15"/>
      <c r="Y47" s="4"/>
    </row>
    <row r="48" s="2" customFormat="1" customHeight="1" spans="3:25">
      <c r="C48" s="3"/>
      <c r="D48" s="10"/>
      <c r="E48" s="10"/>
      <c r="F48" s="10"/>
      <c r="I48" s="17"/>
      <c r="J48" s="14"/>
      <c r="K48" s="18"/>
      <c r="L48" s="14"/>
      <c r="M48" s="18"/>
      <c r="N48" s="18"/>
      <c r="O48" s="16"/>
      <c r="P48" s="17"/>
      <c r="Q48" s="17"/>
      <c r="R48" s="17"/>
      <c r="S48" s="17"/>
      <c r="T48" s="15"/>
      <c r="U48" s="15"/>
      <c r="V48" s="15"/>
      <c r="W48" s="15"/>
      <c r="X48" s="15"/>
      <c r="Y48" s="4"/>
    </row>
    <row r="49" s="2" customFormat="1" customHeight="1" spans="3:25">
      <c r="C49" s="3"/>
      <c r="D49" s="11"/>
      <c r="E49" s="10"/>
      <c r="F49" s="11"/>
      <c r="I49" s="14"/>
      <c r="J49" s="17"/>
      <c r="K49" s="19"/>
      <c r="L49" s="17"/>
      <c r="M49" s="19"/>
      <c r="N49" s="19"/>
      <c r="O49" s="16"/>
      <c r="P49" s="17"/>
      <c r="Q49" s="17"/>
      <c r="R49" s="17"/>
      <c r="S49" s="17"/>
      <c r="T49" s="15"/>
      <c r="U49" s="15"/>
      <c r="V49" s="15"/>
      <c r="W49" s="15"/>
      <c r="X49" s="15"/>
      <c r="Y49" s="4"/>
    </row>
    <row r="50" s="2" customFormat="1" customHeight="1" spans="3:25">
      <c r="C50" s="3"/>
      <c r="D50" s="11"/>
      <c r="E50" s="10"/>
      <c r="F50" s="11"/>
      <c r="I50" s="17"/>
      <c r="J50" s="14"/>
      <c r="K50" s="18"/>
      <c r="L50" s="14"/>
      <c r="M50" s="18"/>
      <c r="N50" s="18"/>
      <c r="O50" s="16"/>
      <c r="P50" s="17"/>
      <c r="Q50" s="17"/>
      <c r="R50" s="17"/>
      <c r="S50" s="17"/>
      <c r="T50" s="15"/>
      <c r="U50" s="15"/>
      <c r="V50" s="15"/>
      <c r="W50" s="15"/>
      <c r="X50" s="15"/>
      <c r="Y50" s="4"/>
    </row>
    <row r="51" s="2" customFormat="1" customHeight="1" spans="3:25">
      <c r="C51" s="11"/>
      <c r="D51" s="3"/>
      <c r="E51" s="10"/>
      <c r="F51" s="3"/>
      <c r="I51" s="14"/>
      <c r="J51" s="17"/>
      <c r="K51" s="19"/>
      <c r="L51" s="17"/>
      <c r="M51" s="19"/>
      <c r="N51" s="18"/>
      <c r="O51" s="16"/>
      <c r="P51" s="17"/>
      <c r="Q51" s="17"/>
      <c r="R51" s="17"/>
      <c r="S51" s="17"/>
      <c r="T51" s="15"/>
      <c r="U51" s="15"/>
      <c r="V51" s="15"/>
      <c r="W51" s="15"/>
      <c r="X51" s="15"/>
      <c r="Y51" s="4"/>
    </row>
    <row r="52" s="2" customFormat="1" customHeight="1" spans="4:25">
      <c r="D52" s="11"/>
      <c r="E52" s="10"/>
      <c r="F52" s="11"/>
      <c r="G52" s="12"/>
      <c r="H52" s="12"/>
      <c r="I52" s="2"/>
      <c r="J52" s="14"/>
      <c r="K52" s="18"/>
      <c r="L52" s="14"/>
      <c r="M52" s="18"/>
      <c r="N52" s="19"/>
      <c r="O52" s="16"/>
      <c r="P52" s="17"/>
      <c r="Q52" s="17"/>
      <c r="R52" s="17"/>
      <c r="S52" s="17"/>
      <c r="T52" s="15"/>
      <c r="U52" s="15"/>
      <c r="V52" s="15"/>
      <c r="W52" s="15"/>
      <c r="X52" s="15"/>
      <c r="Y52" s="4"/>
    </row>
    <row r="53" s="2" customFormat="1" customHeight="1" spans="4:25">
      <c r="D53" s="11"/>
      <c r="E53" s="10"/>
      <c r="F53" s="11"/>
      <c r="J53" s="14"/>
      <c r="K53" s="19"/>
      <c r="L53" s="17"/>
      <c r="M53" s="19"/>
      <c r="N53" s="18"/>
      <c r="O53" s="16"/>
      <c r="P53" s="17"/>
      <c r="Q53" s="17"/>
      <c r="R53" s="17"/>
      <c r="S53" s="17"/>
      <c r="T53" s="15"/>
      <c r="U53" s="15"/>
      <c r="V53" s="15"/>
      <c r="W53" s="15"/>
      <c r="X53" s="15"/>
      <c r="Y53" s="4"/>
    </row>
    <row r="54" s="2" customFormat="1" customHeight="1" spans="4:25">
      <c r="D54" s="10"/>
      <c r="E54" s="10"/>
      <c r="F54" s="10"/>
      <c r="G54" s="2"/>
      <c r="H54" s="2"/>
      <c r="I54" s="2"/>
      <c r="J54" s="17"/>
      <c r="K54" s="18"/>
      <c r="L54" s="14"/>
      <c r="M54" s="18"/>
      <c r="N54" s="19"/>
      <c r="O54" s="16"/>
      <c r="P54" s="17"/>
      <c r="Q54" s="17"/>
      <c r="R54" s="17"/>
      <c r="S54" s="17"/>
      <c r="T54" s="15"/>
      <c r="U54" s="15"/>
      <c r="V54" s="15"/>
      <c r="W54" s="15"/>
      <c r="X54" s="15"/>
      <c r="Y54" s="4"/>
    </row>
    <row r="55" s="2" customFormat="1" customHeight="1" spans="3:25">
      <c r="C55" s="11"/>
      <c r="D55" s="11"/>
      <c r="E55" s="10"/>
      <c r="F55" s="11"/>
      <c r="G55" s="2"/>
      <c r="H55" s="2"/>
      <c r="I55" s="2"/>
      <c r="J55" s="14"/>
      <c r="K55" s="19"/>
      <c r="L55" s="17"/>
      <c r="M55" s="19"/>
      <c r="N55" s="18"/>
      <c r="O55" s="16"/>
      <c r="P55" s="17"/>
      <c r="Q55" s="17"/>
      <c r="R55" s="17"/>
      <c r="S55" s="17"/>
      <c r="T55" s="15"/>
      <c r="U55" s="15"/>
      <c r="V55" s="15"/>
      <c r="W55" s="15"/>
      <c r="X55" s="15"/>
      <c r="Y55" s="4"/>
    </row>
    <row r="56" s="2" customFormat="1" customHeight="1" spans="4:25">
      <c r="D56" s="10"/>
      <c r="E56" s="10"/>
      <c r="F56" s="10"/>
      <c r="G56" s="2"/>
      <c r="H56" s="2"/>
      <c r="I56" s="2"/>
      <c r="J56" s="17"/>
      <c r="K56" s="18"/>
      <c r="L56" s="14"/>
      <c r="M56" s="18"/>
      <c r="N56" s="19"/>
      <c r="O56" s="16"/>
      <c r="P56" s="17"/>
      <c r="Q56" s="17"/>
      <c r="R56" s="17"/>
      <c r="S56" s="17"/>
      <c r="T56" s="15"/>
      <c r="U56" s="15"/>
      <c r="V56" s="15"/>
      <c r="W56" s="15"/>
      <c r="X56" s="15"/>
      <c r="Y56" s="4"/>
    </row>
    <row r="57" s="2" customFormat="1" customHeight="1" spans="4:25">
      <c r="D57" s="10"/>
      <c r="E57" s="10"/>
      <c r="F57" s="10"/>
      <c r="G57" s="12"/>
      <c r="H57" s="12"/>
      <c r="I57" s="2"/>
      <c r="J57" s="14"/>
      <c r="K57" s="19"/>
      <c r="L57" s="17"/>
      <c r="M57" s="19"/>
      <c r="N57" s="18"/>
      <c r="O57" s="16"/>
      <c r="P57" s="17"/>
      <c r="Q57" s="17"/>
      <c r="R57" s="17"/>
      <c r="S57" s="17"/>
      <c r="T57" s="15"/>
      <c r="U57" s="15"/>
      <c r="V57" s="15"/>
      <c r="W57" s="15"/>
      <c r="X57" s="15"/>
      <c r="Y57" s="4"/>
    </row>
    <row r="58" s="2" customFormat="1" customHeight="1" spans="4:25">
      <c r="D58" s="11"/>
      <c r="E58" s="10"/>
      <c r="F58" s="11"/>
      <c r="H58" s="12"/>
      <c r="I58" s="2"/>
      <c r="J58" s="17"/>
      <c r="K58" s="18"/>
      <c r="L58" s="14"/>
      <c r="M58" s="18"/>
      <c r="N58" s="19"/>
      <c r="S58" s="17"/>
      <c r="Y58" s="4"/>
    </row>
    <row r="59" s="2" customFormat="1" customHeight="1" spans="4:25">
      <c r="D59" s="10"/>
      <c r="E59" s="10"/>
      <c r="F59" s="10"/>
      <c r="G59" s="2"/>
      <c r="H59" s="2"/>
      <c r="I59" s="2"/>
      <c r="J59" s="14"/>
      <c r="K59" s="19"/>
      <c r="L59" s="17"/>
      <c r="M59" s="19"/>
      <c r="N59" s="18"/>
      <c r="S59" s="17"/>
      <c r="Y59" s="4"/>
    </row>
    <row r="60" s="2" customFormat="1" customHeight="1" spans="4:25">
      <c r="D60" s="10"/>
      <c r="E60" s="10"/>
      <c r="F60" s="10"/>
      <c r="J60" s="17"/>
      <c r="K60" s="18"/>
      <c r="L60" s="14"/>
      <c r="M60" s="18"/>
      <c r="N60" s="19"/>
      <c r="S60" s="17"/>
      <c r="Y60" s="4"/>
    </row>
    <row r="61" s="2" customFormat="1" customHeight="1" spans="3:25">
      <c r="C61" s="13"/>
      <c r="D61" s="11"/>
      <c r="E61" s="10"/>
      <c r="F61" s="11"/>
      <c r="I61" s="14"/>
      <c r="J61" s="14"/>
      <c r="K61" s="19"/>
      <c r="L61" s="17"/>
      <c r="M61" s="19"/>
      <c r="N61" s="18"/>
      <c r="S61" s="17"/>
      <c r="Y61" s="4"/>
    </row>
    <row r="62" s="2" customFormat="1" customHeight="1" spans="3:25">
      <c r="C62" s="13"/>
      <c r="D62" s="10"/>
      <c r="E62" s="10"/>
      <c r="F62" s="10"/>
      <c r="I62" s="17"/>
      <c r="J62" s="17"/>
      <c r="K62" s="18"/>
      <c r="L62" s="14"/>
      <c r="M62" s="18"/>
      <c r="N62" s="19"/>
      <c r="S62" s="17"/>
      <c r="Y62" s="4"/>
    </row>
    <row r="63" s="2" customFormat="1" customHeight="1" spans="3:25">
      <c r="C63" s="13"/>
      <c r="D63" s="11"/>
      <c r="E63" s="10"/>
      <c r="F63" s="11"/>
      <c r="I63" s="14"/>
      <c r="J63" s="14"/>
      <c r="K63" s="19"/>
      <c r="L63" s="17"/>
      <c r="M63" s="19"/>
      <c r="N63" s="18"/>
      <c r="S63" s="17"/>
      <c r="Y63" s="4"/>
    </row>
    <row r="64" s="2" customFormat="1" customHeight="1" spans="3:25">
      <c r="C64" s="13"/>
      <c r="D64" s="10"/>
      <c r="E64" s="10"/>
      <c r="F64" s="10"/>
      <c r="I64" s="17"/>
      <c r="J64" s="17"/>
      <c r="K64" s="18"/>
      <c r="L64" s="14"/>
      <c r="M64" s="18"/>
      <c r="N64" s="19"/>
      <c r="S64" s="17"/>
      <c r="Y64" s="4"/>
    </row>
    <row r="65" s="2" customFormat="1" customHeight="1" spans="3:25">
      <c r="C65" s="13"/>
      <c r="D65" s="11"/>
      <c r="E65" s="10"/>
      <c r="F65" s="11"/>
      <c r="I65" s="14"/>
      <c r="J65" s="14"/>
      <c r="K65" s="19"/>
      <c r="L65" s="17"/>
      <c r="M65" s="19"/>
      <c r="N65" s="18"/>
      <c r="S65" s="17"/>
      <c r="Y65" s="4"/>
    </row>
    <row r="66" s="2" customFormat="1" customHeight="1" spans="3:25">
      <c r="C66" s="13"/>
      <c r="D66" s="10"/>
      <c r="E66" s="10"/>
      <c r="F66" s="10"/>
      <c r="I66" s="17"/>
      <c r="J66" s="17"/>
      <c r="K66" s="18"/>
      <c r="L66" s="14"/>
      <c r="M66" s="18"/>
      <c r="N66" s="19"/>
      <c r="S66" s="17"/>
      <c r="Y66" s="4"/>
    </row>
    <row r="67" s="2" customFormat="1" customHeight="1" spans="3:25">
      <c r="C67" s="13"/>
      <c r="D67" s="10"/>
      <c r="E67" s="10"/>
      <c r="F67" s="10"/>
      <c r="I67" s="14"/>
      <c r="J67" s="14"/>
      <c r="K67" s="19"/>
      <c r="L67" s="17"/>
      <c r="M67" s="19"/>
      <c r="N67" s="18"/>
      <c r="S67" s="17"/>
      <c r="Y67" s="4"/>
    </row>
    <row r="68" s="2" customFormat="1" customHeight="1" spans="3:25">
      <c r="C68" s="13"/>
      <c r="D68" s="11"/>
      <c r="E68" s="10"/>
      <c r="F68" s="11"/>
      <c r="I68" s="17"/>
      <c r="J68" s="17"/>
      <c r="K68" s="18"/>
      <c r="L68" s="14"/>
      <c r="M68" s="18"/>
      <c r="N68" s="19"/>
      <c r="S68" s="17"/>
      <c r="Y68" s="4"/>
    </row>
    <row r="69" s="2" customFormat="1" customHeight="1" spans="3:25">
      <c r="C69" s="13"/>
      <c r="D69" s="10"/>
      <c r="E69" s="10"/>
      <c r="F69" s="10"/>
      <c r="I69" s="14"/>
      <c r="J69" s="14"/>
      <c r="K69" s="18"/>
      <c r="L69" s="17"/>
      <c r="M69" s="19"/>
      <c r="N69" s="18"/>
      <c r="S69" s="17"/>
      <c r="Y69" s="4"/>
    </row>
    <row r="70" s="2" customFormat="1" customHeight="1" spans="3:25">
      <c r="C70" s="13"/>
      <c r="D70" s="10"/>
      <c r="E70" s="10"/>
      <c r="F70" s="10"/>
      <c r="I70" s="17"/>
      <c r="J70" s="17"/>
      <c r="K70" s="19"/>
      <c r="L70" s="14"/>
      <c r="M70" s="18"/>
      <c r="N70" s="19"/>
      <c r="S70" s="17"/>
      <c r="Y70" s="4"/>
    </row>
    <row r="71" s="2" customFormat="1" customHeight="1" spans="3:25">
      <c r="C71" s="13"/>
      <c r="D71" s="11"/>
      <c r="E71" s="10"/>
      <c r="F71" s="11"/>
      <c r="I71" s="14"/>
      <c r="J71" s="14"/>
      <c r="K71" s="18"/>
      <c r="L71" s="17"/>
      <c r="M71" s="19"/>
      <c r="N71" s="18"/>
      <c r="S71" s="17"/>
      <c r="Y71" s="4"/>
    </row>
    <row r="72" s="2" customFormat="1" customHeight="1" spans="3:25">
      <c r="C72" s="13"/>
      <c r="D72" s="11"/>
      <c r="E72" s="10"/>
      <c r="F72" s="11"/>
      <c r="I72" s="17"/>
      <c r="J72" s="17"/>
      <c r="K72" s="19"/>
      <c r="L72" s="14"/>
      <c r="M72" s="18"/>
      <c r="N72" s="19"/>
      <c r="S72" s="17"/>
      <c r="Y72" s="4"/>
    </row>
    <row r="73" s="2" customFormat="1" customHeight="1" spans="3:25">
      <c r="C73" s="13"/>
      <c r="D73" s="11"/>
      <c r="E73" s="10"/>
      <c r="F73" s="11"/>
      <c r="I73" s="14"/>
      <c r="J73" s="14"/>
      <c r="K73" s="18"/>
      <c r="L73" s="17"/>
      <c r="M73" s="19"/>
      <c r="N73" s="18"/>
      <c r="S73" s="17"/>
      <c r="Y73" s="4"/>
    </row>
    <row r="74" s="2" customFormat="1" customHeight="1" spans="3:25">
      <c r="C74" s="13"/>
      <c r="D74" s="10"/>
      <c r="E74" s="10"/>
      <c r="F74" s="10"/>
      <c r="I74" s="17"/>
      <c r="J74" s="17"/>
      <c r="K74" s="19"/>
      <c r="L74" s="14"/>
      <c r="M74" s="18"/>
      <c r="N74" s="19"/>
      <c r="S74" s="17"/>
      <c r="Y74" s="4"/>
    </row>
    <row r="75" s="2" customFormat="1" customHeight="1" spans="3:25">
      <c r="C75" s="13"/>
      <c r="D75" s="11"/>
      <c r="E75" s="10"/>
      <c r="F75" s="11"/>
      <c r="I75" s="14"/>
      <c r="J75" s="14"/>
      <c r="K75" s="18"/>
      <c r="L75" s="17"/>
      <c r="M75" s="19"/>
      <c r="N75" s="18"/>
      <c r="S75" s="17"/>
      <c r="Y75" s="4"/>
    </row>
    <row r="76" s="2" customFormat="1" customHeight="1" spans="3:25">
      <c r="C76" s="13"/>
      <c r="D76" s="11"/>
      <c r="E76" s="10"/>
      <c r="F76" s="11"/>
      <c r="I76" s="17"/>
      <c r="J76" s="17"/>
      <c r="K76" s="19"/>
      <c r="L76" s="14"/>
      <c r="M76" s="18"/>
      <c r="N76" s="19"/>
      <c r="S76" s="17"/>
      <c r="Y76" s="4"/>
    </row>
    <row r="77" s="2" customFormat="1" customHeight="1" spans="3:25">
      <c r="C77" s="13"/>
      <c r="D77" s="11"/>
      <c r="E77" s="10"/>
      <c r="F77" s="11"/>
      <c r="I77" s="14"/>
      <c r="J77" s="14"/>
      <c r="K77" s="18"/>
      <c r="L77" s="17"/>
      <c r="M77" s="19"/>
      <c r="N77" s="18"/>
      <c r="S77" s="17"/>
      <c r="Y77" s="4"/>
    </row>
    <row r="78" s="2" customFormat="1" customHeight="1" spans="3:25">
      <c r="C78" s="13"/>
      <c r="D78" s="11"/>
      <c r="E78" s="10"/>
      <c r="F78" s="11"/>
      <c r="I78" s="17"/>
      <c r="J78" s="17"/>
      <c r="K78" s="19"/>
      <c r="L78" s="14"/>
      <c r="M78" s="18"/>
      <c r="N78" s="19"/>
      <c r="S78" s="17"/>
      <c r="Y78" s="4"/>
    </row>
    <row r="79" s="2" customFormat="1" customHeight="1" spans="3:25">
      <c r="C79" s="13"/>
      <c r="D79" s="10"/>
      <c r="E79" s="10"/>
      <c r="F79" s="10"/>
      <c r="I79" s="14"/>
      <c r="J79" s="14"/>
      <c r="K79" s="18"/>
      <c r="L79" s="17"/>
      <c r="M79" s="19"/>
      <c r="N79" s="18"/>
      <c r="S79" s="17"/>
      <c r="Y79" s="4"/>
    </row>
    <row r="80" s="2" customFormat="1" customHeight="1" spans="3:25">
      <c r="C80" s="13"/>
      <c r="D80" s="11"/>
      <c r="E80" s="10"/>
      <c r="F80" s="11"/>
      <c r="I80" s="17"/>
      <c r="J80" s="17"/>
      <c r="K80" s="19"/>
      <c r="L80" s="14"/>
      <c r="M80" s="18"/>
      <c r="N80" s="19"/>
      <c r="S80" s="17"/>
      <c r="Y80" s="4"/>
    </row>
    <row r="81" s="2" customFormat="1" customHeight="1" spans="3:25">
      <c r="C81" s="13"/>
      <c r="D81" s="11"/>
      <c r="E81" s="10"/>
      <c r="F81" s="11"/>
      <c r="I81" s="14"/>
      <c r="J81" s="14"/>
      <c r="K81" s="18"/>
      <c r="L81" s="17"/>
      <c r="M81" s="19"/>
      <c r="N81" s="18"/>
      <c r="S81" s="17"/>
      <c r="Y81" s="4"/>
    </row>
    <row r="82" s="2" customFormat="1" customHeight="1" spans="3:25">
      <c r="C82" s="13"/>
      <c r="D82" s="10"/>
      <c r="E82" s="10"/>
      <c r="F82" s="10"/>
      <c r="I82" s="17"/>
      <c r="J82" s="17"/>
      <c r="K82" s="19"/>
      <c r="L82" s="14"/>
      <c r="M82" s="18"/>
      <c r="N82" s="19"/>
      <c r="S82" s="17"/>
      <c r="Y82" s="4"/>
    </row>
    <row r="83" s="2" customFormat="1" customHeight="1" spans="3:25">
      <c r="C83" s="13"/>
      <c r="D83" s="11"/>
      <c r="E83" s="10"/>
      <c r="F83" s="11"/>
      <c r="I83" s="14"/>
      <c r="J83" s="14"/>
      <c r="K83" s="18"/>
      <c r="L83" s="17"/>
      <c r="M83" s="19"/>
      <c r="N83" s="18"/>
      <c r="S83" s="17"/>
      <c r="Y83" s="4"/>
    </row>
    <row r="84" s="2" customFormat="1" customHeight="1" spans="3:25">
      <c r="C84" s="13"/>
      <c r="D84" s="11"/>
      <c r="E84" s="10"/>
      <c r="F84" s="11"/>
      <c r="I84" s="17"/>
      <c r="J84" s="17"/>
      <c r="K84" s="19"/>
      <c r="L84" s="14"/>
      <c r="M84" s="18"/>
      <c r="N84" s="19"/>
      <c r="S84" s="17"/>
      <c r="Y84" s="4"/>
    </row>
    <row r="85" s="2" customFormat="1" customHeight="1" spans="3:25">
      <c r="C85" s="13"/>
      <c r="D85" s="11"/>
      <c r="E85" s="10"/>
      <c r="F85" s="11"/>
      <c r="I85" s="14"/>
      <c r="J85" s="14"/>
      <c r="K85" s="18"/>
      <c r="L85" s="17"/>
      <c r="M85" s="19"/>
      <c r="N85" s="18"/>
      <c r="S85" s="17"/>
      <c r="Y85" s="4"/>
    </row>
    <row r="86" s="2" customFormat="1" customHeight="1" spans="3:25">
      <c r="C86" s="13"/>
      <c r="D86" s="11"/>
      <c r="E86" s="10"/>
      <c r="F86" s="11"/>
      <c r="I86" s="14"/>
      <c r="J86" s="17"/>
      <c r="K86" s="19"/>
      <c r="L86" s="14"/>
      <c r="M86" s="18"/>
      <c r="N86" s="19"/>
      <c r="S86" s="17"/>
      <c r="Y86" s="4"/>
    </row>
    <row r="87" s="2" customFormat="1" customHeight="1" spans="3:25">
      <c r="C87" s="13"/>
      <c r="D87" s="10"/>
      <c r="E87" s="10"/>
      <c r="F87" s="10"/>
      <c r="I87" s="17"/>
      <c r="J87" s="14"/>
      <c r="K87" s="18"/>
      <c r="L87" s="17"/>
      <c r="M87" s="19"/>
      <c r="N87" s="18"/>
      <c r="S87" s="17"/>
      <c r="Y87" s="4"/>
    </row>
    <row r="88" s="2" customFormat="1" customHeight="1" spans="3:25">
      <c r="C88" s="13"/>
      <c r="D88" s="10"/>
      <c r="E88" s="10"/>
      <c r="F88" s="10"/>
      <c r="I88" s="14"/>
      <c r="J88" s="17"/>
      <c r="K88" s="19"/>
      <c r="L88" s="14"/>
      <c r="M88" s="18"/>
      <c r="N88" s="19"/>
      <c r="S88" s="17"/>
      <c r="Y88" s="4"/>
    </row>
    <row r="89" s="2" customFormat="1" customHeight="1" spans="3:25">
      <c r="C89" s="13"/>
      <c r="D89" s="11"/>
      <c r="E89" s="10"/>
      <c r="F89" s="11"/>
      <c r="I89" s="17"/>
      <c r="J89" s="14"/>
      <c r="K89" s="18"/>
      <c r="L89" s="17"/>
      <c r="M89" s="19"/>
      <c r="N89" s="18"/>
      <c r="S89" s="17"/>
      <c r="Y89" s="4"/>
    </row>
    <row r="90" s="2" customFormat="1" customHeight="1" spans="3:25">
      <c r="C90" s="13"/>
      <c r="D90" s="10"/>
      <c r="E90" s="10"/>
      <c r="F90" s="10"/>
      <c r="I90" s="14"/>
      <c r="J90" s="17"/>
      <c r="K90" s="19"/>
      <c r="L90" s="14"/>
      <c r="M90" s="18"/>
      <c r="N90" s="19"/>
      <c r="S90" s="17"/>
      <c r="Y90" s="4"/>
    </row>
    <row r="91" s="2" customFormat="1" customHeight="1" spans="3:25">
      <c r="C91" s="13"/>
      <c r="D91" s="10"/>
      <c r="E91" s="10"/>
      <c r="F91" s="10"/>
      <c r="I91" s="17"/>
      <c r="J91" s="14"/>
      <c r="K91" s="18"/>
      <c r="L91" s="17"/>
      <c r="M91" s="19"/>
      <c r="N91" s="18"/>
      <c r="S91" s="17"/>
      <c r="Y91" s="4"/>
    </row>
    <row r="92" s="2" customFormat="1" customHeight="1" spans="3:25">
      <c r="C92" s="13"/>
      <c r="D92" s="10"/>
      <c r="E92" s="10"/>
      <c r="F92" s="10"/>
      <c r="I92" s="14"/>
      <c r="J92" s="17"/>
      <c r="K92" s="19"/>
      <c r="L92" s="14"/>
      <c r="M92" s="18"/>
      <c r="N92" s="19"/>
      <c r="S92" s="17"/>
      <c r="Y92" s="4"/>
    </row>
    <row r="93" s="2" customFormat="1" customHeight="1" spans="3:25">
      <c r="C93" s="13"/>
      <c r="D93" s="11"/>
      <c r="E93" s="10"/>
      <c r="F93" s="11"/>
      <c r="I93" s="17"/>
      <c r="J93" s="14"/>
      <c r="K93" s="18"/>
      <c r="L93" s="17"/>
      <c r="M93" s="19"/>
      <c r="N93" s="18"/>
      <c r="S93" s="17"/>
      <c r="Y93" s="4"/>
    </row>
    <row r="94" s="2" customFormat="1" customHeight="1" spans="3:25">
      <c r="C94" s="13"/>
      <c r="D94" s="11"/>
      <c r="E94" s="10"/>
      <c r="F94" s="11"/>
      <c r="I94" s="14"/>
      <c r="J94" s="17"/>
      <c r="K94" s="19"/>
      <c r="L94" s="14"/>
      <c r="M94" s="18"/>
      <c r="N94" s="19"/>
      <c r="S94" s="17"/>
      <c r="Y94" s="4"/>
    </row>
    <row r="95" s="2" customFormat="1" customHeight="1" spans="3:25">
      <c r="C95" s="13"/>
      <c r="D95" s="11"/>
      <c r="E95" s="10"/>
      <c r="F95" s="11"/>
      <c r="I95" s="17"/>
      <c r="J95" s="14"/>
      <c r="K95" s="18"/>
      <c r="L95" s="17"/>
      <c r="M95" s="19"/>
      <c r="N95" s="18"/>
      <c r="S95" s="17"/>
      <c r="Y95" s="4"/>
    </row>
    <row r="96" s="2" customFormat="1" customHeight="1" spans="3:25">
      <c r="C96" s="13"/>
      <c r="D96" s="11"/>
      <c r="E96" s="10"/>
      <c r="F96" s="11"/>
      <c r="I96" s="14"/>
      <c r="J96" s="17"/>
      <c r="K96" s="19"/>
      <c r="L96" s="14"/>
      <c r="M96" s="14"/>
      <c r="N96" s="19"/>
      <c r="S96" s="17"/>
      <c r="Y96" s="4"/>
    </row>
    <row r="97" s="2" customFormat="1" customHeight="1" spans="3:25">
      <c r="C97" s="13"/>
      <c r="D97" s="11"/>
      <c r="E97" s="10"/>
      <c r="F97" s="11"/>
      <c r="I97" s="17"/>
      <c r="J97" s="14"/>
      <c r="K97" s="18"/>
      <c r="L97" s="17"/>
      <c r="M97" s="17"/>
      <c r="N97" s="18"/>
      <c r="S97" s="17"/>
      <c r="Y97" s="4"/>
    </row>
    <row r="98" s="2" customFormat="1" customHeight="1" spans="3:25">
      <c r="C98" s="13"/>
      <c r="D98" s="10"/>
      <c r="E98" s="10"/>
      <c r="F98" s="10"/>
      <c r="I98" s="17"/>
      <c r="J98" s="17"/>
      <c r="K98" s="19"/>
      <c r="L98" s="14"/>
      <c r="M98" s="14"/>
      <c r="N98" s="19"/>
      <c r="S98" s="17"/>
      <c r="Y98" s="4"/>
    </row>
    <row r="99" s="2" customFormat="1" customHeight="1" spans="3:25">
      <c r="C99" s="13"/>
      <c r="D99" s="11"/>
      <c r="E99" s="10"/>
      <c r="F99" s="11"/>
      <c r="I99" s="17"/>
      <c r="J99" s="14"/>
      <c r="K99" s="18"/>
      <c r="L99" s="17"/>
      <c r="M99" s="17"/>
      <c r="N99" s="18"/>
      <c r="S99" s="17"/>
      <c r="Y99" s="4"/>
    </row>
    <row r="100" s="2" customFormat="1" customHeight="1" spans="3:25">
      <c r="C100" s="13"/>
      <c r="D100" s="11"/>
      <c r="E100" s="10"/>
      <c r="F100" s="11"/>
      <c r="I100" s="14"/>
      <c r="J100" s="17"/>
      <c r="K100" s="19"/>
      <c r="L100" s="14"/>
      <c r="M100" s="14"/>
      <c r="N100" s="19"/>
      <c r="S100" s="17"/>
      <c r="Y100" s="4"/>
    </row>
    <row r="101" s="2" customFormat="1" customHeight="1" spans="3:25">
      <c r="C101" s="13"/>
      <c r="D101" s="10"/>
      <c r="E101" s="10"/>
      <c r="F101" s="10"/>
      <c r="I101" s="17"/>
      <c r="J101" s="14"/>
      <c r="K101" s="18"/>
      <c r="L101" s="17"/>
      <c r="M101" s="17"/>
      <c r="N101" s="18"/>
      <c r="S101" s="17"/>
      <c r="Y101" s="4"/>
    </row>
    <row r="102" s="2" customFormat="1" customHeight="1" spans="3:25">
      <c r="C102" s="13"/>
      <c r="D102" s="10"/>
      <c r="E102" s="10"/>
      <c r="F102" s="10"/>
      <c r="I102" s="14"/>
      <c r="J102" s="17"/>
      <c r="K102" s="19"/>
      <c r="L102" s="14"/>
      <c r="M102" s="14"/>
      <c r="N102" s="19"/>
      <c r="S102" s="17"/>
      <c r="Y102" s="4"/>
    </row>
    <row r="103" s="2" customFormat="1" customHeight="1" spans="3:25">
      <c r="C103" s="13"/>
      <c r="D103" s="11"/>
      <c r="E103" s="10"/>
      <c r="F103" s="11"/>
      <c r="I103" s="17"/>
      <c r="J103" s="14"/>
      <c r="K103" s="18"/>
      <c r="L103" s="17"/>
      <c r="M103" s="17"/>
      <c r="N103" s="18"/>
      <c r="S103" s="17"/>
      <c r="Y103" s="4"/>
    </row>
    <row r="104" s="2" customFormat="1" customHeight="1" spans="3:25">
      <c r="C104" s="13"/>
      <c r="D104" s="10"/>
      <c r="E104" s="10"/>
      <c r="F104" s="10"/>
      <c r="I104" s="14"/>
      <c r="J104" s="17"/>
      <c r="K104" s="19"/>
      <c r="L104" s="14"/>
      <c r="M104" s="14"/>
      <c r="N104" s="19"/>
      <c r="S104" s="17"/>
      <c r="Y104" s="4"/>
    </row>
    <row r="105" s="2" customFormat="1" customHeight="1" spans="3:25">
      <c r="C105" s="13"/>
      <c r="D105" s="10"/>
      <c r="E105" s="10"/>
      <c r="F105" s="10"/>
      <c r="I105" s="17"/>
      <c r="J105" s="14"/>
      <c r="K105" s="18"/>
      <c r="L105" s="17"/>
      <c r="M105" s="17"/>
      <c r="N105" s="18"/>
      <c r="S105" s="17"/>
      <c r="Y105" s="4"/>
    </row>
    <row r="106" s="2" customFormat="1" customHeight="1" spans="3:25">
      <c r="C106" s="13"/>
      <c r="D106" s="10"/>
      <c r="E106" s="10"/>
      <c r="F106" s="10"/>
      <c r="I106" s="14"/>
      <c r="J106" s="17"/>
      <c r="K106" s="19"/>
      <c r="L106" s="14"/>
      <c r="M106" s="14"/>
      <c r="N106" s="19"/>
      <c r="S106" s="17"/>
      <c r="Y106" s="4"/>
    </row>
    <row r="107" s="2" customFormat="1" customHeight="1" spans="3:25">
      <c r="C107" s="13"/>
      <c r="D107" s="11"/>
      <c r="E107" s="10"/>
      <c r="F107" s="11"/>
      <c r="I107" s="17"/>
      <c r="J107" s="14"/>
      <c r="K107" s="18"/>
      <c r="L107" s="17"/>
      <c r="M107" s="17"/>
      <c r="N107" s="18"/>
      <c r="S107" s="17"/>
      <c r="Y107" s="4"/>
    </row>
    <row r="108" s="2" customFormat="1" customHeight="1" spans="3:25">
      <c r="C108" s="13"/>
      <c r="D108" s="11"/>
      <c r="E108" s="10"/>
      <c r="F108" s="11"/>
      <c r="I108" s="14"/>
      <c r="J108" s="17"/>
      <c r="K108" s="19"/>
      <c r="L108" s="14"/>
      <c r="M108" s="14"/>
      <c r="N108" s="19"/>
      <c r="S108" s="17"/>
      <c r="Y108" s="4"/>
    </row>
    <row r="109" s="2" customFormat="1" customHeight="1" spans="3:25">
      <c r="C109" s="13"/>
      <c r="D109" s="10"/>
      <c r="E109" s="10"/>
      <c r="F109" s="10"/>
      <c r="I109" s="17"/>
      <c r="J109" s="14"/>
      <c r="K109" s="18"/>
      <c r="L109" s="17"/>
      <c r="M109" s="17"/>
      <c r="N109" s="18"/>
      <c r="S109" s="17"/>
      <c r="Y109" s="4"/>
    </row>
    <row r="110" s="2" customFormat="1" customHeight="1" spans="3:25">
      <c r="C110" s="13"/>
      <c r="D110" s="11"/>
      <c r="E110" s="10"/>
      <c r="F110" s="11"/>
      <c r="I110" s="14"/>
      <c r="J110" s="17"/>
      <c r="K110" s="19"/>
      <c r="L110" s="14"/>
      <c r="M110" s="14"/>
      <c r="N110" s="19"/>
      <c r="S110" s="17"/>
      <c r="Y110" s="4"/>
    </row>
    <row r="111" s="2" customFormat="1" customHeight="1" spans="3:25">
      <c r="C111" s="13"/>
      <c r="D111" s="10"/>
      <c r="E111" s="10"/>
      <c r="F111" s="10"/>
      <c r="I111" s="17"/>
      <c r="J111" s="14"/>
      <c r="K111" s="18"/>
      <c r="L111" s="17"/>
      <c r="M111" s="17"/>
      <c r="N111" s="18"/>
      <c r="S111" s="17"/>
      <c r="Y111" s="4"/>
    </row>
    <row r="112" s="2" customFormat="1" customHeight="1" spans="3:25">
      <c r="C112" s="13"/>
      <c r="D112" s="10"/>
      <c r="E112" s="10"/>
      <c r="F112" s="10"/>
      <c r="I112" s="14"/>
      <c r="J112" s="17"/>
      <c r="K112" s="19"/>
      <c r="L112" s="14"/>
      <c r="M112" s="14"/>
      <c r="N112" s="19"/>
      <c r="S112" s="17"/>
      <c r="Y112" s="4"/>
    </row>
    <row r="113" s="2" customFormat="1" customHeight="1" spans="3:25">
      <c r="C113" s="13"/>
      <c r="D113" s="11"/>
      <c r="E113" s="10"/>
      <c r="F113" s="11"/>
      <c r="I113" s="17"/>
      <c r="J113" s="14"/>
      <c r="K113" s="18"/>
      <c r="L113" s="17"/>
      <c r="M113" s="17"/>
      <c r="N113" s="18"/>
      <c r="S113" s="17"/>
      <c r="Y113" s="4"/>
    </row>
    <row r="114" s="2" customFormat="1" customHeight="1" spans="3:25">
      <c r="C114" s="13"/>
      <c r="D114" s="10"/>
      <c r="E114" s="10"/>
      <c r="F114" s="10"/>
      <c r="I114" s="14"/>
      <c r="J114" s="17"/>
      <c r="K114" s="19"/>
      <c r="L114" s="14"/>
      <c r="M114" s="14"/>
      <c r="N114" s="19"/>
      <c r="S114" s="17"/>
      <c r="Y114" s="4"/>
    </row>
    <row r="115" s="2" customFormat="1" customHeight="1" spans="3:25">
      <c r="C115" s="13"/>
      <c r="D115" s="11"/>
      <c r="E115" s="10"/>
      <c r="F115" s="11"/>
      <c r="I115" s="17"/>
      <c r="J115" s="14"/>
      <c r="K115" s="18"/>
      <c r="L115" s="17"/>
      <c r="M115" s="17"/>
      <c r="N115" s="18"/>
      <c r="S115" s="17"/>
      <c r="Y115" s="4"/>
    </row>
    <row r="116" s="2" customFormat="1" customHeight="1" spans="3:25">
      <c r="C116" s="13"/>
      <c r="D116" s="11"/>
      <c r="E116" s="10"/>
      <c r="F116" s="11"/>
      <c r="I116" s="14"/>
      <c r="J116" s="17"/>
      <c r="K116" s="19"/>
      <c r="L116" s="14"/>
      <c r="M116" s="14"/>
      <c r="N116" s="19"/>
      <c r="S116" s="17"/>
      <c r="Y116" s="4"/>
    </row>
    <row r="117" s="2" customFormat="1" customHeight="1" spans="3:25">
      <c r="C117" s="13"/>
      <c r="D117" s="11"/>
      <c r="E117" s="10"/>
      <c r="F117" s="11"/>
      <c r="I117" s="17"/>
      <c r="J117" s="14"/>
      <c r="K117" s="18"/>
      <c r="L117" s="17"/>
      <c r="M117" s="17"/>
      <c r="N117" s="18"/>
      <c r="S117" s="17"/>
      <c r="Y117" s="4"/>
    </row>
    <row r="118" s="2" customFormat="1" customHeight="1" spans="3:25">
      <c r="C118" s="23"/>
      <c r="D118" s="11"/>
      <c r="E118" s="10"/>
      <c r="F118" s="11"/>
      <c r="J118" s="17"/>
      <c r="K118" s="18"/>
      <c r="L118" s="14"/>
      <c r="M118" s="14"/>
      <c r="N118" s="19"/>
      <c r="S118" s="17"/>
      <c r="Y118" s="4"/>
    </row>
    <row r="119" s="2" customFormat="1" customHeight="1" spans="3:25">
      <c r="C119" s="23"/>
      <c r="D119" s="10"/>
      <c r="E119" s="10"/>
      <c r="F119" s="10"/>
      <c r="J119" s="14"/>
      <c r="K119" s="19"/>
      <c r="L119" s="17"/>
      <c r="M119" s="17"/>
      <c r="N119" s="18"/>
      <c r="S119" s="17"/>
      <c r="Y119" s="4"/>
    </row>
    <row r="120" s="2" customFormat="1" customHeight="1" spans="3:25">
      <c r="C120" s="23"/>
      <c r="D120" s="10"/>
      <c r="E120" s="10"/>
      <c r="F120" s="10"/>
      <c r="J120" s="17"/>
      <c r="K120" s="18"/>
      <c r="L120" s="14"/>
      <c r="M120" s="14"/>
      <c r="N120" s="19"/>
      <c r="S120" s="17"/>
      <c r="Y120" s="4"/>
    </row>
    <row r="121" s="2" customFormat="1" customHeight="1" spans="3:25">
      <c r="C121" s="23"/>
      <c r="D121" s="10"/>
      <c r="E121" s="10"/>
      <c r="F121" s="10"/>
      <c r="J121" s="14"/>
      <c r="K121" s="19"/>
      <c r="L121" s="17"/>
      <c r="M121" s="17"/>
      <c r="N121" s="18"/>
      <c r="S121" s="17"/>
      <c r="Y121" s="4"/>
    </row>
    <row r="122" s="2" customFormat="1" customHeight="1" spans="3:25">
      <c r="C122" s="23"/>
      <c r="D122" s="11"/>
      <c r="E122" s="10"/>
      <c r="F122" s="11"/>
      <c r="J122" s="17"/>
      <c r="K122" s="18"/>
      <c r="L122" s="14"/>
      <c r="M122" s="14"/>
      <c r="N122" s="19"/>
      <c r="S122" s="17"/>
      <c r="Y122" s="4"/>
    </row>
    <row r="123" s="2" customFormat="1" customHeight="1" spans="3:25">
      <c r="C123" s="23"/>
      <c r="D123" s="10"/>
      <c r="E123" s="10"/>
      <c r="F123" s="10"/>
      <c r="J123" s="14"/>
      <c r="K123" s="19"/>
      <c r="L123" s="17"/>
      <c r="M123" s="17"/>
      <c r="N123" s="18"/>
      <c r="S123" s="17"/>
      <c r="Y123" s="4"/>
    </row>
    <row r="124" s="2" customFormat="1" customHeight="1" spans="3:25">
      <c r="C124" s="23"/>
      <c r="D124" s="11"/>
      <c r="E124" s="10"/>
      <c r="F124" s="11"/>
      <c r="J124" s="17"/>
      <c r="K124" s="18"/>
      <c r="L124" s="14"/>
      <c r="M124" s="14"/>
      <c r="N124" s="19"/>
      <c r="S124" s="17"/>
      <c r="Y124" s="4"/>
    </row>
    <row r="125" s="2" customFormat="1" customHeight="1" spans="3:25">
      <c r="C125" s="23"/>
      <c r="D125" s="10"/>
      <c r="E125" s="10"/>
      <c r="F125" s="10"/>
      <c r="J125" s="14"/>
      <c r="K125" s="19"/>
      <c r="L125" s="17"/>
      <c r="M125" s="17"/>
      <c r="N125" s="18"/>
      <c r="S125" s="17"/>
      <c r="Y125" s="4"/>
    </row>
    <row r="126" s="2" customFormat="1" customHeight="1" spans="3:25">
      <c r="C126" s="23"/>
      <c r="D126" s="11"/>
      <c r="E126" s="10"/>
      <c r="F126" s="11"/>
      <c r="J126" s="14"/>
      <c r="K126" s="19"/>
      <c r="L126" s="17"/>
      <c r="M126" s="14"/>
      <c r="N126" s="19"/>
      <c r="S126" s="17"/>
      <c r="Y126" s="4"/>
    </row>
    <row r="127" s="2" customFormat="1" customHeight="1" spans="3:25">
      <c r="C127" s="23"/>
      <c r="D127" s="11"/>
      <c r="E127" s="10"/>
      <c r="F127" s="11"/>
      <c r="J127" s="17"/>
      <c r="K127" s="18"/>
      <c r="L127" s="14"/>
      <c r="M127" s="17"/>
      <c r="N127" s="18"/>
      <c r="S127" s="17"/>
      <c r="Y127" s="4"/>
    </row>
    <row r="128" s="2" customFormat="1" customHeight="1" spans="3:25">
      <c r="C128" s="23"/>
      <c r="D128" s="10"/>
      <c r="E128" s="10"/>
      <c r="F128" s="10"/>
      <c r="J128" s="14"/>
      <c r="K128" s="19"/>
      <c r="L128" s="17"/>
      <c r="M128" s="14"/>
      <c r="N128" s="18"/>
      <c r="S128" s="17"/>
      <c r="Y128" s="4"/>
    </row>
    <row r="129" s="2" customFormat="1" customHeight="1" spans="3:25">
      <c r="C129" s="23"/>
      <c r="D129" s="11"/>
      <c r="E129" s="10"/>
      <c r="F129" s="11"/>
      <c r="J129" s="17"/>
      <c r="K129" s="18"/>
      <c r="L129" s="14"/>
      <c r="M129" s="17"/>
      <c r="N129" s="19"/>
      <c r="S129" s="17"/>
      <c r="Y129" s="4"/>
    </row>
    <row r="130" s="2" customFormat="1" customHeight="1" spans="3:25">
      <c r="C130" s="23"/>
      <c r="D130" s="10"/>
      <c r="E130" s="10"/>
      <c r="F130" s="10"/>
      <c r="J130" s="14"/>
      <c r="K130" s="19"/>
      <c r="L130" s="17"/>
      <c r="M130" s="14"/>
      <c r="N130" s="18"/>
      <c r="S130" s="17"/>
      <c r="Y130" s="4"/>
    </row>
    <row r="131" s="2" customFormat="1" customHeight="1" spans="3:25">
      <c r="C131" s="23"/>
      <c r="D131" s="10"/>
      <c r="E131" s="10"/>
      <c r="F131" s="10"/>
      <c r="J131" s="17"/>
      <c r="K131" s="18"/>
      <c r="L131" s="14"/>
      <c r="M131" s="17"/>
      <c r="N131" s="19"/>
      <c r="S131" s="17"/>
      <c r="Y131" s="4"/>
    </row>
    <row r="132" s="2" customFormat="1" customHeight="1" spans="3:25">
      <c r="C132" s="23"/>
      <c r="D132" s="10"/>
      <c r="E132" s="10"/>
      <c r="F132" s="10"/>
      <c r="J132" s="14"/>
      <c r="K132" s="19"/>
      <c r="L132" s="17"/>
      <c r="M132" s="14"/>
      <c r="N132" s="18"/>
      <c r="S132" s="17"/>
      <c r="Y132" s="4"/>
    </row>
    <row r="133" s="2" customFormat="1" customHeight="1" spans="3:25">
      <c r="C133" s="23"/>
      <c r="D133" s="11"/>
      <c r="E133" s="10"/>
      <c r="F133" s="11"/>
      <c r="J133" s="17"/>
      <c r="K133" s="18"/>
      <c r="L133" s="14"/>
      <c r="M133" s="17"/>
      <c r="N133" s="19"/>
      <c r="S133" s="17"/>
      <c r="Y133" s="4"/>
    </row>
    <row r="134" s="2" customFormat="1" customHeight="1" spans="3:25">
      <c r="C134" s="23"/>
      <c r="D134" s="10"/>
      <c r="E134" s="10"/>
      <c r="F134" s="10"/>
      <c r="J134" s="14"/>
      <c r="K134" s="19"/>
      <c r="L134" s="17"/>
      <c r="M134" s="14"/>
      <c r="N134" s="18"/>
      <c r="S134" s="17"/>
      <c r="Y134" s="4"/>
    </row>
    <row r="135" s="2" customFormat="1" customHeight="1" spans="3:25">
      <c r="C135" s="23"/>
      <c r="D135" s="11"/>
      <c r="E135" s="10"/>
      <c r="F135" s="11"/>
      <c r="J135" s="17"/>
      <c r="K135" s="18"/>
      <c r="L135" s="14"/>
      <c r="M135" s="17"/>
      <c r="N135" s="19"/>
      <c r="S135" s="17"/>
      <c r="Y135" s="4"/>
    </row>
    <row r="136" s="2" customFormat="1" customHeight="1" spans="3:25">
      <c r="C136" s="23"/>
      <c r="D136" s="11"/>
      <c r="E136" s="10"/>
      <c r="F136" s="11"/>
      <c r="J136" s="14"/>
      <c r="K136" s="19"/>
      <c r="L136" s="17"/>
      <c r="M136" s="14"/>
      <c r="N136" s="18"/>
      <c r="S136" s="17"/>
      <c r="Y136" s="4"/>
    </row>
    <row r="137" s="2" customFormat="1" customHeight="1" spans="3:25">
      <c r="C137" s="23"/>
      <c r="D137" s="11"/>
      <c r="E137" s="10"/>
      <c r="F137" s="11"/>
      <c r="J137" s="17"/>
      <c r="K137" s="18"/>
      <c r="L137" s="14"/>
      <c r="M137" s="14"/>
      <c r="N137" s="19"/>
      <c r="S137" s="17"/>
      <c r="Y137" s="4"/>
    </row>
    <row r="138" s="2" customFormat="1" customHeight="1" spans="3:25">
      <c r="C138" s="23"/>
      <c r="D138" s="11"/>
      <c r="E138" s="10"/>
      <c r="F138" s="11"/>
      <c r="J138" s="14"/>
      <c r="K138" s="18"/>
      <c r="L138" s="17"/>
      <c r="M138" s="17"/>
      <c r="N138" s="18"/>
      <c r="S138" s="17"/>
      <c r="Y138" s="4"/>
    </row>
    <row r="139" s="2" customFormat="1" customHeight="1" spans="3:25">
      <c r="C139" s="23"/>
      <c r="D139" s="11"/>
      <c r="E139" s="10"/>
      <c r="F139" s="11"/>
      <c r="J139" s="17"/>
      <c r="K139" s="19"/>
      <c r="L139" s="14"/>
      <c r="M139" s="14"/>
      <c r="N139" s="19"/>
      <c r="S139" s="17"/>
      <c r="Y139" s="4"/>
    </row>
    <row r="140" s="2" customFormat="1" customHeight="1" spans="3:25">
      <c r="C140" s="23"/>
      <c r="D140" s="11"/>
      <c r="E140" s="10"/>
      <c r="F140" s="11"/>
      <c r="J140" s="14"/>
      <c r="K140" s="18"/>
      <c r="L140" s="17"/>
      <c r="M140" s="17"/>
      <c r="N140" s="18"/>
      <c r="S140" s="17"/>
      <c r="Y140" s="4"/>
    </row>
    <row r="141" s="2" customFormat="1" customHeight="1" spans="3:25">
      <c r="C141" s="23"/>
      <c r="D141" s="10"/>
      <c r="E141" s="10"/>
      <c r="F141" s="10"/>
      <c r="J141" s="17"/>
      <c r="K141" s="19"/>
      <c r="L141" s="14"/>
      <c r="M141" s="14"/>
      <c r="N141" s="19"/>
      <c r="S141" s="17"/>
      <c r="Y141" s="4"/>
    </row>
    <row r="142" s="2" customFormat="1" customHeight="1" spans="3:25">
      <c r="C142" s="23"/>
      <c r="D142" s="11"/>
      <c r="E142" s="10"/>
      <c r="F142" s="11"/>
      <c r="J142" s="14"/>
      <c r="K142" s="18"/>
      <c r="L142" s="2"/>
      <c r="M142" s="17"/>
      <c r="N142" s="18"/>
      <c r="S142" s="17"/>
      <c r="Y142" s="4"/>
    </row>
    <row r="143" s="2" customFormat="1" customHeight="1" spans="3:25">
      <c r="C143" s="23"/>
      <c r="D143" s="10"/>
      <c r="E143" s="10"/>
      <c r="F143" s="10"/>
      <c r="J143" s="17"/>
      <c r="K143" s="19"/>
      <c r="L143" s="2"/>
      <c r="M143" s="14"/>
      <c r="N143" s="19"/>
      <c r="S143" s="17"/>
      <c r="Y143" s="4"/>
    </row>
    <row r="144" s="2" customFormat="1" customHeight="1" spans="3:25">
      <c r="C144" s="23"/>
      <c r="D144" s="10"/>
      <c r="E144" s="10"/>
      <c r="F144" s="10"/>
      <c r="J144" s="14"/>
      <c r="K144" s="18"/>
      <c r="L144" s="2"/>
      <c r="M144" s="17"/>
      <c r="N144" s="18"/>
      <c r="S144" s="17"/>
      <c r="Y144" s="4"/>
    </row>
    <row r="145" s="2" customFormat="1" customHeight="1" spans="3:25">
      <c r="C145" s="23"/>
      <c r="D145" s="10"/>
      <c r="E145" s="10"/>
      <c r="F145" s="10"/>
      <c r="J145" s="17"/>
      <c r="K145" s="19"/>
      <c r="L145" s="2"/>
      <c r="M145" s="14"/>
      <c r="N145" s="19"/>
      <c r="S145" s="17"/>
      <c r="Y145" s="4"/>
    </row>
    <row r="146" s="2" customFormat="1" customHeight="1" spans="3:25">
      <c r="C146" s="23"/>
      <c r="D146" s="11"/>
      <c r="E146" s="10"/>
      <c r="F146" s="11"/>
      <c r="J146" s="14"/>
      <c r="K146" s="18"/>
      <c r="L146" s="2"/>
      <c r="M146" s="17"/>
      <c r="N146" s="18"/>
      <c r="S146" s="17"/>
      <c r="Y146" s="4"/>
    </row>
    <row r="147" s="2" customFormat="1" customHeight="1" spans="3:25">
      <c r="C147" s="23"/>
      <c r="D147" s="10"/>
      <c r="E147" s="10"/>
      <c r="F147" s="10"/>
      <c r="J147" s="17"/>
      <c r="K147" s="19"/>
      <c r="L147" s="2"/>
      <c r="M147" s="14"/>
      <c r="N147" s="19"/>
      <c r="S147" s="17"/>
      <c r="Y147" s="4"/>
    </row>
    <row r="148" s="2" customFormat="1" customHeight="1" spans="3:25">
      <c r="C148" s="23"/>
      <c r="D148" s="11"/>
      <c r="E148" s="10"/>
      <c r="F148" s="11"/>
      <c r="J148" s="14"/>
      <c r="K148" s="18"/>
      <c r="L148" s="2"/>
      <c r="M148" s="17"/>
      <c r="N148" s="18"/>
      <c r="S148" s="17"/>
      <c r="Y148" s="4"/>
    </row>
    <row r="149" s="2" customFormat="1" customHeight="1" spans="3:25">
      <c r="C149" s="23"/>
      <c r="D149" s="10"/>
      <c r="E149" s="10"/>
      <c r="F149" s="10"/>
      <c r="J149" s="17"/>
      <c r="K149" s="19"/>
      <c r="L149" s="2"/>
      <c r="M149" s="14"/>
      <c r="N149" s="19"/>
      <c r="S149" s="17"/>
      <c r="Y149" s="4"/>
    </row>
    <row r="150" s="2" customFormat="1" customHeight="1" spans="3:25">
      <c r="C150" s="23"/>
      <c r="D150" s="11"/>
      <c r="E150" s="10"/>
      <c r="F150" s="11"/>
      <c r="J150" s="14"/>
      <c r="K150" s="18"/>
      <c r="L150" s="2"/>
      <c r="M150" s="17"/>
      <c r="N150" s="18"/>
      <c r="S150" s="17"/>
      <c r="Y150" s="4"/>
    </row>
    <row r="151" s="2" customFormat="1" customHeight="1" spans="3:25">
      <c r="C151" s="23"/>
      <c r="D151" s="11"/>
      <c r="E151" s="10"/>
      <c r="F151" s="11"/>
      <c r="J151" s="17"/>
      <c r="K151" s="19"/>
      <c r="L151" s="2"/>
      <c r="M151" s="14"/>
      <c r="N151" s="19"/>
      <c r="S151" s="17"/>
      <c r="Y151" s="4"/>
    </row>
    <row r="152" s="2" customFormat="1" customHeight="1" spans="3:25">
      <c r="C152" s="23"/>
      <c r="D152" s="11"/>
      <c r="E152" s="10"/>
      <c r="F152" s="11"/>
      <c r="J152" s="14"/>
      <c r="K152" s="18"/>
      <c r="L152" s="2"/>
      <c r="M152" s="17"/>
      <c r="N152" s="18"/>
      <c r="S152" s="17"/>
      <c r="Y152" s="4"/>
    </row>
    <row r="153" s="2" customFormat="1" customHeight="1" spans="3:25">
      <c r="C153" s="23"/>
      <c r="D153" s="10"/>
      <c r="E153" s="10"/>
      <c r="F153" s="10"/>
      <c r="J153" s="17"/>
      <c r="K153" s="19"/>
      <c r="L153" s="2"/>
      <c r="M153" s="14"/>
      <c r="N153" s="18"/>
      <c r="S153" s="17"/>
      <c r="Y153" s="4"/>
    </row>
    <row r="154" s="2" customFormat="1" customHeight="1" spans="3:25">
      <c r="C154" s="23"/>
      <c r="D154" s="10"/>
      <c r="E154" s="10"/>
      <c r="F154" s="10"/>
      <c r="J154" s="14"/>
      <c r="K154" s="18"/>
      <c r="L154" s="2"/>
      <c r="M154" s="17"/>
      <c r="N154" s="19"/>
      <c r="S154" s="17"/>
      <c r="Y154" s="4"/>
    </row>
    <row r="155" s="2" customFormat="1" customHeight="1" spans="3:25">
      <c r="C155" s="23"/>
      <c r="D155" s="10"/>
      <c r="E155" s="10"/>
      <c r="F155" s="10"/>
      <c r="J155" s="17"/>
      <c r="K155" s="19"/>
      <c r="L155" s="2"/>
      <c r="M155" s="14"/>
      <c r="N155" s="18"/>
      <c r="S155" s="17"/>
      <c r="Y155" s="4"/>
    </row>
    <row r="156" s="2" customFormat="1" customHeight="1" spans="3:25">
      <c r="C156" s="23"/>
      <c r="D156" s="10"/>
      <c r="E156" s="10"/>
      <c r="F156" s="10"/>
      <c r="J156" s="14"/>
      <c r="K156" s="18"/>
      <c r="L156" s="2"/>
      <c r="M156" s="17"/>
      <c r="N156" s="19"/>
      <c r="S156" s="17"/>
      <c r="Y156" s="4"/>
    </row>
    <row r="157" s="2" customFormat="1" customHeight="1" spans="3:25">
      <c r="C157" s="23"/>
      <c r="D157" s="10"/>
      <c r="E157" s="10"/>
      <c r="F157" s="10"/>
      <c r="J157" s="17"/>
      <c r="K157" s="19"/>
      <c r="L157" s="2"/>
      <c r="M157" s="14"/>
      <c r="N157" s="18"/>
      <c r="S157" s="17"/>
      <c r="Y157" s="4"/>
    </row>
    <row r="158" s="2" customFormat="1" customHeight="1" spans="3:25">
      <c r="C158" s="23"/>
      <c r="D158" s="10"/>
      <c r="E158" s="10"/>
      <c r="F158" s="10"/>
      <c r="J158" s="14"/>
      <c r="K158" s="18"/>
      <c r="L158" s="2"/>
      <c r="M158" s="17"/>
      <c r="N158" s="19"/>
      <c r="S158" s="17"/>
      <c r="Y158" s="4"/>
    </row>
    <row r="159" s="2" customFormat="1" customHeight="1" spans="3:25">
      <c r="C159" s="23"/>
      <c r="D159" s="3"/>
      <c r="E159" s="10"/>
      <c r="F159" s="3"/>
      <c r="J159" s="17"/>
      <c r="K159" s="19"/>
      <c r="L159" s="2"/>
      <c r="M159" s="14"/>
      <c r="N159" s="18"/>
      <c r="S159" s="17"/>
      <c r="Y159" s="4"/>
    </row>
    <row r="160" s="2" customFormat="1" customHeight="1" spans="3:25">
      <c r="C160" s="23"/>
      <c r="D160" s="3"/>
      <c r="E160" s="10"/>
      <c r="F160" s="3"/>
      <c r="J160" s="14"/>
      <c r="K160" s="18"/>
      <c r="L160" s="2"/>
      <c r="M160" s="17"/>
      <c r="N160" s="19"/>
      <c r="S160" s="17"/>
      <c r="Y160" s="4"/>
    </row>
    <row r="161" s="2" customFormat="1" customHeight="1" spans="3:25">
      <c r="C161" s="23"/>
      <c r="D161" s="3"/>
      <c r="E161" s="10"/>
      <c r="F161" s="3"/>
      <c r="J161" s="17"/>
      <c r="K161" s="19"/>
      <c r="L161" s="2"/>
      <c r="M161" s="14"/>
      <c r="N161" s="18"/>
      <c r="S161" s="17"/>
      <c r="Y161" s="4"/>
    </row>
    <row r="162" s="2" customFormat="1" customHeight="1" spans="3:25">
      <c r="C162" s="23"/>
      <c r="D162" s="3"/>
      <c r="E162" s="10"/>
      <c r="F162" s="3"/>
      <c r="J162" s="14"/>
      <c r="K162" s="18"/>
      <c r="L162" s="2"/>
      <c r="M162" s="17"/>
      <c r="N162" s="19"/>
      <c r="S162" s="17"/>
      <c r="Y162" s="4"/>
    </row>
    <row r="163" s="2" customFormat="1" customHeight="1" spans="3:25">
      <c r="C163" s="23"/>
      <c r="D163" s="3"/>
      <c r="E163" s="10"/>
      <c r="F163" s="3"/>
      <c r="J163" s="17"/>
      <c r="K163" s="19"/>
      <c r="L163" s="2"/>
      <c r="M163" s="14"/>
      <c r="N163" s="18"/>
      <c r="S163" s="17"/>
      <c r="Y163" s="4"/>
    </row>
    <row r="164" s="2" customFormat="1" customHeight="1" spans="3:25">
      <c r="C164" s="23"/>
      <c r="D164" s="3"/>
      <c r="E164" s="10"/>
      <c r="F164" s="3"/>
      <c r="J164" s="14"/>
      <c r="K164" s="18"/>
      <c r="L164" s="2"/>
      <c r="M164" s="17"/>
      <c r="N164" s="19"/>
      <c r="S164" s="17"/>
      <c r="Y164" s="4"/>
    </row>
    <row r="165" s="2" customFormat="1" customHeight="1" spans="3:25">
      <c r="C165" s="23"/>
      <c r="D165" s="3"/>
      <c r="E165" s="10"/>
      <c r="F165" s="3"/>
      <c r="K165" s="18"/>
      <c r="L165" s="14"/>
      <c r="M165" s="3"/>
      <c r="N165" s="18"/>
      <c r="S165" s="17"/>
      <c r="Y165" s="4"/>
    </row>
    <row r="166" s="2" customFormat="1" customHeight="1" spans="3:25">
      <c r="C166" s="24"/>
      <c r="D166" s="3"/>
      <c r="E166" s="10"/>
      <c r="F166" s="3"/>
      <c r="K166" s="19"/>
      <c r="L166" s="17"/>
      <c r="M166" s="2"/>
      <c r="N166" s="19"/>
      <c r="S166" s="17"/>
      <c r="Y166" s="4"/>
    </row>
    <row r="167" s="2" customFormat="1" customHeight="1" spans="3:25">
      <c r="C167" s="24"/>
      <c r="D167" s="3"/>
      <c r="E167" s="10"/>
      <c r="F167" s="3"/>
      <c r="K167" s="18"/>
      <c r="L167" s="14"/>
      <c r="M167" s="2"/>
      <c r="N167" s="18"/>
      <c r="S167" s="17"/>
      <c r="Y167" s="4"/>
    </row>
    <row r="168" s="2" customFormat="1" customHeight="1" spans="3:25">
      <c r="C168" s="23"/>
      <c r="D168" s="3"/>
      <c r="E168" s="10"/>
      <c r="F168" s="3"/>
      <c r="K168" s="19"/>
      <c r="L168" s="17"/>
      <c r="M168" s="2"/>
      <c r="N168" s="19"/>
      <c r="S168" s="17"/>
      <c r="Y168" s="4"/>
    </row>
    <row r="169" s="2" customFormat="1" customHeight="1" spans="3:25">
      <c r="C169" s="24"/>
      <c r="D169" s="3"/>
      <c r="E169" s="10"/>
      <c r="F169" s="3"/>
      <c r="K169" s="18"/>
      <c r="L169" s="14"/>
      <c r="M169" s="2"/>
      <c r="N169" s="18"/>
      <c r="S169" s="17"/>
      <c r="Y169" s="4"/>
    </row>
    <row r="170" s="2" customFormat="1" customHeight="1" spans="3:25">
      <c r="C170" s="24"/>
      <c r="D170" s="3"/>
      <c r="E170" s="10"/>
      <c r="F170" s="3"/>
      <c r="K170" s="19"/>
      <c r="L170" s="17"/>
      <c r="M170" s="2"/>
      <c r="N170" s="19"/>
      <c r="S170" s="17"/>
      <c r="Y170" s="4"/>
    </row>
    <row r="171" s="2" customFormat="1" customHeight="1" spans="3:25">
      <c r="C171" s="24"/>
      <c r="D171" s="3"/>
      <c r="E171" s="10"/>
      <c r="F171" s="3"/>
      <c r="K171" s="18"/>
      <c r="L171" s="14"/>
      <c r="M171" s="2"/>
      <c r="N171" s="18"/>
      <c r="S171" s="17"/>
      <c r="Y171" s="4"/>
    </row>
    <row r="172" s="2" customFormat="1" customHeight="1" spans="3:25">
      <c r="C172" s="24"/>
      <c r="D172" s="3"/>
      <c r="E172" s="10"/>
      <c r="F172" s="3"/>
      <c r="K172" s="19"/>
      <c r="L172" s="17"/>
      <c r="M172" s="2"/>
      <c r="N172" s="19"/>
      <c r="S172" s="17"/>
      <c r="Y172" s="4"/>
    </row>
    <row r="173" s="2" customFormat="1" customHeight="1" spans="3:25">
      <c r="C173" s="24"/>
      <c r="D173" s="3"/>
      <c r="E173" s="10"/>
      <c r="F173" s="3"/>
      <c r="K173" s="18"/>
      <c r="L173" s="14"/>
      <c r="M173" s="2"/>
      <c r="N173" s="2"/>
      <c r="S173" s="17"/>
      <c r="Y173" s="4"/>
    </row>
    <row r="174" s="2" customFormat="1" customHeight="1" spans="3:25">
      <c r="C174" s="24"/>
      <c r="D174" s="3"/>
      <c r="E174" s="10"/>
      <c r="F174" s="3"/>
      <c r="K174" s="19"/>
      <c r="L174" s="17"/>
      <c r="M174" s="2"/>
      <c r="N174" s="2"/>
      <c r="S174" s="17"/>
      <c r="Y174" s="4"/>
    </row>
    <row r="175" s="2" customFormat="1" customHeight="1" spans="3:25">
      <c r="C175" s="24"/>
      <c r="D175" s="3"/>
      <c r="E175" s="10"/>
      <c r="F175" s="3"/>
      <c r="K175" s="18"/>
      <c r="L175" s="14"/>
      <c r="M175" s="2"/>
      <c r="N175" s="2"/>
      <c r="S175" s="17"/>
      <c r="Y175" s="4"/>
    </row>
    <row r="176" s="2" customFormat="1" customHeight="1" spans="3:25">
      <c r="C176" s="23"/>
      <c r="D176" s="3"/>
      <c r="E176" s="10"/>
      <c r="F176" s="3"/>
      <c r="K176" s="19"/>
      <c r="L176" s="17"/>
      <c r="M176" s="2"/>
      <c r="N176" s="2"/>
      <c r="S176" s="17"/>
      <c r="Y176" s="4"/>
    </row>
    <row r="177" s="2" customFormat="1" customHeight="1" spans="3:25">
      <c r="C177" s="24"/>
      <c r="D177" s="3"/>
      <c r="E177" s="10"/>
      <c r="F177" s="3"/>
      <c r="K177" s="18"/>
      <c r="L177" s="14"/>
      <c r="M177" s="2"/>
      <c r="N177" s="2"/>
      <c r="S177" s="17"/>
      <c r="Y177" s="4"/>
    </row>
    <row r="178" s="2" customFormat="1" customHeight="1" spans="3:25">
      <c r="C178" s="23"/>
      <c r="D178" s="3"/>
      <c r="E178" s="10"/>
      <c r="F178" s="3"/>
      <c r="K178" s="19"/>
      <c r="L178" s="17"/>
      <c r="M178" s="2"/>
      <c r="N178" s="2"/>
      <c r="S178" s="17"/>
      <c r="Y178" s="4"/>
    </row>
    <row r="179" s="2" customFormat="1" customHeight="1" spans="3:25">
      <c r="C179" s="24"/>
      <c r="D179" s="3"/>
      <c r="E179" s="10"/>
      <c r="F179" s="3"/>
      <c r="K179" s="18"/>
      <c r="L179" s="14"/>
      <c r="M179" s="2"/>
      <c r="N179" s="2"/>
      <c r="S179" s="17"/>
      <c r="Y179" s="4"/>
    </row>
    <row r="180" s="2" customFormat="1" customHeight="1" spans="3:25">
      <c r="C180" s="24"/>
      <c r="D180" s="3"/>
      <c r="E180" s="10"/>
      <c r="F180" s="3"/>
      <c r="K180" s="19"/>
      <c r="L180" s="17"/>
      <c r="M180" s="2"/>
      <c r="N180" s="2"/>
      <c r="S180" s="17"/>
      <c r="Y180" s="4"/>
    </row>
    <row r="181" s="2" customFormat="1" customHeight="1" spans="3:25">
      <c r="C181" s="24"/>
      <c r="D181" s="3"/>
      <c r="E181" s="10"/>
      <c r="F181" s="3"/>
      <c r="K181" s="18"/>
      <c r="L181" s="14"/>
      <c r="M181" s="2"/>
      <c r="N181" s="2"/>
      <c r="S181" s="17"/>
      <c r="Y181" s="4"/>
    </row>
    <row r="182" s="2" customFormat="1" customHeight="1" spans="3:25">
      <c r="C182" s="25"/>
      <c r="D182" s="3"/>
      <c r="E182" s="10"/>
      <c r="F182" s="3"/>
      <c r="K182" s="19"/>
      <c r="L182" s="17"/>
      <c r="M182" s="2"/>
      <c r="N182" s="2"/>
      <c r="S182" s="17"/>
      <c r="Y182" s="4"/>
    </row>
    <row r="183" s="2" customFormat="1" customHeight="1" spans="3:25">
      <c r="C183" s="25"/>
      <c r="D183" s="3"/>
      <c r="E183" s="10"/>
      <c r="F183" s="3"/>
      <c r="K183" s="18"/>
      <c r="L183" s="14"/>
      <c r="M183" s="2"/>
      <c r="N183" s="2"/>
      <c r="S183" s="17"/>
      <c r="Y183" s="4"/>
    </row>
    <row r="184" s="2" customFormat="1" customHeight="1" spans="3:25">
      <c r="C184" s="24"/>
      <c r="D184" s="3"/>
      <c r="E184" s="10"/>
      <c r="F184" s="3"/>
      <c r="K184" s="19"/>
      <c r="L184" s="17"/>
      <c r="M184" s="2"/>
      <c r="N184" s="2"/>
      <c r="S184" s="17"/>
      <c r="Y184" s="4"/>
    </row>
    <row r="185" s="2" customFormat="1" customHeight="1" spans="3:25">
      <c r="C185" s="24"/>
      <c r="D185" s="3"/>
      <c r="E185" s="10"/>
      <c r="F185" s="3"/>
      <c r="K185" s="18"/>
      <c r="L185" s="14"/>
      <c r="M185" s="2"/>
      <c r="N185" s="2"/>
      <c r="S185" s="17"/>
      <c r="Y185" s="4"/>
    </row>
    <row r="186" s="2" customFormat="1" customHeight="1" spans="3:25">
      <c r="C186" s="23"/>
      <c r="D186" s="3"/>
      <c r="E186" s="10"/>
      <c r="F186" s="3"/>
      <c r="K186" s="19"/>
      <c r="L186" s="17"/>
      <c r="M186" s="2"/>
      <c r="N186" s="2"/>
      <c r="S186" s="17"/>
      <c r="Y186" s="4"/>
    </row>
    <row r="187" s="2" customFormat="1" customHeight="1" spans="3:25">
      <c r="C187" s="24"/>
      <c r="D187" s="3"/>
      <c r="E187" s="10"/>
      <c r="F187" s="3"/>
      <c r="K187" s="18"/>
      <c r="L187" s="14"/>
      <c r="M187" s="2"/>
      <c r="N187" s="2"/>
      <c r="S187" s="17"/>
      <c r="Y187" s="4"/>
    </row>
    <row r="188" s="2" customFormat="1" customHeight="1" spans="3:25">
      <c r="C188" s="24"/>
      <c r="D188" s="3"/>
      <c r="E188" s="10"/>
      <c r="F188" s="3"/>
      <c r="K188" s="19"/>
      <c r="L188" s="17"/>
      <c r="M188" s="2"/>
      <c r="N188" s="2"/>
      <c r="S188" s="17"/>
      <c r="Y188" s="4"/>
    </row>
    <row r="189" s="2" customFormat="1" customHeight="1" spans="3:25">
      <c r="C189" s="25"/>
      <c r="D189" s="3"/>
      <c r="E189" s="10"/>
      <c r="F189" s="3"/>
      <c r="K189" s="18"/>
      <c r="L189" s="14"/>
      <c r="M189" s="2"/>
      <c r="N189" s="2"/>
      <c r="S189" s="17"/>
      <c r="Y189" s="4"/>
    </row>
    <row r="190" s="2" customFormat="1" customHeight="1" spans="3:25">
      <c r="C190" s="24"/>
      <c r="D190" s="3"/>
      <c r="E190" s="10"/>
      <c r="F190" s="3"/>
      <c r="K190" s="19"/>
      <c r="L190" s="17"/>
      <c r="M190" s="2"/>
      <c r="N190" s="2"/>
      <c r="S190" s="17"/>
      <c r="Y190" s="4"/>
    </row>
    <row r="191" s="2" customFormat="1" customHeight="1" spans="3:25">
      <c r="C191" s="25"/>
      <c r="D191" s="3"/>
      <c r="E191" s="10"/>
      <c r="F191" s="3"/>
      <c r="K191" s="18"/>
      <c r="L191" s="14"/>
      <c r="M191" s="2"/>
      <c r="N191" s="2"/>
      <c r="S191" s="17"/>
      <c r="Y191" s="4"/>
    </row>
    <row r="192" s="2" customFormat="1" customHeight="1" spans="3:25">
      <c r="C192" s="24"/>
      <c r="D192" s="3"/>
      <c r="E192" s="10"/>
      <c r="F192" s="3"/>
      <c r="K192" s="19"/>
      <c r="L192" s="17"/>
      <c r="M192" s="2"/>
      <c r="N192" s="2"/>
      <c r="S192" s="17"/>
      <c r="Y192" s="4"/>
    </row>
    <row r="193" s="2" customFormat="1" customHeight="1" spans="3:25">
      <c r="C193" s="25"/>
      <c r="D193" s="3"/>
      <c r="E193" s="10"/>
      <c r="F193" s="3"/>
      <c r="K193" s="18"/>
      <c r="L193" s="14"/>
      <c r="M193" s="2"/>
      <c r="N193" s="2"/>
      <c r="S193" s="17"/>
      <c r="Y193" s="4"/>
    </row>
    <row r="194" s="2" customFormat="1" customHeight="1" spans="3:25">
      <c r="C194" s="25"/>
      <c r="D194" s="3"/>
      <c r="E194" s="10"/>
      <c r="F194" s="3"/>
      <c r="K194" s="19"/>
      <c r="L194" s="17"/>
      <c r="M194" s="2"/>
      <c r="N194" s="2"/>
      <c r="S194" s="17"/>
      <c r="Y194" s="4"/>
    </row>
    <row r="195" s="2" customFormat="1" customHeight="1" spans="3:25">
      <c r="C195" s="24"/>
      <c r="D195" s="3"/>
      <c r="E195" s="10"/>
      <c r="F195" s="3"/>
      <c r="K195" s="18"/>
      <c r="L195" s="14"/>
      <c r="M195" s="2"/>
      <c r="N195" s="2"/>
      <c r="S195" s="17"/>
      <c r="Y195" s="4"/>
    </row>
    <row r="196" s="2" customFormat="1" customHeight="1" spans="3:25">
      <c r="C196" s="24"/>
      <c r="D196" s="3"/>
      <c r="E196" s="10"/>
      <c r="F196" s="3"/>
      <c r="K196" s="19"/>
      <c r="L196" s="17"/>
      <c r="M196" s="2"/>
      <c r="N196" s="2"/>
      <c r="S196" s="17"/>
      <c r="Y196" s="4"/>
    </row>
    <row r="197" s="2" customFormat="1" customHeight="1" spans="3:25">
      <c r="C197" s="25"/>
      <c r="D197" s="3"/>
      <c r="E197" s="10"/>
      <c r="F197" s="3"/>
      <c r="K197" s="18"/>
      <c r="L197" s="14"/>
      <c r="M197" s="2"/>
      <c r="N197" s="2"/>
      <c r="S197" s="17"/>
      <c r="Y197" s="4"/>
    </row>
    <row r="198" s="2" customFormat="1" customHeight="1" spans="3:25">
      <c r="C198" s="25"/>
      <c r="D198" s="3"/>
      <c r="E198" s="10"/>
      <c r="F198" s="3"/>
      <c r="K198" s="19"/>
      <c r="L198" s="17"/>
      <c r="M198" s="18"/>
      <c r="N198" s="2"/>
      <c r="S198" s="17"/>
      <c r="Y198" s="4"/>
    </row>
    <row r="199" s="2" customFormat="1" customHeight="1" spans="3:25">
      <c r="C199" s="24"/>
      <c r="D199" s="3"/>
      <c r="E199" s="10"/>
      <c r="F199" s="3"/>
      <c r="K199" s="18"/>
      <c r="L199" s="14"/>
      <c r="M199" s="19"/>
      <c r="N199" s="2"/>
      <c r="S199" s="17"/>
      <c r="Y199" s="4"/>
    </row>
    <row r="200" s="2" customFormat="1" customHeight="1" spans="3:25">
      <c r="C200" s="24"/>
      <c r="D200" s="3"/>
      <c r="E200" s="10"/>
      <c r="F200" s="3"/>
      <c r="K200" s="19"/>
      <c r="L200" s="17"/>
      <c r="M200" s="18"/>
      <c r="N200" s="2"/>
      <c r="S200" s="17"/>
      <c r="Y200" s="4"/>
    </row>
    <row r="201" s="2" customFormat="1" customHeight="1" spans="3:25">
      <c r="C201" s="24"/>
      <c r="D201" s="3"/>
      <c r="E201" s="10"/>
      <c r="F201" s="3"/>
      <c r="K201" s="18"/>
      <c r="L201" s="14"/>
      <c r="M201" s="19"/>
      <c r="N201" s="2"/>
      <c r="S201" s="17"/>
      <c r="Y201" s="4"/>
    </row>
    <row r="202" s="2" customFormat="1" customHeight="1" spans="3:25">
      <c r="C202" s="24"/>
      <c r="D202" s="3"/>
      <c r="E202" s="10"/>
      <c r="F202" s="3"/>
      <c r="K202" s="19"/>
      <c r="L202" s="17"/>
      <c r="M202" s="18"/>
      <c r="N202" s="2"/>
      <c r="S202" s="17"/>
      <c r="Y202" s="4"/>
    </row>
    <row r="203" s="2" customFormat="1" customHeight="1" spans="3:25">
      <c r="C203" s="24"/>
      <c r="D203" s="3"/>
      <c r="E203" s="10"/>
      <c r="F203" s="3"/>
      <c r="K203" s="18"/>
      <c r="L203" s="14"/>
      <c r="M203" s="19"/>
      <c r="N203" s="18"/>
      <c r="S203" s="17"/>
      <c r="Y203" s="4"/>
    </row>
    <row r="204" s="2" customFormat="1" customHeight="1" spans="3:25">
      <c r="C204" s="25"/>
      <c r="D204" s="3"/>
      <c r="E204" s="10"/>
      <c r="F204" s="3"/>
      <c r="K204" s="19"/>
      <c r="L204" s="17"/>
      <c r="M204" s="18"/>
      <c r="N204" s="19"/>
      <c r="S204" s="17"/>
      <c r="Y204" s="4"/>
    </row>
    <row r="205" s="2" customFormat="1" customHeight="1" spans="3:25">
      <c r="C205" s="24"/>
      <c r="D205" s="3"/>
      <c r="E205" s="10"/>
      <c r="F205" s="3"/>
      <c r="K205" s="18"/>
      <c r="L205" s="14"/>
      <c r="M205" s="19"/>
      <c r="N205" s="18"/>
      <c r="S205" s="17"/>
      <c r="Y205" s="4"/>
    </row>
    <row r="206" s="2" customFormat="1" customHeight="1" spans="3:25">
      <c r="C206" s="24"/>
      <c r="D206" s="3"/>
      <c r="E206" s="10"/>
      <c r="F206" s="3"/>
      <c r="K206" s="19"/>
      <c r="L206" s="17"/>
      <c r="M206" s="18"/>
      <c r="N206" s="19"/>
      <c r="S206" s="17"/>
      <c r="Y206" s="4"/>
    </row>
    <row r="207" s="2" customFormat="1" customHeight="1" spans="3:25">
      <c r="C207" s="24"/>
      <c r="D207" s="3"/>
      <c r="E207" s="10"/>
      <c r="F207" s="3"/>
      <c r="K207" s="18"/>
      <c r="L207" s="14"/>
      <c r="M207" s="19"/>
      <c r="N207" s="18"/>
      <c r="S207" s="17"/>
      <c r="Y207" s="4"/>
    </row>
    <row r="208" s="2" customFormat="1" customHeight="1" spans="3:25">
      <c r="C208" s="25"/>
      <c r="D208" s="3"/>
      <c r="E208" s="10"/>
      <c r="F208" s="3"/>
      <c r="K208" s="19"/>
      <c r="L208" s="17"/>
      <c r="M208" s="18"/>
      <c r="N208" s="19"/>
      <c r="S208" s="17"/>
      <c r="Y208" s="4"/>
    </row>
    <row r="209" s="2" customFormat="1" customHeight="1" spans="3:25">
      <c r="C209" s="25"/>
      <c r="D209" s="3"/>
      <c r="E209" s="10"/>
      <c r="F209" s="3"/>
      <c r="K209" s="18"/>
      <c r="L209" s="14"/>
      <c r="M209" s="19"/>
      <c r="N209" s="18"/>
      <c r="S209" s="17"/>
      <c r="Y209" s="4"/>
    </row>
    <row r="210" s="2" customFormat="1" customHeight="1" spans="3:25">
      <c r="C210" s="24"/>
      <c r="D210" s="3"/>
      <c r="E210" s="10"/>
      <c r="F210" s="3"/>
      <c r="K210" s="19"/>
      <c r="L210" s="17"/>
      <c r="M210" s="18"/>
      <c r="N210" s="19"/>
      <c r="S210" s="17"/>
      <c r="Y210" s="4"/>
    </row>
    <row r="211" s="2" customFormat="1" customHeight="1" spans="3:25">
      <c r="C211" s="24"/>
      <c r="D211" s="3"/>
      <c r="E211" s="10"/>
      <c r="F211" s="3"/>
      <c r="K211" s="18"/>
      <c r="L211" s="14"/>
      <c r="M211" s="19"/>
      <c r="N211" s="18"/>
      <c r="S211" s="17"/>
      <c r="Y211" s="4"/>
    </row>
    <row r="212" s="2" customFormat="1" customHeight="1" spans="3:25">
      <c r="C212" s="24"/>
      <c r="D212" s="3"/>
      <c r="E212" s="10"/>
      <c r="F212" s="3"/>
      <c r="K212" s="19"/>
      <c r="L212" s="17"/>
      <c r="M212" s="18"/>
      <c r="N212" s="19"/>
      <c r="S212" s="17"/>
      <c r="Y212" s="4"/>
    </row>
    <row r="213" s="2" customFormat="1" customHeight="1" spans="3:25">
      <c r="C213" s="24"/>
      <c r="D213" s="3"/>
      <c r="E213" s="10"/>
      <c r="F213" s="3"/>
      <c r="K213" s="18"/>
      <c r="L213" s="14"/>
      <c r="M213" s="19"/>
      <c r="N213" s="18"/>
      <c r="S213" s="17"/>
      <c r="Y213" s="4"/>
    </row>
    <row r="214" s="2" customFormat="1" customHeight="1" spans="1:25">
      <c r="A214" s="19"/>
      <c r="C214" s="26"/>
      <c r="D214" s="3"/>
      <c r="E214" s="3"/>
      <c r="F214" s="3"/>
      <c r="L214" s="14"/>
      <c r="M214" s="19"/>
      <c r="N214" s="19"/>
      <c r="S214" s="17"/>
      <c r="Y214" s="4"/>
    </row>
    <row r="215" s="2" customFormat="1" customHeight="1" spans="1:25">
      <c r="A215" s="19"/>
      <c r="C215" s="26"/>
      <c r="D215" s="3"/>
      <c r="E215" s="3"/>
      <c r="F215" s="3"/>
      <c r="L215" s="17"/>
      <c r="M215" s="18"/>
      <c r="N215" s="18"/>
      <c r="S215" s="17"/>
      <c r="Y215" s="4"/>
    </row>
    <row r="216" s="2" customFormat="1" customHeight="1" spans="1:25">
      <c r="A216" s="19"/>
      <c r="C216" s="26"/>
      <c r="D216" s="3"/>
      <c r="E216" s="3"/>
      <c r="F216" s="3"/>
      <c r="L216" s="14"/>
      <c r="M216" s="19"/>
      <c r="N216" s="19"/>
      <c r="S216" s="17"/>
      <c r="Y216" s="4"/>
    </row>
    <row r="217" s="2" customFormat="1" customHeight="1" spans="1:25">
      <c r="A217" s="19"/>
      <c r="C217" s="27"/>
      <c r="D217" s="3"/>
      <c r="E217" s="3"/>
      <c r="F217" s="3"/>
      <c r="L217" s="17"/>
      <c r="M217" s="18"/>
      <c r="N217" s="18"/>
      <c r="S217" s="17"/>
      <c r="Y217" s="4"/>
    </row>
    <row r="218" s="2" customFormat="1" customHeight="1" spans="1:25">
      <c r="A218" s="19"/>
      <c r="C218" s="27"/>
      <c r="D218" s="3"/>
      <c r="E218" s="3"/>
      <c r="F218" s="3"/>
      <c r="L218" s="14"/>
      <c r="M218" s="19"/>
      <c r="N218" s="19"/>
      <c r="S218" s="17"/>
      <c r="Y218" s="4"/>
    </row>
    <row r="219" s="2" customFormat="1" customHeight="1" spans="1:25">
      <c r="A219" s="19"/>
      <c r="C219" s="26"/>
      <c r="D219" s="3"/>
      <c r="E219" s="3"/>
      <c r="F219" s="3"/>
      <c r="L219" s="17"/>
      <c r="M219" s="18"/>
      <c r="N219" s="18"/>
      <c r="S219" s="17"/>
      <c r="Y219" s="4"/>
    </row>
    <row r="220" s="2" customFormat="1" customHeight="1" spans="1:25">
      <c r="A220" s="19"/>
      <c r="C220" s="27"/>
      <c r="D220" s="3"/>
      <c r="E220" s="3"/>
      <c r="F220" s="3"/>
      <c r="L220" s="14"/>
      <c r="M220" s="19"/>
      <c r="N220" s="19"/>
      <c r="S220" s="17"/>
      <c r="Y220" s="4"/>
    </row>
    <row r="221" s="2" customFormat="1" customHeight="1" spans="1:25">
      <c r="A221" s="19"/>
      <c r="C221" s="26"/>
      <c r="D221" s="3"/>
      <c r="E221" s="3"/>
      <c r="F221" s="3"/>
      <c r="L221" s="17"/>
      <c r="M221" s="18"/>
      <c r="N221" s="18"/>
      <c r="Y221" s="4"/>
    </row>
    <row r="222" s="2" customFormat="1" customHeight="1" spans="1:25">
      <c r="A222" s="19"/>
      <c r="B222" s="2"/>
      <c r="C222" s="27"/>
      <c r="D222" s="3"/>
      <c r="E222" s="3"/>
      <c r="F222" s="3"/>
      <c r="L222" s="14"/>
      <c r="M222" s="19"/>
      <c r="N222" s="19"/>
      <c r="Y222" s="4"/>
    </row>
    <row r="223" s="2" customFormat="1" customHeight="1" spans="1:25">
      <c r="A223" s="19"/>
      <c r="C223" s="26"/>
      <c r="D223" s="3"/>
      <c r="E223" s="3"/>
      <c r="F223" s="3"/>
      <c r="L223" s="17"/>
      <c r="M223" s="18"/>
      <c r="N223" s="18"/>
      <c r="Y223" s="4"/>
    </row>
    <row r="224" s="2" customFormat="1" customHeight="1" spans="1:25">
      <c r="A224" s="19"/>
      <c r="C224" s="27"/>
      <c r="D224" s="3"/>
      <c r="E224" s="3"/>
      <c r="F224" s="3"/>
      <c r="L224" s="14"/>
      <c r="M224" s="19"/>
      <c r="N224" s="19"/>
      <c r="Y224" s="4"/>
    </row>
    <row r="225" s="2" customFormat="1" customHeight="1" spans="1:25">
      <c r="A225" s="19"/>
      <c r="B225" s="2"/>
      <c r="C225" s="26"/>
      <c r="D225" s="3"/>
      <c r="E225" s="3"/>
      <c r="F225" s="3"/>
      <c r="L225" s="17"/>
      <c r="M225" s="18"/>
      <c r="N225" s="18"/>
      <c r="Y225" s="4"/>
    </row>
    <row r="226" s="2" customFormat="1" customHeight="1" spans="1:25">
      <c r="A226" s="19"/>
      <c r="B226" s="2"/>
      <c r="C226" s="27"/>
      <c r="D226" s="3"/>
      <c r="E226" s="3"/>
      <c r="F226" s="3"/>
      <c r="L226" s="14"/>
      <c r="M226" s="19"/>
      <c r="N226" s="19"/>
      <c r="Y226" s="4"/>
    </row>
    <row r="227" s="2" customFormat="1" customHeight="1" spans="1:25">
      <c r="A227" s="19"/>
      <c r="B227" s="2"/>
      <c r="C227" s="26"/>
      <c r="D227" s="3"/>
      <c r="E227" s="3"/>
      <c r="F227" s="3"/>
      <c r="L227" s="17"/>
      <c r="M227" s="18"/>
      <c r="N227" s="18"/>
      <c r="Y227" s="4"/>
    </row>
    <row r="228" s="2" customFormat="1" customHeight="1" spans="1:25">
      <c r="A228" s="19"/>
      <c r="C228" s="27"/>
      <c r="D228" s="3"/>
      <c r="E228" s="3"/>
      <c r="F228" s="3"/>
      <c r="L228" s="14"/>
      <c r="M228" s="18"/>
      <c r="N228" s="19"/>
      <c r="Y228" s="4"/>
    </row>
    <row r="229" s="2" customFormat="1" customHeight="1" spans="1:25">
      <c r="A229" s="19"/>
      <c r="C229" s="26"/>
      <c r="D229" s="3"/>
      <c r="E229" s="3"/>
      <c r="F229" s="3"/>
      <c r="L229" s="17"/>
      <c r="M229" s="19"/>
      <c r="N229" s="18"/>
      <c r="Y229" s="4"/>
    </row>
    <row r="230" s="2" customFormat="1" customHeight="1" spans="1:25">
      <c r="A230" s="19"/>
      <c r="C230" s="27"/>
      <c r="D230" s="3"/>
      <c r="E230" s="3"/>
      <c r="F230" s="3"/>
      <c r="L230" s="14"/>
      <c r="M230" s="18"/>
      <c r="N230" s="19"/>
      <c r="Y230" s="4"/>
    </row>
    <row r="231" s="2" customFormat="1" customHeight="1" spans="1:25">
      <c r="A231" s="19"/>
      <c r="B231" s="2"/>
      <c r="C231" s="27"/>
      <c r="D231" s="3"/>
      <c r="E231" s="3"/>
      <c r="F231" s="3"/>
      <c r="L231" s="17"/>
      <c r="M231" s="19"/>
      <c r="N231" s="18"/>
      <c r="Y231" s="4"/>
    </row>
    <row r="232" s="2" customFormat="1" customHeight="1" spans="1:25">
      <c r="A232" s="19"/>
      <c r="B232" s="2"/>
      <c r="C232" s="26"/>
      <c r="D232" s="3"/>
      <c r="E232" s="3"/>
      <c r="F232" s="3"/>
      <c r="L232" s="14"/>
      <c r="M232" s="18"/>
      <c r="N232" s="19"/>
      <c r="Y232" s="4"/>
    </row>
    <row r="233" s="2" customFormat="1" customHeight="1" spans="1:25">
      <c r="A233" s="19"/>
      <c r="C233" s="27"/>
      <c r="D233" s="3"/>
      <c r="E233" s="3"/>
      <c r="F233" s="3"/>
      <c r="L233" s="17"/>
      <c r="M233" s="19"/>
      <c r="N233" s="2"/>
      <c r="Y233" s="4"/>
    </row>
    <row r="234" s="2" customFormat="1" customHeight="1" spans="1:25">
      <c r="A234" s="19"/>
      <c r="B234" s="2"/>
      <c r="C234" s="27"/>
      <c r="D234" s="3"/>
      <c r="E234" s="3"/>
      <c r="F234" s="3"/>
      <c r="L234" s="14"/>
      <c r="M234" s="18"/>
      <c r="N234" s="2"/>
      <c r="Y234" s="4"/>
    </row>
    <row r="235" s="2" customFormat="1" customHeight="1" spans="1:25">
      <c r="A235" s="19"/>
      <c r="B235" s="2"/>
      <c r="C235" s="26"/>
      <c r="D235" s="3"/>
      <c r="E235" s="3"/>
      <c r="F235" s="3"/>
      <c r="L235" s="17"/>
      <c r="M235" s="19"/>
      <c r="N235" s="2"/>
      <c r="Y235" s="4"/>
    </row>
    <row r="236" s="2" customFormat="1" customHeight="1" spans="1:25">
      <c r="A236" s="19"/>
      <c r="C236" s="27"/>
      <c r="D236" s="3"/>
      <c r="E236" s="3"/>
      <c r="F236" s="3"/>
      <c r="L236" s="14"/>
      <c r="M236" s="18"/>
      <c r="N236" s="2"/>
      <c r="Y236" s="4"/>
    </row>
    <row r="237" s="2" customFormat="1" customHeight="1" spans="1:25">
      <c r="A237" s="19"/>
      <c r="C237" s="26"/>
      <c r="D237" s="3"/>
      <c r="E237" s="3"/>
      <c r="F237" s="3"/>
      <c r="L237" s="17"/>
      <c r="M237" s="19"/>
      <c r="N237" s="2"/>
      <c r="Y237" s="4"/>
    </row>
    <row r="238" s="2" customFormat="1" customHeight="1" spans="1:25">
      <c r="A238" s="19"/>
      <c r="B238" s="2"/>
      <c r="C238" s="27"/>
      <c r="D238" s="3"/>
      <c r="E238" s="3"/>
      <c r="F238" s="3"/>
      <c r="L238" s="14"/>
      <c r="M238" s="18"/>
      <c r="N238" s="2"/>
      <c r="Y238" s="4"/>
    </row>
    <row r="239" s="2" customFormat="1" customHeight="1" spans="1:25">
      <c r="A239" s="19"/>
      <c r="B239" s="2"/>
      <c r="C239" s="27"/>
      <c r="D239" s="3"/>
      <c r="E239" s="3"/>
      <c r="F239" s="3"/>
      <c r="L239" s="17"/>
      <c r="M239" s="19"/>
      <c r="N239" s="2"/>
      <c r="Y239" s="4"/>
    </row>
    <row r="240" s="2" customFormat="1" customHeight="1" spans="1:25">
      <c r="A240" s="19"/>
      <c r="B240" s="2"/>
      <c r="C240" s="27"/>
      <c r="D240" s="3"/>
      <c r="E240" s="3"/>
      <c r="F240" s="3"/>
      <c r="L240" s="14"/>
      <c r="M240" s="18"/>
      <c r="N240" s="2"/>
      <c r="Y240" s="4"/>
    </row>
    <row r="241" s="2" customFormat="1" customHeight="1" spans="1:25">
      <c r="A241" s="19"/>
      <c r="C241" s="27"/>
      <c r="D241" s="3"/>
      <c r="E241" s="3"/>
      <c r="F241" s="3"/>
      <c r="L241" s="17"/>
      <c r="M241" s="19"/>
      <c r="N241" s="2"/>
      <c r="Y241" s="4"/>
    </row>
    <row r="242" s="2" customFormat="1" customHeight="1" spans="1:25">
      <c r="A242" s="19"/>
      <c r="C242" s="27"/>
      <c r="D242" s="3"/>
      <c r="E242" s="3"/>
      <c r="F242" s="3"/>
      <c r="L242" s="14"/>
      <c r="M242" s="18"/>
      <c r="N242" s="2"/>
      <c r="Y242" s="4"/>
    </row>
    <row r="243" s="2" customFormat="1" customHeight="1" spans="1:25">
      <c r="A243" s="19"/>
      <c r="C243" s="27"/>
      <c r="D243" s="3"/>
      <c r="E243" s="3"/>
      <c r="F243" s="3"/>
      <c r="L243" s="17"/>
      <c r="M243" s="19"/>
      <c r="N243" s="2"/>
      <c r="Y243" s="4"/>
    </row>
    <row r="244" s="2" customFormat="1" customHeight="1" spans="1:25">
      <c r="A244" s="19"/>
      <c r="C244" s="26"/>
      <c r="D244" s="3"/>
      <c r="E244" s="3"/>
      <c r="F244" s="3"/>
      <c r="L244" s="14"/>
      <c r="M244" s="18"/>
      <c r="N244" s="2"/>
      <c r="Y244" s="4"/>
    </row>
    <row r="245" s="2" customFormat="1" customHeight="1" spans="1:25">
      <c r="A245" s="19"/>
      <c r="B245" s="2"/>
      <c r="C245" s="26"/>
      <c r="D245" s="3"/>
      <c r="E245" s="3"/>
      <c r="F245" s="3"/>
      <c r="L245" s="17"/>
      <c r="M245" s="19"/>
      <c r="N245" s="2"/>
      <c r="Y245" s="4"/>
    </row>
    <row r="246" s="2" customFormat="1" customHeight="1" spans="1:25">
      <c r="A246" s="19"/>
      <c r="B246" s="2"/>
      <c r="C246" s="27"/>
      <c r="D246" s="3"/>
      <c r="E246" s="3"/>
      <c r="F246" s="3"/>
      <c r="L246" s="14"/>
      <c r="M246" s="18"/>
      <c r="N246" s="2"/>
      <c r="Y246" s="4"/>
    </row>
    <row r="247" s="2" customFormat="1" customHeight="1" spans="1:25">
      <c r="A247" s="19"/>
      <c r="C247" s="26"/>
      <c r="D247" s="3"/>
      <c r="E247" s="3"/>
      <c r="F247" s="3"/>
      <c r="L247" s="17"/>
      <c r="M247" s="19"/>
      <c r="N247" s="2"/>
      <c r="Y247" s="4"/>
    </row>
    <row r="248" s="2" customFormat="1" customHeight="1" spans="1:25">
      <c r="A248" s="19"/>
      <c r="C248" s="26"/>
      <c r="D248" s="3"/>
      <c r="E248" s="3"/>
      <c r="F248" s="3"/>
      <c r="L248" s="14"/>
      <c r="M248" s="18"/>
      <c r="N248" s="2"/>
      <c r="Y248" s="4"/>
    </row>
    <row r="249" s="2" customFormat="1" customHeight="1" spans="1:25">
      <c r="A249" s="19"/>
      <c r="B249" s="2"/>
      <c r="C249" s="26"/>
      <c r="D249" s="3"/>
      <c r="E249" s="3"/>
      <c r="F249" s="3"/>
      <c r="L249" s="17"/>
      <c r="M249" s="19"/>
      <c r="N249" s="2"/>
      <c r="Y249" s="4"/>
    </row>
    <row r="250" s="2" customFormat="1" customHeight="1" spans="1:25">
      <c r="A250" s="19"/>
      <c r="C250" s="26"/>
      <c r="D250" s="3"/>
      <c r="E250" s="3"/>
      <c r="F250" s="3"/>
      <c r="L250" s="14"/>
      <c r="M250" s="18"/>
      <c r="N250" s="2"/>
      <c r="Y250" s="4"/>
    </row>
    <row r="251" s="2" customFormat="1" customHeight="1" spans="1:25">
      <c r="A251" s="19"/>
      <c r="B251" s="2"/>
      <c r="C251" s="27"/>
      <c r="D251" s="3"/>
      <c r="E251" s="3"/>
      <c r="F251" s="3"/>
      <c r="L251" s="17"/>
      <c r="M251" s="19"/>
      <c r="N251" s="2"/>
      <c r="Y251" s="4"/>
    </row>
    <row r="252" s="2" customFormat="1" customHeight="1" spans="1:25">
      <c r="A252" s="19"/>
      <c r="C252" s="26"/>
      <c r="D252" s="3"/>
      <c r="E252" s="3"/>
      <c r="F252" s="3"/>
      <c r="L252" s="14"/>
      <c r="M252" s="18"/>
      <c r="N252" s="2"/>
      <c r="Y252" s="4"/>
    </row>
    <row r="253" s="2" customFormat="1" customHeight="1" spans="1:25">
      <c r="A253" s="19"/>
      <c r="B253" s="2"/>
      <c r="C253" s="27"/>
      <c r="D253" s="3"/>
      <c r="E253" s="3"/>
      <c r="F253" s="3"/>
      <c r="L253" s="17"/>
      <c r="M253" s="19"/>
      <c r="N253" s="2"/>
      <c r="Y253" s="4"/>
    </row>
    <row r="254" s="2" customFormat="1" customHeight="1" spans="1:25">
      <c r="A254" s="19"/>
      <c r="B254" s="2"/>
      <c r="C254" s="26"/>
      <c r="D254" s="3"/>
      <c r="E254" s="3"/>
      <c r="F254" s="3"/>
      <c r="L254" s="14"/>
      <c r="M254" s="18"/>
      <c r="N254" s="2"/>
      <c r="Y254" s="4"/>
    </row>
    <row r="255" s="2" customFormat="1" customHeight="1" spans="1:25">
      <c r="A255" s="19"/>
      <c r="B255" s="2"/>
      <c r="C255" s="26"/>
      <c r="D255" s="3"/>
      <c r="E255" s="3"/>
      <c r="F255" s="3"/>
      <c r="L255" s="17"/>
      <c r="M255" s="19"/>
      <c r="N255" s="2"/>
      <c r="Y255" s="4"/>
    </row>
    <row r="256" s="2" customFormat="1" customHeight="1" spans="1:25">
      <c r="A256" s="19"/>
      <c r="B256" s="2"/>
      <c r="C256" s="26"/>
      <c r="D256" s="3"/>
      <c r="E256" s="3"/>
      <c r="F256" s="3"/>
      <c r="L256" s="14"/>
      <c r="M256" s="18"/>
      <c r="N256" s="2"/>
      <c r="Y256" s="4"/>
    </row>
    <row r="257" s="2" customFormat="1" customHeight="1" spans="1:25">
      <c r="A257" s="19"/>
      <c r="B257" s="2"/>
      <c r="C257" s="26"/>
      <c r="D257" s="3"/>
      <c r="E257" s="3"/>
      <c r="F257" s="3"/>
      <c r="L257" s="17"/>
      <c r="M257" s="19"/>
      <c r="N257" s="2"/>
      <c r="Y257" s="4"/>
    </row>
    <row r="258" s="2" customFormat="1" customHeight="1" spans="1:25">
      <c r="A258" s="19"/>
      <c r="B258" s="2"/>
      <c r="C258" s="27"/>
      <c r="D258" s="3"/>
      <c r="E258" s="3"/>
      <c r="F258" s="3"/>
      <c r="L258" s="14"/>
      <c r="M258" s="18"/>
      <c r="N258" s="2"/>
      <c r="Y258" s="4"/>
    </row>
    <row r="259" s="2" customFormat="1" customHeight="1" spans="1:25">
      <c r="A259" s="19"/>
      <c r="B259" s="2"/>
      <c r="C259" s="27"/>
      <c r="D259" s="3"/>
      <c r="E259" s="3"/>
      <c r="F259" s="3"/>
      <c r="L259" s="17"/>
      <c r="M259" s="19"/>
      <c r="N259" s="2"/>
      <c r="Y259" s="4"/>
    </row>
    <row r="260" s="2" customFormat="1" customHeight="1" spans="1:25">
      <c r="A260" s="19"/>
      <c r="B260" s="2"/>
      <c r="C260" s="27"/>
      <c r="D260" s="3"/>
      <c r="E260" s="3"/>
      <c r="F260" s="3"/>
      <c r="L260" s="14"/>
      <c r="M260" s="18"/>
      <c r="N260" s="2"/>
      <c r="Y260" s="4"/>
    </row>
    <row r="261" s="2" customFormat="1" customHeight="1" spans="1:25">
      <c r="A261" s="19"/>
      <c r="B261" s="2"/>
      <c r="C261" s="27"/>
      <c r="D261" s="3"/>
      <c r="E261" s="3"/>
      <c r="F261" s="3"/>
      <c r="L261" s="17"/>
      <c r="M261" s="19"/>
      <c r="N261" s="2"/>
      <c r="Y261" s="4"/>
    </row>
    <row r="262" s="2" customFormat="1" customHeight="1" spans="1:25">
      <c r="A262" s="19"/>
      <c r="B262" s="2"/>
      <c r="C262" s="26"/>
      <c r="D262" s="3"/>
      <c r="E262" s="3"/>
      <c r="F262" s="3"/>
      <c r="L262" s="14"/>
      <c r="M262" s="18"/>
      <c r="N262" s="2"/>
      <c r="Y262" s="4"/>
    </row>
    <row r="263" s="2" customFormat="1" customHeight="1" spans="3:25">
      <c r="C263" s="26"/>
      <c r="D263" s="19"/>
      <c r="E263" s="19"/>
      <c r="F263" s="19"/>
      <c r="L263" s="17"/>
      <c r="M263" s="18"/>
      <c r="N263" s="18"/>
      <c r="Y263" s="4"/>
    </row>
    <row r="264" s="2" customFormat="1" customHeight="1" spans="3:25">
      <c r="C264" s="26"/>
      <c r="D264" s="19"/>
      <c r="E264" s="19"/>
      <c r="F264" s="19"/>
      <c r="L264" s="14"/>
      <c r="M264" s="19"/>
      <c r="N264" s="19"/>
      <c r="Y264" s="4"/>
    </row>
    <row r="265" s="2" customFormat="1" customHeight="1" spans="3:25">
      <c r="C265" s="19"/>
      <c r="D265" s="19"/>
      <c r="E265" s="19"/>
      <c r="F265" s="19"/>
      <c r="L265" s="17"/>
      <c r="M265" s="18"/>
      <c r="N265" s="18"/>
      <c r="Y265" s="4"/>
    </row>
    <row r="266" s="2" customFormat="1" customHeight="1" spans="3:25">
      <c r="C266" s="19"/>
      <c r="D266" s="19"/>
      <c r="E266" s="19"/>
      <c r="F266" s="19"/>
      <c r="L266" s="14"/>
      <c r="M266" s="19"/>
      <c r="N266" s="19"/>
      <c r="Y266" s="4"/>
    </row>
    <row r="267" s="2" customFormat="1" customHeight="1" spans="3:25">
      <c r="C267" s="19"/>
      <c r="D267" s="19"/>
      <c r="E267" s="19"/>
      <c r="F267" s="19"/>
      <c r="L267" s="17"/>
      <c r="M267" s="18"/>
      <c r="N267" s="18"/>
      <c r="Y267" s="4"/>
    </row>
    <row r="268" s="2" customFormat="1" customHeight="1" spans="3:25">
      <c r="C268" s="19"/>
      <c r="D268" s="19"/>
      <c r="E268" s="19"/>
      <c r="F268" s="19"/>
      <c r="L268" s="14"/>
      <c r="M268" s="19"/>
      <c r="N268" s="19"/>
      <c r="Y268" s="4"/>
    </row>
    <row r="269" s="2" customFormat="1" customHeight="1" spans="3:25">
      <c r="C269" s="19"/>
      <c r="D269" s="19"/>
      <c r="E269" s="19"/>
      <c r="F269" s="19"/>
      <c r="L269" s="17"/>
      <c r="M269" s="18"/>
      <c r="N269" s="18"/>
      <c r="Y269" s="4"/>
    </row>
    <row r="270" s="2" customFormat="1" customHeight="1" spans="3:25">
      <c r="C270" s="27"/>
      <c r="D270" s="19"/>
      <c r="E270" s="19"/>
      <c r="F270" s="19"/>
      <c r="L270" s="14"/>
      <c r="M270" s="19"/>
      <c r="N270" s="19"/>
      <c r="Y270" s="4"/>
    </row>
    <row r="271" s="2" customFormat="1" customHeight="1" spans="3:25">
      <c r="C271" s="19"/>
      <c r="D271" s="19"/>
      <c r="E271" s="19"/>
      <c r="F271" s="19"/>
      <c r="L271" s="17"/>
      <c r="M271" s="18"/>
      <c r="N271" s="18"/>
      <c r="Y271" s="4"/>
    </row>
    <row r="272" s="2" customFormat="1" customHeight="1" spans="3:25">
      <c r="C272" s="26"/>
      <c r="D272" s="19"/>
      <c r="E272" s="19"/>
      <c r="F272" s="19"/>
      <c r="L272" s="14"/>
      <c r="M272" s="19"/>
      <c r="N272" s="19"/>
      <c r="Y272" s="4"/>
    </row>
    <row r="273" s="2" customFormat="1" customHeight="1" spans="3:25">
      <c r="C273" s="26"/>
      <c r="D273" s="19"/>
      <c r="E273" s="19"/>
      <c r="F273" s="19"/>
      <c r="L273" s="17"/>
      <c r="M273" s="18"/>
      <c r="N273" s="18"/>
      <c r="Y273" s="4"/>
    </row>
    <row r="274" s="2" customFormat="1" customHeight="1" spans="3:25">
      <c r="C274" s="19"/>
      <c r="D274" s="19"/>
      <c r="E274" s="19"/>
      <c r="F274" s="19"/>
      <c r="L274" s="14"/>
      <c r="M274" s="19"/>
      <c r="N274" s="19"/>
      <c r="Y274" s="4"/>
    </row>
    <row r="275" s="2" customFormat="1" customHeight="1" spans="3:25">
      <c r="C275" s="27"/>
      <c r="D275" s="19"/>
      <c r="E275" s="19"/>
      <c r="F275" s="19"/>
      <c r="L275" s="17"/>
      <c r="M275" s="18"/>
      <c r="N275" s="18"/>
      <c r="Y275" s="4"/>
    </row>
    <row r="276" s="2" customFormat="1" customHeight="1" spans="3:25">
      <c r="C276" s="26"/>
      <c r="D276" s="19"/>
      <c r="E276" s="19"/>
      <c r="F276" s="19"/>
      <c r="L276" s="14"/>
      <c r="M276" s="19"/>
      <c r="N276" s="19"/>
      <c r="Y276" s="4"/>
    </row>
    <row r="277" s="2" customFormat="1" customHeight="1" spans="3:25">
      <c r="C277" s="26"/>
      <c r="D277" s="19"/>
      <c r="E277" s="19"/>
      <c r="F277" s="19"/>
      <c r="L277" s="17"/>
      <c r="M277" s="18"/>
      <c r="N277" s="18"/>
      <c r="Y277" s="4"/>
    </row>
    <row r="278" s="2" customFormat="1" customHeight="1" spans="3:25">
      <c r="C278" s="26"/>
      <c r="D278" s="19"/>
      <c r="E278" s="19"/>
      <c r="F278" s="19"/>
      <c r="L278" s="14"/>
      <c r="M278" s="19"/>
      <c r="N278" s="19"/>
      <c r="Y278" s="4"/>
    </row>
    <row r="279" s="2" customFormat="1" customHeight="1" spans="3:25">
      <c r="C279" s="27"/>
      <c r="D279" s="19"/>
      <c r="E279" s="19"/>
      <c r="F279" s="19"/>
      <c r="L279" s="17"/>
      <c r="M279" s="18"/>
      <c r="N279" s="18"/>
      <c r="Y279" s="4"/>
    </row>
    <row r="280" s="2" customFormat="1" customHeight="1" spans="3:25">
      <c r="C280" s="27"/>
      <c r="D280" s="19"/>
      <c r="E280" s="19"/>
      <c r="F280" s="19"/>
      <c r="L280" s="14"/>
      <c r="M280" s="19"/>
      <c r="N280" s="19"/>
      <c r="Y280" s="4"/>
    </row>
    <row r="281" s="2" customFormat="1" customHeight="1" spans="3:25">
      <c r="C281" s="26"/>
      <c r="D281" s="19"/>
      <c r="E281" s="19"/>
      <c r="F281" s="19"/>
      <c r="L281" s="17"/>
      <c r="M281" s="18"/>
      <c r="N281" s="18"/>
      <c r="Y281" s="4"/>
    </row>
    <row r="282" s="2" customFormat="1" customHeight="1" spans="3:25">
      <c r="C282" s="27"/>
      <c r="D282" s="19"/>
      <c r="E282" s="19"/>
      <c r="F282" s="19"/>
      <c r="L282" s="14"/>
      <c r="M282" s="19"/>
      <c r="N282" s="19"/>
      <c r="Y282" s="4"/>
    </row>
    <row r="283" s="2" customFormat="1" customHeight="1" spans="1:25">
      <c r="A283" s="19"/>
      <c r="C283" s="26"/>
      <c r="D283" s="19"/>
      <c r="E283" s="19"/>
      <c r="F283" s="19"/>
      <c r="L283" s="17"/>
      <c r="M283" s="18"/>
      <c r="N283" s="18"/>
      <c r="Y283" s="4"/>
    </row>
    <row r="284" s="2" customFormat="1" customHeight="1" spans="1:25">
      <c r="A284" s="19"/>
      <c r="C284" s="26"/>
      <c r="D284" s="19"/>
      <c r="E284" s="19"/>
      <c r="F284" s="19"/>
      <c r="L284" s="14"/>
      <c r="M284" s="19"/>
      <c r="N284" s="19"/>
      <c r="Y284" s="4"/>
    </row>
    <row r="285" s="2" customFormat="1" customHeight="1" spans="1:25">
      <c r="A285" s="19"/>
      <c r="C285" s="27"/>
      <c r="D285" s="19"/>
      <c r="E285" s="19"/>
      <c r="F285" s="19"/>
      <c r="L285" s="17"/>
      <c r="M285" s="18"/>
      <c r="N285" s="18"/>
      <c r="Y285" s="4"/>
    </row>
    <row r="286" s="2" customFormat="1" customHeight="1" spans="1:25">
      <c r="A286" s="19"/>
      <c r="C286" s="27"/>
      <c r="D286" s="19"/>
      <c r="E286" s="19"/>
      <c r="F286" s="19"/>
      <c r="L286" s="14"/>
      <c r="M286" s="19"/>
      <c r="N286" s="19"/>
      <c r="Y286" s="4"/>
    </row>
    <row r="287" s="2" customFormat="1" customHeight="1" spans="1:25">
      <c r="A287" s="19"/>
      <c r="C287" s="27"/>
      <c r="D287" s="19"/>
      <c r="E287" s="19"/>
      <c r="F287" s="19"/>
      <c r="L287" s="17"/>
      <c r="M287" s="18"/>
      <c r="N287" s="18"/>
      <c r="Y287" s="4"/>
    </row>
    <row r="288" s="2" customFormat="1" customHeight="1" spans="1:25">
      <c r="A288" s="19"/>
      <c r="C288" s="27"/>
      <c r="D288" s="19"/>
      <c r="E288" s="19"/>
      <c r="F288" s="19"/>
      <c r="L288" s="14"/>
      <c r="M288" s="19"/>
      <c r="N288" s="19"/>
      <c r="Y288" s="4"/>
    </row>
    <row r="289" s="2" customFormat="1" customHeight="1" spans="1:25">
      <c r="A289" s="19"/>
      <c r="C289" s="26"/>
      <c r="D289" s="19"/>
      <c r="E289" s="19"/>
      <c r="F289" s="19"/>
      <c r="L289" s="17"/>
      <c r="M289" s="18"/>
      <c r="N289" s="18"/>
      <c r="Y289" s="4"/>
    </row>
    <row r="290" s="2" customFormat="1" customHeight="1" spans="1:25">
      <c r="A290" s="19"/>
      <c r="C290" s="19"/>
      <c r="D290" s="19"/>
      <c r="E290" s="19"/>
      <c r="F290" s="19"/>
      <c r="L290" s="14"/>
      <c r="M290" s="19"/>
      <c r="N290" s="19"/>
      <c r="Y290" s="4"/>
    </row>
    <row r="291" s="2" customFormat="1" customHeight="1" spans="1:25">
      <c r="A291" s="19"/>
      <c r="C291" s="26"/>
      <c r="D291" s="19"/>
      <c r="E291" s="19"/>
      <c r="F291" s="19"/>
      <c r="L291" s="17"/>
      <c r="M291" s="18"/>
      <c r="N291" s="18"/>
      <c r="Y291" s="4"/>
    </row>
    <row r="292" s="2" customFormat="1" customHeight="1" spans="1:25">
      <c r="A292" s="19"/>
      <c r="C292" s="19"/>
      <c r="D292" s="19"/>
      <c r="E292" s="19"/>
      <c r="F292" s="19"/>
      <c r="L292" s="14"/>
      <c r="M292" s="19"/>
      <c r="N292" s="19"/>
      <c r="Y292" s="4"/>
    </row>
    <row r="293" s="2" customFormat="1" customHeight="1" spans="1:25">
      <c r="A293" s="19"/>
      <c r="C293" s="26"/>
      <c r="D293" s="19"/>
      <c r="E293" s="19"/>
      <c r="F293" s="19"/>
      <c r="L293" s="17"/>
      <c r="M293" s="18"/>
      <c r="N293" s="18"/>
      <c r="Y293" s="4"/>
    </row>
    <row r="294" s="2" customFormat="1" customHeight="1" spans="1:25">
      <c r="A294" s="19"/>
      <c r="C294" s="26"/>
      <c r="D294" s="19"/>
      <c r="E294" s="19"/>
      <c r="F294" s="19"/>
      <c r="L294" s="14"/>
      <c r="M294" s="19"/>
      <c r="N294" s="19"/>
      <c r="Y294" s="4"/>
    </row>
    <row r="295" s="2" customFormat="1" customHeight="1" spans="1:25">
      <c r="A295" s="19"/>
      <c r="C295" s="27"/>
      <c r="D295" s="19"/>
      <c r="E295" s="19"/>
      <c r="F295" s="19"/>
      <c r="L295" s="17"/>
      <c r="M295" s="18"/>
      <c r="N295" s="18"/>
      <c r="Y295" s="4"/>
    </row>
    <row r="296" s="2" customFormat="1" customHeight="1" spans="1:25">
      <c r="A296" s="19"/>
      <c r="C296" s="27"/>
      <c r="D296" s="19"/>
      <c r="E296" s="19"/>
      <c r="F296" s="19"/>
      <c r="L296" s="14"/>
      <c r="M296" s="19"/>
      <c r="N296" s="19"/>
      <c r="Y296" s="4"/>
    </row>
    <row r="297" s="2" customFormat="1" customHeight="1" spans="1:25">
      <c r="A297" s="19"/>
      <c r="C297" s="26"/>
      <c r="D297" s="19"/>
      <c r="E297" s="19"/>
      <c r="F297" s="19"/>
      <c r="L297" s="17"/>
      <c r="M297" s="18"/>
      <c r="N297" s="18"/>
      <c r="Y297" s="4"/>
    </row>
    <row r="298" s="2" customFormat="1" customHeight="1" spans="1:25">
      <c r="A298" s="19"/>
      <c r="C298" s="26"/>
      <c r="D298" s="19"/>
      <c r="E298" s="19"/>
      <c r="F298" s="19"/>
      <c r="L298" s="14"/>
      <c r="M298" s="19"/>
      <c r="N298" s="19"/>
      <c r="Y298" s="4"/>
    </row>
    <row r="299" s="2" customFormat="1" customHeight="1" spans="1:25">
      <c r="A299" s="19"/>
      <c r="C299" s="26"/>
      <c r="D299" s="19"/>
      <c r="E299" s="19"/>
      <c r="F299" s="19"/>
      <c r="L299" s="17"/>
      <c r="M299" s="18"/>
      <c r="N299" s="18"/>
      <c r="Y299" s="4"/>
    </row>
    <row r="300" s="2" customFormat="1" customHeight="1" spans="1:25">
      <c r="A300" s="19"/>
      <c r="C300" s="27"/>
      <c r="D300" s="19"/>
      <c r="E300" s="19"/>
      <c r="F300" s="19"/>
      <c r="L300" s="14"/>
      <c r="M300" s="19"/>
      <c r="N300" s="19"/>
      <c r="Y300" s="4"/>
    </row>
    <row r="301" s="2" customFormat="1" customHeight="1" spans="1:25">
      <c r="A301" s="19"/>
      <c r="C301" s="27"/>
      <c r="D301" s="19"/>
      <c r="E301" s="19"/>
      <c r="F301" s="19"/>
      <c r="L301" s="17"/>
      <c r="M301" s="18"/>
      <c r="N301" s="18"/>
      <c r="Y301" s="4"/>
    </row>
    <row r="302" s="2" customFormat="1" customHeight="1" spans="1:25">
      <c r="A302" s="19"/>
      <c r="C302" s="27"/>
      <c r="D302" s="19"/>
      <c r="E302" s="19"/>
      <c r="F302" s="19"/>
      <c r="L302" s="14"/>
      <c r="M302" s="19"/>
      <c r="N302" s="19"/>
      <c r="Y302" s="4"/>
    </row>
    <row r="303" s="2" customFormat="1" customHeight="1" spans="1:25">
      <c r="A303" s="19"/>
      <c r="C303" s="26"/>
      <c r="D303" s="19"/>
      <c r="E303" s="19"/>
      <c r="F303" s="19"/>
      <c r="L303" s="17"/>
      <c r="M303" s="18"/>
      <c r="N303" s="2"/>
      <c r="Y303" s="4"/>
    </row>
    <row r="304" s="2" customFormat="1" customHeight="1" spans="1:25">
      <c r="A304" s="19"/>
      <c r="C304" s="27"/>
      <c r="D304" s="19"/>
      <c r="E304" s="19"/>
      <c r="F304" s="19"/>
      <c r="L304" s="14"/>
      <c r="M304" s="19"/>
      <c r="N304" s="2"/>
      <c r="Y304" s="4"/>
    </row>
    <row r="305" s="2" customFormat="1" customHeight="1" spans="1:25">
      <c r="A305" s="19"/>
      <c r="C305" s="26"/>
      <c r="D305" s="19"/>
      <c r="E305" s="19"/>
      <c r="F305" s="19"/>
      <c r="L305" s="17"/>
      <c r="M305" s="18"/>
      <c r="N305" s="2"/>
      <c r="Y305" s="4"/>
    </row>
    <row r="306" s="2" customFormat="1" customHeight="1" spans="1:25">
      <c r="A306" s="19"/>
      <c r="C306" s="27"/>
      <c r="D306" s="19"/>
      <c r="E306" s="19"/>
      <c r="F306" s="19"/>
      <c r="L306" s="14"/>
      <c r="M306" s="19"/>
      <c r="N306" s="2"/>
      <c r="Y306" s="4"/>
    </row>
    <row r="307" s="2" customFormat="1" customHeight="1" spans="1:25">
      <c r="A307" s="19"/>
      <c r="C307" s="27"/>
      <c r="D307" s="19"/>
      <c r="E307" s="19"/>
      <c r="F307" s="19"/>
      <c r="L307" s="17"/>
      <c r="M307" s="18"/>
      <c r="N307" s="2"/>
      <c r="Y307" s="4"/>
    </row>
    <row r="308" s="2" customFormat="1" customHeight="1" spans="1:25">
      <c r="A308" s="19"/>
      <c r="C308" s="27"/>
      <c r="D308" s="19"/>
      <c r="E308" s="19"/>
      <c r="F308" s="19"/>
      <c r="L308" s="14"/>
      <c r="M308" s="19"/>
      <c r="N308" s="2"/>
      <c r="Y308" s="4"/>
    </row>
    <row r="309" s="2" customFormat="1" customHeight="1" spans="1:25">
      <c r="A309" s="19"/>
      <c r="C309" s="27"/>
      <c r="D309" s="19"/>
      <c r="E309" s="19"/>
      <c r="F309" s="19"/>
      <c r="L309" s="17"/>
      <c r="M309" s="18"/>
      <c r="N309" s="2"/>
      <c r="Y309" s="4"/>
    </row>
    <row r="310" s="2" customFormat="1" customHeight="1" spans="1:25">
      <c r="A310" s="19"/>
      <c r="C310" s="26"/>
      <c r="D310" s="19"/>
      <c r="E310" s="19"/>
      <c r="F310" s="19"/>
      <c r="L310" s="14"/>
      <c r="M310" s="19"/>
      <c r="N310" s="2"/>
      <c r="Y310" s="4"/>
    </row>
    <row r="311" s="2" customFormat="1" customHeight="1" spans="1:25">
      <c r="A311" s="19"/>
      <c r="C311" s="26"/>
      <c r="D311" s="19"/>
      <c r="E311" s="19"/>
      <c r="F311" s="19"/>
      <c r="L311" s="17"/>
      <c r="M311" s="18"/>
      <c r="N311" s="2"/>
      <c r="Y311" s="4"/>
    </row>
    <row r="312" s="2" customFormat="1" customHeight="1" spans="1:25">
      <c r="A312" s="19"/>
      <c r="C312" s="27"/>
      <c r="D312" s="19"/>
      <c r="E312" s="19"/>
      <c r="F312" s="19"/>
      <c r="L312" s="14"/>
      <c r="M312" s="19"/>
      <c r="N312" s="2"/>
      <c r="Y312" s="4"/>
    </row>
    <row r="313" s="2" customFormat="1" customHeight="1" spans="1:25">
      <c r="A313" s="19"/>
      <c r="C313" s="26"/>
      <c r="D313" s="19"/>
      <c r="E313" s="19"/>
      <c r="F313" s="19"/>
      <c r="L313" s="17"/>
      <c r="M313" s="18"/>
      <c r="N313" s="2"/>
      <c r="Y313" s="4"/>
    </row>
    <row r="314" s="2" customFormat="1" customHeight="1" spans="1:25">
      <c r="A314" s="19"/>
      <c r="C314" s="27"/>
      <c r="D314" s="19"/>
      <c r="E314" s="19"/>
      <c r="F314" s="19"/>
      <c r="L314" s="14"/>
      <c r="M314" s="19"/>
      <c r="N314" s="2"/>
      <c r="Y314" s="4"/>
    </row>
    <row r="315" s="2" customFormat="1" customHeight="1" spans="1:25">
      <c r="A315" s="19"/>
      <c r="C315" s="27"/>
      <c r="D315" s="19"/>
      <c r="E315" s="19"/>
      <c r="F315" s="19"/>
      <c r="L315" s="17"/>
      <c r="M315" s="18"/>
      <c r="N315" s="2"/>
      <c r="Y315" s="4"/>
    </row>
    <row r="316" s="2" customFormat="1" customHeight="1" spans="1:25">
      <c r="A316" s="19"/>
      <c r="C316" s="26"/>
      <c r="D316" s="19"/>
      <c r="E316" s="19"/>
      <c r="F316" s="19"/>
      <c r="L316" s="14"/>
      <c r="M316" s="19"/>
      <c r="N316" s="2"/>
      <c r="Y316" s="4"/>
    </row>
    <row r="317" s="2" customFormat="1" customHeight="1" spans="1:25">
      <c r="A317" s="19"/>
      <c r="C317" s="27"/>
      <c r="D317" s="19"/>
      <c r="E317" s="19"/>
      <c r="F317" s="19"/>
      <c r="L317" s="17"/>
      <c r="M317" s="18"/>
      <c r="N317" s="2"/>
      <c r="Y317" s="4"/>
    </row>
    <row r="318" s="2" customFormat="1" customHeight="1" spans="1:25">
      <c r="A318" s="19"/>
      <c r="C318" s="27"/>
      <c r="D318" s="19"/>
      <c r="E318" s="19"/>
      <c r="F318" s="19"/>
      <c r="L318" s="14"/>
      <c r="M318" s="19"/>
      <c r="N318" s="2"/>
      <c r="Y318" s="4"/>
    </row>
    <row r="319" s="2" customFormat="1" customHeight="1" spans="1:25">
      <c r="A319" s="19"/>
      <c r="C319" s="26"/>
      <c r="D319" s="19"/>
      <c r="E319" s="19"/>
      <c r="F319" s="19"/>
      <c r="L319" s="17"/>
      <c r="M319" s="18"/>
      <c r="N319" s="2"/>
      <c r="Y319" s="4"/>
    </row>
    <row r="320" s="2" customFormat="1" customHeight="1" spans="1:25">
      <c r="A320" s="19"/>
      <c r="C320" s="27"/>
      <c r="D320" s="19"/>
      <c r="E320" s="19"/>
      <c r="F320" s="19"/>
      <c r="L320" s="14"/>
      <c r="M320" s="19"/>
      <c r="N320" s="2"/>
      <c r="Y320" s="4"/>
    </row>
    <row r="321" s="2" customFormat="1" customHeight="1" spans="1:25">
      <c r="A321" s="19"/>
      <c r="C321" s="26"/>
      <c r="D321" s="19"/>
      <c r="E321" s="19"/>
      <c r="F321" s="19"/>
      <c r="L321" s="17"/>
      <c r="M321" s="18"/>
      <c r="N321" s="2"/>
      <c r="Y321" s="4"/>
    </row>
    <row r="322" s="2" customFormat="1" customHeight="1" spans="1:25">
      <c r="A322" s="19"/>
      <c r="C322" s="27"/>
      <c r="D322" s="19"/>
      <c r="E322" s="19"/>
      <c r="F322" s="19"/>
      <c r="L322" s="14"/>
      <c r="M322" s="19"/>
      <c r="N322" s="2"/>
      <c r="Y322" s="4"/>
    </row>
    <row r="323" s="2" customFormat="1" customHeight="1" spans="1:25">
      <c r="A323" s="19"/>
      <c r="C323" s="26"/>
      <c r="D323" s="19"/>
      <c r="E323" s="19"/>
      <c r="F323" s="19"/>
      <c r="M323" s="18"/>
      <c r="N323" s="18"/>
      <c r="Y323" s="4"/>
    </row>
    <row r="324" s="2" customFormat="1" customHeight="1" spans="1:25">
      <c r="A324" s="19"/>
      <c r="C324" s="27"/>
      <c r="D324" s="19"/>
      <c r="E324" s="19"/>
      <c r="F324" s="19"/>
      <c r="M324" s="19"/>
      <c r="N324" s="19"/>
      <c r="Y324" s="4"/>
    </row>
    <row r="325" s="2" customFormat="1" customHeight="1" spans="1:25">
      <c r="A325" s="19"/>
      <c r="C325" s="27"/>
      <c r="D325" s="19"/>
      <c r="E325" s="19"/>
      <c r="F325" s="19"/>
      <c r="M325" s="18"/>
      <c r="N325" s="18"/>
      <c r="Y325" s="4"/>
    </row>
    <row r="326" s="2" customFormat="1" customHeight="1" spans="1:25">
      <c r="A326" s="19"/>
      <c r="C326" s="27"/>
      <c r="D326" s="19"/>
      <c r="E326" s="19"/>
      <c r="F326" s="19"/>
      <c r="M326" s="19"/>
      <c r="N326" s="19"/>
      <c r="Y326" s="4"/>
    </row>
    <row r="327" s="2" customFormat="1" customHeight="1" spans="1:25">
      <c r="A327" s="19"/>
      <c r="C327" s="27"/>
      <c r="D327" s="19"/>
      <c r="E327" s="19"/>
      <c r="F327" s="19"/>
      <c r="M327" s="18"/>
      <c r="N327" s="18"/>
      <c r="Y327" s="4"/>
    </row>
    <row r="328" s="2" customFormat="1" customHeight="1" spans="1:25">
      <c r="A328" s="19"/>
      <c r="C328" s="27"/>
      <c r="D328" s="19"/>
      <c r="E328" s="19"/>
      <c r="F328" s="19"/>
      <c r="M328" s="19"/>
      <c r="N328" s="19"/>
      <c r="Y328" s="4"/>
    </row>
    <row r="329" s="2" customFormat="1" customHeight="1" spans="1:25">
      <c r="A329" s="19"/>
      <c r="C329" s="27"/>
      <c r="D329" s="19"/>
      <c r="E329" s="19"/>
      <c r="F329" s="19"/>
      <c r="M329" s="18"/>
      <c r="N329" s="18"/>
      <c r="Y329" s="4"/>
    </row>
    <row r="330" s="2" customFormat="1" customHeight="1" spans="1:25">
      <c r="A330" s="19"/>
      <c r="C330" s="27"/>
      <c r="D330" s="19"/>
      <c r="E330" s="19"/>
      <c r="F330" s="19"/>
      <c r="M330" s="19"/>
      <c r="N330" s="19"/>
      <c r="Y330" s="4"/>
    </row>
    <row r="331" s="2" customFormat="1" customHeight="1" spans="1:25">
      <c r="A331" s="19"/>
      <c r="C331" s="26"/>
      <c r="D331" s="19"/>
      <c r="E331" s="19"/>
      <c r="F331" s="19"/>
      <c r="M331" s="18"/>
      <c r="N331" s="18"/>
      <c r="Y331" s="4"/>
    </row>
    <row r="332" s="2" customFormat="1" customHeight="1" spans="1:25">
      <c r="A332" s="19"/>
      <c r="C332" s="26"/>
      <c r="D332" s="19"/>
      <c r="E332" s="19"/>
      <c r="F332" s="19"/>
      <c r="M332" s="19"/>
      <c r="N332" s="19"/>
      <c r="Y332" s="4"/>
    </row>
    <row r="333" s="2" customFormat="1" customHeight="1" spans="1:25">
      <c r="A333" s="19"/>
      <c r="C333" s="27"/>
      <c r="D333" s="19"/>
      <c r="E333" s="19"/>
      <c r="F333" s="19"/>
      <c r="M333" s="18"/>
      <c r="N333" s="18"/>
      <c r="Y333" s="4"/>
    </row>
    <row r="334" s="2" customFormat="1" customHeight="1" spans="1:25">
      <c r="A334" s="19"/>
      <c r="C334" s="27"/>
      <c r="D334" s="19"/>
      <c r="E334" s="19"/>
      <c r="F334" s="19"/>
      <c r="M334" s="19"/>
      <c r="N334" s="19"/>
      <c r="Y334" s="4"/>
    </row>
    <row r="335" s="2" customFormat="1" customHeight="1" spans="1:25">
      <c r="A335" s="19"/>
      <c r="C335" s="27"/>
      <c r="D335" s="19"/>
      <c r="E335" s="19"/>
      <c r="F335" s="19"/>
      <c r="M335" s="18"/>
      <c r="N335" s="18"/>
      <c r="Y335" s="4"/>
    </row>
    <row r="336" s="2" customFormat="1" customHeight="1" spans="1:25">
      <c r="A336" s="19"/>
      <c r="C336" s="27"/>
      <c r="D336" s="19"/>
      <c r="E336" s="19"/>
      <c r="F336" s="19"/>
      <c r="M336" s="19"/>
      <c r="N336" s="19"/>
      <c r="Y336" s="4"/>
    </row>
    <row r="337" s="2" customFormat="1" customHeight="1" spans="1:25">
      <c r="A337" s="19"/>
      <c r="C337" s="26"/>
      <c r="D337" s="19"/>
      <c r="E337" s="19"/>
      <c r="F337" s="19"/>
      <c r="M337" s="18"/>
      <c r="N337" s="18"/>
      <c r="Y337" s="4"/>
    </row>
    <row r="338" s="2" customFormat="1" customHeight="1" spans="1:25">
      <c r="A338" s="19"/>
      <c r="C338" s="26"/>
      <c r="D338" s="19"/>
      <c r="E338" s="19"/>
      <c r="F338" s="19"/>
      <c r="M338" s="19"/>
      <c r="N338" s="19"/>
      <c r="Y338" s="4"/>
    </row>
    <row r="339" s="2" customFormat="1" customHeight="1" spans="1:25">
      <c r="A339" s="19"/>
      <c r="C339" s="26"/>
      <c r="D339" s="19"/>
      <c r="E339" s="19"/>
      <c r="F339" s="19"/>
      <c r="M339" s="18"/>
      <c r="N339" s="18"/>
      <c r="Y339" s="4"/>
    </row>
    <row r="340" s="2" customFormat="1" customHeight="1" spans="1:25">
      <c r="A340" s="19"/>
      <c r="C340" s="26"/>
      <c r="D340" s="19"/>
      <c r="E340" s="19"/>
      <c r="F340" s="19"/>
      <c r="M340" s="19"/>
      <c r="N340" s="19"/>
      <c r="Y340" s="4"/>
    </row>
    <row r="341" s="2" customFormat="1" customHeight="1" spans="1:25">
      <c r="A341" s="19"/>
      <c r="C341" s="26"/>
      <c r="D341" s="19"/>
      <c r="E341" s="19"/>
      <c r="F341" s="19"/>
      <c r="M341" s="18"/>
      <c r="N341" s="18"/>
      <c r="Y341" s="4"/>
    </row>
    <row r="342" s="2" customFormat="1" customHeight="1" spans="1:25">
      <c r="A342" s="19"/>
      <c r="C342" s="27"/>
      <c r="D342" s="19"/>
      <c r="E342" s="19"/>
      <c r="F342" s="19"/>
      <c r="M342" s="19"/>
      <c r="N342" s="19"/>
      <c r="Y342" s="4"/>
    </row>
    <row r="343" s="2" customFormat="1" customHeight="1" spans="1:25">
      <c r="A343" s="19"/>
      <c r="C343" s="26"/>
      <c r="D343" s="19"/>
      <c r="E343" s="19"/>
      <c r="F343" s="19"/>
      <c r="M343" s="18"/>
      <c r="N343" s="18"/>
      <c r="Y343" s="4"/>
    </row>
    <row r="344" s="2" customFormat="1" customHeight="1" spans="1:25">
      <c r="A344" s="19"/>
      <c r="C344" s="27"/>
      <c r="D344" s="19"/>
      <c r="E344" s="19"/>
      <c r="F344" s="19"/>
      <c r="M344" s="19"/>
      <c r="N344" s="19"/>
      <c r="Y344" s="4"/>
    </row>
    <row r="345" s="2" customFormat="1" customHeight="1" spans="1:25">
      <c r="A345" s="19"/>
      <c r="C345" s="27"/>
      <c r="D345" s="19"/>
      <c r="E345" s="19"/>
      <c r="F345" s="19"/>
      <c r="M345" s="18"/>
      <c r="N345" s="18"/>
      <c r="Y345" s="4"/>
    </row>
    <row r="346" s="2" customFormat="1" customHeight="1" spans="1:25">
      <c r="A346" s="19"/>
      <c r="C346" s="26"/>
      <c r="D346" s="19"/>
      <c r="E346" s="19"/>
      <c r="F346" s="19"/>
      <c r="M346" s="19"/>
      <c r="N346" s="19"/>
      <c r="Y346" s="4"/>
    </row>
    <row r="347" s="2" customFormat="1" customHeight="1" spans="1:25">
      <c r="A347" s="19"/>
      <c r="C347" s="27"/>
      <c r="D347" s="19"/>
      <c r="E347" s="19"/>
      <c r="F347" s="19"/>
      <c r="M347" s="18"/>
      <c r="N347" s="18"/>
      <c r="Y347" s="4"/>
    </row>
    <row r="348" s="2" customFormat="1" customHeight="1" spans="1:25">
      <c r="A348" s="19"/>
      <c r="C348" s="27"/>
      <c r="D348" s="19"/>
      <c r="E348" s="19"/>
      <c r="F348" s="19"/>
      <c r="M348" s="19"/>
      <c r="N348" s="19"/>
      <c r="Y348" s="4"/>
    </row>
    <row r="349" s="2" customFormat="1" customHeight="1" spans="1:25">
      <c r="A349" s="19"/>
      <c r="C349" s="26"/>
      <c r="D349" s="19"/>
      <c r="E349" s="19"/>
      <c r="F349" s="19"/>
      <c r="M349" s="18"/>
      <c r="N349" s="18"/>
      <c r="Y349" s="4"/>
    </row>
    <row r="350" s="2" customFormat="1" customHeight="1" spans="1:25">
      <c r="A350" s="19"/>
      <c r="C350" s="26"/>
      <c r="D350" s="19"/>
      <c r="E350" s="19"/>
      <c r="F350" s="19"/>
      <c r="M350" s="19"/>
      <c r="N350" s="19"/>
      <c r="Y350" s="4"/>
    </row>
    <row r="351" s="2" customFormat="1" customHeight="1" spans="1:25">
      <c r="A351" s="19"/>
      <c r="C351" s="26"/>
      <c r="D351" s="19"/>
      <c r="E351" s="19"/>
      <c r="F351" s="19"/>
      <c r="M351" s="18"/>
      <c r="N351" s="18"/>
      <c r="Y351" s="4"/>
    </row>
    <row r="352" s="2" customFormat="1" customHeight="1" spans="1:25">
      <c r="A352" s="19"/>
      <c r="C352" s="27"/>
      <c r="D352" s="19"/>
      <c r="E352" s="19"/>
      <c r="F352" s="19"/>
      <c r="M352" s="19"/>
      <c r="N352" s="19"/>
      <c r="Y352" s="4"/>
    </row>
    <row r="353" s="2" customFormat="1" customHeight="1" spans="1:25">
      <c r="A353" s="19"/>
      <c r="C353" s="26"/>
      <c r="D353" s="19"/>
      <c r="E353" s="19"/>
      <c r="F353" s="19"/>
      <c r="M353" s="18"/>
      <c r="N353" s="18"/>
      <c r="Y353" s="4"/>
    </row>
    <row r="354" s="2" customFormat="1" customHeight="1" spans="1:25">
      <c r="A354" s="19"/>
      <c r="C354" s="26"/>
      <c r="D354" s="19"/>
      <c r="E354" s="19"/>
      <c r="F354" s="19"/>
      <c r="M354" s="19"/>
      <c r="N354" s="19"/>
      <c r="Y354" s="4"/>
    </row>
    <row r="355" s="2" customFormat="1" customHeight="1" spans="1:25">
      <c r="A355" s="19"/>
      <c r="C355" s="26"/>
      <c r="D355" s="19"/>
      <c r="E355" s="19"/>
      <c r="F355" s="19"/>
      <c r="M355" s="18"/>
      <c r="N355" s="18"/>
      <c r="Y355" s="4"/>
    </row>
    <row r="356" s="2" customFormat="1" customHeight="1" spans="1:25">
      <c r="A356" s="19"/>
      <c r="C356" s="26"/>
      <c r="D356" s="19"/>
      <c r="E356" s="19"/>
      <c r="F356" s="19"/>
      <c r="M356" s="19"/>
      <c r="N356" s="19"/>
      <c r="Y356" s="4"/>
    </row>
    <row r="357" s="2" customFormat="1" customHeight="1" spans="1:25">
      <c r="A357" s="19"/>
      <c r="C357" s="27"/>
      <c r="D357" s="19"/>
      <c r="E357" s="19"/>
      <c r="F357" s="19"/>
      <c r="M357" s="18"/>
      <c r="N357" s="18"/>
      <c r="Y357" s="4"/>
    </row>
    <row r="358" s="2" customFormat="1" customHeight="1" spans="1:25">
      <c r="A358" s="19"/>
      <c r="C358" s="27"/>
      <c r="D358" s="19"/>
      <c r="E358" s="19"/>
      <c r="F358" s="19"/>
      <c r="M358" s="19"/>
      <c r="N358" s="19"/>
      <c r="Y358" s="4"/>
    </row>
    <row r="359" s="2" customFormat="1" customHeight="1" spans="1:25">
      <c r="A359" s="19"/>
      <c r="C359" s="27"/>
      <c r="D359" s="19"/>
      <c r="E359" s="19"/>
      <c r="F359" s="19"/>
      <c r="M359" s="18"/>
      <c r="N359" s="18"/>
      <c r="Y359" s="4"/>
    </row>
    <row r="360" s="2" customFormat="1" customHeight="1" spans="1:25">
      <c r="A360" s="19"/>
      <c r="B360" s="2"/>
      <c r="C360" s="27"/>
      <c r="D360" s="19"/>
      <c r="E360" s="19"/>
      <c r="F360" s="19"/>
      <c r="M360" s="19"/>
      <c r="N360" s="19"/>
      <c r="Y360" s="4"/>
    </row>
    <row r="361" s="2" customFormat="1" customHeight="1" spans="1:25">
      <c r="A361" s="19"/>
      <c r="C361" s="27"/>
      <c r="D361" s="19"/>
      <c r="E361" s="19"/>
      <c r="F361" s="19"/>
      <c r="M361" s="18"/>
      <c r="N361" s="18"/>
      <c r="Y361" s="4"/>
    </row>
    <row r="362" s="2" customFormat="1" customHeight="1" spans="1:25">
      <c r="A362" s="19"/>
      <c r="C362" s="26"/>
      <c r="D362" s="19"/>
      <c r="E362" s="19"/>
      <c r="F362" s="19"/>
      <c r="M362" s="19"/>
      <c r="N362" s="19"/>
      <c r="Y362" s="4"/>
    </row>
    <row r="363" s="2" customFormat="1" customHeight="1" spans="1:25">
      <c r="A363" s="19"/>
      <c r="C363" s="26"/>
      <c r="D363" s="19"/>
      <c r="E363" s="19"/>
      <c r="F363" s="19"/>
      <c r="M363" s="18"/>
      <c r="N363" s="18"/>
      <c r="Y363" s="4"/>
    </row>
    <row r="364" s="2" customFormat="1" customHeight="1" spans="1:25">
      <c r="A364" s="19"/>
      <c r="C364" s="27"/>
      <c r="D364" s="19"/>
      <c r="E364" s="19"/>
      <c r="F364" s="19"/>
      <c r="M364" s="19"/>
      <c r="N364" s="19"/>
      <c r="Y364" s="4"/>
    </row>
    <row r="365" s="2" customFormat="1" customHeight="1" spans="1:25">
      <c r="A365" s="19"/>
      <c r="C365" s="27"/>
      <c r="D365" s="19"/>
      <c r="E365" s="19"/>
      <c r="F365" s="19"/>
      <c r="M365" s="18"/>
      <c r="N365" s="18"/>
      <c r="Y365" s="4"/>
    </row>
    <row r="366" s="2" customFormat="1" customHeight="1" spans="1:25">
      <c r="A366" s="19"/>
      <c r="C366" s="26"/>
      <c r="D366" s="19"/>
      <c r="E366" s="19"/>
      <c r="F366" s="19"/>
      <c r="M366" s="19"/>
      <c r="N366" s="19"/>
      <c r="Y366" s="4"/>
    </row>
    <row r="367" s="2" customFormat="1" customHeight="1" spans="1:25">
      <c r="A367" s="19"/>
      <c r="C367" s="26"/>
      <c r="D367" s="19"/>
      <c r="E367" s="19"/>
      <c r="F367" s="19"/>
      <c r="M367" s="18"/>
      <c r="N367" s="18"/>
      <c r="Y367" s="4"/>
    </row>
    <row r="368" s="2" customFormat="1" customHeight="1" spans="1:25">
      <c r="A368" s="19"/>
      <c r="C368" s="26"/>
      <c r="D368" s="19"/>
      <c r="E368" s="19"/>
      <c r="F368" s="19"/>
      <c r="M368" s="19"/>
      <c r="N368" s="19"/>
      <c r="Y368" s="4"/>
    </row>
    <row r="369" s="2" customFormat="1" customHeight="1" spans="1:25">
      <c r="A369" s="19"/>
      <c r="C369" s="27"/>
      <c r="D369" s="19"/>
      <c r="E369" s="19"/>
      <c r="F369" s="19"/>
      <c r="M369" s="18"/>
      <c r="N369" s="18"/>
      <c r="Y369" s="4"/>
    </row>
    <row r="370" s="2" customFormat="1" customHeight="1" spans="1:25">
      <c r="A370" s="19"/>
      <c r="B370" s="2"/>
      <c r="C370" s="27"/>
      <c r="D370" s="19"/>
      <c r="E370" s="19"/>
      <c r="F370" s="19"/>
      <c r="M370" s="19"/>
      <c r="N370" s="19"/>
      <c r="Y370" s="4"/>
    </row>
    <row r="371" s="2" customFormat="1" customHeight="1" spans="1:25">
      <c r="A371" s="19"/>
      <c r="C371" s="27"/>
      <c r="D371" s="19"/>
      <c r="E371" s="19"/>
      <c r="F371" s="19"/>
      <c r="M371" s="18"/>
      <c r="N371" s="18"/>
      <c r="Y371" s="4"/>
    </row>
    <row r="372" s="2" customFormat="1" customHeight="1" spans="1:25">
      <c r="A372" s="19"/>
      <c r="B372" s="2"/>
      <c r="C372" s="26"/>
      <c r="D372" s="19"/>
      <c r="E372" s="19"/>
      <c r="F372" s="19"/>
      <c r="M372" s="19"/>
      <c r="N372" s="19"/>
      <c r="Y372" s="4"/>
    </row>
    <row r="373" s="2" customFormat="1" customHeight="1" spans="3:25">
      <c r="C373" s="19"/>
      <c r="D373" s="3"/>
      <c r="E373" s="3"/>
      <c r="F373" s="3"/>
      <c r="O373" s="18"/>
      <c r="Y373" s="4"/>
    </row>
    <row r="374" s="2" customFormat="1" customHeight="1" spans="3:25">
      <c r="C374" s="19"/>
      <c r="D374" s="3"/>
      <c r="E374" s="3"/>
      <c r="F374" s="3"/>
      <c r="O374" s="19"/>
      <c r="Y374" s="4"/>
    </row>
    <row r="375" s="2" customFormat="1" customHeight="1" spans="3:25">
      <c r="C375" s="19"/>
      <c r="D375" s="3"/>
      <c r="E375" s="3"/>
      <c r="F375" s="3"/>
      <c r="O375" s="18"/>
      <c r="Y375" s="4"/>
    </row>
    <row r="376" s="2" customFormat="1" customHeight="1" spans="3:25">
      <c r="C376" s="19"/>
      <c r="D376" s="3"/>
      <c r="E376" s="3"/>
      <c r="F376" s="3"/>
      <c r="O376" s="19"/>
      <c r="Y376" s="4"/>
    </row>
    <row r="377" s="2" customFormat="1" customHeight="1" spans="3:25">
      <c r="C377" s="19"/>
      <c r="D377" s="3"/>
      <c r="E377" s="3"/>
      <c r="F377" s="3"/>
      <c r="O377" s="18"/>
      <c r="Y377" s="4"/>
    </row>
    <row r="378" s="2" customFormat="1" customHeight="1" spans="3:25">
      <c r="C378" s="19"/>
      <c r="D378" s="3"/>
      <c r="E378" s="3"/>
      <c r="F378" s="3"/>
      <c r="O378" s="19"/>
      <c r="Y378" s="4"/>
    </row>
    <row r="379" s="2" customFormat="1" customHeight="1" spans="3:25">
      <c r="C379" s="19"/>
      <c r="D379" s="3"/>
      <c r="E379" s="3"/>
      <c r="F379" s="3"/>
      <c r="O379" s="18"/>
      <c r="Y379" s="4"/>
    </row>
    <row r="380" s="2" customFormat="1" customHeight="1" spans="3:25">
      <c r="C380" s="19"/>
      <c r="D380" s="3"/>
      <c r="E380" s="3"/>
      <c r="F380" s="3"/>
      <c r="O380" s="19"/>
      <c r="Y380" s="4"/>
    </row>
    <row r="381" s="2" customFormat="1" customHeight="1" spans="3:25">
      <c r="C381" s="19"/>
      <c r="D381" s="3"/>
      <c r="E381" s="3"/>
      <c r="F381" s="3"/>
      <c r="O381" s="18"/>
      <c r="Y381" s="4"/>
    </row>
    <row r="382" s="2" customFormat="1" customHeight="1" spans="3:25">
      <c r="C382" s="19"/>
      <c r="D382" s="3"/>
      <c r="E382" s="3"/>
      <c r="F382" s="3"/>
      <c r="O382" s="19"/>
      <c r="Y382" s="4"/>
    </row>
    <row r="383" s="2" customFormat="1" customHeight="1" spans="3:25">
      <c r="C383" s="19"/>
      <c r="D383" s="3"/>
      <c r="E383" s="3"/>
      <c r="F383" s="3"/>
      <c r="O383" s="18"/>
      <c r="Y383" s="4"/>
    </row>
    <row r="384" s="2" customFormat="1" customHeight="1" spans="3:25">
      <c r="C384" s="19"/>
      <c r="D384" s="3"/>
      <c r="E384" s="3"/>
      <c r="F384" s="3"/>
      <c r="O384" s="19"/>
      <c r="Y384" s="4"/>
    </row>
    <row r="385" s="2" customFormat="1" customHeight="1" spans="3:25">
      <c r="C385" s="19"/>
      <c r="D385" s="3"/>
      <c r="E385" s="3"/>
      <c r="F385" s="3"/>
      <c r="O385" s="18"/>
      <c r="Y385" s="4"/>
    </row>
    <row r="386" s="2" customFormat="1" customHeight="1" spans="3:25">
      <c r="C386" s="28"/>
      <c r="D386" s="29"/>
      <c r="E386" s="29"/>
      <c r="F386" s="29"/>
      <c r="Y386" s="4"/>
    </row>
    <row r="387" s="2" customFormat="1" customHeight="1" spans="3:25">
      <c r="C387" s="28"/>
      <c r="D387" s="29"/>
      <c r="E387" s="29"/>
      <c r="F387" s="29"/>
      <c r="Y387" s="4"/>
    </row>
    <row r="388" s="2" customFormat="1" customHeight="1" spans="3:25">
      <c r="C388" s="28"/>
      <c r="D388" s="29"/>
      <c r="E388" s="29"/>
      <c r="F388" s="29"/>
      <c r="Y388" s="4"/>
    </row>
    <row r="389" s="2" customFormat="1" customHeight="1" spans="3:25">
      <c r="C389" s="30"/>
      <c r="D389" s="30"/>
      <c r="E389" s="30"/>
      <c r="F389" s="29"/>
      <c r="Y389" s="4"/>
    </row>
    <row r="390" s="2" customFormat="1" customHeight="1" spans="3:25">
      <c r="C390" s="30"/>
      <c r="D390" s="30"/>
      <c r="E390" s="30"/>
      <c r="F390" s="29"/>
      <c r="Y390" s="4"/>
    </row>
    <row r="391" s="2" customFormat="1" customHeight="1" spans="3:25">
      <c r="C391" s="30"/>
      <c r="D391" s="30"/>
      <c r="E391" s="30"/>
      <c r="F391" s="29"/>
      <c r="Y391" s="4"/>
    </row>
    <row r="392" s="2" customFormat="1" customHeight="1" spans="3:25">
      <c r="C392" s="31"/>
      <c r="D392" s="31"/>
      <c r="E392" s="31"/>
      <c r="F392" s="29"/>
      <c r="Y392" s="4"/>
    </row>
    <row r="393" s="2" customFormat="1" customHeight="1" spans="3:25">
      <c r="C393" s="30"/>
      <c r="D393" s="30"/>
      <c r="E393" s="30"/>
      <c r="F393" s="29"/>
      <c r="Y393" s="4"/>
    </row>
    <row r="394" s="2" customFormat="1" customHeight="1" spans="3:25">
      <c r="C394" s="31"/>
      <c r="D394" s="31"/>
      <c r="E394" s="31"/>
      <c r="F394" s="29"/>
      <c r="Y394" s="4"/>
    </row>
    <row r="395" s="2" customFormat="1" customHeight="1" spans="3:25">
      <c r="C395" s="30"/>
      <c r="D395" s="30"/>
      <c r="E395" s="30"/>
      <c r="F395" s="29"/>
      <c r="Y395" s="4"/>
    </row>
    <row r="396" s="2" customFormat="1" customHeight="1" spans="3:25">
      <c r="C396" s="31"/>
      <c r="D396" s="31"/>
      <c r="E396" s="31"/>
      <c r="F396" s="29"/>
      <c r="Y396" s="4"/>
    </row>
    <row r="397" s="2" customFormat="1" customHeight="1" spans="3:25">
      <c r="C397" s="31"/>
      <c r="D397" s="31"/>
      <c r="E397" s="31"/>
      <c r="F397" s="29"/>
      <c r="Y397" s="4"/>
    </row>
    <row r="398" s="2" customFormat="1" customHeight="1" spans="3:25">
      <c r="C398" s="30"/>
      <c r="D398" s="30"/>
      <c r="E398" s="30"/>
      <c r="F398" s="29"/>
      <c r="Y398" s="4"/>
    </row>
    <row r="399" s="2" customFormat="1" customHeight="1" spans="3:25">
      <c r="C399" s="30"/>
      <c r="D399" s="30"/>
      <c r="E399" s="30"/>
      <c r="F399" s="29"/>
      <c r="Y399" s="4"/>
    </row>
    <row r="400" s="2" customFormat="1" customHeight="1" spans="3:25">
      <c r="C400" s="30"/>
      <c r="D400" s="30"/>
      <c r="E400" s="30"/>
      <c r="F400" s="29"/>
      <c r="Y400" s="4"/>
    </row>
    <row r="401" s="2" customFormat="1" customHeight="1" spans="3:25">
      <c r="C401" s="30"/>
      <c r="D401" s="30"/>
      <c r="E401" s="30"/>
      <c r="F401" s="29"/>
      <c r="Y401" s="4"/>
    </row>
    <row r="402" s="2" customFormat="1" customHeight="1" spans="3:25">
      <c r="C402" s="31"/>
      <c r="D402" s="31"/>
      <c r="E402" s="31"/>
      <c r="F402" s="29"/>
      <c r="Y402" s="4"/>
    </row>
    <row r="403" s="2" customFormat="1" customHeight="1" spans="3:25">
      <c r="C403" s="30"/>
      <c r="D403" s="30"/>
      <c r="E403" s="30"/>
      <c r="F403" s="29"/>
      <c r="Y403" s="4"/>
    </row>
    <row r="404" s="2" customFormat="1" customHeight="1" spans="3:25">
      <c r="C404" s="31"/>
      <c r="D404" s="31"/>
      <c r="E404" s="31"/>
      <c r="F404" s="29"/>
      <c r="Y404" s="4"/>
    </row>
    <row r="405" s="2" customFormat="1" customHeight="1" spans="3:25">
      <c r="C405" s="31"/>
      <c r="D405" s="31"/>
      <c r="E405" s="31"/>
      <c r="F405" s="29"/>
      <c r="Y405" s="4"/>
    </row>
    <row r="406" s="2" customFormat="1" customHeight="1" spans="3:25">
      <c r="C406" s="31"/>
      <c r="D406" s="31"/>
      <c r="E406" s="31"/>
      <c r="F406" s="29"/>
      <c r="Y406" s="4"/>
    </row>
    <row r="407" s="2" customFormat="1" customHeight="1" spans="3:25">
      <c r="C407" s="30"/>
      <c r="D407" s="30"/>
      <c r="E407" s="30"/>
      <c r="F407" s="29"/>
      <c r="Y407" s="4"/>
    </row>
    <row r="408" s="2" customFormat="1" customHeight="1" spans="3:25">
      <c r="C408" s="29"/>
      <c r="D408" s="32"/>
      <c r="E408" s="32"/>
      <c r="F408" s="29"/>
      <c r="Y408" s="4"/>
    </row>
    <row r="409" s="2" customFormat="1" customHeight="1" spans="3:25">
      <c r="C409" s="30"/>
      <c r="D409" s="30"/>
      <c r="E409" s="30"/>
      <c r="F409" s="29"/>
      <c r="Y409" s="4"/>
    </row>
    <row r="410" s="2" customFormat="1" customHeight="1" spans="3:25">
      <c r="C410" s="30"/>
      <c r="D410" s="30"/>
      <c r="E410" s="30"/>
      <c r="F410" s="29"/>
      <c r="Y410" s="4"/>
    </row>
    <row r="411" s="2" customFormat="1" customHeight="1" spans="3:25">
      <c r="C411" s="31"/>
      <c r="D411" s="31"/>
      <c r="E411" s="31"/>
      <c r="F411" s="29"/>
      <c r="Y411" s="4"/>
    </row>
    <row r="412" s="2" customFormat="1" customHeight="1" spans="3:25">
      <c r="C412" s="31"/>
      <c r="D412" s="31"/>
      <c r="E412" s="31"/>
      <c r="F412" s="29"/>
      <c r="Y412" s="4"/>
    </row>
    <row r="413" s="2" customFormat="1" customHeight="1" spans="3:25">
      <c r="C413" s="30"/>
      <c r="D413" s="30"/>
      <c r="E413" s="30"/>
      <c r="F413" s="29"/>
      <c r="Y413" s="4"/>
    </row>
    <row r="414" s="2" customFormat="1" customHeight="1" spans="3:25">
      <c r="C414" s="30"/>
      <c r="D414" s="30"/>
      <c r="E414" s="30"/>
      <c r="F414" s="29"/>
      <c r="Y414" s="4"/>
    </row>
    <row r="415" s="2" customFormat="1" customHeight="1" spans="3:25">
      <c r="C415" s="30"/>
      <c r="D415" s="30"/>
      <c r="E415" s="30"/>
      <c r="F415" s="29"/>
      <c r="Y415" s="4"/>
    </row>
    <row r="416" s="2" customFormat="1" customHeight="1" spans="3:25">
      <c r="C416" s="30"/>
      <c r="D416" s="30"/>
      <c r="E416" s="30"/>
      <c r="F416" s="29"/>
      <c r="Y416" s="4"/>
    </row>
    <row r="417" s="2" customFormat="1" customHeight="1" spans="3:25">
      <c r="C417" s="30"/>
      <c r="D417" s="30"/>
      <c r="E417" s="30"/>
      <c r="F417" s="29"/>
      <c r="Y417" s="4"/>
    </row>
    <row r="418" s="2" customFormat="1" customHeight="1" spans="3:25">
      <c r="C418" s="31"/>
      <c r="D418" s="31"/>
      <c r="E418" s="31"/>
      <c r="F418" s="29"/>
      <c r="Y418" s="4"/>
    </row>
    <row r="419" s="2" customFormat="1" customHeight="1" spans="3:25">
      <c r="C419" s="29"/>
      <c r="D419" s="32"/>
      <c r="E419" s="32"/>
      <c r="F419" s="29"/>
      <c r="Y419" s="4"/>
    </row>
    <row r="420" s="2" customFormat="1" customHeight="1" spans="3:25">
      <c r="C420" s="29"/>
      <c r="D420" s="32"/>
      <c r="E420" s="32"/>
      <c r="F420" s="29"/>
      <c r="Y420" s="4"/>
    </row>
    <row r="421" s="2" customFormat="1" customHeight="1" spans="3:25">
      <c r="C421" s="30"/>
      <c r="D421" s="30"/>
      <c r="E421" s="30"/>
      <c r="F421" s="29"/>
      <c r="Y421" s="4"/>
    </row>
    <row r="422" s="2" customFormat="1" customHeight="1" spans="3:25">
      <c r="C422" s="30"/>
      <c r="D422" s="30"/>
      <c r="E422" s="30"/>
      <c r="F422" s="29"/>
      <c r="Y422" s="4"/>
    </row>
    <row r="423" s="2" customFormat="1" customHeight="1" spans="3:25">
      <c r="C423" s="31"/>
      <c r="D423" s="31"/>
      <c r="E423" s="31"/>
      <c r="F423" s="29"/>
      <c r="Y423" s="4"/>
    </row>
    <row r="424" s="2" customFormat="1" customHeight="1" spans="3:25">
      <c r="C424" s="31"/>
      <c r="D424" s="31"/>
      <c r="E424" s="31"/>
      <c r="F424" s="29"/>
      <c r="Y424" s="4"/>
    </row>
    <row r="425" s="2" customFormat="1" customHeight="1" spans="3:25">
      <c r="C425" s="31"/>
      <c r="D425" s="31"/>
      <c r="E425" s="31"/>
      <c r="F425" s="29"/>
      <c r="Y425" s="4"/>
    </row>
    <row r="426" s="2" customFormat="1" customHeight="1" spans="3:25">
      <c r="C426" s="30"/>
      <c r="D426" s="30"/>
      <c r="E426" s="30"/>
      <c r="F426" s="29"/>
      <c r="Y426" s="4"/>
    </row>
    <row r="427" s="2" customFormat="1" customHeight="1" spans="3:25">
      <c r="C427" s="31"/>
      <c r="D427" s="31"/>
      <c r="E427" s="31"/>
      <c r="F427" s="29"/>
      <c r="Y427" s="4"/>
    </row>
    <row r="428" s="2" customFormat="1" customHeight="1" spans="3:25">
      <c r="C428" s="30"/>
      <c r="D428" s="30"/>
      <c r="E428" s="30"/>
      <c r="F428" s="29"/>
      <c r="Y428" s="4"/>
    </row>
    <row r="429" s="2" customFormat="1" customHeight="1" spans="3:25">
      <c r="C429" s="30"/>
      <c r="D429" s="30"/>
      <c r="E429" s="30"/>
      <c r="F429" s="29"/>
      <c r="Y429" s="4"/>
    </row>
    <row r="430" s="2" customFormat="1" customHeight="1" spans="3:25">
      <c r="C430" s="31"/>
      <c r="D430" s="31"/>
      <c r="E430" s="31"/>
      <c r="F430" s="29"/>
      <c r="Y430" s="4"/>
    </row>
    <row r="431" s="2" customFormat="1" customHeight="1" spans="3:25">
      <c r="C431" s="31"/>
      <c r="D431" s="31"/>
      <c r="E431" s="31"/>
      <c r="F431" s="29"/>
      <c r="Y431" s="4"/>
    </row>
    <row r="432" s="2" customFormat="1" customHeight="1" spans="3:25">
      <c r="C432" s="30"/>
      <c r="D432" s="30"/>
      <c r="E432" s="30"/>
      <c r="F432" s="29"/>
      <c r="Y432" s="4"/>
    </row>
    <row r="433" s="2" customFormat="1" customHeight="1" spans="3:25">
      <c r="C433" s="31"/>
      <c r="D433" s="31"/>
      <c r="E433" s="31"/>
      <c r="F433" s="29"/>
      <c r="Y433" s="4"/>
    </row>
    <row r="434" s="2" customFormat="1" customHeight="1" spans="3:25">
      <c r="C434" s="29"/>
      <c r="D434" s="32"/>
      <c r="E434" s="32"/>
      <c r="F434" s="29"/>
      <c r="Y434" s="4"/>
    </row>
    <row r="435" s="2" customFormat="1" customHeight="1" spans="3:25">
      <c r="C435" s="31"/>
      <c r="D435" s="31"/>
      <c r="E435" s="31"/>
      <c r="F435" s="29"/>
      <c r="Y435" s="4"/>
    </row>
    <row r="436" s="2" customFormat="1" customHeight="1" spans="3:25">
      <c r="C436" s="29"/>
      <c r="D436" s="32"/>
      <c r="E436" s="32"/>
      <c r="F436" s="29"/>
      <c r="Y436" s="4"/>
    </row>
    <row r="437" s="2" customFormat="1" customHeight="1" spans="3:25">
      <c r="C437" s="31"/>
      <c r="D437" s="31"/>
      <c r="E437" s="31"/>
      <c r="F437" s="29"/>
      <c r="Y437" s="4"/>
    </row>
    <row r="438" s="2" customFormat="1" customHeight="1" spans="3:25">
      <c r="C438" s="31"/>
      <c r="D438" s="31"/>
      <c r="E438" s="31"/>
      <c r="F438" s="29"/>
      <c r="Y438" s="4"/>
    </row>
  </sheetData>
  <mergeCells count="6">
    <mergeCell ref="P1:Q1"/>
    <mergeCell ref="C1:C2"/>
    <mergeCell ref="D1:D2"/>
    <mergeCell ref="E1:E2"/>
    <mergeCell ref="F1:F2"/>
    <mergeCell ref="A1:B2"/>
  </mergeCells>
  <conditionalFormatting sqref="C1:C322 C439:C1048576">
    <cfRule type="expression" dxfId="1" priority="1">
      <formula>AND(COUNTIF($C$1:$C$322,C1)+COUNTIF($C$373:$C$1048575,C1)&gt;1,NOT(ISBLANK(C1)))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推广计划</vt:lpstr>
      <vt:lpstr>运营数据记录</vt:lpstr>
      <vt:lpstr>库存管理</vt:lpstr>
      <vt:lpstr>发货登记</vt:lpstr>
      <vt:lpstr>广告词总表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WPS_1640679917</cp:lastModifiedBy>
  <dcterms:created xsi:type="dcterms:W3CDTF">2021-12-02T09:17:00Z</dcterms:created>
  <dcterms:modified xsi:type="dcterms:W3CDTF">2022-01-10T04:03:34Z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E8D2174EEC384F50BFB11C86C212BB47</vt:lpwstr>
  </property>
  <property fmtid="{D5CDD505-2E9C-101B-9397-08002B2CF9AE}" pid="3" name="KSOProductBuildVer">
    <vt:lpwstr>2052-11.1.0.10314</vt:lpwstr>
  </property>
</Properties>
</file>