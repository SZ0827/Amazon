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折扣叠加情况说明" sheetId="1" r:id="rId1"/>
    <sheet name="价格计算公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<sst xmlns="http://schemas.openxmlformats.org/spreadsheetml/2006/main" count="133" uniqueCount="52">
  <si>
    <t>亚马逊折扣叠加说明</t>
  </si>
  <si>
    <t>优惠券</t>
  </si>
  <si>
    <t>购买折扣（优先型）</t>
  </si>
  <si>
    <t>购买折扣（一次性）</t>
  </si>
  <si>
    <t>购买折扣（其它）</t>
  </si>
  <si>
    <t>social code</t>
  </si>
  <si>
    <t>秒杀（Deal）</t>
  </si>
  <si>
    <t>会员折扣</t>
  </si>
  <si>
    <t>奥特莱斯</t>
  </si>
  <si>
    <t>同ASIN只能开一个</t>
  </si>
  <si>
    <t>叠加</t>
  </si>
  <si>
    <t>不叠加</t>
  </si>
  <si>
    <t>秒杀</t>
  </si>
  <si>
    <t>/</t>
  </si>
  <si>
    <t>秒杀+会员（会员折扣自动关掉）</t>
  </si>
  <si>
    <t>不能一起开</t>
  </si>
  <si>
    <t>注释：</t>
  </si>
  <si>
    <r>
      <rPr>
        <sz val="16"/>
        <color theme="1"/>
        <rFont val="宋体"/>
        <charset val="134"/>
      </rPr>
      <t>Prime专享折扣和秒杀的情况：秒杀活动最高价是根据</t>
    </r>
    <r>
      <rPr>
        <sz val="16"/>
        <color rgb="FFFF0000"/>
        <rFont val="宋体"/>
        <charset val="134"/>
      </rPr>
      <t>一个月内最低售价的85%来定的</t>
    </r>
    <r>
      <rPr>
        <sz val="16"/>
        <color theme="1"/>
        <rFont val="宋体"/>
        <charset val="134"/>
      </rPr>
      <t>，如果Prime专享折扣出现在</t>
    </r>
    <r>
      <rPr>
        <sz val="16"/>
        <color rgb="FFFF0000"/>
        <rFont val="宋体"/>
        <charset val="134"/>
      </rPr>
      <t>秒杀开始前一个月内</t>
    </r>
    <r>
      <rPr>
        <sz val="16"/>
        <color theme="1"/>
        <rFont val="宋体"/>
        <charset val="134"/>
      </rPr>
      <t>，就会直接</t>
    </r>
    <r>
      <rPr>
        <sz val="16"/>
        <color rgb="FFFF0000"/>
        <rFont val="宋体"/>
        <charset val="134"/>
      </rPr>
      <t>影响该商品一个月内的最低售价</t>
    </r>
    <r>
      <rPr>
        <sz val="16"/>
        <color theme="1"/>
        <rFont val="宋体"/>
        <charset val="134"/>
      </rPr>
      <t>，而这样Prime专享折扣就间接同秒杀折扣叠加了。</t>
    </r>
  </si>
  <si>
    <t>优惠券购买折扣（优先型）购买折扣（一次性） 购买折扣（其它》 social code 秒杀会员折扣奥特莱斯</t>
  </si>
  <si>
    <r>
      <rPr>
        <sz val="16"/>
        <color theme="1"/>
        <rFont val="宋体"/>
        <charset val="134"/>
      </rPr>
      <t>优惠券：当A商品设置10%OFF的coupon，买家领取coupon未使用，</t>
    </r>
    <r>
      <rPr>
        <sz val="16"/>
        <color rgb="FFFF0000"/>
        <rFont val="宋体"/>
        <charset val="134"/>
      </rPr>
      <t>活动预算提前跑完，但还没到设置的活动结束时间</t>
    </r>
    <r>
      <rPr>
        <sz val="16"/>
        <color theme="1"/>
        <rFont val="宋体"/>
        <charset val="134"/>
      </rPr>
      <t>，重新创建新的10%OFF的coupon，如果买家领取新coupon，可以叠加，结算就是20%OFF。</t>
    </r>
  </si>
  <si>
    <r>
      <rPr>
        <sz val="16"/>
        <color theme="1"/>
        <rFont val="宋体"/>
        <charset val="134"/>
      </rPr>
      <t>7 Day Deal</t>
    </r>
    <r>
      <rPr>
        <sz val="16"/>
        <color rgb="FFFF0000"/>
        <rFont val="宋体"/>
        <charset val="134"/>
      </rPr>
      <t>既会</t>
    </r>
    <r>
      <rPr>
        <sz val="16"/>
        <color theme="1"/>
        <rFont val="宋体"/>
        <charset val="134"/>
      </rPr>
      <t>影响ASIN的基准价格，</t>
    </r>
    <r>
      <rPr>
        <sz val="16"/>
        <color rgb="FFFF0000"/>
        <rFont val="宋体"/>
        <charset val="134"/>
      </rPr>
      <t>又会</t>
    </r>
    <r>
      <rPr>
        <sz val="16"/>
        <color theme="1"/>
        <rFont val="宋体"/>
        <charset val="134"/>
      </rPr>
      <t>影响最低价格</t>
    </r>
  </si>
  <si>
    <r>
      <rPr>
        <sz val="16"/>
        <color theme="1"/>
        <rFont val="宋体"/>
        <charset val="134"/>
      </rPr>
      <t xml:space="preserve">Lightning Deal </t>
    </r>
    <r>
      <rPr>
        <sz val="16"/>
        <color rgb="FFFF0000"/>
        <rFont val="宋体"/>
        <charset val="134"/>
      </rPr>
      <t>不会</t>
    </r>
    <r>
      <rPr>
        <sz val="16"/>
        <color theme="1"/>
        <rFont val="宋体"/>
        <charset val="134"/>
      </rPr>
      <t>影响ASIN的基准价格，</t>
    </r>
    <r>
      <rPr>
        <sz val="16"/>
        <color rgb="FFFF0000"/>
        <rFont val="宋体"/>
        <charset val="134"/>
      </rPr>
      <t>但会</t>
    </r>
    <r>
      <rPr>
        <sz val="16"/>
        <color theme="1"/>
        <rFont val="宋体"/>
        <charset val="134"/>
      </rPr>
      <t>影响最低价格</t>
    </r>
  </si>
  <si>
    <r>
      <rPr>
        <sz val="16"/>
        <color theme="1"/>
        <rFont val="宋体"/>
        <charset val="134"/>
      </rPr>
      <t>Deal of The Day</t>
    </r>
    <r>
      <rPr>
        <sz val="16"/>
        <color rgb="FFFF0000"/>
        <rFont val="宋体"/>
        <charset val="134"/>
      </rPr>
      <t>既会</t>
    </r>
    <r>
      <rPr>
        <sz val="16"/>
        <color theme="1"/>
        <rFont val="宋体"/>
        <charset val="134"/>
      </rPr>
      <t>影响ASIN的基准价格，</t>
    </r>
    <r>
      <rPr>
        <sz val="16"/>
        <color rgb="FFFF0000"/>
        <rFont val="宋体"/>
        <charset val="134"/>
      </rPr>
      <t>又会</t>
    </r>
    <r>
      <rPr>
        <sz val="16"/>
        <color theme="1"/>
        <rFont val="宋体"/>
        <charset val="134"/>
      </rPr>
      <t>影响最低价格</t>
    </r>
  </si>
  <si>
    <r>
      <rPr>
        <sz val="16"/>
        <color theme="1"/>
        <rFont val="宋体"/>
        <charset val="134"/>
      </rPr>
      <t>Prime专享折扣</t>
    </r>
    <r>
      <rPr>
        <sz val="16"/>
        <color rgb="FFFF0000"/>
        <rFont val="宋体"/>
        <charset val="134"/>
      </rPr>
      <t>既会</t>
    </r>
    <r>
      <rPr>
        <sz val="16"/>
        <color theme="1"/>
        <rFont val="宋体"/>
        <charset val="134"/>
      </rPr>
      <t>影响ASIN的基准价格，</t>
    </r>
    <r>
      <rPr>
        <sz val="16"/>
        <color rgb="FFFF0000"/>
        <rFont val="宋体"/>
        <charset val="134"/>
      </rPr>
      <t>又会</t>
    </r>
    <r>
      <rPr>
        <sz val="16"/>
        <color theme="1"/>
        <rFont val="宋体"/>
        <charset val="134"/>
      </rPr>
      <t>影响最低价格</t>
    </r>
  </si>
  <si>
    <r>
      <rPr>
        <sz val="16"/>
        <color theme="1"/>
        <rFont val="宋体"/>
        <charset val="134"/>
      </rPr>
      <t>Coupon</t>
    </r>
    <r>
      <rPr>
        <sz val="16"/>
        <color rgb="FFFF0000"/>
        <rFont val="宋体"/>
        <charset val="134"/>
      </rPr>
      <t>不会</t>
    </r>
    <r>
      <rPr>
        <sz val="16"/>
        <color theme="1"/>
        <rFont val="宋体"/>
        <charset val="134"/>
      </rPr>
      <t>影响ASIN的基准价格，</t>
    </r>
    <r>
      <rPr>
        <sz val="16"/>
        <color rgb="FFFF0000"/>
        <rFont val="宋体"/>
        <charset val="134"/>
      </rPr>
      <t>也不会</t>
    </r>
    <r>
      <rPr>
        <sz val="16"/>
        <color theme="1"/>
        <rFont val="宋体"/>
        <charset val="134"/>
      </rPr>
      <t>影响最低价格</t>
    </r>
  </si>
  <si>
    <r>
      <rPr>
        <sz val="16"/>
        <color theme="1"/>
        <rFont val="宋体"/>
        <charset val="134"/>
      </rPr>
      <t>积分</t>
    </r>
    <r>
      <rPr>
        <sz val="16"/>
        <color rgb="FFFF0000"/>
        <rFont val="宋体"/>
        <charset val="134"/>
      </rPr>
      <t>不会</t>
    </r>
    <r>
      <rPr>
        <sz val="16"/>
        <color theme="1"/>
        <rFont val="宋体"/>
        <charset val="134"/>
      </rPr>
      <t>影响ASIN的基准价格，也</t>
    </r>
    <r>
      <rPr>
        <sz val="16"/>
        <color rgb="FFFF0000"/>
        <rFont val="宋体"/>
        <charset val="134"/>
      </rPr>
      <t>不会</t>
    </r>
    <r>
      <rPr>
        <sz val="16"/>
        <color theme="1"/>
        <rFont val="宋体"/>
        <charset val="134"/>
      </rPr>
      <t>影响最低价格</t>
    </r>
  </si>
  <si>
    <t>亚马逊折扣叠加计算公式</t>
  </si>
  <si>
    <t>A情况</t>
  </si>
  <si>
    <t>售价</t>
  </si>
  <si>
    <t>LD秒杀折扣</t>
  </si>
  <si>
    <t>coupon</t>
  </si>
  <si>
    <t>计算公式</t>
  </si>
  <si>
    <t>备注</t>
  </si>
  <si>
    <t>Q：后台的LD和coupon的叠加是折扣相乘的方式来计算折扣的吗？
A：当秒杀活动中LD与coupon或promotion叠加时，折扣都是基于售价独立进行计算。</t>
  </si>
  <si>
    <t>Kevin为Prime Day期间的A商品设置了一个20%OFF的LD秒杀活动，该商品的售价是60美元，商品还有一个会覆盖Prime Day期间的10%OFF的coupon，请问商品在秒杀期间最终的成交价是多少？</t>
  </si>
  <si>
    <t>B情况</t>
  </si>
  <si>
    <t>7DD</t>
  </si>
  <si>
    <t>Q：后台的7DD和coupon叠加的情况是怎么计算的呢？和LD一样吗？
A：7DD与LD的计算方式不同，7DD与coupon或promotion叠加时，折扣并不是基于售价独立核算，而是coupon或promotion的折扣基于7DD的价格进行叠加计算。</t>
  </si>
  <si>
    <t xml:space="preserve">Kevin给售价是50美元的商品B提报了一个8$OFF的7DD，同时该商品还有一个10%OFF的coupon，请问在两个优惠叠加的期间，最终的成交价是多少？
</t>
  </si>
  <si>
    <t>C情况</t>
  </si>
  <si>
    <t>站外促销折扣码</t>
  </si>
  <si>
    <t>会员专享折扣</t>
  </si>
  <si>
    <t>Q：Prime专享折扣和promotion叠加时要怎么计算叠加呢？它的展示形式同秒杀一样，都是会划掉原来的售价展示出活动价。那它的算法是和7DD一样还是LD一样呢？
A：Prime专享折扣的算法同7DD相同，当与coupon或promotion发生叠加时，coupon和promotion的折扣是在Prime专享折扣价的基础上计算。</t>
  </si>
  <si>
    <t xml:space="preserve">Kevin给贩卖的商品C设置了50%OFF的促销折扣码发站外，同时该商品还申报了Prime专享折扣20%OFF，该商品的原价是100美元，叠加后买家多少钱可以买到该商品。
</t>
  </si>
  <si>
    <t>D情况</t>
  </si>
  <si>
    <t>code</t>
  </si>
  <si>
    <t>Q：coupon和promotion之间的叠加是怎么计算呢？它们都不影响售价，独立展示在页面上。
A：coupon和promotion之间的叠加都是基于原价独立进行折扣计算的。</t>
  </si>
  <si>
    <t>Kevin为了做站外推广给商品D设置了30%OFF的code，同时该商品还有一个10%OFF的coupon，D商品的原价是80美元，叠加后的成交价是多少呢？</t>
  </si>
  <si>
    <t>E情况</t>
  </si>
  <si>
    <t>会员专享</t>
  </si>
  <si>
    <t xml:space="preserve">A：首先有Prime专享折扣时，其他的活动都是基于Prime专享折扣价叠加的，那么10%OFF的Prime专享折扣价就是90美元，同时coupon和promotion的折扣都是在90美元的基础上独立计算而非折上折，也就是90-90*15%-90*20%=58.5。
</t>
  </si>
  <si>
    <t>Kevin申报Prime专享折扣时给A商品设置了10%OFF的折扣，同时该商品还有一个15%OFF的coupon，在做站外时又设置了一个20%OFF的code，该商品售价为100美元，在三个活动叠加的期间，最后的成交价会是多少呢？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</si>
</sst>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4"/>
      <color rgb="FF666666"/>
      <name val="宋体"/>
      <charset val="134"/>
      <scheme val="minor"/>
    </font>
    <font>
      <sz val="1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宋体"/>
      <charset val="134"/>
    </font>
    <font>
      <sz val="16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9" fontId="1" fillId="0" borderId="1" xfId="3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1" fillId="0" borderId="1" xfId="3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70" zoomScaleNormal="70" topLeftCell="F1" workbookViewId="0">
      <selection activeCell="T4" sqref="T4"/>
    </sheetView>
  </sheetViews>
  <sheetFormatPr defaultColWidth="9.625" defaultRowHeight="13.5"/>
  <cols>
    <col min="1" max="1" width="27.2583333333333" customWidth="1"/>
    <col min="2" max="2" width="23" customWidth="1"/>
    <col min="3" max="3" width="28" customWidth="1"/>
    <col min="4" max="4" width="24" customWidth="1"/>
    <col min="5" max="5" width="22" customWidth="1"/>
    <col min="6" max="6" width="16.125" customWidth="1"/>
    <col min="7" max="7" width="17.5" customWidth="1"/>
    <col min="8" max="8" width="13.2583333333333" customWidth="1"/>
    <col min="9" max="9" width="16.5" customWidth="1"/>
  </cols>
  <sheetData>
    <row r="1" ht="42" customHeight="1" spans="1:1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9"/>
      <c r="K1" s="29"/>
    </row>
    <row r="2" ht="24.95" customHeight="1" spans="1:9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ht="24.95" customHeight="1" spans="1:9">
      <c r="A3" s="3" t="s">
        <v>1</v>
      </c>
      <c r="B3" s="3" t="s">
        <v>9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ht="24.95" customHeight="1" spans="1:9">
      <c r="A4" s="3" t="s">
        <v>2</v>
      </c>
      <c r="B4" s="3" t="s">
        <v>10</v>
      </c>
      <c r="C4" s="25" t="s">
        <v>11</v>
      </c>
      <c r="D4" s="25" t="s">
        <v>11</v>
      </c>
      <c r="E4" s="3" t="s">
        <v>10</v>
      </c>
      <c r="F4" s="25" t="s">
        <v>11</v>
      </c>
      <c r="G4" s="3" t="s">
        <v>10</v>
      </c>
      <c r="H4" s="3" t="s">
        <v>10</v>
      </c>
      <c r="I4" s="3" t="s">
        <v>10</v>
      </c>
    </row>
    <row r="5" ht="24.95" customHeight="1" spans="1:9">
      <c r="A5" s="3" t="s">
        <v>3</v>
      </c>
      <c r="B5" s="3" t="s">
        <v>10</v>
      </c>
      <c r="C5" s="25" t="s">
        <v>11</v>
      </c>
      <c r="D5" s="25" t="s">
        <v>11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ht="24.95" customHeight="1" spans="1:9">
      <c r="A6" s="3" t="s">
        <v>4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ht="24.95" customHeight="1" spans="1:9">
      <c r="A7" s="3" t="s">
        <v>5</v>
      </c>
      <c r="B7" s="3" t="s">
        <v>10</v>
      </c>
      <c r="C7" s="25" t="s">
        <v>11</v>
      </c>
      <c r="D7" s="3" t="s">
        <v>10</v>
      </c>
      <c r="E7" s="3" t="s">
        <v>10</v>
      </c>
      <c r="F7" s="25" t="s">
        <v>11</v>
      </c>
      <c r="G7" s="3" t="s">
        <v>10</v>
      </c>
      <c r="H7" s="3" t="s">
        <v>10</v>
      </c>
      <c r="I7" s="3" t="s">
        <v>10</v>
      </c>
    </row>
    <row r="8" ht="81" spans="1:9">
      <c r="A8" s="3" t="s">
        <v>12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26" t="s">
        <v>13</v>
      </c>
      <c r="H8" s="13" t="s">
        <v>14</v>
      </c>
      <c r="I8" s="3" t="s">
        <v>10</v>
      </c>
    </row>
    <row r="9" ht="72.95" customHeight="1" spans="1:9">
      <c r="A9" s="3" t="s">
        <v>7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13" t="s">
        <v>14</v>
      </c>
      <c r="H9" s="26" t="s">
        <v>13</v>
      </c>
      <c r="I9" s="3" t="s">
        <v>10</v>
      </c>
    </row>
    <row r="10" ht="20.25" spans="1:9">
      <c r="A10" s="3" t="s">
        <v>8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26" t="s">
        <v>15</v>
      </c>
    </row>
    <row r="11" s="1" customFormat="1" ht="24.95" customHeight="1" spans="1:9">
      <c r="A11" s="27" t="s">
        <v>16</v>
      </c>
      <c r="B11" s="27"/>
      <c r="C11" s="27"/>
      <c r="D11" s="27"/>
      <c r="E11" s="27"/>
      <c r="F11" s="27"/>
      <c r="G11" s="27"/>
      <c r="H11" s="27"/>
      <c r="I11" s="27"/>
    </row>
    <row r="12" s="1" customFormat="1" ht="51" customHeight="1" spans="1:12">
      <c r="A12" s="28" t="s">
        <v>17</v>
      </c>
      <c r="B12" s="28"/>
      <c r="C12" s="28"/>
      <c r="D12" s="28"/>
      <c r="E12" s="28"/>
      <c r="F12" s="28"/>
      <c r="G12" s="28"/>
      <c r="H12" s="28"/>
      <c r="I12" s="28"/>
      <c r="L12" s="1" t="s">
        <v>18</v>
      </c>
    </row>
    <row r="13" s="23" customFormat="1" ht="45.95" customHeight="1" spans="1:9">
      <c r="A13" s="28" t="s">
        <v>19</v>
      </c>
      <c r="B13" s="28"/>
      <c r="C13" s="28"/>
      <c r="D13" s="28"/>
      <c r="E13" s="28"/>
      <c r="F13" s="28"/>
      <c r="G13" s="28"/>
      <c r="H13" s="28"/>
      <c r="I13" s="28"/>
    </row>
    <row r="14" ht="30" customHeight="1" spans="1:9">
      <c r="A14" s="28" t="s">
        <v>20</v>
      </c>
      <c r="B14" s="28"/>
      <c r="C14" s="28"/>
      <c r="D14" s="28"/>
      <c r="E14" s="28"/>
      <c r="F14" s="28"/>
      <c r="G14" s="28"/>
      <c r="H14" s="28"/>
      <c r="I14" s="28"/>
    </row>
    <row r="15" ht="30" customHeight="1" spans="1:9">
      <c r="A15" s="28" t="s">
        <v>21</v>
      </c>
      <c r="B15" s="28"/>
      <c r="C15" s="28"/>
      <c r="D15" s="28"/>
      <c r="E15" s="28"/>
      <c r="F15" s="28"/>
      <c r="G15" s="28"/>
      <c r="H15" s="28"/>
      <c r="I15" s="28"/>
    </row>
    <row r="16" ht="30" customHeight="1" spans="1:9">
      <c r="A16" s="28" t="s">
        <v>22</v>
      </c>
      <c r="B16" s="28"/>
      <c r="C16" s="28"/>
      <c r="D16" s="28"/>
      <c r="E16" s="28"/>
      <c r="F16" s="28"/>
      <c r="G16" s="28"/>
      <c r="H16" s="28"/>
      <c r="I16" s="28"/>
    </row>
    <row r="17" ht="30" customHeight="1" spans="1:9">
      <c r="A17" s="28" t="s">
        <v>23</v>
      </c>
      <c r="B17" s="28"/>
      <c r="C17" s="28"/>
      <c r="D17" s="28"/>
      <c r="E17" s="28"/>
      <c r="F17" s="28"/>
      <c r="G17" s="28"/>
      <c r="H17" s="28"/>
      <c r="I17" s="28"/>
    </row>
    <row r="18" ht="30" customHeight="1" spans="1:9">
      <c r="A18" s="28" t="s">
        <v>24</v>
      </c>
      <c r="B18" s="28"/>
      <c r="C18" s="28"/>
      <c r="D18" s="28"/>
      <c r="E18" s="28"/>
      <c r="F18" s="28"/>
      <c r="G18" s="28"/>
      <c r="H18" s="28"/>
      <c r="I18" s="28"/>
    </row>
    <row r="19" ht="30" customHeight="1" spans="1:9">
      <c r="A19" s="28" t="s">
        <v>25</v>
      </c>
      <c r="B19" s="28"/>
      <c r="C19" s="28"/>
      <c r="D19" s="28"/>
      <c r="E19" s="28"/>
      <c r="F19" s="28"/>
      <c r="G19" s="28"/>
      <c r="H19" s="28"/>
      <c r="I19" s="28"/>
    </row>
    <row r="20" ht="30" customHeight="1" spans="1:9">
      <c r="A20" s="29"/>
      <c r="B20" s="29"/>
      <c r="C20" s="29"/>
      <c r="D20" s="29"/>
      <c r="E20" s="29"/>
      <c r="F20" s="29"/>
      <c r="G20" s="29"/>
      <c r="H20" s="29"/>
      <c r="I20" s="29"/>
    </row>
    <row r="21" ht="30" customHeight="1" spans="1:9">
      <c r="A21" s="29"/>
      <c r="B21" s="29"/>
      <c r="C21" s="29"/>
      <c r="D21" s="29"/>
      <c r="E21" s="29"/>
      <c r="F21" s="29"/>
      <c r="G21" s="29"/>
      <c r="H21" s="29"/>
      <c r="I21" s="29"/>
    </row>
    <row r="22" ht="30" customHeight="1" spans="1:9">
      <c r="A22" s="29"/>
      <c r="B22" s="29"/>
      <c r="C22" s="29"/>
      <c r="D22" s="29"/>
      <c r="E22" s="29"/>
      <c r="F22" s="29"/>
      <c r="G22" s="29"/>
      <c r="H22" s="29"/>
      <c r="I22" s="29"/>
    </row>
    <row r="23" ht="30" customHeight="1" spans="1:9">
      <c r="A23" s="29"/>
      <c r="B23" s="29"/>
      <c r="C23" s="29"/>
      <c r="D23" s="29"/>
      <c r="E23" s="29"/>
      <c r="F23" s="29"/>
      <c r="G23" s="29"/>
      <c r="H23" s="29"/>
      <c r="I23" s="29"/>
    </row>
    <row r="24" ht="30" customHeight="1"/>
  </sheetData>
  <mergeCells count="15">
    <mergeCell ref="A1:I1"/>
    <mergeCell ref="J1:K1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zoomScale="55" zoomScaleNormal="55" workbookViewId="0">
      <selection activeCell="U17" sqref="U17"/>
    </sheetView>
  </sheetViews>
  <sheetFormatPr defaultColWidth="9.625" defaultRowHeight="13.5"/>
  <cols>
    <col min="1" max="1" width="11.375" customWidth="1"/>
    <col min="2" max="2" width="15.875" customWidth="1"/>
    <col min="3" max="3" width="17.875" customWidth="1"/>
    <col min="4" max="4" width="17.125" customWidth="1"/>
    <col min="5" max="5" width="14.625" customWidth="1"/>
    <col min="6" max="6" width="18.375" customWidth="1"/>
  </cols>
  <sheetData>
    <row r="1" ht="38.1" customHeight="1" spans="1:17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1" customFormat="1" ht="39.95" customHeight="1" spans="1:17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4" t="s">
        <v>32</v>
      </c>
      <c r="G2" s="5"/>
      <c r="H2" s="5"/>
      <c r="I2" s="5"/>
      <c r="J2" s="5"/>
      <c r="K2" s="5"/>
      <c r="L2" s="5"/>
      <c r="M2" s="5"/>
      <c r="N2" s="5"/>
      <c r="O2" s="5"/>
      <c r="P2" s="5"/>
      <c r="Q2" s="19"/>
    </row>
    <row r="3" s="1" customFormat="1" ht="39.95" customHeight="1" spans="1:17">
      <c r="A3" s="3"/>
      <c r="B3" s="6">
        <v>60</v>
      </c>
      <c r="C3" s="7">
        <v>0.2</v>
      </c>
      <c r="D3" s="7">
        <v>0.1</v>
      </c>
      <c r="E3" s="6">
        <f>B3-B3*C3-B3*D3</f>
        <v>42</v>
      </c>
      <c r="F3" s="8" t="s">
        <v>33</v>
      </c>
      <c r="G3" s="9"/>
      <c r="H3" s="9"/>
      <c r="I3" s="9"/>
      <c r="J3" s="9"/>
      <c r="K3" s="9"/>
      <c r="L3" s="9"/>
      <c r="M3" s="9"/>
      <c r="N3" s="9"/>
      <c r="O3" s="9"/>
      <c r="P3" s="9"/>
      <c r="Q3" s="20"/>
    </row>
    <row r="4" s="1" customFormat="1" ht="39.95" customHeight="1" spans="1:17">
      <c r="A4" s="3"/>
      <c r="B4" s="3"/>
      <c r="C4" s="3"/>
      <c r="D4" s="3"/>
      <c r="E4" s="10">
        <f>B4-B4*C4-B4*D4</f>
        <v>0</v>
      </c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21"/>
    </row>
    <row r="5" s="1" customFormat="1" ht="51" customHeight="1" spans="1:17">
      <c r="A5" s="3"/>
      <c r="B5" s="13" t="s">
        <v>34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="1" customFormat="1" ht="39.95" customHeight="1" spans="1:17">
      <c r="A6" s="13" t="s">
        <v>35</v>
      </c>
      <c r="B6" s="3" t="s">
        <v>28</v>
      </c>
      <c r="C6" s="3" t="s">
        <v>36</v>
      </c>
      <c r="D6" s="3" t="s">
        <v>30</v>
      </c>
      <c r="E6" s="14" t="s">
        <v>31</v>
      </c>
      <c r="F6" s="4" t="s">
        <v>32</v>
      </c>
      <c r="G6" s="5"/>
      <c r="H6" s="5"/>
      <c r="I6" s="5"/>
      <c r="J6" s="5"/>
      <c r="K6" s="5"/>
      <c r="L6" s="5"/>
      <c r="M6" s="5"/>
      <c r="N6" s="5"/>
      <c r="O6" s="5"/>
      <c r="P6" s="5"/>
      <c r="Q6" s="19"/>
    </row>
    <row r="7" s="1" customFormat="1" ht="39.95" customHeight="1" spans="1:17">
      <c r="A7" s="13"/>
      <c r="B7" s="6">
        <v>50</v>
      </c>
      <c r="C7" s="15">
        <v>8</v>
      </c>
      <c r="D7" s="7">
        <v>0.1</v>
      </c>
      <c r="E7" s="6">
        <f>(B7-C7)*(1-D7)</f>
        <v>37.8</v>
      </c>
      <c r="F7" s="8" t="s">
        <v>37</v>
      </c>
      <c r="G7" s="9"/>
      <c r="H7" s="9"/>
      <c r="I7" s="9"/>
      <c r="J7" s="9"/>
      <c r="K7" s="9"/>
      <c r="L7" s="9"/>
      <c r="M7" s="9"/>
      <c r="N7" s="9"/>
      <c r="O7" s="9"/>
      <c r="P7" s="9"/>
      <c r="Q7" s="20"/>
    </row>
    <row r="8" s="1" customFormat="1" ht="39.95" customHeight="1" spans="1:17">
      <c r="A8" s="13"/>
      <c r="B8" s="3"/>
      <c r="C8" s="3"/>
      <c r="D8" s="3"/>
      <c r="E8" s="6">
        <f>(B8-C8)*(1-D8)</f>
        <v>0</v>
      </c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21"/>
    </row>
    <row r="9" s="1" customFormat="1" ht="48" customHeight="1" spans="1:17">
      <c r="A9" s="13"/>
      <c r="B9" s="13" t="s">
        <v>38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="1" customFormat="1" ht="39.95" customHeight="1" spans="1:17">
      <c r="A10" s="3" t="s">
        <v>39</v>
      </c>
      <c r="B10" s="3" t="s">
        <v>28</v>
      </c>
      <c r="C10" s="3" t="s">
        <v>40</v>
      </c>
      <c r="D10" s="3" t="s">
        <v>41</v>
      </c>
      <c r="E10" s="14" t="s">
        <v>31</v>
      </c>
      <c r="F10" s="4" t="s">
        <v>32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19"/>
    </row>
    <row r="11" s="1" customFormat="1" ht="39.95" customHeight="1" spans="1:17">
      <c r="A11" s="3"/>
      <c r="B11" s="6">
        <v>100</v>
      </c>
      <c r="C11" s="7">
        <v>0.5</v>
      </c>
      <c r="D11" s="7">
        <v>0.2</v>
      </c>
      <c r="E11" s="6">
        <f>B11*(1-D11)*(1-C11)</f>
        <v>40</v>
      </c>
      <c r="F11" s="8" t="s">
        <v>42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20"/>
    </row>
    <row r="12" s="1" customFormat="1" ht="62.1" customHeight="1" spans="1:17">
      <c r="A12" s="3"/>
      <c r="B12" s="3"/>
      <c r="C12" s="3"/>
      <c r="D12" s="3"/>
      <c r="E12" s="6">
        <f>B12*(1-D12)*(1-C12)</f>
        <v>0</v>
      </c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21"/>
    </row>
    <row r="13" s="1" customFormat="1" ht="54.95" customHeight="1" spans="1:17">
      <c r="A13" s="3"/>
      <c r="B13" s="13" t="s">
        <v>43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="1" customFormat="1" ht="39.95" customHeight="1" spans="1:17">
      <c r="A14" s="3" t="s">
        <v>44</v>
      </c>
      <c r="B14" s="3" t="s">
        <v>28</v>
      </c>
      <c r="C14" s="3" t="s">
        <v>45</v>
      </c>
      <c r="D14" s="3" t="s">
        <v>30</v>
      </c>
      <c r="E14" s="14" t="s">
        <v>31</v>
      </c>
      <c r="F14" s="4" t="s">
        <v>32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19"/>
    </row>
    <row r="15" ht="39.95" customHeight="1" spans="1:17">
      <c r="A15" s="3"/>
      <c r="B15" s="6">
        <v>80</v>
      </c>
      <c r="C15" s="7">
        <v>0.3</v>
      </c>
      <c r="D15" s="7">
        <v>0.1</v>
      </c>
      <c r="E15" s="6">
        <f>B15-B15*C15-B15*D15</f>
        <v>48</v>
      </c>
      <c r="F15" s="8" t="s">
        <v>46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20"/>
    </row>
    <row r="16" ht="39.95" customHeight="1" spans="1:17">
      <c r="A16" s="3"/>
      <c r="B16" s="3"/>
      <c r="C16" s="3"/>
      <c r="D16" s="3"/>
      <c r="E16" s="6">
        <f>B16-B16*C16-B16*D16</f>
        <v>0</v>
      </c>
      <c r="F16" s="1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1"/>
    </row>
    <row r="17" ht="47.1" customHeight="1" spans="1:17">
      <c r="A17" s="3"/>
      <c r="B17" s="13" t="s">
        <v>47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="1" customFormat="1" ht="39.95" customHeight="1" spans="1:17">
      <c r="A18" s="3" t="s">
        <v>48</v>
      </c>
      <c r="B18" s="3" t="s">
        <v>28</v>
      </c>
      <c r="C18" s="3" t="s">
        <v>49</v>
      </c>
      <c r="D18" s="3" t="s">
        <v>30</v>
      </c>
      <c r="E18" s="3" t="s">
        <v>45</v>
      </c>
      <c r="F18" s="16" t="s">
        <v>31</v>
      </c>
      <c r="G18" s="5" t="s">
        <v>32</v>
      </c>
      <c r="H18" s="5"/>
      <c r="I18" s="5"/>
      <c r="J18" s="5"/>
      <c r="K18" s="5"/>
      <c r="L18" s="5"/>
      <c r="M18" s="5"/>
      <c r="N18" s="5"/>
      <c r="O18" s="5"/>
      <c r="P18" s="5"/>
      <c r="Q18" s="22"/>
    </row>
    <row r="19" ht="39.95" customHeight="1" spans="1:17">
      <c r="A19" s="3"/>
      <c r="B19" s="6">
        <v>100</v>
      </c>
      <c r="C19" s="7">
        <v>0.1</v>
      </c>
      <c r="D19" s="7">
        <v>0.15</v>
      </c>
      <c r="E19" s="7">
        <v>0.2</v>
      </c>
      <c r="F19" s="6">
        <f>B19*(1-C19)*(1-D19-E19)</f>
        <v>58.5</v>
      </c>
      <c r="G19" s="17" t="s">
        <v>50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ht="39.95" customHeight="1" spans="1:17">
      <c r="A20" s="3"/>
      <c r="B20" s="3"/>
      <c r="C20" s="3"/>
      <c r="D20" s="3"/>
      <c r="E20" s="6"/>
      <c r="F20" s="6">
        <f>B20*(1-C20)*(1-D20-E20)</f>
        <v>0</v>
      </c>
      <c r="G20" s="17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ht="47.1" customHeight="1" spans="1:17">
      <c r="A21" s="3"/>
      <c r="B21" s="13" t="s">
        <v>51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</sheetData>
  <mergeCells count="21">
    <mergeCell ref="A1:Q1"/>
    <mergeCell ref="F2:Q2"/>
    <mergeCell ref="B5:Q5"/>
    <mergeCell ref="F6:Q6"/>
    <mergeCell ref="B9:Q9"/>
    <mergeCell ref="F10:Q10"/>
    <mergeCell ref="B13:Q13"/>
    <mergeCell ref="F14:Q14"/>
    <mergeCell ref="B17:Q17"/>
    <mergeCell ref="G18:P18"/>
    <mergeCell ref="B21:Q21"/>
    <mergeCell ref="A2:A5"/>
    <mergeCell ref="A6:A9"/>
    <mergeCell ref="A10:A13"/>
    <mergeCell ref="A14:A17"/>
    <mergeCell ref="A18:A21"/>
    <mergeCell ref="G19:Q20"/>
    <mergeCell ref="F3:Q4"/>
    <mergeCell ref="F7:Q8"/>
    <mergeCell ref="F11:Q12"/>
    <mergeCell ref="F15:Q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折扣叠加情况说明</vt:lpstr>
      <vt:lpstr>价格计算公式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meiniaokeji</dc:creator>
  <cp:lastModifiedBy>威福光电～王小姐 Amber</cp:lastModifiedBy>
  <dcterms:created xsi:type="dcterms:W3CDTF">2022-07-07T08:12:00Z</dcterms:created>
  <dcterms:modified xsi:type="dcterms:W3CDTF">2024-06-13T06:26:51Z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55E2B5E2B662A8DEE743C562CD6C8185</vt:lpwstr>
  </property>
  <property fmtid="{D5CDD505-2E9C-101B-9397-08002B2CF9AE}" pid="3" name="KSOProductBuildVer">
    <vt:lpwstr>2052-12.1.0.17133</vt:lpwstr>
  </property>
  <property fmtid="{D5CDD505-2E9C-101B-9397-08002B2CF9AE}" pid="4" name="KSOReadingLayout">
    <vt:bool>true</vt:bool>
  </property>
</Properties>
</file>