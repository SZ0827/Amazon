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activeTab="1"/>
  </bookViews>
  <sheets>
    <sheet name="运营思路与执行细节" sheetId="1" r:id="rId1"/>
    <sheet name="流量变化"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<sst xmlns="http://schemas.openxmlformats.org/spreadsheetml/2006/main" count="198" uniqueCount="129">
  <si>
    <t>产品1</t>
  </si>
  <si>
    <t>运营上存在的问题总结：
1.广告花费超出预算，主要是因为自动广告花费最多但广告ACOS最高广告转化最差，没有更早去意识到摆件品类里自动广告对核心关键词下自然排序的推动作用差以及带来的session增长和转化效果不明显，因此没有更早地去关闭自动广告。
2.在上升期设置会员折扣冲销量规模时没有更早地去关闭折扣，导致盈利不够大。
运营上做得好的方面总结：
1.上升期优化的广告架构和及时的会员折扣设置的时间节点卡的很好，此时热度正在飞速上升，高搜索热度加上关键词下多且较靠前的坑位加上价格做转化，实现了销量规模上的飞跃。</t>
  </si>
  <si>
    <r>
      <t xml:space="preserve">【时间节点】
</t>
    </r>
    <r>
      <rPr>
        <sz val="9"/>
        <color rgb="FF000000"/>
        <rFont val="微软雅黑"/>
        <charset val="134"/>
      </rPr>
      <t>（与sif流量时光机的时间相对应，每周为周日到周六）</t>
    </r>
  </si>
  <si>
    <t>销售阶段</t>
  </si>
  <si>
    <t>销售目标（本周运营重点 广告架构/广告目标 运营策略）</t>
  </si>
  <si>
    <t>价格设置</t>
  </si>
  <si>
    <t>广告设置</t>
  </si>
  <si>
    <t>实际销量反馈</t>
  </si>
  <si>
    <t>实际广告花费进度</t>
  </si>
  <si>
    <t>价格</t>
  </si>
  <si>
    <t>毛利润率</t>
  </si>
  <si>
    <t>每日广告总预算</t>
  </si>
  <si>
    <t>自动广告</t>
  </si>
  <si>
    <t>关键词广告-1</t>
  </si>
  <si>
    <t>关键词广告-2</t>
  </si>
  <si>
    <t>关键词广告-3</t>
  </si>
  <si>
    <t>商品广告</t>
  </si>
  <si>
    <t>本周销量</t>
  </si>
  <si>
    <t>库存剩余</t>
  </si>
  <si>
    <t>本周广告花费</t>
  </si>
  <si>
    <t>广告费剩余</t>
  </si>
  <si>
    <t>日预算</t>
  </si>
  <si>
    <t>匹配方式-出价</t>
  </si>
  <si>
    <t>关键词-出价</t>
  </si>
  <si>
    <t>ASIN数-出价</t>
  </si>
  <si>
    <t>2022.12.15-2022.12.24</t>
  </si>
  <si>
    <t>新品期</t>
  </si>
  <si>
    <t>1.1本周运营重点：用自动广告使产品被亚马逊系统收录，匹配到相关的情人节核心关键词、精准关键词、长尾关键词等搜索词流量以及同类商品的关联流量下
2.1广告架构：设置一组广告
【一组自动广告，预算15美金，动态仅降低，bid 0.85】
2.2广告目标：
(1)关键词收录
(2)listing校验
(3)测款、测词
(4)积累广告数据量
(5)确认广告权重是否有核心位置
3.1运营策略：设置13.99的价格，30%的毛利润先去测试市场对产品价格的接受度</t>
  </si>
  <si>
    <t>紧密匹配-0.85
宽泛匹配-0.85
同类商品-0.85
关联商品-0.85</t>
  </si>
  <si>
    <t>2022.12.25-2022.12.31</t>
  </si>
  <si>
    <t>1.1本周运营重点：加大广告预算、加入更多广告形式来使产品在valentines day decor、 valentine decorations、valentine decor等核心关键词下的展示位置更靠前，点击和转化更多，从而推动产品在核心关键词下的自然排序
2.1广告架构：设置三组广告
【一组自动广告，预算20美金，动态仅降低，bid 1.2，跑紧密和关联匹配】
【一组关键词广告，预算30美金，动态仅降低，bid 1.2，跑12个核心、精准、长尾词】
【一组商品广告，预算15美金，固定竞价，bid 0.85，跑15个热销摆件的ASIN】
2.2广告目标：
(1)占据核心关键词、精准词、长尾词坑位
(2)提高核心关键词下自然排序
(3)带来广告订单
3.1运营策略：设置13.99的价格，30%的毛利润先去测试市场对产品价格的接受度</t>
  </si>
  <si>
    <t>紧密匹配-1.2
关联商品-0.85</t>
  </si>
  <si>
    <t>valentines day decor-1.2
valentine decorations-1.2
valentine decor-1.2
valentine's day decorations-1.2
valentine decorations for home-1.2
valentines day decorations for the home-1.2
valentines day home decor-1.2
valentines decorations-1.2
valentines day decorations-1.2
valentines decor-1.2
valentines decorations for the home-1.2
valentines day decoration-1.2</t>
  </si>
  <si>
    <t>15个摆件-0.85</t>
  </si>
  <si>
    <t>2023.01.01-2023.01.07</t>
  </si>
  <si>
    <t>上升期</t>
  </si>
  <si>
    <t>1.1本周运营重点：广告成本优化到对推进关键词排序更有效的广告组上，继续推动产品在valentines day decor、 valentine decorations、valentine decor等核心关键词下的自然排序
2.1广告架构：设置三组广告
【一组valentines day decor关键词广告，预算40美金，动态仅降低，bid 1.2，跑valentines day decor】
【一组valentine decorations关键词广告，预算20美金，动态仅降低，bid 1.2，跑valentine decorations】
【一组长尾词关键词广告，预算10美金，动态仅降低，bid 1.0，跑10个长尾词】
2.2广告目标：
(1)占据核心关键词、精准词、长尾词坑位
(2)提高核心关键词下自然排序
(3)带来广告订单
3.1运营策略：市场上还没有三叠块的同类竞品，先不降价做转化，继续以13.99，30%的毛利销售</t>
  </si>
  <si>
    <t>valentines day decor-1.2</t>
  </si>
  <si>
    <t>valentine decorations-1.2</t>
  </si>
  <si>
    <t>valentine decor-1.0
valentine's day decorations-1.0
valentine decorations for home-1.0
valentines day decorations for the home-1.0
valentines day home decor-1.0
valentines decorations-1.0
valentines day decorations-1.0
valentines decor-1.0
valentines decorations for the home-1.0
valentines day decoration-1.0</t>
  </si>
  <si>
    <t>2023.01.08-2023.01.14</t>
  </si>
  <si>
    <t>1.1本周运营重点：目前关键词坑位比较多，排序比较靠前稳定，广告费已超出预算，需要收缩广告，以会员折扣的方式做价格优化，用低价带动订单规模，来稳定或提升产品在valentines day decor、 valentine decorations、valentine decor等核心关键词下的自然排序
2.1广告架构：关闭所有广告
2.2广告目标：无
3.1运营策略：设置4美金会员折扣总价9.99，毛利润10%，持续一周</t>
  </si>
  <si>
    <t>$13.99
+$4 code</t>
  </si>
  <si>
    <t>2023.01.15-2023.01.21</t>
  </si>
  <si>
    <t>稳定期</t>
  </si>
  <si>
    <t>1.1本周运营重点：上周销量增长明显，目前库存安全，关键词坑位都还在，关键词排序还比较靠前和稳定，可以关闭会员折扣做利润
2.1广告架构：关闭所有广告
2.2广告目标：无
3.1运营策略：取消会员折扣，以13.99的价格，30%的毛利销售做利润</t>
  </si>
  <si>
    <t>2023.01.22-2023.01.28</t>
  </si>
  <si>
    <t>1.1本周运营重点：消耗完所有库存
2.1广告架构：无
2.2广告目标：无
3.1运营策略：以13.99的价格，30%的毛利销售做利润</t>
  </si>
  <si>
    <t>2023.01.29-2023.02.04</t>
  </si>
  <si>
    <t>衰退期</t>
  </si>
  <si>
    <r>
      <t>*备注：</t>
    </r>
    <r>
      <rPr>
        <sz val="14"/>
        <rFont val="微软雅黑"/>
        <charset val="134"/>
      </rPr>
      <t>黄色填充的时间点是</t>
    </r>
    <r>
      <rPr>
        <sz val="14"/>
        <color theme="1"/>
        <rFont val="微软雅黑"/>
        <charset val="134"/>
      </rPr>
      <t>动销最大的一周</t>
    </r>
  </si>
  <si>
    <t>日期 | 类型</t>
  </si>
  <si>
    <t>全部流量</t>
  </si>
  <si>
    <t>自然流量</t>
  </si>
  <si>
    <t>SP广告流量</t>
  </si>
  <si>
    <t>品牌广告流量</t>
  </si>
  <si>
    <t>视频广告流量</t>
  </si>
  <si>
    <t>AC推荐流量</t>
  </si>
  <si>
    <t>ER推荐流量</t>
  </si>
  <si>
    <t>TR推荐流量</t>
  </si>
  <si>
    <t>其他推荐流量</t>
  </si>
  <si>
    <t>核心关键词排名变化</t>
  </si>
  <si>
    <t>valentines day decor</t>
  </si>
  <si>
    <t>valentines decorations</t>
  </si>
  <si>
    <t>valentines decor</t>
  </si>
  <si>
    <t>valentine decorations</t>
  </si>
  <si>
    <t>valentines day decorations for the home</t>
  </si>
  <si>
    <t>valentines day decoration</t>
  </si>
  <si>
    <t>广告位</t>
  </si>
  <si>
    <t>自然位</t>
  </si>
  <si>
    <t>-31,866.54
-99.82%</t>
  </si>
  <si>
    <t>-26,019.60
-99.78%</t>
  </si>
  <si>
    <t>无变化</t>
  </si>
  <si>
    <t>-5,846.94
-100%</t>
  </si>
  <si>
    <t>自然搜索：进3天(平均排名83) → 进0天(平均排名3页外)</t>
  </si>
  <si>
    <t>自然搜索：进2天(平均排名95) → 进0天(平均排名3页外)</t>
  </si>
  <si>
    <t>自然搜索：进2天(平均排名113) → 进0天(平均排名3页外)</t>
  </si>
  <si>
    <t>自然搜索：进2天(平均排名69) → 进0天(平均排名3页外)</t>
  </si>
  <si>
    <t>自然搜索：进3天(平均排名109) → 进0天(平均排名3页外)</t>
  </si>
  <si>
    <t>-121,538.15
-79.2%</t>
  </si>
  <si>
    <t>-120,995.68
-82.27%</t>
  </si>
  <si>
    <t>自然搜索：进6天(平均排名39) → 进3天(平均排名83)</t>
  </si>
  <si>
    <t>自然搜索：进1天(平均排名105) → 进0天(平均排名3页外)</t>
  </si>
  <si>
    <t>自然搜索：进6天(平均排名23) → 进2天(平均排名95)</t>
  </si>
  <si>
    <t>自然搜索：进0天(平均排名3页外) → 进2天(平均排名113)</t>
  </si>
  <si>
    <t>自然搜索：进6天(平均排名31) → 进2天(平均排名69)</t>
  </si>
  <si>
    <t>+91,901.98
+149.29%</t>
  </si>
  <si>
    <t>+86,515.41
+142.87%</t>
  </si>
  <si>
    <t>+5,386.57
+537.13%</t>
  </si>
  <si>
    <t>自然搜索：进4天(平均排名83) → 进6天(平均排名39)</t>
  </si>
  <si>
    <t>自然搜索：进1天(平均排名134) → 进1天(平均排名105)</t>
  </si>
  <si>
    <t>自然搜索：进5天(平均排名53) → 进6天(平均排名23)</t>
  </si>
  <si>
    <t>自然搜索：进4天(平均排名32) → 进6天(平均排名31)</t>
  </si>
  <si>
    <t>自然搜索：进1天(平均排名122) → 进2天(平均排名61)</t>
  </si>
  <si>
    <t>-3,190.61
-4.93%</t>
  </si>
  <si>
    <t>+7,552.03
+14.25%</t>
  </si>
  <si>
    <t>+1,002.84
+0%</t>
  </si>
  <si>
    <t>-11,693.31
-100%</t>
  </si>
  <si>
    <t>自然搜索：进2天(平均排名32) → 进4天(平均排名83)</t>
  </si>
  <si>
    <t>自然搜索：进0天(平均排名3页外) → 进1天(平均排名134)</t>
  </si>
  <si>
    <t>自然搜索：进1天(平均排名89) → 进5天(平均排名53)</t>
  </si>
  <si>
    <t>自然搜索：进5天(平均排名31) → 进4天(平均排名32)</t>
  </si>
  <si>
    <t>SP广告：进1天(平均排名36) → 进0天(平均排名3页外)</t>
  </si>
  <si>
    <t>自然搜索：进0天(平均排名3页外) → 进1天(平均排名122)</t>
  </si>
  <si>
    <t>+58,070.93
+869.49%</t>
  </si>
  <si>
    <t>+46,882.90
+765.91%</t>
  </si>
  <si>
    <t>+11,693.31
+0%</t>
  </si>
  <si>
    <t>SP广告：进1天(平均排名23) → 进0天(平均排名3页外)</t>
  </si>
  <si>
    <t>自然搜索：进3天(平均排名114) → 进2天(平均排名32)</t>
  </si>
  <si>
    <t>自然搜索：进3天(平均排名125) → 进0天(平均排名3页外)</t>
  </si>
  <si>
    <t>自然搜索：进0天(平均排名3页外) → 进1天(平均排名89)</t>
  </si>
  <si>
    <t>自然搜索：进2天(平均排名37) → 进5天(平均排名31)</t>
  </si>
  <si>
    <t>SP广告：进0天(平均排名3页外) → 进1天(平均排名36)</t>
  </si>
  <si>
    <t>+6,420.82
+2,489.85%</t>
  </si>
  <si>
    <t>+5,906.24
+2,747.04%</t>
  </si>
  <si>
    <t>+514.58
+1,200.18%</t>
  </si>
  <si>
    <t>SP广告：进0天(平均排名3页外) → 进1天(平均排名23)</t>
  </si>
  <si>
    <t>自然搜索：进0天(平均排名3页外) → 进3天(平均排名114)</t>
  </si>
  <si>
    <t>自然搜索：进0天(平均排名3页外) → 进3天(平均排名125)</t>
  </si>
  <si>
    <t>自然搜索：进0天(平均排名3页外) → 进2天(平均排名37)</t>
  </si>
  <si>
    <t>SP广告：进2天(平均排名25) → 进0天(平均排名3页外)</t>
  </si>
  <si>
    <t>*备注：黄色填充的自然位是产品在该关键词下排序最好的一周</t>
  </si>
  <si>
    <t>流量推动过程中存在的现象：</t>
  </si>
  <si>
    <t>1.广告位一直不靠前</t>
  </si>
  <si>
    <t>2.valentines day decor、valentines decor、valentines day decorations for the home自然排序稳定且靠前，valentines decorations、valentine decorations、valentines day decoration自然排序靠后且不稳定</t>
  </si>
  <si>
    <t>3.前两周广告对valentines day decor、valentines decor、valentines day decorations for the home等三个核心关键词的自然排序一直有推动作用</t>
  </si>
  <si>
    <t>4.自然排序最好的前一周是销量最大的一周，说明销量规模大并且稳定一定时间是做自然排序的关键</t>
  </si>
  <si>
    <t>流量推动过程中带来的启发：</t>
  </si>
  <si>
    <t>1.广告一开始能带来一些核心关键词坑位也能在一定程度上提升关键词排序，但是到达前三页之后，广告对关键词排序的推动效果就会越来越差，需要及时收缩广告费，用现有的自然排序加以低价去做销量规模，等销量规模做大并且稳定一段时间后，关键词排序反而更加稳定和靠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</si>
</sst>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00"/>
  </numFmts>
  <fonts count="34">
    <font>
      <sz val="11"/>
      <color theme="1"/>
      <name val="宋体"/>
      <charset val="134"/>
      <scheme val="minor"/>
    </font>
    <font>
      <sz val="10"/>
      <color theme="1"/>
      <name val="微软雅黑"/>
      <charset val="134"/>
    </font>
    <font>
      <sz val="10"/>
      <color rgb="FF030303"/>
      <name val="微软雅黑"/>
      <charset val="134"/>
    </font>
    <font>
      <sz val="10"/>
      <color rgb="FF2C3E50"/>
      <name val="微软雅黑"/>
      <charset val="134"/>
    </font>
    <font>
      <sz val="10"/>
      <color rgb="FFC04938"/>
      <name val="微软雅黑"/>
      <charset val="134"/>
    </font>
    <font>
      <sz val="10"/>
      <color rgb="FF11A265"/>
      <name val="微软雅黑"/>
      <charset val="134"/>
    </font>
    <font>
      <sz val="11"/>
      <color theme="1"/>
      <name val="微软雅黑"/>
      <charset val="134"/>
    </font>
    <font>
      <sz val="12"/>
      <name val="微软雅黑"/>
      <charset val="134"/>
    </font>
    <font>
      <sz val="24"/>
      <name val="微软雅黑"/>
      <charset val="134"/>
    </font>
    <font>
      <b/>
      <sz val="12"/>
      <color rgb="FF000000"/>
      <name val="微软雅黑"/>
      <charset val="134"/>
    </font>
    <font>
      <sz val="12"/>
      <color rgb="FF000000"/>
      <name val="微软雅黑"/>
      <charset val="134"/>
    </font>
    <font>
      <sz val="10"/>
      <color rgb="FF000000"/>
      <name val="微软雅黑"/>
      <charset val="134"/>
    </font>
    <font>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微软雅黑"/>
      <charset val="134"/>
    </font>
    <font>
      <sz val="14"/>
      <name val="微软雅黑"/>
      <charset val="134"/>
    </font>
  </fonts>
  <fills count="41">
    <fill>
      <patternFill patternType="none"/>
    </fill>
    <fill>
      <patternFill patternType="gray125"/>
    </fill>
    <fill>
      <patternFill patternType="solid">
        <fgColor rgb="FFF8F9FB"/>
        <bgColor indexed="64"/>
      </patternFill>
    </fill>
    <fill>
      <patternFill patternType="solid">
        <fgColor theme="7" tint="0.6"/>
        <bgColor indexed="64"/>
      </patternFill>
    </fill>
    <fill>
      <patternFill patternType="solid">
        <fgColor rgb="FFFF0000"/>
        <bgColor indexed="64"/>
      </patternFill>
    </fill>
    <fill>
      <patternFill patternType="solid">
        <fgColor theme="9" tint="0.6"/>
        <bgColor indexed="64"/>
      </patternFill>
    </fill>
    <fill>
      <patternFill patternType="solid">
        <fgColor theme="2"/>
        <bgColor indexed="64"/>
      </patternFill>
    </fill>
    <fill>
      <patternFill patternType="solid">
        <fgColor theme="8" tint="0.6"/>
        <bgColor indexed="64"/>
      </patternFill>
    </fill>
    <fill>
      <patternFill patternType="solid">
        <fgColor rgb="FFFFFF00"/>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0"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0" fillId="0" borderId="0" applyNumberFormat="0" applyFill="0" applyBorder="0" applyAlignment="0" applyProtection="0">
      <alignment vertical="center"/>
    </xf>
    <xf numFmtId="0" fontId="21" fillId="11" borderId="11" applyNumberFormat="0" applyAlignment="0" applyProtection="0">
      <alignment vertical="center"/>
    </xf>
    <xf numFmtId="0" fontId="22" fillId="12" borderId="12" applyNumberFormat="0" applyAlignment="0" applyProtection="0">
      <alignment vertical="center"/>
    </xf>
    <xf numFmtId="0" fontId="23" fillId="12" borderId="11" applyNumberFormat="0" applyAlignment="0" applyProtection="0">
      <alignment vertical="center"/>
    </xf>
    <xf numFmtId="0" fontId="24" fillId="13" borderId="13" applyNumberFormat="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cellStyleXfs>
  <cellXfs count="60">
    <xf numFmtId="0" fontId="0" fillId="0" borderId="0" xfId="0">
      <alignment vertical="center"/>
    </xf>
    <xf numFmtId="0" fontId="1" fillId="0" borderId="0" xfId="0" applyFont="1" applyFill="1" applyAlignment="1">
      <alignment horizontal="left" vertical="center"/>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6" borderId="2" xfId="0" applyFont="1" applyFill="1" applyBorder="1" applyAlignment="1">
      <alignment horizontal="left" vertical="center" wrapText="1"/>
    </xf>
    <xf numFmtId="0" fontId="2" fillId="7"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7" borderId="3" xfId="0" applyFont="1" applyFill="1" applyBorder="1" applyAlignment="1">
      <alignment horizontal="left" vertical="center" wrapText="1"/>
    </xf>
    <xf numFmtId="14" fontId="3" fillId="0" borderId="4"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0" fontId="1" fillId="0" borderId="0" xfId="0" applyFont="1" applyFill="1" applyAlignment="1">
      <alignment horizontal="left" vertical="center"/>
    </xf>
    <xf numFmtId="49" fontId="1" fillId="0" borderId="4" xfId="0" applyNumberFormat="1" applyFont="1" applyFill="1" applyBorder="1" applyAlignment="1">
      <alignment horizontal="left" vertical="center"/>
    </xf>
    <xf numFmtId="0" fontId="1" fillId="0" borderId="4" xfId="0" applyFont="1" applyFill="1" applyBorder="1" applyAlignment="1">
      <alignment horizontal="left" vertical="center"/>
    </xf>
    <xf numFmtId="0" fontId="1" fillId="0" borderId="4" xfId="0" applyFont="1" applyFill="1" applyBorder="1" applyAlignment="1">
      <alignment horizontal="left" vertical="center" wrapText="1"/>
    </xf>
    <xf numFmtId="0" fontId="1" fillId="8" borderId="4" xfId="0" applyFont="1" applyFill="1" applyBorder="1" applyAlignment="1">
      <alignment horizontal="left" vertical="center" wrapText="1"/>
    </xf>
    <xf numFmtId="0" fontId="6" fillId="0" borderId="0" xfId="0" applyFont="1" applyFill="1" applyBorder="1" applyAlignment="1">
      <alignment vertical="center"/>
    </xf>
    <xf numFmtId="0" fontId="7"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Alignment="1">
      <alignment vertical="center"/>
    </xf>
    <xf numFmtId="0" fontId="8" fillId="0" borderId="4"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6" xfId="0" applyFont="1" applyFill="1" applyBorder="1" applyAlignment="1">
      <alignment horizontal="left" vertical="center" wrapText="1"/>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4" xfId="0" applyFont="1" applyFill="1" applyBorder="1" applyAlignment="1">
      <alignment vertical="center" wrapText="1"/>
    </xf>
    <xf numFmtId="0" fontId="9" fillId="0" borderId="3" xfId="0" applyFont="1" applyFill="1" applyBorder="1" applyAlignment="1">
      <alignment horizontal="center" vertical="center" wrapText="1"/>
    </xf>
    <xf numFmtId="0" fontId="10" fillId="0" borderId="4" xfId="0" applyFont="1" applyFill="1" applyBorder="1" applyAlignment="1">
      <alignment horizontal="left" vertical="center" wrapText="1"/>
    </xf>
    <xf numFmtId="0" fontId="7" fillId="0" borderId="4" xfId="0" applyFont="1" applyFill="1" applyBorder="1" applyAlignment="1">
      <alignment horizontal="center" vertical="center"/>
    </xf>
    <xf numFmtId="0" fontId="11" fillId="0" borderId="4" xfId="0" applyFont="1" applyFill="1" applyBorder="1" applyAlignment="1">
      <alignment horizontal="left" vertical="center" wrapText="1"/>
    </xf>
    <xf numFmtId="26" fontId="10" fillId="0" borderId="4" xfId="0" applyNumberFormat="1" applyFont="1" applyFill="1" applyBorder="1" applyAlignment="1">
      <alignment horizontal="left" vertical="center" wrapText="1"/>
    </xf>
    <xf numFmtId="9" fontId="10" fillId="0" borderId="4" xfId="0" applyNumberFormat="1" applyFont="1" applyFill="1" applyBorder="1" applyAlignment="1">
      <alignment horizontal="left" vertical="center" wrapText="1"/>
    </xf>
    <xf numFmtId="176" fontId="10" fillId="0" borderId="4" xfId="0" applyNumberFormat="1" applyFont="1" applyFill="1" applyBorder="1" applyAlignment="1">
      <alignment horizontal="left" vertical="center" wrapText="1"/>
    </xf>
    <xf numFmtId="24" fontId="10" fillId="0" borderId="4" xfId="0" applyNumberFormat="1" applyFont="1" applyFill="1" applyBorder="1" applyAlignment="1">
      <alignment horizontal="left" vertical="center" wrapText="1"/>
    </xf>
    <xf numFmtId="0" fontId="10" fillId="8" borderId="4" xfId="0" applyFont="1" applyFill="1" applyBorder="1" applyAlignment="1">
      <alignment horizontal="left" vertical="center" wrapText="1"/>
    </xf>
    <xf numFmtId="0" fontId="7" fillId="0" borderId="4" xfId="0" applyFont="1" applyFill="1" applyBorder="1" applyAlignment="1">
      <alignment vertical="center"/>
    </xf>
    <xf numFmtId="0" fontId="12" fillId="0" borderId="0" xfId="0" applyFont="1" applyFill="1" applyAlignment="1">
      <alignment vertical="center"/>
    </xf>
    <xf numFmtId="0" fontId="9" fillId="9"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7" fillId="0" borderId="7" xfId="0" applyFont="1" applyFill="1" applyBorder="1" applyAlignment="1">
      <alignment horizontal="left" vertical="center" wrapText="1"/>
    </xf>
    <xf numFmtId="0" fontId="9" fillId="0" borderId="3" xfId="0" applyFont="1" applyFill="1" applyBorder="1" applyAlignment="1">
      <alignment vertical="center" wrapText="1"/>
    </xf>
    <xf numFmtId="0" fontId="7" fillId="0" borderId="4" xfId="0" applyFont="1" applyFill="1" applyBorder="1" applyAlignment="1">
      <alignment horizontal="left" vertical="center"/>
    </xf>
    <xf numFmtId="177" fontId="7" fillId="0" borderId="4"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5</xdr:row>
      <xdr:rowOff>0</xdr:rowOff>
    </xdr:from>
    <xdr:to>
      <xdr:col>7</xdr:col>
      <xdr:colOff>304800</xdr:colOff>
      <xdr:row>5</xdr:row>
      <xdr:rowOff>304800</xdr:rowOff>
    </xdr:to>
    <xdr:pic>
      <xdr:nvPicPr>
        <xdr:cNvPr id="2" name="E657119C-6982-421D-8BA7-E74DEB70A7DB-8"/>
        <xdr:cNvPicPr>
          <a:picLocks noChangeAspect="1"/>
        </xdr:cNvPicPr>
      </xdr:nvPicPr>
      <xdr:blipFill>
        <a:stretch>
          <a:fillRect/>
        </a:stretch>
      </xdr:blipFill>
      <xdr:spPr>
        <a:xfrm>
          <a:off x="8750935" y="5181600"/>
          <a:ext cx="304800" cy="304800"/>
        </a:xfrm>
        <a:prstGeom prst="rect">
          <a:avLst/>
        </a:prstGeom>
        <a:noFill/>
        <a:ln w="9525">
          <a:noFill/>
        </a:ln>
      </xdr:spPr>
    </xdr:pic>
    <xdr:clientData/>
  </xdr:twoCellAnchor>
  <xdr:twoCellAnchor editAs="oneCell">
    <xdr:from>
      <xdr:col>15</xdr:col>
      <xdr:colOff>0</xdr:colOff>
      <xdr:row>5</xdr:row>
      <xdr:rowOff>0</xdr:rowOff>
    </xdr:from>
    <xdr:to>
      <xdr:col>15</xdr:col>
      <xdr:colOff>304800</xdr:colOff>
      <xdr:row>5</xdr:row>
      <xdr:rowOff>304800</xdr:rowOff>
    </xdr:to>
    <xdr:pic>
      <xdr:nvPicPr>
        <xdr:cNvPr id="3" name="E657119C-6982-421D-8BA7-E74DEB70A7DB-9"/>
        <xdr:cNvPicPr>
          <a:picLocks noChangeAspect="1"/>
        </xdr:cNvPicPr>
      </xdr:nvPicPr>
      <xdr:blipFill>
        <a:stretch>
          <a:fillRect/>
        </a:stretch>
      </xdr:blipFill>
      <xdr:spPr>
        <a:xfrm>
          <a:off x="15878175" y="5181600"/>
          <a:ext cx="304800" cy="304800"/>
        </a:xfrm>
        <a:prstGeom prst="rect">
          <a:avLst/>
        </a:prstGeom>
        <a:noFill/>
        <a:ln w="9525">
          <a:noFill/>
        </a:ln>
      </xdr:spPr>
    </xdr:pic>
    <xdr:clientData/>
  </xdr:twoCellAnchor>
  <xdr:twoCellAnchor editAs="oneCell">
    <xdr:from>
      <xdr:col>15</xdr:col>
      <xdr:colOff>0</xdr:colOff>
      <xdr:row>2</xdr:row>
      <xdr:rowOff>0</xdr:rowOff>
    </xdr:from>
    <xdr:to>
      <xdr:col>15</xdr:col>
      <xdr:colOff>304800</xdr:colOff>
      <xdr:row>3</xdr:row>
      <xdr:rowOff>38100</xdr:rowOff>
    </xdr:to>
    <xdr:pic>
      <xdr:nvPicPr>
        <xdr:cNvPr id="4" name="E657119C-6982-421D-8BA7-E74DEB70A7DB-10"/>
        <xdr:cNvPicPr>
          <a:picLocks noChangeAspect="1"/>
        </xdr:cNvPicPr>
      </xdr:nvPicPr>
      <xdr:blipFill>
        <a:stretch>
          <a:fillRect/>
        </a:stretch>
      </xdr:blipFill>
      <xdr:spPr>
        <a:xfrm>
          <a:off x="15878175" y="1854200"/>
          <a:ext cx="304800" cy="304800"/>
        </a:xfrm>
        <a:prstGeom prst="rect">
          <a:avLst/>
        </a:prstGeom>
        <a:noFill/>
        <a:ln w="9525">
          <a:noFill/>
        </a:ln>
      </xdr:spPr>
    </xdr:pic>
    <xdr:clientData/>
  </xdr:twoCellAnchor>
  <xdr:twoCellAnchor editAs="oneCell">
    <xdr:from>
      <xdr:col>7</xdr:col>
      <xdr:colOff>0</xdr:colOff>
      <xdr:row>5</xdr:row>
      <xdr:rowOff>0</xdr:rowOff>
    </xdr:from>
    <xdr:to>
      <xdr:col>7</xdr:col>
      <xdr:colOff>304800</xdr:colOff>
      <xdr:row>5</xdr:row>
      <xdr:rowOff>304800</xdr:rowOff>
    </xdr:to>
    <xdr:pic>
      <xdr:nvPicPr>
        <xdr:cNvPr id="5" name="E657119C-6982-421D-8BA7-E74DEB70A7DB-11"/>
        <xdr:cNvPicPr>
          <a:picLocks noChangeAspect="1"/>
        </xdr:cNvPicPr>
      </xdr:nvPicPr>
      <xdr:blipFill>
        <a:stretch>
          <a:fillRect/>
        </a:stretch>
      </xdr:blipFill>
      <xdr:spPr>
        <a:xfrm>
          <a:off x="8750935" y="5181600"/>
          <a:ext cx="304800" cy="304800"/>
        </a:xfrm>
        <a:prstGeom prst="rect">
          <a:avLst/>
        </a:prstGeom>
        <a:noFill/>
        <a:ln w="9525">
          <a:noFill/>
        </a:ln>
      </xdr:spPr>
    </xdr:pic>
    <xdr:clientData/>
  </xdr:twoCellAnchor>
  <xdr:twoCellAnchor editAs="oneCell">
    <xdr:from>
      <xdr:col>15</xdr:col>
      <xdr:colOff>0</xdr:colOff>
      <xdr:row>5</xdr:row>
      <xdr:rowOff>0</xdr:rowOff>
    </xdr:from>
    <xdr:to>
      <xdr:col>15</xdr:col>
      <xdr:colOff>304800</xdr:colOff>
      <xdr:row>5</xdr:row>
      <xdr:rowOff>304800</xdr:rowOff>
    </xdr:to>
    <xdr:pic>
      <xdr:nvPicPr>
        <xdr:cNvPr id="6" name="E657119C-6982-421D-8BA7-E74DEB70A7DB-12"/>
        <xdr:cNvPicPr>
          <a:picLocks noChangeAspect="1"/>
        </xdr:cNvPicPr>
      </xdr:nvPicPr>
      <xdr:blipFill>
        <a:stretch>
          <a:fillRect/>
        </a:stretch>
      </xdr:blipFill>
      <xdr:spPr>
        <a:xfrm>
          <a:off x="15878175" y="5181600"/>
          <a:ext cx="304800" cy="304800"/>
        </a:xfrm>
        <a:prstGeom prst="rect">
          <a:avLst/>
        </a:prstGeom>
        <a:noFill/>
        <a:ln w="9525">
          <a:noFill/>
        </a:ln>
      </xdr:spPr>
    </xdr:pic>
    <xdr:clientData/>
  </xdr:twoCellAnchor>
  <xdr:twoCellAnchor editAs="oneCell">
    <xdr:from>
      <xdr:col>15</xdr:col>
      <xdr:colOff>0</xdr:colOff>
      <xdr:row>2</xdr:row>
      <xdr:rowOff>0</xdr:rowOff>
    </xdr:from>
    <xdr:to>
      <xdr:col>15</xdr:col>
      <xdr:colOff>304800</xdr:colOff>
      <xdr:row>3</xdr:row>
      <xdr:rowOff>38100</xdr:rowOff>
    </xdr:to>
    <xdr:pic>
      <xdr:nvPicPr>
        <xdr:cNvPr id="7" name="E657119C-6982-421D-8BA7-E74DEB70A7DB-13"/>
        <xdr:cNvPicPr>
          <a:picLocks noChangeAspect="1"/>
        </xdr:cNvPicPr>
      </xdr:nvPicPr>
      <xdr:blipFill>
        <a:stretch>
          <a:fillRect/>
        </a:stretch>
      </xdr:blipFill>
      <xdr:spPr>
        <a:xfrm>
          <a:off x="15878175" y="1854200"/>
          <a:ext cx="304800" cy="304800"/>
        </a:xfrm>
        <a:prstGeom prst="rect">
          <a:avLst/>
        </a:prstGeom>
        <a:noFill/>
        <a:ln w="9525">
          <a:noFill/>
        </a:ln>
      </xdr:spPr>
    </xdr:pic>
    <xdr:clientData/>
  </xdr:twoCellAnchor>
  <xdr:twoCellAnchor editAs="oneCell">
    <xdr:from>
      <xdr:col>7</xdr:col>
      <xdr:colOff>0</xdr:colOff>
      <xdr:row>6</xdr:row>
      <xdr:rowOff>0</xdr:rowOff>
    </xdr:from>
    <xdr:to>
      <xdr:col>7</xdr:col>
      <xdr:colOff>304800</xdr:colOff>
      <xdr:row>6</xdr:row>
      <xdr:rowOff>304800</xdr:rowOff>
    </xdr:to>
    <xdr:pic>
      <xdr:nvPicPr>
        <xdr:cNvPr id="9" name="E657119C-6982-421D-8BA7-E74DEB70A7DB-14"/>
        <xdr:cNvPicPr>
          <a:picLocks noChangeAspect="1"/>
        </xdr:cNvPicPr>
      </xdr:nvPicPr>
      <xdr:blipFill>
        <a:stretch>
          <a:fillRect/>
        </a:stretch>
      </xdr:blipFill>
      <xdr:spPr>
        <a:xfrm>
          <a:off x="8750935" y="7835900"/>
          <a:ext cx="304800" cy="3048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S14"/>
  <sheetViews>
    <sheetView workbookViewId="0">
      <pane xSplit="1" ySplit="4" topLeftCell="B5" activePane="bottomRight" state="frozen"/>
      <selection/>
      <selection pane="topRight"/>
      <selection pane="bottomLeft"/>
      <selection pane="bottomRight" activeCell="H5" sqref="H5"/>
    </sheetView>
  </sheetViews>
  <sheetFormatPr defaultColWidth="9" defaultRowHeight="16.5"/>
  <cols>
    <col min="1" max="1" width="16.7545454545455" style="32" customWidth="1"/>
    <col min="2" max="2" width="11" style="29" customWidth="1"/>
    <col min="3" max="3" width="57.5" style="32" customWidth="1"/>
    <col min="4" max="6" width="11.0090909090909" style="32" customWidth="1"/>
    <col min="7" max="7" width="7" style="32" customWidth="1"/>
    <col min="8" max="8" width="18.5090909090909" style="32" customWidth="1"/>
    <col min="9" max="9" width="7" style="32" customWidth="1"/>
    <col min="10" max="10" width="18.5090909090909" style="32" customWidth="1"/>
    <col min="11" max="11" width="7" style="32" customWidth="1"/>
    <col min="12" max="12" width="18.5090909090909" style="32" customWidth="1"/>
    <col min="13" max="13" width="7" style="32" customWidth="1"/>
    <col min="14" max="14" width="18.5090909090909" style="32" customWidth="1"/>
    <col min="15" max="15" width="7" style="32" customWidth="1"/>
    <col min="16" max="16" width="18.5090909090909" style="32" customWidth="1"/>
    <col min="17" max="20" width="14.5090909090909" style="29" customWidth="1"/>
    <col min="21" max="16368" width="9" style="29"/>
    <col min="16369" max="16384" width="9" style="32"/>
  </cols>
  <sheetData>
    <row r="1" s="29" customFormat="1" ht="125" customHeight="1" spans="1:16373">
      <c r="A1" s="33" t="s">
        <v>0</v>
      </c>
      <c r="B1" s="33"/>
      <c r="C1" s="33"/>
      <c r="D1" s="34" t="s">
        <v>1</v>
      </c>
      <c r="E1" s="35"/>
      <c r="F1" s="35"/>
      <c r="G1" s="35"/>
      <c r="H1" s="35"/>
      <c r="I1" s="35"/>
      <c r="J1" s="35"/>
      <c r="K1" s="35"/>
      <c r="L1" s="35"/>
      <c r="M1" s="35"/>
      <c r="N1" s="35"/>
      <c r="O1" s="35"/>
      <c r="P1" s="35"/>
      <c r="Q1" s="35"/>
      <c r="R1" s="35"/>
      <c r="S1" s="35"/>
      <c r="T1" s="56"/>
      <c r="XEO1" s="32"/>
      <c r="XEP1" s="32"/>
      <c r="XEQ1" s="32"/>
      <c r="XER1" s="32"/>
      <c r="XES1" s="32"/>
    </row>
    <row r="2" s="30" customFormat="1" ht="21" customHeight="1" spans="1:20">
      <c r="A2" s="36" t="s">
        <v>2</v>
      </c>
      <c r="B2" s="36" t="s">
        <v>3</v>
      </c>
      <c r="C2" s="36" t="s">
        <v>4</v>
      </c>
      <c r="D2" s="37" t="s">
        <v>5</v>
      </c>
      <c r="E2" s="38"/>
      <c r="F2" s="39" t="s">
        <v>6</v>
      </c>
      <c r="G2" s="39"/>
      <c r="H2" s="39"/>
      <c r="I2" s="39"/>
      <c r="J2" s="39"/>
      <c r="K2" s="39"/>
      <c r="L2" s="39"/>
      <c r="M2" s="39"/>
      <c r="N2" s="39"/>
      <c r="O2" s="39"/>
      <c r="P2" s="38"/>
      <c r="Q2" s="37" t="s">
        <v>7</v>
      </c>
      <c r="R2" s="38"/>
      <c r="S2" s="37" t="s">
        <v>8</v>
      </c>
      <c r="T2" s="38"/>
    </row>
    <row r="3" s="30" customFormat="1" ht="21" customHeight="1" spans="1:20">
      <c r="A3" s="36"/>
      <c r="B3" s="36"/>
      <c r="C3" s="36"/>
      <c r="D3" s="36" t="s">
        <v>9</v>
      </c>
      <c r="E3" s="36" t="s">
        <v>10</v>
      </c>
      <c r="F3" s="40" t="s">
        <v>11</v>
      </c>
      <c r="G3" s="41" t="s">
        <v>12</v>
      </c>
      <c r="H3" s="42"/>
      <c r="I3" s="54" t="s">
        <v>13</v>
      </c>
      <c r="J3" s="54"/>
      <c r="K3" s="54" t="s">
        <v>14</v>
      </c>
      <c r="L3" s="54"/>
      <c r="M3" s="54" t="s">
        <v>15</v>
      </c>
      <c r="N3" s="54"/>
      <c r="O3" s="55" t="s">
        <v>16</v>
      </c>
      <c r="P3" s="55"/>
      <c r="Q3" s="40" t="s">
        <v>17</v>
      </c>
      <c r="R3" s="40" t="s">
        <v>18</v>
      </c>
      <c r="S3" s="40" t="s">
        <v>19</v>
      </c>
      <c r="T3" s="40" t="s">
        <v>20</v>
      </c>
    </row>
    <row r="4" s="30" customFormat="1" ht="32" customHeight="1" spans="1:20">
      <c r="A4" s="36"/>
      <c r="B4" s="36"/>
      <c r="C4" s="36"/>
      <c r="D4" s="36"/>
      <c r="E4" s="36"/>
      <c r="F4" s="43"/>
      <c r="G4" s="41" t="s">
        <v>21</v>
      </c>
      <c r="H4" s="42" t="s">
        <v>22</v>
      </c>
      <c r="I4" s="54" t="s">
        <v>21</v>
      </c>
      <c r="J4" s="54" t="s">
        <v>23</v>
      </c>
      <c r="K4" s="54" t="s">
        <v>21</v>
      </c>
      <c r="L4" s="54" t="s">
        <v>23</v>
      </c>
      <c r="M4" s="54" t="s">
        <v>21</v>
      </c>
      <c r="N4" s="54" t="s">
        <v>23</v>
      </c>
      <c r="O4" s="55" t="s">
        <v>21</v>
      </c>
      <c r="P4" s="55" t="s">
        <v>24</v>
      </c>
      <c r="Q4" s="57"/>
      <c r="R4" s="57"/>
      <c r="S4" s="57"/>
      <c r="T4" s="57"/>
    </row>
    <row r="5" s="31" customFormat="1" ht="209" customHeight="1" spans="1:20">
      <c r="A5" s="44" t="s">
        <v>25</v>
      </c>
      <c r="B5" s="45" t="s">
        <v>26</v>
      </c>
      <c r="C5" s="46" t="s">
        <v>27</v>
      </c>
      <c r="D5" s="47">
        <v>13.99</v>
      </c>
      <c r="E5" s="48">
        <v>0.3</v>
      </c>
      <c r="F5" s="49">
        <f t="shared" ref="F5:F11" si="0">G5+I5+K5+M5+O5</f>
        <v>15</v>
      </c>
      <c r="G5" s="50">
        <v>15</v>
      </c>
      <c r="H5" s="46" t="s">
        <v>28</v>
      </c>
      <c r="I5" s="44">
        <v>0</v>
      </c>
      <c r="J5" s="46"/>
      <c r="K5" s="44"/>
      <c r="L5" s="46"/>
      <c r="M5" s="44"/>
      <c r="N5" s="46"/>
      <c r="O5" s="44">
        <v>0</v>
      </c>
      <c r="P5" s="46"/>
      <c r="Q5" s="58">
        <v>6</v>
      </c>
      <c r="R5" s="58">
        <f>1000-Q5</f>
        <v>994</v>
      </c>
      <c r="S5" s="59">
        <v>151.47</v>
      </c>
      <c r="T5" s="59">
        <f>700-S5</f>
        <v>548.53</v>
      </c>
    </row>
    <row r="6" s="31" customFormat="1" ht="209" customHeight="1" spans="1:20">
      <c r="A6" s="44" t="s">
        <v>29</v>
      </c>
      <c r="B6" s="45"/>
      <c r="C6" s="46" t="s">
        <v>30</v>
      </c>
      <c r="D6" s="47">
        <v>13.99</v>
      </c>
      <c r="E6" s="48">
        <v>0.3</v>
      </c>
      <c r="F6" s="49">
        <f t="shared" si="0"/>
        <v>65</v>
      </c>
      <c r="G6" s="50">
        <v>20</v>
      </c>
      <c r="H6" s="46" t="s">
        <v>31</v>
      </c>
      <c r="I6" s="50">
        <v>30</v>
      </c>
      <c r="J6" s="46" t="s">
        <v>32</v>
      </c>
      <c r="K6" s="50"/>
      <c r="L6" s="46"/>
      <c r="M6" s="50"/>
      <c r="N6" s="46"/>
      <c r="O6" s="50">
        <v>15</v>
      </c>
      <c r="P6" s="46" t="s">
        <v>33</v>
      </c>
      <c r="Q6" s="58">
        <v>50</v>
      </c>
      <c r="R6" s="58">
        <f t="shared" ref="R6:R11" si="1">R5-Q6</f>
        <v>944</v>
      </c>
      <c r="S6" s="59">
        <v>296.32</v>
      </c>
      <c r="T6" s="59">
        <f t="shared" ref="T6:T11" si="2">T5-S6</f>
        <v>252.21</v>
      </c>
    </row>
    <row r="7" s="31" customFormat="1" ht="209" customHeight="1" spans="1:20">
      <c r="A7" s="44" t="s">
        <v>34</v>
      </c>
      <c r="B7" s="45" t="s">
        <v>35</v>
      </c>
      <c r="C7" s="46" t="s">
        <v>36</v>
      </c>
      <c r="D7" s="47">
        <v>13.99</v>
      </c>
      <c r="E7" s="48">
        <v>0.3</v>
      </c>
      <c r="F7" s="49">
        <f t="shared" si="0"/>
        <v>70</v>
      </c>
      <c r="G7" s="50">
        <v>0</v>
      </c>
      <c r="H7" s="46"/>
      <c r="I7" s="50">
        <v>40</v>
      </c>
      <c r="J7" s="46" t="s">
        <v>37</v>
      </c>
      <c r="K7" s="50">
        <v>20</v>
      </c>
      <c r="L7" s="46" t="s">
        <v>38</v>
      </c>
      <c r="M7" s="50">
        <v>10</v>
      </c>
      <c r="N7" s="46" t="s">
        <v>39</v>
      </c>
      <c r="O7" s="50">
        <v>0</v>
      </c>
      <c r="P7" s="46"/>
      <c r="Q7" s="58">
        <v>120</v>
      </c>
      <c r="R7" s="58">
        <f t="shared" si="1"/>
        <v>824</v>
      </c>
      <c r="S7" s="59">
        <v>317.78</v>
      </c>
      <c r="T7" s="59">
        <f t="shared" si="2"/>
        <v>-65.57</v>
      </c>
    </row>
    <row r="8" s="30" customFormat="1" ht="209" customHeight="1" spans="1:20">
      <c r="A8" s="51" t="s">
        <v>40</v>
      </c>
      <c r="B8" s="45"/>
      <c r="C8" s="46" t="s">
        <v>41</v>
      </c>
      <c r="D8" s="47" t="s">
        <v>42</v>
      </c>
      <c r="E8" s="48">
        <v>0.1</v>
      </c>
      <c r="F8" s="49">
        <f t="shared" si="0"/>
        <v>0</v>
      </c>
      <c r="G8" s="50">
        <v>0</v>
      </c>
      <c r="H8" s="46"/>
      <c r="I8" s="50">
        <v>0</v>
      </c>
      <c r="J8" s="46"/>
      <c r="K8" s="50">
        <v>0</v>
      </c>
      <c r="L8" s="46"/>
      <c r="M8" s="50">
        <v>0</v>
      </c>
      <c r="N8" s="46"/>
      <c r="O8" s="50">
        <v>0</v>
      </c>
      <c r="P8" s="46"/>
      <c r="Q8" s="58">
        <v>420</v>
      </c>
      <c r="R8" s="58">
        <f t="shared" si="1"/>
        <v>404</v>
      </c>
      <c r="S8" s="59">
        <v>57.24</v>
      </c>
      <c r="T8" s="59">
        <f t="shared" si="2"/>
        <v>-122.81</v>
      </c>
    </row>
    <row r="9" s="30" customFormat="1" ht="209" customHeight="1" spans="1:20">
      <c r="A9" s="44" t="s">
        <v>43</v>
      </c>
      <c r="B9" s="45" t="s">
        <v>44</v>
      </c>
      <c r="C9" s="46" t="s">
        <v>45</v>
      </c>
      <c r="D9" s="47">
        <v>13.99</v>
      </c>
      <c r="E9" s="48">
        <v>0.3</v>
      </c>
      <c r="F9" s="49">
        <f t="shared" si="0"/>
        <v>0</v>
      </c>
      <c r="G9" s="50">
        <v>0</v>
      </c>
      <c r="H9" s="46"/>
      <c r="I9" s="50">
        <v>0</v>
      </c>
      <c r="J9" s="46"/>
      <c r="K9" s="50">
        <v>0</v>
      </c>
      <c r="L9" s="46"/>
      <c r="M9" s="50">
        <v>0</v>
      </c>
      <c r="N9" s="46"/>
      <c r="O9" s="50">
        <v>0</v>
      </c>
      <c r="P9" s="46"/>
      <c r="Q9" s="58">
        <v>316</v>
      </c>
      <c r="R9" s="58">
        <f t="shared" si="1"/>
        <v>88</v>
      </c>
      <c r="S9" s="59">
        <v>0</v>
      </c>
      <c r="T9" s="59">
        <f t="shared" si="2"/>
        <v>-122.81</v>
      </c>
    </row>
    <row r="10" s="30" customFormat="1" ht="209" customHeight="1" spans="1:20">
      <c r="A10" s="44" t="s">
        <v>46</v>
      </c>
      <c r="B10" s="45"/>
      <c r="C10" s="46" t="s">
        <v>47</v>
      </c>
      <c r="D10" s="47">
        <v>13.99</v>
      </c>
      <c r="E10" s="48">
        <v>0.3</v>
      </c>
      <c r="F10" s="49">
        <f t="shared" si="0"/>
        <v>0</v>
      </c>
      <c r="G10" s="50">
        <v>0</v>
      </c>
      <c r="H10" s="46"/>
      <c r="I10" s="50">
        <v>0</v>
      </c>
      <c r="J10" s="46"/>
      <c r="K10" s="50">
        <v>0</v>
      </c>
      <c r="L10" s="46"/>
      <c r="M10" s="50">
        <v>0</v>
      </c>
      <c r="N10" s="46"/>
      <c r="O10" s="50">
        <v>0</v>
      </c>
      <c r="P10" s="46"/>
      <c r="Q10" s="58">
        <v>87</v>
      </c>
      <c r="R10" s="58">
        <f t="shared" si="1"/>
        <v>1</v>
      </c>
      <c r="S10" s="59">
        <v>0</v>
      </c>
      <c r="T10" s="59">
        <f t="shared" si="2"/>
        <v>-122.81</v>
      </c>
    </row>
    <row r="11" s="30" customFormat="1" ht="209" customHeight="1" spans="1:20">
      <c r="A11" s="44" t="s">
        <v>48</v>
      </c>
      <c r="B11" s="52" t="s">
        <v>49</v>
      </c>
      <c r="C11" s="46" t="s">
        <v>47</v>
      </c>
      <c r="D11" s="47">
        <v>13.99</v>
      </c>
      <c r="E11" s="48">
        <v>0.3</v>
      </c>
      <c r="F11" s="49">
        <f t="shared" si="0"/>
        <v>0</v>
      </c>
      <c r="G11" s="50">
        <v>0</v>
      </c>
      <c r="H11" s="46"/>
      <c r="I11" s="50">
        <v>0</v>
      </c>
      <c r="J11" s="46"/>
      <c r="K11" s="50">
        <v>0</v>
      </c>
      <c r="L11" s="46"/>
      <c r="M11" s="50">
        <v>0</v>
      </c>
      <c r="N11" s="46"/>
      <c r="O11" s="50">
        <v>0</v>
      </c>
      <c r="P11" s="46"/>
      <c r="Q11" s="58">
        <v>2</v>
      </c>
      <c r="R11" s="58">
        <f t="shared" si="1"/>
        <v>-1</v>
      </c>
      <c r="S11" s="59">
        <v>0</v>
      </c>
      <c r="T11" s="59">
        <f t="shared" si="2"/>
        <v>-122.81</v>
      </c>
    </row>
    <row r="14" ht="19" spans="1:1">
      <c r="A14" s="53" t="s">
        <v>50</v>
      </c>
    </row>
  </sheetData>
  <mergeCells count="24">
    <mergeCell ref="A1:C1"/>
    <mergeCell ref="D1:T1"/>
    <mergeCell ref="D2:E2"/>
    <mergeCell ref="F2:P2"/>
    <mergeCell ref="Q2:R2"/>
    <mergeCell ref="S2:T2"/>
    <mergeCell ref="G3:H3"/>
    <mergeCell ref="I3:J3"/>
    <mergeCell ref="K3:L3"/>
    <mergeCell ref="M3:N3"/>
    <mergeCell ref="O3:P3"/>
    <mergeCell ref="A2:A4"/>
    <mergeCell ref="B2:B4"/>
    <mergeCell ref="B5:B6"/>
    <mergeCell ref="B7:B8"/>
    <mergeCell ref="B9:B10"/>
    <mergeCell ref="C2:C4"/>
    <mergeCell ref="D3:D4"/>
    <mergeCell ref="E3:E4"/>
    <mergeCell ref="F3:F4"/>
    <mergeCell ref="Q3:Q4"/>
    <mergeCell ref="R3:R4"/>
    <mergeCell ref="S3:S4"/>
    <mergeCell ref="T3:T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2"/>
  <sheetViews>
    <sheetView tabSelected="1" workbookViewId="0">
      <pane xSplit="1" ySplit="3" topLeftCell="B4" activePane="bottomRight" state="frozen"/>
      <selection/>
      <selection pane="topRight"/>
      <selection pane="bottomLeft"/>
      <selection pane="bottomRight" activeCell="E28" sqref="E28"/>
    </sheetView>
  </sheetViews>
  <sheetFormatPr defaultColWidth="9" defaultRowHeight="14.5"/>
  <cols>
    <col min="1" max="1" width="13.3" style="1" customWidth="1"/>
    <col min="2" max="10" width="21.3727272727273" style="1" customWidth="1"/>
    <col min="11" max="22" width="18.5090909090909" style="1" customWidth="1"/>
    <col min="23" max="16384" width="9" style="1"/>
  </cols>
  <sheetData>
    <row r="1" s="1" customFormat="1" spans="1:22">
      <c r="A1" s="2" t="s">
        <v>51</v>
      </c>
      <c r="B1" s="3" t="s">
        <v>52</v>
      </c>
      <c r="C1" s="4" t="s">
        <v>53</v>
      </c>
      <c r="D1" s="5" t="s">
        <v>54</v>
      </c>
      <c r="E1" s="6" t="s">
        <v>55</v>
      </c>
      <c r="F1" s="6" t="s">
        <v>56</v>
      </c>
      <c r="G1" s="7" t="s">
        <v>57</v>
      </c>
      <c r="H1" s="6" t="s">
        <v>58</v>
      </c>
      <c r="I1" s="6" t="s">
        <v>59</v>
      </c>
      <c r="J1" s="6" t="s">
        <v>60</v>
      </c>
      <c r="K1" s="25" t="s">
        <v>61</v>
      </c>
      <c r="L1" s="25"/>
      <c r="M1" s="25"/>
      <c r="N1" s="25"/>
      <c r="O1" s="25"/>
      <c r="P1" s="25"/>
      <c r="Q1" s="25"/>
      <c r="R1" s="25"/>
      <c r="S1" s="25"/>
      <c r="T1" s="25"/>
      <c r="U1" s="25"/>
      <c r="V1" s="25"/>
    </row>
    <row r="2" s="1" customFormat="1" spans="1:22">
      <c r="A2" s="8"/>
      <c r="B2" s="9"/>
      <c r="C2" s="10"/>
      <c r="D2" s="11"/>
      <c r="E2" s="12"/>
      <c r="F2" s="12"/>
      <c r="G2" s="13"/>
      <c r="H2" s="12"/>
      <c r="I2" s="12"/>
      <c r="J2" s="12"/>
      <c r="K2" s="25" t="s">
        <v>62</v>
      </c>
      <c r="L2" s="25"/>
      <c r="M2" s="25" t="s">
        <v>63</v>
      </c>
      <c r="N2" s="25"/>
      <c r="O2" s="25" t="s">
        <v>64</v>
      </c>
      <c r="P2" s="25"/>
      <c r="Q2" s="25" t="s">
        <v>65</v>
      </c>
      <c r="R2" s="25"/>
      <c r="S2" s="25" t="s">
        <v>66</v>
      </c>
      <c r="T2" s="25"/>
      <c r="U2" s="25" t="s">
        <v>67</v>
      </c>
      <c r="V2" s="25"/>
    </row>
    <row r="3" s="1" customFormat="1" spans="1:22">
      <c r="A3" s="14"/>
      <c r="B3" s="15"/>
      <c r="C3" s="16"/>
      <c r="D3" s="17"/>
      <c r="E3" s="18"/>
      <c r="F3" s="18"/>
      <c r="G3" s="19"/>
      <c r="H3" s="18"/>
      <c r="I3" s="18"/>
      <c r="J3" s="18"/>
      <c r="K3" s="26" t="s">
        <v>68</v>
      </c>
      <c r="L3" s="26" t="s">
        <v>69</v>
      </c>
      <c r="M3" s="26" t="s">
        <v>68</v>
      </c>
      <c r="N3" s="26" t="s">
        <v>69</v>
      </c>
      <c r="O3" s="26" t="s">
        <v>68</v>
      </c>
      <c r="P3" s="26" t="s">
        <v>69</v>
      </c>
      <c r="Q3" s="26" t="s">
        <v>68</v>
      </c>
      <c r="R3" s="26" t="s">
        <v>69</v>
      </c>
      <c r="S3" s="26" t="s">
        <v>68</v>
      </c>
      <c r="T3" s="26" t="s">
        <v>69</v>
      </c>
      <c r="U3" s="26" t="s">
        <v>68</v>
      </c>
      <c r="V3" s="26" t="s">
        <v>69</v>
      </c>
    </row>
    <row r="4" s="1" customFormat="1" ht="30" customHeight="1" spans="1:22">
      <c r="A4" s="20">
        <v>44955</v>
      </c>
      <c r="B4" s="21" t="s">
        <v>70</v>
      </c>
      <c r="C4" s="21" t="s">
        <v>71</v>
      </c>
      <c r="D4" s="22" t="s">
        <v>72</v>
      </c>
      <c r="E4" s="22" t="s">
        <v>72</v>
      </c>
      <c r="F4" s="22" t="s">
        <v>72</v>
      </c>
      <c r="G4" s="21" t="s">
        <v>73</v>
      </c>
      <c r="H4" s="22" t="s">
        <v>72</v>
      </c>
      <c r="I4" s="22" t="s">
        <v>72</v>
      </c>
      <c r="J4" s="22" t="s">
        <v>72</v>
      </c>
      <c r="K4" s="27" t="s">
        <v>72</v>
      </c>
      <c r="L4" s="27" t="s">
        <v>74</v>
      </c>
      <c r="M4" s="27"/>
      <c r="N4" s="27"/>
      <c r="O4" s="27" t="s">
        <v>72</v>
      </c>
      <c r="P4" s="27" t="s">
        <v>75</v>
      </c>
      <c r="Q4" s="27" t="s">
        <v>72</v>
      </c>
      <c r="R4" s="27" t="s">
        <v>76</v>
      </c>
      <c r="S4" s="27" t="s">
        <v>72</v>
      </c>
      <c r="T4" s="27" t="s">
        <v>77</v>
      </c>
      <c r="U4" s="27" t="s">
        <v>72</v>
      </c>
      <c r="V4" s="27" t="s">
        <v>78</v>
      </c>
    </row>
    <row r="5" s="1" customFormat="1" ht="30" customHeight="1" spans="1:22">
      <c r="A5" s="20">
        <v>44948</v>
      </c>
      <c r="B5" s="21" t="s">
        <v>79</v>
      </c>
      <c r="C5" s="21" t="s">
        <v>80</v>
      </c>
      <c r="D5" s="22" t="s">
        <v>72</v>
      </c>
      <c r="E5" s="22" t="s">
        <v>72</v>
      </c>
      <c r="F5" s="22" t="s">
        <v>72</v>
      </c>
      <c r="G5" s="21">
        <f>-542.47-8.49%</f>
        <v>-542.5549</v>
      </c>
      <c r="H5" s="22" t="s">
        <v>72</v>
      </c>
      <c r="I5" s="22" t="s">
        <v>72</v>
      </c>
      <c r="J5" s="22" t="s">
        <v>72</v>
      </c>
      <c r="K5" s="27" t="s">
        <v>72</v>
      </c>
      <c r="L5" s="27" t="s">
        <v>81</v>
      </c>
      <c r="M5" s="27" t="s">
        <v>72</v>
      </c>
      <c r="N5" s="27" t="s">
        <v>82</v>
      </c>
      <c r="O5" s="27"/>
      <c r="P5" s="27" t="s">
        <v>83</v>
      </c>
      <c r="Q5" s="27" t="s">
        <v>72</v>
      </c>
      <c r="R5" s="28" t="s">
        <v>84</v>
      </c>
      <c r="S5" s="27" t="s">
        <v>72</v>
      </c>
      <c r="T5" s="27" t="s">
        <v>85</v>
      </c>
      <c r="U5" s="27"/>
      <c r="V5" s="27"/>
    </row>
    <row r="6" s="1" customFormat="1" ht="30" customHeight="1" spans="1:22">
      <c r="A6" s="20">
        <v>44941</v>
      </c>
      <c r="B6" s="23" t="s">
        <v>86</v>
      </c>
      <c r="C6" s="23" t="s">
        <v>87</v>
      </c>
      <c r="D6" s="22" t="s">
        <v>72</v>
      </c>
      <c r="E6" s="22" t="s">
        <v>72</v>
      </c>
      <c r="F6" s="22" t="s">
        <v>72</v>
      </c>
      <c r="G6" s="23" t="s">
        <v>88</v>
      </c>
      <c r="H6" s="22" t="s">
        <v>72</v>
      </c>
      <c r="I6" s="22" t="s">
        <v>72</v>
      </c>
      <c r="J6" s="22" t="s">
        <v>72</v>
      </c>
      <c r="K6" s="27" t="s">
        <v>72</v>
      </c>
      <c r="L6" s="28" t="s">
        <v>89</v>
      </c>
      <c r="M6" s="27" t="s">
        <v>72</v>
      </c>
      <c r="N6" s="28" t="s">
        <v>90</v>
      </c>
      <c r="O6" s="27"/>
      <c r="P6" s="28" t="s">
        <v>91</v>
      </c>
      <c r="Q6" s="27"/>
      <c r="R6" s="27"/>
      <c r="S6" s="27" t="s">
        <v>72</v>
      </c>
      <c r="T6" s="28" t="s">
        <v>92</v>
      </c>
      <c r="U6" s="27"/>
      <c r="V6" s="28" t="s">
        <v>93</v>
      </c>
    </row>
    <row r="7" s="1" customFormat="1" ht="30" customHeight="1" spans="1:22">
      <c r="A7" s="20">
        <v>44934</v>
      </c>
      <c r="B7" s="21" t="s">
        <v>94</v>
      </c>
      <c r="C7" s="23" t="s">
        <v>95</v>
      </c>
      <c r="D7" s="21">
        <f>-52.17-100%</f>
        <v>-53.17</v>
      </c>
      <c r="E7" s="22" t="s">
        <v>72</v>
      </c>
      <c r="F7" s="22" t="s">
        <v>72</v>
      </c>
      <c r="G7" s="23" t="s">
        <v>96</v>
      </c>
      <c r="H7" s="22" t="s">
        <v>72</v>
      </c>
      <c r="I7" s="22" t="s">
        <v>72</v>
      </c>
      <c r="J7" s="21" t="s">
        <v>97</v>
      </c>
      <c r="K7" s="27" t="s">
        <v>72</v>
      </c>
      <c r="L7" s="27" t="s">
        <v>98</v>
      </c>
      <c r="M7" s="27" t="s">
        <v>72</v>
      </c>
      <c r="N7" s="27" t="s">
        <v>99</v>
      </c>
      <c r="O7" s="27"/>
      <c r="P7" s="27" t="s">
        <v>100</v>
      </c>
      <c r="Q7" s="27"/>
      <c r="R7" s="27"/>
      <c r="S7" s="27" t="s">
        <v>72</v>
      </c>
      <c r="T7" s="27" t="s">
        <v>101</v>
      </c>
      <c r="U7" s="27" t="s">
        <v>102</v>
      </c>
      <c r="V7" s="27" t="s">
        <v>103</v>
      </c>
    </row>
    <row r="8" s="1" customFormat="1" ht="30" customHeight="1" spans="1:22">
      <c r="A8" s="20">
        <v>44927</v>
      </c>
      <c r="B8" s="23" t="s">
        <v>104</v>
      </c>
      <c r="C8" s="23" t="s">
        <v>105</v>
      </c>
      <c r="D8" s="21">
        <f>-505.29-90.64%</f>
        <v>-506.1964</v>
      </c>
      <c r="E8" s="22" t="s">
        <v>72</v>
      </c>
      <c r="F8" s="22" t="s">
        <v>72</v>
      </c>
      <c r="G8" s="22" t="s">
        <v>72</v>
      </c>
      <c r="H8" s="22" t="s">
        <v>72</v>
      </c>
      <c r="I8" s="22" t="s">
        <v>72</v>
      </c>
      <c r="J8" s="23" t="s">
        <v>106</v>
      </c>
      <c r="K8" s="27" t="s">
        <v>107</v>
      </c>
      <c r="L8" s="27" t="s">
        <v>108</v>
      </c>
      <c r="M8" s="27" t="s">
        <v>72</v>
      </c>
      <c r="N8" s="27" t="s">
        <v>109</v>
      </c>
      <c r="O8" s="27"/>
      <c r="P8" s="27" t="s">
        <v>110</v>
      </c>
      <c r="Q8" s="27"/>
      <c r="R8" s="27"/>
      <c r="S8" s="27" t="s">
        <v>72</v>
      </c>
      <c r="T8" s="27" t="s">
        <v>111</v>
      </c>
      <c r="U8" s="27" t="s">
        <v>112</v>
      </c>
      <c r="V8" s="27"/>
    </row>
    <row r="9" s="1" customFormat="1" ht="30" customHeight="1" spans="1:22">
      <c r="A9" s="20">
        <v>44920</v>
      </c>
      <c r="B9" s="23" t="s">
        <v>113</v>
      </c>
      <c r="C9" s="23" t="s">
        <v>114</v>
      </c>
      <c r="D9" s="23" t="s">
        <v>115</v>
      </c>
      <c r="E9" s="22" t="s">
        <v>72</v>
      </c>
      <c r="F9" s="22" t="s">
        <v>72</v>
      </c>
      <c r="G9" s="22" t="s">
        <v>72</v>
      </c>
      <c r="H9" s="22" t="s">
        <v>72</v>
      </c>
      <c r="I9" s="22" t="s">
        <v>72</v>
      </c>
      <c r="J9" s="22" t="s">
        <v>72</v>
      </c>
      <c r="K9" s="27" t="s">
        <v>116</v>
      </c>
      <c r="L9" s="27" t="s">
        <v>117</v>
      </c>
      <c r="M9" s="27" t="s">
        <v>72</v>
      </c>
      <c r="N9" s="27" t="s">
        <v>118</v>
      </c>
      <c r="O9" s="27"/>
      <c r="P9" s="27"/>
      <c r="Q9" s="27"/>
      <c r="R9" s="27"/>
      <c r="S9" s="27" t="s">
        <v>72</v>
      </c>
      <c r="T9" s="27" t="s">
        <v>119</v>
      </c>
      <c r="U9" s="27" t="s">
        <v>120</v>
      </c>
      <c r="V9" s="27" t="s">
        <v>72</v>
      </c>
    </row>
    <row r="12" spans="1:1">
      <c r="A12" s="24" t="s">
        <v>121</v>
      </c>
    </row>
    <row r="15" spans="1:1">
      <c r="A15" s="24" t="s">
        <v>122</v>
      </c>
    </row>
    <row r="16" spans="1:1">
      <c r="A16" s="24" t="s">
        <v>123</v>
      </c>
    </row>
    <row r="17" spans="1:1">
      <c r="A17" s="24" t="s">
        <v>124</v>
      </c>
    </row>
    <row r="18" spans="1:1">
      <c r="A18" s="24" t="s">
        <v>125</v>
      </c>
    </row>
    <row r="19" ht="19" customHeight="1" spans="1:1">
      <c r="A19" s="24" t="s">
        <v>126</v>
      </c>
    </row>
    <row r="20" spans="1:1">
      <c r="A20" s="24"/>
    </row>
    <row r="21" spans="1:1">
      <c r="A21" s="24" t="s">
        <v>127</v>
      </c>
    </row>
    <row r="22" spans="1:1">
      <c r="A22" s="24" t="s">
        <v>128</v>
      </c>
    </row>
  </sheetData>
  <mergeCells count="17">
    <mergeCell ref="K1:V1"/>
    <mergeCell ref="K2:L2"/>
    <mergeCell ref="M2:N2"/>
    <mergeCell ref="O2:P2"/>
    <mergeCell ref="Q2:R2"/>
    <mergeCell ref="S2:T2"/>
    <mergeCell ref="U2:V2"/>
    <mergeCell ref="A1:A3"/>
    <mergeCell ref="B1:B3"/>
    <mergeCell ref="C1:C3"/>
    <mergeCell ref="D1:D3"/>
    <mergeCell ref="E1:E3"/>
    <mergeCell ref="F1:F3"/>
    <mergeCell ref="G1:G3"/>
    <mergeCell ref="H1:H3"/>
    <mergeCell ref="I1:I3"/>
    <mergeCell ref="J1:J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ustomData xmlns="http://www.wps.cn/officeDocument/2013/wpsCustomData" xmlns:s="http://www.wps.cn/officeDocument/2013/wpsCustomData">
  <extobjs>
    <extobj name="E657119C-6982-421D-8BA7-E74DEB70A7DB-8">
      <extobjdata type="E657119C-6982-421D-8BA7-E74DEB70A7DB" data="C:\Users\迪印科技\AppData\Local\Temp\企业微信截图_16588088466857.png"/>
    </extobj>
    <extobj name="E657119C-6982-421D-8BA7-E74DEB70A7DB-9">
      <extobjdata type="E657119C-6982-421D-8BA7-E74DEB70A7DB" data="C:\Users\迪印科技\AppData\Local\Temp\企业微信截图_16588088466857.png"/>
    </extobj>
    <extobj name="E657119C-6982-421D-8BA7-E74DEB70A7DB-10">
      <extobjdata type="E657119C-6982-421D-8BA7-E74DEB70A7DB" data="/C:/Users/迪印科技/Documents/WXWork/1688854888339175/Cache/Image/2022-08/企业微信截图_16601826427635.png"/>
    </extobj>
    <extobj name="E657119C-6982-421D-8BA7-E74DEB70A7DB-11">
      <extobjdata type="E657119C-6982-421D-8BA7-E74DEB70A7DB" data="C:\Users\迪印科技\AppData\Local\Temp\企业微信截图_16588088466857.png"/>
    </extobj>
    <extobj name="E657119C-6982-421D-8BA7-E74DEB70A7DB-12">
      <extobjdata type="E657119C-6982-421D-8BA7-E74DEB70A7DB" data="C:\Users\迪印科技\AppData\Local\Temp\企业微信截图_16588088466857.png"/>
    </extobj>
    <extobj name="E657119C-6982-421D-8BA7-E74DEB70A7DB-13">
      <extobjdata type="E657119C-6982-421D-8BA7-E74DEB70A7DB" data="/C:/Users/迪印科技/Documents/WXWork/1688854888339175/Cache/Image/2022-08/企业微信截图_16601826427635.png"/>
    </extobj>
    <extobj name="E657119C-6982-421D-8BA7-E74DEB70A7DB-14">
      <extobjdata type="E657119C-6982-421D-8BA7-E74DEB70A7DB" data="C:\Users\迪印科技\AppData\Local\Temp\企业微信截图_16588088466857.png"/>
    </extobj>
  </extobjs>
</s:customData>
</file>

<file path=customXml/itemProps1.xml><?xml version="1.0" encoding="utf-8"?>
<ds:datastoreItem xmlns:ds="http://schemas.openxmlformats.org/officeDocument/2006/customXml">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运营思路与执行细节</vt:lpstr>
      <vt:lpstr>流量变化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迪印科技</dc:creator>
  <cp:lastModifiedBy>lenry</cp:lastModifiedBy>
  <dcterms:created xsi:type="dcterms:W3CDTF">2023-03-16T17:10:00Z</dcterms:created>
  <dcterms:modified xsi:type="dcterms:W3CDTF">2024-01-23T11:19:51Z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33EB3C07EA0DE269AA9339642EFE2DA9_43</vt:lpwstr>
  </property>
  <property fmtid="{D5CDD505-2E9C-101B-9397-08002B2CF9AE}" pid="3" name="KSOProductBuildVer">
    <vt:lpwstr>2052-12.1.0.16120</vt:lpwstr>
  </property>
</Properties>
</file>