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hidePivotFieldList="1"/>
  <bookViews>
    <workbookView windowWidth="27945" windowHeight="12255"/>
  </bookViews>
  <sheets>
    <sheet name="表格说明" sheetId="14" r:id="rId1"/>
    <sheet name="年目标" sheetId="1" r:id="rId2"/>
    <sheet name="2023年利润预测" sheetId="19" r:id="rId3"/>
    <sheet name="市场概况" sheetId="10" r:id="rId4"/>
    <sheet name="市场预估" sheetId="12" r:id="rId5"/>
    <sheet name="单品目标年销量" sheetId="13" r:id="rId6"/>
    <sheet name="每月目标分解" sheetId="5" r:id="rId7"/>
    <sheet name="2024年销售情况" sheetId="2" r:id="rId8"/>
    <sheet name="单品每月销售额占比" sheetId="6" r:id="rId9"/>
    <sheet name="2021年销量数据" sheetId="15" r:id="rId10"/>
    <sheet name="船长每月数据(2022年)" sheetId="11" r:id="rId11"/>
    <sheet name="船长每月数据(2023年)" sheetId="4" r:id="rId12"/>
    <sheet name="每月市场趋势" sheetId="8" r:id="rId13"/>
    <sheet name="类目品牌市占率" sheetId="9" r:id="rId14"/>
    <sheet name="2021&amp;2022营销成本概况" sheetId="18" r:id="rId15"/>
    <sheet name="2022年全年财务报表" sheetId="20" r:id="rId16"/>
  </sheets>
  <definedNames>
    <definedName name="_xlnm._FilterDatabase" localSheetId="6" hidden="1">每月目标分解!$A$2:$S$36</definedName>
    <definedName name="_xlnm._FilterDatabase" localSheetId="11" hidden="1">'船长每月数据(2023年)'!$A$1:$AQ$1002</definedName>
    <definedName name="_xlnm._FilterDatabase" localSheetId="5" hidden="1">单品目标年销量!$A$1:$X$36</definedName>
    <definedName name="_xlnm._FilterDatabase" localSheetId="10" hidden="1">'船长每月数据(2022年)'!$A$1:$AQ$1077</definedName>
    <definedName name="_xlnm._FilterDatabase" localSheetId="8" hidden="1">单品每月销售额占比!$B$4:$AP$76</definedName>
    <definedName name="_xlnm._FilterDatabase" localSheetId="7" hidden="1">'2024年销售情况'!$A$2:$BX$74</definedName>
    <definedName name="_xlnm._FilterDatabase" localSheetId="15" hidden="1">'2022年全年财务报表'!$A$1:$X$154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新品统一按照40%的广告订单占比计算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</t>
        </r>
      </text>
    </commen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2023年6月4号试产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  <comment ref="F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2023年7月31号试产</t>
        </r>
      </text>
    </comment>
    <comment ref="F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2023年5.25试产</t>
        </r>
      </text>
    </comment>
    <comment ref="F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  <comment ref="F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2023年5月31试产</t>
        </r>
      </text>
    </comment>
    <comment ref="F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2023年6月份试产</t>
        </r>
      </text>
    </comment>
    <comment ref="F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2023年6月8号试产</t>
        </r>
      </text>
    </comment>
    <comment ref="F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  <comment ref="F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四大主要类目 不包括其他不相干的小类目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总市场容量</t>
        </r>
      </text>
    </comment>
    <comment ref="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总市场份额</t>
        </r>
      </text>
    </comment>
    <comment ref="C7" authorId="0">
      <text>
        <r>
          <rPr>
            <sz val="9"/>
            <rFont val="宋体"/>
            <charset val="134"/>
          </rPr>
          <t>四大类目总销量</t>
        </r>
      </text>
    </comment>
    <comment ref="B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会员日</t>
        </r>
      </text>
    </comment>
    <comment ref="B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黑五网一</t>
        </r>
      </text>
    </comment>
    <comment ref="B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圣诞季</t>
        </r>
      </text>
    </comment>
    <comment ref="B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会员日</t>
        </r>
      </text>
    </comment>
    <comment ref="B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秋季会员日</t>
        </r>
      </text>
    </comment>
    <comment ref="B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黑五网一</t>
        </r>
      </text>
    </comment>
    <comment ref="B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圣诞季</t>
        </r>
      </text>
    </comment>
    <comment ref="A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仅包含BBQ相关产品 不包括外购厨房周边等</t>
        </r>
      </text>
    </comment>
    <comment ref="C62" authorId="0">
      <text>
        <r>
          <rPr>
            <sz val="9"/>
            <rFont val="宋体"/>
            <charset val="134"/>
          </rPr>
          <t>按各个ASIN所在类目的过去1年总市场容量计算</t>
        </r>
      </text>
    </comment>
    <comment ref="F62" authorId="0">
      <text>
        <r>
          <rPr>
            <sz val="9"/>
            <rFont val="宋体"/>
            <charset val="134"/>
          </rPr>
          <t>按各个ASIN所在类目的过去1年总市场份额计算</t>
        </r>
      </text>
    </comment>
    <comment ref="A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不计算Inkbird品牌 只算TOP5品牌的类目垄断情况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2023年6月4号试产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2023年7月31号试产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2023年5.25试产</t>
        </r>
      </text>
    </comment>
    <comment ref="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  <comment ref="E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2023年5月31试产</t>
        </r>
      </text>
    </comment>
    <comment ref="E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2023年6月份试产</t>
        </r>
      </text>
    </comment>
    <comment ref="E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2023年6月8号试产</t>
        </r>
      </text>
    </comment>
    <comment ref="E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  <comment ref="E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2023年6月4号试产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2023年7月31号试产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2023年5.25试产</t>
        </r>
      </text>
    </comment>
    <comment ref="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  <comment ref="E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2023年5月31试产</t>
        </r>
      </text>
    </comment>
    <comment ref="E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2023年6月份试产</t>
        </r>
      </text>
    </comment>
    <comment ref="E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2023年6月8号试产</t>
        </r>
      </text>
    </comment>
    <comment ref="E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  <comment ref="E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A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每月占全年总销量比例</t>
        </r>
      </text>
    </comment>
    <comment ref="A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每月销售额占全年销售额比例</t>
        </r>
      </text>
    </comment>
    <comment ref="A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每月占全年总销量比例</t>
        </r>
      </text>
    </comment>
    <comment ref="A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每月销售额占全年销售额比例</t>
        </r>
      </text>
    </comment>
    <comment ref="AL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每月占全年总销量比例</t>
        </r>
      </text>
    </comment>
    <comment ref="AN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每月销售额占全年销售额比例</t>
        </r>
      </text>
    </comment>
    <comment ref="AP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每月占全年总销量比例</t>
        </r>
      </text>
    </comment>
    <comment ref="AR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每月销售额占全年销售额比例</t>
        </r>
      </text>
    </comment>
    <comment ref="AT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每月占全年总销量比例</t>
        </r>
      </text>
    </comment>
    <comment ref="AV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每月销售额占全年销售额比例</t>
        </r>
      </text>
    </comment>
    <comment ref="AX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每月占全年总销量比例</t>
        </r>
      </text>
    </comment>
    <comment ref="AZ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每月销售额占全年销售额比例</t>
        </r>
      </text>
    </comment>
    <comment ref="B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每月占全年总销量比例</t>
        </r>
      </text>
    </comment>
    <comment ref="B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每月销售额占全年销售额比例</t>
        </r>
      </text>
    </comment>
    <comment ref="B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每月占全年总销量比例</t>
        </r>
      </text>
    </comment>
    <comment ref="B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每月销售额占全年销售额比例</t>
        </r>
      </text>
    </comment>
    <comment ref="B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每月占全年总销量比例</t>
        </r>
      </text>
    </comment>
    <comment ref="BL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每月销售额占全年销售额比例</t>
        </r>
      </text>
    </comment>
    <comment ref="BN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每月占全年总销量比例</t>
        </r>
      </text>
    </comment>
    <comment ref="BP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每月销售额占全年销售额比例</t>
        </r>
      </text>
    </comment>
    <comment ref="BR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每月占全年总销量比例</t>
        </r>
      </text>
    </comment>
    <comment ref="BT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每月销售额占全年销售额比例</t>
        </r>
      </text>
    </comment>
    <comment ref="BV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每月占全年总销量比例</t>
        </r>
      </text>
    </comment>
    <comment ref="BX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每月销售额占全年销售额比例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2023年6月4号试产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2023年7月31号试产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2023年5.25试产</t>
        </r>
      </text>
    </comment>
    <comment ref="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  <comment ref="E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2023年5月31试产</t>
        </r>
      </text>
    </comment>
    <comment ref="E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2023年6月份试产</t>
        </r>
      </text>
    </comment>
    <comment ref="E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2023年6月8号试产</t>
        </r>
      </text>
    </comment>
    <comment ref="E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  <comment ref="E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2023年上半年可销售
</t>
        </r>
      </text>
    </comment>
  </commentList>
</comments>
</file>

<file path=xl/sharedStrings.xml><?xml version="1.0" encoding="utf-8"?>
<sst xmlns="http://schemas.openxmlformats.org/spreadsheetml/2006/main" count="599" uniqueCount="315">
  <si>
    <r>
      <rPr>
        <sz val="11"/>
        <color theme="0"/>
        <rFont val="宋体"/>
        <charset val="134"/>
      </rPr>
      <t>子表</t>
    </r>
  </si>
  <si>
    <r>
      <rPr>
        <sz val="11"/>
        <color theme="0"/>
        <rFont val="宋体"/>
        <charset val="134"/>
      </rPr>
      <t>表格说明</t>
    </r>
  </si>
  <si>
    <r>
      <rPr>
        <sz val="11"/>
        <color theme="0"/>
        <rFont val="宋体"/>
        <charset val="134"/>
      </rPr>
      <t>流程</t>
    </r>
  </si>
  <si>
    <r>
      <rPr>
        <sz val="11"/>
        <color theme="0"/>
        <rFont val="宋体"/>
        <charset val="134"/>
      </rPr>
      <t>截图</t>
    </r>
  </si>
  <si>
    <r>
      <rPr>
        <sz val="11"/>
        <color theme="1"/>
        <rFont val="微软雅黑"/>
        <charset val="134"/>
      </rPr>
      <t>年目标</t>
    </r>
  </si>
  <si>
    <r>
      <rPr>
        <sz val="11"/>
        <color theme="1"/>
        <rFont val="Arial"/>
        <charset val="134"/>
      </rPr>
      <t>1. 2023</t>
    </r>
    <r>
      <rPr>
        <sz val="11"/>
        <color theme="1"/>
        <rFont val="宋体"/>
        <charset val="134"/>
      </rPr>
      <t>年计划对比</t>
    </r>
    <r>
      <rPr>
        <sz val="11"/>
        <color theme="1"/>
        <rFont val="Arial"/>
        <charset val="134"/>
      </rPr>
      <t>2022</t>
    </r>
    <r>
      <rPr>
        <sz val="11"/>
        <color theme="1"/>
        <rFont val="宋体"/>
        <charset val="134"/>
      </rPr>
      <t>年实际完成的增长情况</t>
    </r>
    <r>
      <rPr>
        <sz val="11"/>
        <color theme="1"/>
        <rFont val="Arial"/>
        <charset val="134"/>
      </rPr>
      <t xml:space="preserve">
2. 2023</t>
    </r>
    <r>
      <rPr>
        <sz val="11"/>
        <color theme="1"/>
        <rFont val="宋体"/>
        <charset val="134"/>
      </rPr>
      <t>年计划完成销售额部分根据每月目标分解的每月销售额求和而来</t>
    </r>
    <r>
      <rPr>
        <sz val="11"/>
        <color theme="1"/>
        <rFont val="Arial"/>
        <charset val="134"/>
      </rPr>
      <t xml:space="preserve">
</t>
    </r>
    <r>
      <rPr>
        <sz val="11"/>
        <color rgb="FFC00000"/>
        <rFont val="Arial"/>
        <charset val="134"/>
      </rPr>
      <t xml:space="preserve">3. </t>
    </r>
    <r>
      <rPr>
        <sz val="11"/>
        <color rgb="FFC00000"/>
        <rFont val="宋体"/>
        <charset val="134"/>
      </rPr>
      <t>自己导入</t>
    </r>
    <r>
      <rPr>
        <sz val="11"/>
        <color rgb="FFC00000"/>
        <rFont val="Arial"/>
        <charset val="134"/>
      </rPr>
      <t>2022</t>
    </r>
    <r>
      <rPr>
        <sz val="11"/>
        <color rgb="FFC00000"/>
        <rFont val="宋体"/>
        <charset val="134"/>
      </rPr>
      <t>年的数据即可</t>
    </r>
    <r>
      <rPr>
        <sz val="11"/>
        <color rgb="FFC00000"/>
        <rFont val="Arial"/>
        <charset val="134"/>
      </rPr>
      <t xml:space="preserve"> </t>
    </r>
    <r>
      <rPr>
        <sz val="11"/>
        <color rgb="FFC00000"/>
        <rFont val="宋体"/>
        <charset val="134"/>
      </rPr>
      <t>其余部分均有公式</t>
    </r>
  </si>
  <si>
    <t>/</t>
  </si>
  <si>
    <r>
      <rPr>
        <sz val="11"/>
        <color theme="0"/>
        <rFont val="Arial"/>
        <charset val="134"/>
      </rPr>
      <t>2023</t>
    </r>
    <r>
      <rPr>
        <sz val="11"/>
        <color theme="0"/>
        <rFont val="宋体"/>
        <charset val="134"/>
      </rPr>
      <t>年利润预测</t>
    </r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</si>
  <si>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旧品的</t>
    </r>
    <r>
      <rPr>
        <sz val="11"/>
        <color theme="1"/>
        <rFont val="Arial"/>
        <charset val="134"/>
      </rPr>
      <t>FBA</t>
    </r>
    <r>
      <rPr>
        <sz val="11"/>
        <color theme="1"/>
        <rFont val="宋体"/>
        <charset val="134"/>
      </rPr>
      <t>操作费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退款金额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平台费用等数据都是用</t>
    </r>
    <r>
      <rPr>
        <sz val="11"/>
        <color theme="1"/>
        <rFont val="Arial"/>
        <charset val="134"/>
      </rPr>
      <t>2023</t>
    </r>
    <r>
      <rPr>
        <sz val="11"/>
        <color theme="1"/>
        <rFont val="宋体"/>
        <charset val="134"/>
      </rPr>
      <t>年的目标销售额与</t>
    </r>
    <r>
      <rPr>
        <sz val="11"/>
        <color theme="1"/>
        <rFont val="Arial"/>
        <charset val="134"/>
      </rPr>
      <t>2022</t>
    </r>
    <r>
      <rPr>
        <sz val="11"/>
        <color theme="1"/>
        <rFont val="宋体"/>
        <charset val="134"/>
      </rPr>
      <t>年各个指标的比率相乘得来的预估数据</t>
    </r>
    <r>
      <rPr>
        <sz val="11"/>
        <color theme="1"/>
        <rFont val="Arial"/>
        <charset val="134"/>
      </rPr>
      <t xml:space="preserve">
2. </t>
    </r>
    <r>
      <rPr>
        <sz val="11"/>
        <color theme="1"/>
        <rFont val="宋体"/>
        <charset val="134"/>
      </rPr>
      <t>广告花费部分则是根据船长</t>
    </r>
    <r>
      <rPr>
        <sz val="11"/>
        <color theme="1"/>
        <rFont val="Arial"/>
        <charset val="134"/>
      </rPr>
      <t>2022</t>
    </r>
    <r>
      <rPr>
        <sz val="11"/>
        <color theme="1"/>
        <rFont val="宋体"/>
        <charset val="134"/>
      </rPr>
      <t>年的</t>
    </r>
    <r>
      <rPr>
        <sz val="11"/>
        <color theme="1"/>
        <rFont val="Arial"/>
        <charset val="134"/>
      </rPr>
      <t>CPC</t>
    </r>
    <r>
      <rPr>
        <sz val="11"/>
        <color theme="1"/>
        <rFont val="宋体"/>
        <charset val="134"/>
      </rPr>
      <t>及转化率和预估的广告订单占比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得出的数据，</t>
    </r>
    <r>
      <rPr>
        <sz val="11"/>
        <color theme="1"/>
        <rFont val="Arial"/>
        <charset val="134"/>
      </rPr>
      <t xml:space="preserve"> </t>
    </r>
    <r>
      <rPr>
        <sz val="11"/>
        <color rgb="FFC00000"/>
        <rFont val="宋体"/>
        <charset val="134"/>
      </rPr>
      <t>对于部分旧品可能存在</t>
    </r>
    <r>
      <rPr>
        <sz val="11"/>
        <color rgb="FFC00000"/>
        <rFont val="Arial"/>
        <charset val="134"/>
      </rPr>
      <t>2022</t>
    </r>
    <r>
      <rPr>
        <sz val="11"/>
        <color rgb="FFC00000"/>
        <rFont val="宋体"/>
        <charset val="134"/>
      </rPr>
      <t>年头程成本或者广告成本</t>
    </r>
    <r>
      <rPr>
        <sz val="11"/>
        <color rgb="FFC00000"/>
        <rFont val="Arial"/>
        <charset val="134"/>
      </rPr>
      <t xml:space="preserve"> </t>
    </r>
    <r>
      <rPr>
        <sz val="11"/>
        <color rgb="FFC00000"/>
        <rFont val="宋体"/>
        <charset val="134"/>
      </rPr>
      <t>促销成本较高的情况</t>
    </r>
    <r>
      <rPr>
        <sz val="11"/>
        <color rgb="FFC00000"/>
        <rFont val="Arial"/>
        <charset val="134"/>
      </rPr>
      <t xml:space="preserve"> </t>
    </r>
    <r>
      <rPr>
        <sz val="11"/>
        <color rgb="FFC00000"/>
        <rFont val="宋体"/>
        <charset val="134"/>
      </rPr>
      <t>可以根据产品当前的一个实际情况给予一个系数</t>
    </r>
  </si>
  <si>
    <t>市占率目标</t>
  </si>
  <si>
    <t>1. 表格包括对2023年整体的市场预估以及xxx的目标市占率
2. 整体的市场预估根据过去4年的市场容量复合增长情况得出
3. 表格无需任何预处理操作 直接有公式获取子表 - 市场概况里的数据</t>
  </si>
  <si>
    <t>单品目标年销量</t>
  </si>
  <si>
    <t>1. 旧品部分是根据xxx过去两年（2021-2022年)的销售数据得出的复合增长情况 作为2023年的销量目标增长，其中可能有部分新品是有出现暴增的情况 这种情况下 在销量目标占比那里除以一个系数即可
2. 新品规划部分批注上写了试产时间 各自按照站点情况 填写全年的目标销量
3. 其余系列部分均嵌入公式 除了第一点提到的情况 其余无需改动</t>
  </si>
  <si>
    <t>每月目标分解</t>
  </si>
  <si>
    <r>
      <rPr>
        <sz val="11"/>
        <rFont val="Arial"/>
        <charset val="134"/>
      </rPr>
      <t xml:space="preserve">1. </t>
    </r>
    <r>
      <rPr>
        <sz val="11"/>
        <rFont val="宋体"/>
        <charset val="134"/>
      </rPr>
      <t>表格自动获取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子表</t>
    </r>
    <r>
      <rPr>
        <sz val="11"/>
        <rFont val="Arial"/>
        <charset val="134"/>
      </rPr>
      <t xml:space="preserve"> - </t>
    </r>
    <r>
      <rPr>
        <sz val="11"/>
        <rFont val="宋体"/>
        <charset val="134"/>
      </rPr>
      <t>单品目标年销量里的年销售额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根据子表</t>
    </r>
    <r>
      <rPr>
        <sz val="11"/>
        <rFont val="Arial"/>
        <charset val="134"/>
      </rPr>
      <t xml:space="preserve"> - 2022</t>
    </r>
    <r>
      <rPr>
        <sz val="11"/>
        <rFont val="宋体"/>
        <charset val="134"/>
      </rPr>
      <t>年销售情况里每个月份占全年销售额的比例计算出每月的销售额</t>
    </r>
    <r>
      <rPr>
        <sz val="11"/>
        <rFont val="Arial"/>
        <charset val="134"/>
      </rPr>
      <t xml:space="preserve">
2. </t>
    </r>
    <r>
      <rPr>
        <sz val="11"/>
        <rFont val="宋体"/>
        <charset val="134"/>
      </rPr>
      <t>对于部分新品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由于试产时间不一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有些上半年就可以卖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有些年中才试产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下半年销售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因此根据</t>
    </r>
    <r>
      <rPr>
        <sz val="11"/>
        <rFont val="Arial"/>
        <charset val="134"/>
      </rPr>
      <t>2022</t>
    </r>
    <r>
      <rPr>
        <sz val="11"/>
        <rFont val="宋体"/>
        <charset val="134"/>
      </rPr>
      <t>年的每月销售额占比计算会有缺失</t>
    </r>
    <r>
      <rPr>
        <sz val="11"/>
        <rFont val="Arial"/>
        <charset val="134"/>
      </rPr>
      <t xml:space="preserve"> </t>
    </r>
    <r>
      <rPr>
        <sz val="11"/>
        <color rgb="FFC00000"/>
        <rFont val="宋体"/>
        <charset val="134"/>
      </rPr>
      <t>因此均在</t>
    </r>
    <r>
      <rPr>
        <sz val="11"/>
        <color rgb="FFC00000"/>
        <rFont val="Arial"/>
        <charset val="134"/>
      </rPr>
      <t>11-12</t>
    </r>
    <r>
      <rPr>
        <sz val="11"/>
        <color rgb="FFC00000"/>
        <rFont val="宋体"/>
        <charset val="134"/>
      </rPr>
      <t>月份给出了一个增长系数</t>
    </r>
    <r>
      <rPr>
        <sz val="11"/>
        <color rgb="FFC00000"/>
        <rFont val="Arial"/>
        <charset val="134"/>
      </rPr>
      <t>(</t>
    </r>
    <r>
      <rPr>
        <sz val="11"/>
        <color rgb="FFC00000"/>
        <rFont val="宋体"/>
        <charset val="134"/>
      </rPr>
      <t>主要是销售额占比的增长系数</t>
    </r>
    <r>
      <rPr>
        <sz val="11"/>
        <color rgb="FFC00000"/>
        <rFont val="Arial"/>
        <charset val="134"/>
      </rPr>
      <t>)</t>
    </r>
  </si>
  <si>
    <t>市场概况</t>
  </si>
  <si>
    <t>1. 表格包括了xxx自身总的及部分细分ASIN的销量及市占率走势 市场容量及市场份额的趋势 以及过去4年的市场容量复合增长和过去2年的市场份额复合增长情况
2. 其中有几个部分 需要手动改动 
     1）xxx主要ASIN销售情况(2022年) 这一部分需要修改自己ASIN所在类目市场容量及市场份额这部分的数据来源
     2）各类目TOP5品牌集中度(近30天)这一部分也需要修改自己ASIN所在类目市场容量及市场份额这部分的数据来源
3. 过去四年市场销量复合增长情况这部分 需要通过sorftime插件获取2019年-2020年的销量数据 因为卖家精灵只能获取20年12月份到22年12月份的数据</t>
  </si>
  <si>
    <r>
      <rPr>
        <sz val="11"/>
        <color theme="1"/>
        <rFont val="Arial"/>
        <charset val="134"/>
      </rPr>
      <t>2022</t>
    </r>
    <r>
      <rPr>
        <sz val="11"/>
        <color theme="1"/>
        <rFont val="宋体"/>
        <charset val="134"/>
      </rPr>
      <t>年销售情况</t>
    </r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</si>
  <si>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内嵌公式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无需任何改动</t>
    </r>
    <r>
      <rPr>
        <sz val="11"/>
        <color theme="1"/>
        <rFont val="Arial"/>
        <charset val="134"/>
      </rPr>
      <t xml:space="preserve">
2. </t>
    </r>
    <r>
      <rPr>
        <sz val="11"/>
        <color theme="1"/>
        <rFont val="宋体"/>
        <charset val="134"/>
      </rPr>
      <t>各站点可能有些</t>
    </r>
    <r>
      <rPr>
        <sz val="11"/>
        <color theme="1"/>
        <rFont val="Arial"/>
        <charset val="134"/>
      </rPr>
      <t>ASIN</t>
    </r>
    <r>
      <rPr>
        <sz val="11"/>
        <color theme="1"/>
        <rFont val="宋体"/>
        <charset val="134"/>
      </rPr>
      <t>是独立的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加入进去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下拉公式即可</t>
    </r>
  </si>
  <si>
    <t>单品每月销售额占比</t>
  </si>
  <si>
    <r>
      <rPr>
        <sz val="11"/>
        <color theme="1"/>
        <rFont val="宋体"/>
        <charset val="134"/>
      </rPr>
      <t>船长每月数据</t>
    </r>
    <r>
      <rPr>
        <sz val="11"/>
        <color theme="1"/>
        <rFont val="Arial"/>
        <charset val="134"/>
      </rPr>
      <t>(2021</t>
    </r>
    <r>
      <rPr>
        <sz val="11"/>
        <color theme="1"/>
        <rFont val="宋体"/>
        <charset val="134"/>
      </rPr>
      <t>年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</si>
  <si>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数据获取路径</t>
    </r>
    <r>
      <rPr>
        <sz val="11"/>
        <color theme="1"/>
        <rFont val="Arial"/>
        <charset val="134"/>
      </rPr>
      <t xml:space="preserve">: </t>
    </r>
    <r>
      <rPr>
        <sz val="11"/>
        <color theme="1"/>
        <rFont val="宋体"/>
        <charset val="134"/>
      </rPr>
      <t>数据方舟</t>
    </r>
    <r>
      <rPr>
        <sz val="11"/>
        <color theme="1"/>
        <rFont val="Arial"/>
        <charset val="134"/>
      </rPr>
      <t xml:space="preserve"> - </t>
    </r>
    <r>
      <rPr>
        <sz val="11"/>
        <color theme="1"/>
        <rFont val="宋体"/>
        <charset val="134"/>
      </rPr>
      <t>月度分析报表</t>
    </r>
    <r>
      <rPr>
        <sz val="11"/>
        <color theme="1"/>
        <rFont val="Arial"/>
        <charset val="134"/>
      </rPr>
      <t xml:space="preserve"> - </t>
    </r>
    <r>
      <rPr>
        <sz val="11"/>
        <color theme="1"/>
        <rFont val="宋体"/>
        <charset val="134"/>
      </rPr>
      <t>筛选</t>
    </r>
    <r>
      <rPr>
        <sz val="11"/>
        <color theme="1"/>
        <rFont val="Arial"/>
        <charset val="134"/>
      </rPr>
      <t>2021</t>
    </r>
    <r>
      <rPr>
        <sz val="11"/>
        <color theme="1"/>
        <rFont val="宋体"/>
        <charset val="134"/>
      </rPr>
      <t>年的数据</t>
    </r>
  </si>
  <si>
    <r>
      <rPr>
        <sz val="11"/>
        <color theme="1"/>
        <rFont val="宋体"/>
        <charset val="134"/>
      </rPr>
      <t>船长每月数据</t>
    </r>
    <r>
      <rPr>
        <sz val="11"/>
        <color theme="1"/>
        <rFont val="Arial"/>
        <charset val="134"/>
      </rPr>
      <t>(2022</t>
    </r>
    <r>
      <rPr>
        <sz val="11"/>
        <color theme="1"/>
        <rFont val="宋体"/>
        <charset val="134"/>
      </rPr>
      <t>年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</si>
  <si>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数据获取路径</t>
    </r>
    <r>
      <rPr>
        <sz val="11"/>
        <color theme="1"/>
        <rFont val="Arial"/>
        <charset val="134"/>
      </rPr>
      <t xml:space="preserve">: </t>
    </r>
    <r>
      <rPr>
        <sz val="11"/>
        <color theme="1"/>
        <rFont val="宋体"/>
        <charset val="134"/>
      </rPr>
      <t>数据方舟</t>
    </r>
    <r>
      <rPr>
        <sz val="11"/>
        <color theme="1"/>
        <rFont val="Arial"/>
        <charset val="134"/>
      </rPr>
      <t xml:space="preserve"> - </t>
    </r>
    <r>
      <rPr>
        <sz val="11"/>
        <color theme="1"/>
        <rFont val="宋体"/>
        <charset val="134"/>
      </rPr>
      <t>月度分析报表</t>
    </r>
    <r>
      <rPr>
        <sz val="11"/>
        <color theme="1"/>
        <rFont val="Arial"/>
        <charset val="134"/>
      </rPr>
      <t xml:space="preserve"> - </t>
    </r>
    <r>
      <rPr>
        <sz val="11"/>
        <color theme="1"/>
        <rFont val="宋体"/>
        <charset val="134"/>
      </rPr>
      <t>筛选</t>
    </r>
    <r>
      <rPr>
        <sz val="11"/>
        <color theme="1"/>
        <rFont val="Arial"/>
        <charset val="134"/>
      </rPr>
      <t>2022</t>
    </r>
    <r>
      <rPr>
        <sz val="11"/>
        <color theme="1"/>
        <rFont val="宋体"/>
        <charset val="134"/>
      </rPr>
      <t>年的数据</t>
    </r>
  </si>
  <si>
    <t>每月市场趋势</t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</si>
  <si>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数据下载路径</t>
    </r>
    <r>
      <rPr>
        <sz val="11"/>
        <color theme="1"/>
        <rFont val="Arial"/>
        <charset val="134"/>
      </rPr>
      <t xml:space="preserve">: </t>
    </r>
    <r>
      <rPr>
        <sz val="11"/>
        <color rgb="FFC00000"/>
        <rFont val="宋体"/>
        <charset val="134"/>
      </rPr>
      <t>卖家精灵</t>
    </r>
    <r>
      <rPr>
        <sz val="11"/>
        <color rgb="FFC00000"/>
        <rFont val="Arial"/>
        <charset val="134"/>
      </rPr>
      <t xml:space="preserve"> - </t>
    </r>
    <r>
      <rPr>
        <sz val="11"/>
        <color rgb="FFC00000"/>
        <rFont val="宋体"/>
        <charset val="134"/>
      </rPr>
      <t>选市场</t>
    </r>
    <r>
      <rPr>
        <sz val="11"/>
        <color rgb="FFC00000"/>
        <rFont val="Arial"/>
        <charset val="134"/>
      </rPr>
      <t xml:space="preserve"> - </t>
    </r>
    <r>
      <rPr>
        <sz val="11"/>
        <color rgb="FFC00000"/>
        <rFont val="宋体"/>
        <charset val="134"/>
      </rPr>
      <t>选择类目</t>
    </r>
    <r>
      <rPr>
        <sz val="11"/>
        <color rgb="FFC00000"/>
        <rFont val="Arial"/>
        <charset val="134"/>
      </rPr>
      <t xml:space="preserve"> - </t>
    </r>
    <r>
      <rPr>
        <sz val="11"/>
        <color rgb="FFC00000"/>
        <rFont val="宋体"/>
        <charset val="134"/>
      </rPr>
      <t>筛选市场</t>
    </r>
    <r>
      <rPr>
        <sz val="11"/>
        <color rgb="FFC00000"/>
        <rFont val="Arial"/>
        <charset val="134"/>
      </rPr>
      <t xml:space="preserve"> - </t>
    </r>
    <r>
      <rPr>
        <sz val="11"/>
        <color rgb="FFC00000"/>
        <rFont val="宋体"/>
        <charset val="134"/>
      </rPr>
      <t>下载市场分析报告为</t>
    </r>
    <r>
      <rPr>
        <sz val="11"/>
        <color rgb="FFC00000"/>
        <rFont val="Arial"/>
        <charset val="134"/>
      </rPr>
      <t>Excel</t>
    </r>
    <r>
      <rPr>
        <sz val="11"/>
        <color rgb="FFC00000"/>
        <rFont val="宋体"/>
        <charset val="134"/>
      </rPr>
      <t>格式</t>
    </r>
    <r>
      <rPr>
        <sz val="11"/>
        <color theme="1"/>
        <rFont val="Arial"/>
        <charset val="134"/>
      </rPr>
      <t xml:space="preserve">
2. </t>
    </r>
    <r>
      <rPr>
        <sz val="11"/>
        <color theme="1"/>
        <rFont val="宋体"/>
        <charset val="134"/>
      </rPr>
      <t>文件下载下来后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复制</t>
    </r>
    <r>
      <rPr>
        <sz val="11"/>
        <color theme="1"/>
        <rFont val="Arial"/>
        <charset val="134"/>
      </rPr>
      <t xml:space="preserve"> </t>
    </r>
    <r>
      <rPr>
        <sz val="11"/>
        <color rgb="FFC00000"/>
        <rFont val="宋体"/>
        <charset val="134"/>
      </rPr>
      <t>行业销售趋势</t>
    </r>
    <r>
      <rPr>
        <sz val="11"/>
        <color theme="1"/>
        <rFont val="宋体"/>
        <charset val="134"/>
      </rPr>
      <t>的数据即可</t>
    </r>
  </si>
  <si>
    <t>类目品牌市占率</t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</si>
  <si>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数据下载路径</t>
    </r>
    <r>
      <rPr>
        <sz val="11"/>
        <color theme="1"/>
        <rFont val="Arial"/>
        <charset val="134"/>
      </rPr>
      <t xml:space="preserve">: </t>
    </r>
    <r>
      <rPr>
        <sz val="11"/>
        <color rgb="FFC00000"/>
        <rFont val="宋体"/>
        <charset val="134"/>
      </rPr>
      <t>卖家精灵</t>
    </r>
    <r>
      <rPr>
        <sz val="11"/>
        <color rgb="FFC00000"/>
        <rFont val="Arial"/>
        <charset val="134"/>
      </rPr>
      <t xml:space="preserve"> - </t>
    </r>
    <r>
      <rPr>
        <sz val="11"/>
        <color rgb="FFC00000"/>
        <rFont val="宋体"/>
        <charset val="134"/>
      </rPr>
      <t>选市场</t>
    </r>
    <r>
      <rPr>
        <sz val="11"/>
        <color rgb="FFC00000"/>
        <rFont val="Arial"/>
        <charset val="134"/>
      </rPr>
      <t xml:space="preserve"> - </t>
    </r>
    <r>
      <rPr>
        <sz val="11"/>
        <color rgb="FFC00000"/>
        <rFont val="宋体"/>
        <charset val="134"/>
      </rPr>
      <t>选择类目</t>
    </r>
    <r>
      <rPr>
        <sz val="11"/>
        <color rgb="FFC00000"/>
        <rFont val="Arial"/>
        <charset val="134"/>
      </rPr>
      <t xml:space="preserve"> - </t>
    </r>
    <r>
      <rPr>
        <sz val="11"/>
        <color rgb="FFC00000"/>
        <rFont val="宋体"/>
        <charset val="134"/>
      </rPr>
      <t>筛选市场</t>
    </r>
    <r>
      <rPr>
        <sz val="11"/>
        <color rgb="FFC00000"/>
        <rFont val="Arial"/>
        <charset val="134"/>
      </rPr>
      <t xml:space="preserve"> - </t>
    </r>
    <r>
      <rPr>
        <sz val="11"/>
        <color rgb="FFC00000"/>
        <rFont val="宋体"/>
        <charset val="134"/>
      </rPr>
      <t>下载市场分析报告为</t>
    </r>
    <r>
      <rPr>
        <sz val="11"/>
        <color rgb="FFC00000"/>
        <rFont val="Arial"/>
        <charset val="134"/>
      </rPr>
      <t>Excel</t>
    </r>
    <r>
      <rPr>
        <sz val="11"/>
        <color rgb="FFC00000"/>
        <rFont val="宋体"/>
        <charset val="134"/>
      </rPr>
      <t>格式</t>
    </r>
    <r>
      <rPr>
        <sz val="11"/>
        <color theme="1"/>
        <rFont val="Arial"/>
        <charset val="134"/>
      </rPr>
      <t xml:space="preserve">
2. </t>
    </r>
    <r>
      <rPr>
        <sz val="11"/>
        <color theme="1"/>
        <rFont val="宋体"/>
        <charset val="134"/>
      </rPr>
      <t>文件下载下来后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复制</t>
    </r>
    <r>
      <rPr>
        <sz val="11"/>
        <color theme="1"/>
        <rFont val="Arial"/>
        <charset val="134"/>
      </rPr>
      <t xml:space="preserve"> </t>
    </r>
    <r>
      <rPr>
        <sz val="11"/>
        <color rgb="FFC00000"/>
        <rFont val="宋体"/>
        <charset val="134"/>
      </rPr>
      <t>品牌集中度</t>
    </r>
    <r>
      <rPr>
        <sz val="11"/>
        <color theme="1"/>
        <rFont val="宋体"/>
        <charset val="134"/>
      </rPr>
      <t>的数据即可</t>
    </r>
  </si>
  <si>
    <r>
      <rPr>
        <sz val="11"/>
        <color theme="0"/>
        <rFont val="Arial"/>
        <charset val="134"/>
      </rPr>
      <t>2021&amp;2022</t>
    </r>
    <r>
      <rPr>
        <sz val="11"/>
        <color theme="0"/>
        <rFont val="宋体"/>
        <charset val="134"/>
      </rPr>
      <t>营销成本概况</t>
    </r>
  </si>
  <si>
    <r>
      <rPr>
        <sz val="11"/>
        <color theme="1"/>
        <rFont val="宋体"/>
        <charset val="134"/>
      </rPr>
      <t>拉取</t>
    </r>
    <r>
      <rPr>
        <sz val="11"/>
        <color theme="1"/>
        <rFont val="Arial"/>
        <charset val="134"/>
      </rPr>
      <t>2021</t>
    </r>
    <r>
      <rPr>
        <sz val="11"/>
        <color theme="1"/>
        <rFont val="宋体"/>
        <charset val="134"/>
      </rPr>
      <t>年及</t>
    </r>
    <r>
      <rPr>
        <sz val="11"/>
        <color theme="1"/>
        <rFont val="Arial"/>
        <charset val="134"/>
      </rPr>
      <t>2022</t>
    </r>
    <r>
      <rPr>
        <sz val="11"/>
        <color theme="1"/>
        <rFont val="宋体"/>
        <charset val="134"/>
      </rPr>
      <t>年船长的数据得出的营销成本概况</t>
    </r>
  </si>
  <si>
    <r>
      <rPr>
        <sz val="11"/>
        <color theme="0"/>
        <rFont val="Arial"/>
        <charset val="134"/>
      </rPr>
      <t>2022</t>
    </r>
    <r>
      <rPr>
        <sz val="11"/>
        <color theme="0"/>
        <rFont val="宋体"/>
        <charset val="134"/>
      </rPr>
      <t>年全年财务报表</t>
    </r>
  </si>
  <si>
    <t>在全年的财务报表里做数据预处理 行一列只保留渠道SKU 然后复制过来即可</t>
  </si>
  <si>
    <r>
      <rPr>
        <b/>
        <sz val="24"/>
        <color theme="0"/>
        <rFont val="Arial"/>
        <charset val="134"/>
      </rPr>
      <t>2023</t>
    </r>
    <r>
      <rPr>
        <b/>
        <sz val="24"/>
        <color theme="0"/>
        <rFont val="宋体"/>
        <charset val="134"/>
      </rPr>
      <t>年度目标计划</t>
    </r>
  </si>
  <si>
    <t>各系列产品销量及销售额明细(年度)</t>
  </si>
  <si>
    <t>月份</t>
  </si>
  <si>
    <r>
      <rPr>
        <sz val="11"/>
        <color theme="0"/>
        <rFont val="Arial"/>
        <charset val="134"/>
      </rPr>
      <t>2022</t>
    </r>
    <r>
      <rPr>
        <sz val="11"/>
        <color theme="0"/>
        <rFont val="宋体"/>
        <charset val="134"/>
      </rPr>
      <t>年计划完成</t>
    </r>
  </si>
  <si>
    <r>
      <rPr>
        <sz val="11"/>
        <color theme="0"/>
        <rFont val="Arial"/>
        <charset val="134"/>
      </rPr>
      <t>2022</t>
    </r>
    <r>
      <rPr>
        <sz val="11"/>
        <color theme="0"/>
        <rFont val="宋体"/>
        <charset val="134"/>
      </rPr>
      <t>年实际完成</t>
    </r>
  </si>
  <si>
    <r>
      <rPr>
        <sz val="11"/>
        <color theme="0"/>
        <rFont val="Arial"/>
        <charset val="134"/>
      </rPr>
      <t>2022</t>
    </r>
    <r>
      <rPr>
        <sz val="11"/>
        <color theme="0"/>
        <rFont val="宋体"/>
        <charset val="134"/>
      </rPr>
      <t>年实际完成率</t>
    </r>
  </si>
  <si>
    <r>
      <rPr>
        <sz val="11"/>
        <color theme="0"/>
        <rFont val="Arial"/>
        <charset val="134"/>
      </rPr>
      <t>2023</t>
    </r>
    <r>
      <rPr>
        <sz val="11"/>
        <color theme="0"/>
        <rFont val="宋体"/>
        <charset val="134"/>
      </rPr>
      <t>年计划完成</t>
    </r>
  </si>
  <si>
    <t>同比增长率</t>
  </si>
  <si>
    <t>大类</t>
  </si>
  <si>
    <t>系列</t>
  </si>
  <si>
    <t>2022年销量</t>
  </si>
  <si>
    <t>2022年销售额</t>
  </si>
  <si>
    <t>2023年计划销量</t>
  </si>
  <si>
    <t>2023年计划销售额</t>
  </si>
  <si>
    <t>销量同比</t>
  </si>
  <si>
    <t>销售额同比</t>
  </si>
  <si>
    <t>总计</t>
  </si>
  <si>
    <r>
      <rPr>
        <sz val="11"/>
        <color theme="0"/>
        <rFont val="宋体"/>
        <charset val="134"/>
      </rPr>
      <t>币种</t>
    </r>
  </si>
  <si>
    <t>汇率</t>
  </si>
  <si>
    <t>EUR</t>
  </si>
  <si>
    <t>GBP</t>
  </si>
  <si>
    <t>CNY</t>
  </si>
  <si>
    <t>SEK</t>
  </si>
  <si>
    <r>
      <rPr>
        <sz val="11"/>
        <color theme="0"/>
        <rFont val="宋体"/>
        <charset val="134"/>
      </rPr>
      <t>产品大类</t>
    </r>
  </si>
  <si>
    <r>
      <rPr>
        <sz val="11"/>
        <color theme="0"/>
        <rFont val="微软雅黑"/>
        <charset val="134"/>
      </rPr>
      <t>产品系列</t>
    </r>
  </si>
  <si>
    <r>
      <rPr>
        <sz val="11"/>
        <color theme="0"/>
        <rFont val="宋体"/>
        <charset val="134"/>
      </rPr>
      <t>产品</t>
    </r>
    <r>
      <rPr>
        <sz val="11"/>
        <color theme="0"/>
        <rFont val="Arial"/>
        <charset val="134"/>
      </rPr>
      <t>SKU</t>
    </r>
  </si>
  <si>
    <r>
      <rPr>
        <sz val="11"/>
        <color theme="0"/>
        <rFont val="微软雅黑"/>
        <charset val="134"/>
      </rPr>
      <t>产品</t>
    </r>
    <r>
      <rPr>
        <sz val="11"/>
        <color theme="0"/>
        <rFont val="Arial"/>
        <charset val="134"/>
      </rPr>
      <t>ASIN</t>
    </r>
  </si>
  <si>
    <r>
      <rPr>
        <sz val="11"/>
        <color theme="0"/>
        <rFont val="微软雅黑"/>
        <charset val="134"/>
      </rPr>
      <t>型号系列</t>
    </r>
  </si>
  <si>
    <r>
      <rPr>
        <sz val="11"/>
        <color theme="0"/>
        <rFont val="微软雅黑"/>
        <charset val="134"/>
      </rPr>
      <t>产品中文名</t>
    </r>
  </si>
  <si>
    <r>
      <rPr>
        <b/>
        <sz val="18"/>
        <color theme="0"/>
        <rFont val="Arial"/>
        <charset val="134"/>
      </rPr>
      <t>2023</t>
    </r>
    <r>
      <rPr>
        <b/>
        <sz val="18"/>
        <color theme="0"/>
        <rFont val="宋体"/>
        <charset val="134"/>
      </rPr>
      <t>年利润预测</t>
    </r>
  </si>
  <si>
    <r>
      <rPr>
        <sz val="11"/>
        <color theme="0"/>
        <rFont val="宋体"/>
        <charset val="134"/>
      </rPr>
      <t>预估销售额</t>
    </r>
  </si>
  <si>
    <r>
      <rPr>
        <sz val="11"/>
        <color theme="0"/>
        <rFont val="宋体"/>
        <charset val="134"/>
      </rPr>
      <t>预估销量</t>
    </r>
  </si>
  <si>
    <t>预估广告订单量</t>
  </si>
  <si>
    <r>
      <rPr>
        <sz val="11"/>
        <color theme="0"/>
        <rFont val="宋体"/>
        <charset val="134"/>
      </rPr>
      <t>退款金额</t>
    </r>
  </si>
  <si>
    <r>
      <rPr>
        <sz val="11"/>
        <color theme="0"/>
        <rFont val="Arial"/>
        <charset val="134"/>
      </rPr>
      <t>FBA</t>
    </r>
    <r>
      <rPr>
        <sz val="11"/>
        <color theme="0"/>
        <rFont val="宋体"/>
        <charset val="134"/>
      </rPr>
      <t>操作费</t>
    </r>
  </si>
  <si>
    <r>
      <rPr>
        <sz val="11"/>
        <color theme="0"/>
        <rFont val="宋体"/>
        <charset val="134"/>
      </rPr>
      <t>平台费用</t>
    </r>
  </si>
  <si>
    <r>
      <rPr>
        <sz val="11"/>
        <color theme="0"/>
        <rFont val="宋体"/>
        <charset val="134"/>
      </rPr>
      <t>头程费用</t>
    </r>
  </si>
  <si>
    <r>
      <rPr>
        <sz val="11"/>
        <color theme="0"/>
        <rFont val="宋体"/>
        <charset val="134"/>
      </rPr>
      <t>产品成本</t>
    </r>
  </si>
  <si>
    <r>
      <rPr>
        <sz val="11"/>
        <color theme="0"/>
        <rFont val="宋体"/>
        <charset val="134"/>
      </rPr>
      <t>税金</t>
    </r>
  </si>
  <si>
    <r>
      <rPr>
        <sz val="11"/>
        <color theme="0"/>
        <rFont val="宋体"/>
        <charset val="134"/>
      </rPr>
      <t>预估广告花费</t>
    </r>
  </si>
  <si>
    <r>
      <rPr>
        <sz val="11"/>
        <color theme="0"/>
        <rFont val="宋体"/>
        <charset val="134"/>
      </rPr>
      <t>广告花费占比</t>
    </r>
  </si>
  <si>
    <r>
      <rPr>
        <sz val="11"/>
        <color theme="0"/>
        <rFont val="宋体"/>
        <charset val="134"/>
      </rPr>
      <t>预估</t>
    </r>
    <r>
      <rPr>
        <sz val="11"/>
        <color theme="0"/>
        <rFont val="Arial"/>
        <charset val="134"/>
      </rPr>
      <t>CPC</t>
    </r>
  </si>
  <si>
    <r>
      <rPr>
        <sz val="11"/>
        <color theme="0"/>
        <rFont val="宋体"/>
        <charset val="134"/>
      </rPr>
      <t>预估</t>
    </r>
    <r>
      <rPr>
        <sz val="11"/>
        <color theme="0"/>
        <rFont val="Arial"/>
        <charset val="134"/>
      </rPr>
      <t>CPA</t>
    </r>
  </si>
  <si>
    <r>
      <rPr>
        <sz val="11"/>
        <color theme="0"/>
        <rFont val="宋体"/>
        <charset val="134"/>
      </rPr>
      <t>预估</t>
    </r>
    <r>
      <rPr>
        <sz val="11"/>
        <color theme="0"/>
        <rFont val="Arial"/>
        <charset val="134"/>
      </rPr>
      <t>TCPA</t>
    </r>
  </si>
  <si>
    <r>
      <rPr>
        <sz val="11"/>
        <color theme="0"/>
        <rFont val="宋体"/>
        <charset val="134"/>
      </rPr>
      <t>预估促销花费</t>
    </r>
  </si>
  <si>
    <r>
      <rPr>
        <sz val="11"/>
        <color theme="0"/>
        <rFont val="宋体"/>
        <charset val="134"/>
      </rPr>
      <t>促销花费占比</t>
    </r>
  </si>
  <si>
    <r>
      <rPr>
        <sz val="11"/>
        <color theme="0"/>
        <rFont val="宋体"/>
        <charset val="134"/>
      </rPr>
      <t>预估转化率</t>
    </r>
  </si>
  <si>
    <r>
      <rPr>
        <sz val="11"/>
        <color theme="1"/>
        <rFont val="宋体"/>
        <charset val="134"/>
      </rPr>
      <t>预估利润</t>
    </r>
  </si>
  <si>
    <r>
      <rPr>
        <sz val="11"/>
        <color theme="1"/>
        <rFont val="宋体"/>
        <charset val="134"/>
      </rPr>
      <t>预估利润率</t>
    </r>
  </si>
  <si>
    <r>
      <rPr>
        <sz val="11"/>
        <color theme="1"/>
        <rFont val="宋体"/>
        <charset val="134"/>
      </rPr>
      <t>总计</t>
    </r>
  </si>
  <si>
    <r>
      <rPr>
        <sz val="16"/>
        <color theme="0"/>
        <rFont val="微软雅黑"/>
        <charset val="134"/>
      </rPr>
      <t>本品牌市场概况</t>
    </r>
    <r>
      <rPr>
        <sz val="16"/>
        <color theme="0"/>
        <rFont val="Arial"/>
        <charset val="134"/>
      </rPr>
      <t>(2021-2022)</t>
    </r>
  </si>
  <si>
    <r>
      <rPr>
        <sz val="11"/>
        <color theme="0"/>
        <rFont val="宋体"/>
        <charset val="134"/>
      </rPr>
      <t>年份</t>
    </r>
  </si>
  <si>
    <r>
      <rPr>
        <sz val="11"/>
        <color theme="0"/>
        <rFont val="宋体"/>
        <charset val="134"/>
      </rPr>
      <t>品类</t>
    </r>
  </si>
  <si>
    <r>
      <rPr>
        <sz val="11"/>
        <color theme="0"/>
        <rFont val="宋体"/>
        <charset val="134"/>
      </rPr>
      <t>市场容量</t>
    </r>
  </si>
  <si>
    <t>市场容量同比</t>
  </si>
  <si>
    <t>xxx销量</t>
  </si>
  <si>
    <t>xxx市占率</t>
  </si>
  <si>
    <r>
      <rPr>
        <sz val="11"/>
        <color theme="0"/>
        <rFont val="宋体"/>
        <charset val="134"/>
      </rPr>
      <t>市占率同比</t>
    </r>
  </si>
  <si>
    <r>
      <rPr>
        <sz val="11"/>
        <color theme="0"/>
        <rFont val="宋体"/>
        <charset val="134"/>
      </rPr>
      <t>市场份额</t>
    </r>
  </si>
  <si>
    <t>市场份额同比</t>
  </si>
  <si>
    <t>xxx销售额</t>
  </si>
  <si>
    <t>xxx市场份额占比</t>
  </si>
  <si>
    <r>
      <rPr>
        <sz val="11"/>
        <color theme="0"/>
        <rFont val="宋体"/>
        <charset val="134"/>
      </rPr>
      <t>市场份额同比</t>
    </r>
  </si>
  <si>
    <r>
      <rPr>
        <sz val="11"/>
        <color theme="1"/>
        <rFont val="Arial"/>
        <charset val="134"/>
      </rPr>
      <t>2021</t>
    </r>
    <r>
      <rPr>
        <sz val="11"/>
        <color theme="1"/>
        <rFont val="宋体"/>
        <charset val="134"/>
      </rPr>
      <t>年</t>
    </r>
  </si>
  <si>
    <r>
      <rPr>
        <sz val="11"/>
        <color theme="1"/>
        <rFont val="Arial"/>
        <charset val="134"/>
      </rPr>
      <t>2022</t>
    </r>
    <r>
      <rPr>
        <sz val="11"/>
        <color theme="1"/>
        <rFont val="宋体"/>
        <charset val="134"/>
      </rPr>
      <t>年</t>
    </r>
  </si>
  <si>
    <r>
      <rPr>
        <sz val="16"/>
        <color theme="0"/>
        <rFont val="微软雅黑"/>
        <charset val="134"/>
      </rPr>
      <t>每月市场趋势变化</t>
    </r>
    <r>
      <rPr>
        <sz val="16"/>
        <color theme="0"/>
        <rFont val="Arial"/>
        <charset val="134"/>
      </rPr>
      <t>(2021-2022)</t>
    </r>
  </si>
  <si>
    <r>
      <rPr>
        <sz val="11"/>
        <rFont val="微软雅黑"/>
        <charset val="134"/>
      </rPr>
      <t>年份</t>
    </r>
  </si>
  <si>
    <r>
      <rPr>
        <sz val="11"/>
        <rFont val="微软雅黑"/>
        <charset val="134"/>
      </rPr>
      <t>月份</t>
    </r>
  </si>
  <si>
    <t>市场容量</t>
  </si>
  <si>
    <r>
      <rPr>
        <sz val="11"/>
        <color theme="0"/>
        <rFont val="微软雅黑"/>
        <charset val="134"/>
      </rPr>
      <t>环比</t>
    </r>
  </si>
  <si>
    <r>
      <rPr>
        <sz val="11"/>
        <color theme="0"/>
        <rFont val="微软雅黑"/>
        <charset val="134"/>
      </rPr>
      <t>同比</t>
    </r>
  </si>
  <si>
    <t>市场份额</t>
  </si>
  <si>
    <r>
      <rPr>
        <sz val="11"/>
        <color theme="0"/>
        <rFont val="宋体"/>
        <charset val="134"/>
      </rPr>
      <t>同比</t>
    </r>
  </si>
  <si>
    <t>平均客单价</t>
  </si>
  <si>
    <t>环比</t>
  </si>
  <si>
    <t>同比</t>
  </si>
  <si>
    <t>xxx每月市占率趋势(2022年)</t>
  </si>
  <si>
    <r>
      <rPr>
        <sz val="11"/>
        <color theme="0"/>
        <rFont val="微软雅黑"/>
        <charset val="134"/>
      </rPr>
      <t>年份</t>
    </r>
  </si>
  <si>
    <r>
      <rPr>
        <sz val="11"/>
        <color theme="0"/>
        <rFont val="微软雅黑"/>
        <charset val="134"/>
      </rPr>
      <t>月份</t>
    </r>
  </si>
  <si>
    <r>
      <rPr>
        <sz val="11"/>
        <color theme="0"/>
        <rFont val="宋体"/>
        <charset val="134"/>
      </rPr>
      <t>销量</t>
    </r>
  </si>
  <si>
    <r>
      <rPr>
        <sz val="11"/>
        <color theme="0"/>
        <rFont val="宋体"/>
        <charset val="134"/>
      </rPr>
      <t>市占率</t>
    </r>
  </si>
  <si>
    <r>
      <rPr>
        <sz val="11"/>
        <color theme="0"/>
        <rFont val="宋体"/>
        <charset val="134"/>
      </rPr>
      <t>市占率环比</t>
    </r>
  </si>
  <si>
    <r>
      <rPr>
        <sz val="11"/>
        <color theme="0"/>
        <rFont val="宋体"/>
        <charset val="134"/>
      </rPr>
      <t>销售额</t>
    </r>
  </si>
  <si>
    <r>
      <rPr>
        <sz val="11"/>
        <color theme="0"/>
        <rFont val="宋体"/>
        <charset val="134"/>
      </rPr>
      <t>市场份额占比</t>
    </r>
  </si>
  <si>
    <r>
      <rPr>
        <sz val="11"/>
        <color theme="0"/>
        <rFont val="宋体"/>
        <charset val="134"/>
      </rPr>
      <t>市场份额环比</t>
    </r>
  </si>
  <si>
    <t>xxx主要ASIN销售情况(2022年)</t>
  </si>
  <si>
    <t>ASIN</t>
  </si>
  <si>
    <t>所在类目</t>
  </si>
  <si>
    <r>
      <rPr>
        <sz val="11"/>
        <color theme="0"/>
        <rFont val="宋体"/>
        <charset val="134"/>
      </rPr>
      <t>平均市场容量</t>
    </r>
  </si>
  <si>
    <t>年销量</t>
  </si>
  <si>
    <t>年销售额</t>
  </si>
  <si>
    <r>
      <rPr>
        <sz val="11"/>
        <color theme="0"/>
        <rFont val="宋体"/>
        <charset val="134"/>
      </rPr>
      <t>各类目</t>
    </r>
    <r>
      <rPr>
        <sz val="11"/>
        <color theme="0"/>
        <rFont val="Arial"/>
        <charset val="134"/>
      </rPr>
      <t>TOP5</t>
    </r>
    <r>
      <rPr>
        <sz val="11"/>
        <color theme="0"/>
        <rFont val="宋体"/>
        <charset val="134"/>
      </rPr>
      <t>品牌集中度</t>
    </r>
    <r>
      <rPr>
        <sz val="11"/>
        <color theme="0"/>
        <rFont val="Arial"/>
        <charset val="134"/>
      </rPr>
      <t>(</t>
    </r>
    <r>
      <rPr>
        <sz val="11"/>
        <color theme="0"/>
        <rFont val="宋体"/>
        <charset val="134"/>
      </rPr>
      <t>近</t>
    </r>
    <r>
      <rPr>
        <sz val="11"/>
        <color theme="0"/>
        <rFont val="Arial"/>
        <charset val="134"/>
      </rPr>
      <t>30</t>
    </r>
    <r>
      <rPr>
        <sz val="11"/>
        <color theme="0"/>
        <rFont val="宋体"/>
        <charset val="134"/>
      </rPr>
      <t>天</t>
    </r>
    <r>
      <rPr>
        <sz val="11"/>
        <color theme="0"/>
        <rFont val="Arial"/>
        <charset val="134"/>
      </rPr>
      <t>)</t>
    </r>
  </si>
  <si>
    <r>
      <rPr>
        <sz val="11"/>
        <color theme="0"/>
        <rFont val="宋体"/>
        <charset val="134"/>
      </rPr>
      <t>类目</t>
    </r>
  </si>
  <si>
    <r>
      <rPr>
        <sz val="11"/>
        <color theme="0"/>
        <rFont val="宋体"/>
        <charset val="134"/>
      </rPr>
      <t>类目容量</t>
    </r>
  </si>
  <si>
    <t>类目份额</t>
  </si>
  <si>
    <t>品牌</t>
  </si>
  <si>
    <t>品牌销量</t>
  </si>
  <si>
    <t>品牌销量占比</t>
  </si>
  <si>
    <t>品牌销售额</t>
  </si>
  <si>
    <t>品牌销售额占比</t>
  </si>
  <si>
    <t>过去四年市场销量复合增长情况</t>
  </si>
  <si>
    <t>过去两年市场销售额复合增长情况</t>
  </si>
  <si>
    <r>
      <rPr>
        <sz val="11"/>
        <color theme="1"/>
        <rFont val="宋体"/>
        <charset val="134"/>
      </rPr>
      <t>月份</t>
    </r>
  </si>
  <si>
    <r>
      <rPr>
        <sz val="12"/>
        <color theme="0"/>
        <rFont val="微软雅黑"/>
        <charset val="134"/>
      </rPr>
      <t>过去</t>
    </r>
    <r>
      <rPr>
        <sz val="12"/>
        <color theme="0"/>
        <rFont val="Arial"/>
        <charset val="134"/>
      </rPr>
      <t>4</t>
    </r>
    <r>
      <rPr>
        <sz val="12"/>
        <color theme="0"/>
        <rFont val="微软雅黑"/>
        <charset val="134"/>
      </rPr>
      <t>年销量明细</t>
    </r>
  </si>
  <si>
    <t>年复合增长率</t>
  </si>
  <si>
    <t>年均复合增长率</t>
  </si>
  <si>
    <t>过去2年销售额明细</t>
  </si>
  <si>
    <r>
      <rPr>
        <sz val="11"/>
        <color theme="0"/>
        <rFont val="Arial"/>
        <charset val="134"/>
      </rPr>
      <t>2019</t>
    </r>
    <r>
      <rPr>
        <sz val="11"/>
        <color theme="0"/>
        <rFont val="宋体"/>
        <charset val="134"/>
      </rPr>
      <t>年</t>
    </r>
  </si>
  <si>
    <r>
      <rPr>
        <sz val="11"/>
        <color theme="0"/>
        <rFont val="Arial"/>
        <charset val="134"/>
      </rPr>
      <t>2020</t>
    </r>
    <r>
      <rPr>
        <sz val="11"/>
        <color theme="0"/>
        <rFont val="宋体"/>
        <charset val="134"/>
      </rPr>
      <t>年</t>
    </r>
  </si>
  <si>
    <r>
      <rPr>
        <sz val="11"/>
        <color theme="0"/>
        <rFont val="Arial"/>
        <charset val="134"/>
      </rPr>
      <t>2021</t>
    </r>
    <r>
      <rPr>
        <sz val="11"/>
        <color theme="0"/>
        <rFont val="宋体"/>
        <charset val="134"/>
      </rPr>
      <t>年</t>
    </r>
  </si>
  <si>
    <r>
      <rPr>
        <sz val="11"/>
        <color theme="0"/>
        <rFont val="Arial"/>
        <charset val="134"/>
      </rPr>
      <t>2022</t>
    </r>
    <r>
      <rPr>
        <sz val="11"/>
        <color theme="0"/>
        <rFont val="宋体"/>
        <charset val="134"/>
      </rPr>
      <t>年</t>
    </r>
  </si>
  <si>
    <t>过去四年xxx销量复合增长情况</t>
  </si>
  <si>
    <t>过去4年xxx销售额复合增长情况</t>
  </si>
  <si>
    <t>过去3年销量明细</t>
  </si>
  <si>
    <t>过去4年销售额明细</t>
  </si>
  <si>
    <r>
      <rPr>
        <b/>
        <sz val="18"/>
        <color theme="0"/>
        <rFont val="Arial"/>
        <charset val="134"/>
      </rPr>
      <t>2023</t>
    </r>
    <r>
      <rPr>
        <b/>
        <sz val="18"/>
        <color theme="0"/>
        <rFont val="微软雅黑"/>
        <charset val="134"/>
      </rPr>
      <t>年</t>
    </r>
    <r>
      <rPr>
        <b/>
        <sz val="18"/>
        <color theme="0"/>
        <rFont val="Arial"/>
        <charset val="134"/>
      </rPr>
      <t>XXX</t>
    </r>
    <r>
      <rPr>
        <b/>
        <sz val="18"/>
        <color theme="0"/>
        <rFont val="微软雅黑"/>
        <charset val="134"/>
      </rPr>
      <t>市场概况预测及</t>
    </r>
    <r>
      <rPr>
        <b/>
        <sz val="18"/>
        <color theme="0"/>
        <rFont val="Arial"/>
        <charset val="134"/>
      </rPr>
      <t>XXX</t>
    </r>
    <r>
      <rPr>
        <b/>
        <sz val="18"/>
        <color theme="0"/>
        <rFont val="微软雅黑"/>
        <charset val="134"/>
      </rPr>
      <t>目标</t>
    </r>
  </si>
  <si>
    <r>
      <rPr>
        <b/>
        <sz val="18"/>
        <color theme="0"/>
        <rFont val="宋体"/>
        <charset val="134"/>
      </rPr>
      <t>整体市场预估</t>
    </r>
  </si>
  <si>
    <r>
      <rPr>
        <b/>
        <sz val="18"/>
        <color theme="0"/>
        <rFont val="Arial"/>
        <charset val="134"/>
      </rPr>
      <t>XXX</t>
    </r>
    <r>
      <rPr>
        <b/>
        <sz val="18"/>
        <color theme="0"/>
        <rFont val="宋体"/>
        <charset val="134"/>
      </rPr>
      <t>市占率</t>
    </r>
    <r>
      <rPr>
        <b/>
        <sz val="18"/>
        <color theme="0"/>
        <rFont val="Arial"/>
        <charset val="134"/>
      </rPr>
      <t>&amp;</t>
    </r>
    <r>
      <rPr>
        <b/>
        <sz val="18"/>
        <color theme="0"/>
        <rFont val="宋体"/>
        <charset val="134"/>
      </rPr>
      <t>市场份额目标</t>
    </r>
  </si>
  <si>
    <r>
      <rPr>
        <sz val="11"/>
        <color theme="1"/>
        <rFont val="微软雅黑"/>
        <charset val="134"/>
      </rPr>
      <t>月份</t>
    </r>
  </si>
  <si>
    <r>
      <rPr>
        <sz val="11"/>
        <color theme="1"/>
        <rFont val="Arial"/>
        <charset val="134"/>
      </rPr>
      <t>2022</t>
    </r>
    <r>
      <rPr>
        <sz val="11"/>
        <color theme="1"/>
        <rFont val="微软雅黑"/>
        <charset val="134"/>
      </rPr>
      <t>年市场容量</t>
    </r>
  </si>
  <si>
    <r>
      <rPr>
        <sz val="11"/>
        <color theme="0"/>
        <rFont val="微软雅黑"/>
        <charset val="134"/>
      </rPr>
      <t>过去</t>
    </r>
    <r>
      <rPr>
        <sz val="11"/>
        <color theme="0"/>
        <rFont val="Arial"/>
        <charset val="134"/>
      </rPr>
      <t>4</t>
    </r>
    <r>
      <rPr>
        <sz val="11"/>
        <color theme="0"/>
        <rFont val="微软雅黑"/>
        <charset val="134"/>
      </rPr>
      <t>年平均复合增长</t>
    </r>
  </si>
  <si>
    <r>
      <rPr>
        <sz val="11"/>
        <color theme="0"/>
        <rFont val="Arial"/>
        <charset val="134"/>
      </rPr>
      <t>2023</t>
    </r>
    <r>
      <rPr>
        <sz val="11"/>
        <color theme="0"/>
        <rFont val="微软雅黑"/>
        <charset val="134"/>
      </rPr>
      <t>年预测市场容量</t>
    </r>
  </si>
  <si>
    <r>
      <rPr>
        <sz val="11"/>
        <color theme="1"/>
        <rFont val="Arial"/>
        <charset val="134"/>
      </rPr>
      <t>2022</t>
    </r>
    <r>
      <rPr>
        <sz val="11"/>
        <color theme="1"/>
        <rFont val="微软雅黑"/>
        <charset val="134"/>
      </rPr>
      <t>年市场份额</t>
    </r>
  </si>
  <si>
    <t>过去两年复合增长</t>
  </si>
  <si>
    <r>
      <rPr>
        <sz val="11"/>
        <color theme="0"/>
        <rFont val="Arial"/>
        <charset val="134"/>
      </rPr>
      <t>2023</t>
    </r>
    <r>
      <rPr>
        <sz val="11"/>
        <color theme="0"/>
        <rFont val="微软雅黑"/>
        <charset val="134"/>
      </rPr>
      <t>年预测市场份额</t>
    </r>
  </si>
  <si>
    <r>
      <rPr>
        <sz val="11"/>
        <color theme="1"/>
        <rFont val="Arial"/>
        <charset val="134"/>
      </rPr>
      <t>2022</t>
    </r>
    <r>
      <rPr>
        <sz val="11"/>
        <color theme="1"/>
        <rFont val="宋体"/>
        <charset val="134"/>
      </rPr>
      <t>年销量</t>
    </r>
  </si>
  <si>
    <r>
      <rPr>
        <sz val="11"/>
        <color theme="1"/>
        <rFont val="Arial"/>
        <charset val="134"/>
      </rPr>
      <t>2022</t>
    </r>
    <r>
      <rPr>
        <sz val="11"/>
        <color theme="1"/>
        <rFont val="微软雅黑"/>
        <charset val="134"/>
      </rPr>
      <t>年市占率</t>
    </r>
  </si>
  <si>
    <t>市占率增长目标</t>
  </si>
  <si>
    <r>
      <rPr>
        <sz val="11"/>
        <color theme="0"/>
        <rFont val="微软雅黑"/>
        <charset val="134"/>
      </rPr>
      <t>目标市占率</t>
    </r>
  </si>
  <si>
    <r>
      <rPr>
        <sz val="11"/>
        <color theme="0"/>
        <rFont val="Arial"/>
        <charset val="134"/>
      </rPr>
      <t>2023</t>
    </r>
    <r>
      <rPr>
        <sz val="11"/>
        <color theme="0"/>
        <rFont val="微软雅黑"/>
        <charset val="134"/>
      </rPr>
      <t>年销量</t>
    </r>
  </si>
  <si>
    <r>
      <rPr>
        <sz val="11"/>
        <color theme="1"/>
        <rFont val="Arial"/>
        <charset val="134"/>
      </rPr>
      <t>2022</t>
    </r>
    <r>
      <rPr>
        <sz val="11"/>
        <color theme="1"/>
        <rFont val="宋体"/>
        <charset val="134"/>
      </rPr>
      <t>年销售额</t>
    </r>
  </si>
  <si>
    <t>市占份额增长目标</t>
  </si>
  <si>
    <r>
      <rPr>
        <sz val="11"/>
        <color theme="1"/>
        <rFont val="微软雅黑"/>
        <charset val="134"/>
      </rPr>
      <t>目标市场份额占比</t>
    </r>
  </si>
  <si>
    <r>
      <rPr>
        <sz val="11"/>
        <color theme="0"/>
        <rFont val="Arial"/>
        <charset val="134"/>
      </rPr>
      <t>2023</t>
    </r>
    <r>
      <rPr>
        <sz val="11"/>
        <color theme="0"/>
        <rFont val="微软雅黑"/>
        <charset val="134"/>
      </rPr>
      <t>年销售额</t>
    </r>
  </si>
  <si>
    <r>
      <rPr>
        <b/>
        <sz val="18"/>
        <color theme="0"/>
        <rFont val="Arial"/>
        <charset val="134"/>
      </rPr>
      <t>2023</t>
    </r>
    <r>
      <rPr>
        <b/>
        <sz val="18"/>
        <color theme="0"/>
        <rFont val="宋体"/>
        <charset val="134"/>
      </rPr>
      <t>年</t>
    </r>
    <r>
      <rPr>
        <b/>
        <sz val="18"/>
        <color theme="0"/>
        <rFont val="Arial"/>
        <charset val="134"/>
      </rPr>
      <t xml:space="preserve"> - XXX - </t>
    </r>
    <r>
      <rPr>
        <b/>
        <sz val="18"/>
        <color theme="0"/>
        <rFont val="宋体"/>
        <charset val="134"/>
      </rPr>
      <t>细分</t>
    </r>
    <r>
      <rPr>
        <b/>
        <sz val="18"/>
        <color theme="0"/>
        <rFont val="Arial"/>
        <charset val="134"/>
      </rPr>
      <t>ASIN</t>
    </r>
    <r>
      <rPr>
        <b/>
        <sz val="18"/>
        <color theme="0"/>
        <rFont val="宋体"/>
        <charset val="134"/>
      </rPr>
      <t>销售额</t>
    </r>
  </si>
  <si>
    <t>产品大类</t>
  </si>
  <si>
    <t>产品系列</t>
  </si>
  <si>
    <r>
      <rPr>
        <sz val="11"/>
        <color theme="0"/>
        <rFont val="宋体"/>
        <charset val="134"/>
      </rPr>
      <t>产品</t>
    </r>
    <r>
      <rPr>
        <sz val="11"/>
        <color theme="0"/>
        <rFont val="Arial"/>
        <charset val="134"/>
      </rPr>
      <t>ASIN</t>
    </r>
  </si>
  <si>
    <t>型号系列</t>
  </si>
  <si>
    <t>产品中文名</t>
  </si>
  <si>
    <t>客单价</t>
  </si>
  <si>
    <r>
      <rPr>
        <sz val="11"/>
        <color theme="0"/>
        <rFont val="Arial"/>
        <charset val="134"/>
      </rPr>
      <t>2021</t>
    </r>
    <r>
      <rPr>
        <sz val="11"/>
        <color theme="0"/>
        <rFont val="宋体"/>
        <charset val="134"/>
      </rPr>
      <t>年销量</t>
    </r>
  </si>
  <si>
    <r>
      <rPr>
        <sz val="11"/>
        <color theme="0"/>
        <rFont val="Arial"/>
        <charset val="134"/>
      </rPr>
      <t>2021</t>
    </r>
    <r>
      <rPr>
        <sz val="11"/>
        <color theme="0"/>
        <rFont val="宋体"/>
        <charset val="134"/>
      </rPr>
      <t>年销量占比</t>
    </r>
  </si>
  <si>
    <r>
      <rPr>
        <sz val="11"/>
        <color theme="0"/>
        <rFont val="Arial"/>
        <charset val="134"/>
      </rPr>
      <t>2022</t>
    </r>
    <r>
      <rPr>
        <sz val="11"/>
        <color theme="0"/>
        <rFont val="宋体"/>
        <charset val="134"/>
      </rPr>
      <t>年销量</t>
    </r>
  </si>
  <si>
    <r>
      <rPr>
        <sz val="11"/>
        <color theme="0"/>
        <rFont val="Arial"/>
        <charset val="134"/>
      </rPr>
      <t>2022</t>
    </r>
    <r>
      <rPr>
        <sz val="11"/>
        <color theme="0"/>
        <rFont val="宋体"/>
        <charset val="134"/>
      </rPr>
      <t>年销量占比</t>
    </r>
  </si>
  <si>
    <t>销量比例同比</t>
  </si>
  <si>
    <t>销量占比复合增长</t>
  </si>
  <si>
    <r>
      <rPr>
        <sz val="11"/>
        <color theme="0"/>
        <rFont val="Arial"/>
        <charset val="134"/>
      </rPr>
      <t>2021</t>
    </r>
    <r>
      <rPr>
        <sz val="11"/>
        <color theme="0"/>
        <rFont val="宋体"/>
        <charset val="134"/>
      </rPr>
      <t>年销售额</t>
    </r>
  </si>
  <si>
    <r>
      <rPr>
        <sz val="11"/>
        <color theme="0"/>
        <rFont val="Arial"/>
        <charset val="134"/>
      </rPr>
      <t>2021</t>
    </r>
    <r>
      <rPr>
        <sz val="11"/>
        <color theme="0"/>
        <rFont val="宋体"/>
        <charset val="134"/>
      </rPr>
      <t>年销售额占比</t>
    </r>
  </si>
  <si>
    <r>
      <rPr>
        <sz val="11"/>
        <color theme="0"/>
        <rFont val="Arial"/>
        <charset val="134"/>
      </rPr>
      <t>2022</t>
    </r>
    <r>
      <rPr>
        <sz val="11"/>
        <color theme="0"/>
        <rFont val="宋体"/>
        <charset val="134"/>
      </rPr>
      <t>年销售额</t>
    </r>
  </si>
  <si>
    <r>
      <rPr>
        <sz val="11"/>
        <color theme="0"/>
        <rFont val="Arial"/>
        <charset val="134"/>
      </rPr>
      <t>2022</t>
    </r>
    <r>
      <rPr>
        <sz val="11"/>
        <color theme="0"/>
        <rFont val="宋体"/>
        <charset val="134"/>
      </rPr>
      <t>年销售额占比</t>
    </r>
  </si>
  <si>
    <t>销售额比例同比</t>
  </si>
  <si>
    <t>销售额占比复合增长</t>
  </si>
  <si>
    <r>
      <rPr>
        <sz val="11"/>
        <color theme="1"/>
        <rFont val="Arial"/>
        <charset val="134"/>
      </rPr>
      <t>2023</t>
    </r>
    <r>
      <rPr>
        <sz val="11"/>
        <color theme="1"/>
        <rFont val="宋体"/>
        <charset val="134"/>
      </rPr>
      <t>年目标销量</t>
    </r>
  </si>
  <si>
    <t>目标销量占比</t>
  </si>
  <si>
    <r>
      <rPr>
        <sz val="11"/>
        <color theme="1"/>
        <rFont val="Arial"/>
        <charset val="134"/>
      </rPr>
      <t>2023</t>
    </r>
    <r>
      <rPr>
        <sz val="11"/>
        <color theme="1"/>
        <rFont val="宋体"/>
        <charset val="134"/>
      </rPr>
      <t>年目标销售额</t>
    </r>
  </si>
  <si>
    <r>
      <rPr>
        <sz val="11"/>
        <color theme="1"/>
        <rFont val="Arial"/>
        <charset val="134"/>
      </rPr>
      <t>2023</t>
    </r>
    <r>
      <rPr>
        <sz val="11"/>
        <color theme="1"/>
        <rFont val="宋体"/>
        <charset val="134"/>
      </rPr>
      <t>年目标销售额占比</t>
    </r>
  </si>
  <si>
    <r>
      <rPr>
        <sz val="20"/>
        <color theme="0"/>
        <rFont val="Arial"/>
        <charset val="134"/>
      </rPr>
      <t>2023</t>
    </r>
    <r>
      <rPr>
        <sz val="20"/>
        <color theme="0"/>
        <rFont val="微软雅黑"/>
        <charset val="134"/>
      </rPr>
      <t>年每月目标分解</t>
    </r>
  </si>
  <si>
    <r>
      <rPr>
        <sz val="11"/>
        <color theme="0"/>
        <rFont val="Arial"/>
        <charset val="134"/>
      </rPr>
      <t>1</t>
    </r>
    <r>
      <rPr>
        <sz val="11"/>
        <color theme="0"/>
        <rFont val="宋体"/>
        <charset val="134"/>
      </rPr>
      <t>月</t>
    </r>
  </si>
  <si>
    <r>
      <rPr>
        <sz val="11"/>
        <color theme="0"/>
        <rFont val="Arial"/>
        <charset val="134"/>
      </rPr>
      <t>2</t>
    </r>
    <r>
      <rPr>
        <sz val="11"/>
        <color theme="0"/>
        <rFont val="宋体"/>
        <charset val="134"/>
      </rPr>
      <t>月</t>
    </r>
  </si>
  <si>
    <r>
      <rPr>
        <sz val="11"/>
        <color theme="0"/>
        <rFont val="Arial"/>
        <charset val="134"/>
      </rPr>
      <t>3</t>
    </r>
    <r>
      <rPr>
        <sz val="11"/>
        <color theme="0"/>
        <rFont val="宋体"/>
        <charset val="134"/>
      </rPr>
      <t>月</t>
    </r>
  </si>
  <si>
    <r>
      <rPr>
        <sz val="11"/>
        <color theme="0"/>
        <rFont val="Arial"/>
        <charset val="134"/>
      </rPr>
      <t>4</t>
    </r>
    <r>
      <rPr>
        <sz val="11"/>
        <color theme="0"/>
        <rFont val="宋体"/>
        <charset val="134"/>
      </rPr>
      <t>月</t>
    </r>
  </si>
  <si>
    <r>
      <rPr>
        <sz val="11"/>
        <color theme="0"/>
        <rFont val="Arial"/>
        <charset val="134"/>
      </rPr>
      <t>5</t>
    </r>
    <r>
      <rPr>
        <sz val="11"/>
        <color theme="0"/>
        <rFont val="宋体"/>
        <charset val="134"/>
      </rPr>
      <t>月</t>
    </r>
  </si>
  <si>
    <r>
      <rPr>
        <sz val="11"/>
        <color theme="0"/>
        <rFont val="Arial"/>
        <charset val="134"/>
      </rPr>
      <t>6</t>
    </r>
    <r>
      <rPr>
        <sz val="11"/>
        <color theme="0"/>
        <rFont val="宋体"/>
        <charset val="134"/>
      </rPr>
      <t>月</t>
    </r>
  </si>
  <si>
    <r>
      <rPr>
        <sz val="11"/>
        <color theme="0"/>
        <rFont val="Arial"/>
        <charset val="134"/>
      </rPr>
      <t>7</t>
    </r>
    <r>
      <rPr>
        <sz val="11"/>
        <color theme="0"/>
        <rFont val="宋体"/>
        <charset val="134"/>
      </rPr>
      <t>月</t>
    </r>
  </si>
  <si>
    <r>
      <rPr>
        <sz val="11"/>
        <color theme="0"/>
        <rFont val="Arial"/>
        <charset val="134"/>
      </rPr>
      <t>8</t>
    </r>
    <r>
      <rPr>
        <sz val="11"/>
        <color theme="0"/>
        <rFont val="宋体"/>
        <charset val="134"/>
      </rPr>
      <t>月</t>
    </r>
  </si>
  <si>
    <r>
      <rPr>
        <sz val="11"/>
        <color theme="0"/>
        <rFont val="Arial"/>
        <charset val="134"/>
      </rPr>
      <t>9</t>
    </r>
    <r>
      <rPr>
        <sz val="11"/>
        <color theme="0"/>
        <rFont val="宋体"/>
        <charset val="134"/>
      </rPr>
      <t>月</t>
    </r>
  </si>
  <si>
    <r>
      <rPr>
        <sz val="11"/>
        <color theme="0"/>
        <rFont val="Arial"/>
        <charset val="134"/>
      </rPr>
      <t>10</t>
    </r>
    <r>
      <rPr>
        <sz val="11"/>
        <color theme="0"/>
        <rFont val="宋体"/>
        <charset val="134"/>
      </rPr>
      <t>月</t>
    </r>
  </si>
  <si>
    <r>
      <rPr>
        <sz val="11"/>
        <color theme="0"/>
        <rFont val="Arial"/>
        <charset val="134"/>
      </rPr>
      <t>11</t>
    </r>
    <r>
      <rPr>
        <sz val="11"/>
        <color theme="0"/>
        <rFont val="宋体"/>
        <charset val="134"/>
      </rPr>
      <t>月</t>
    </r>
  </si>
  <si>
    <r>
      <rPr>
        <sz val="11"/>
        <color theme="0"/>
        <rFont val="Arial"/>
        <charset val="134"/>
      </rPr>
      <t>12</t>
    </r>
    <r>
      <rPr>
        <sz val="11"/>
        <color theme="0"/>
        <rFont val="宋体"/>
        <charset val="134"/>
      </rPr>
      <t>月</t>
    </r>
  </si>
  <si>
    <t>销售额占比</t>
  </si>
  <si>
    <r>
      <rPr>
        <b/>
        <sz val="20"/>
        <color theme="0"/>
        <rFont val="微软雅黑"/>
        <charset val="134"/>
      </rPr>
      <t>XXX</t>
    </r>
    <r>
      <rPr>
        <b/>
        <sz val="20"/>
        <color theme="0"/>
        <rFont val="Arial"/>
        <charset val="134"/>
      </rPr>
      <t xml:space="preserve"> - 2021-2022</t>
    </r>
    <r>
      <rPr>
        <b/>
        <sz val="20"/>
        <color theme="0"/>
        <rFont val="微软雅黑"/>
        <charset val="134"/>
      </rPr>
      <t>年销售情况</t>
    </r>
  </si>
  <si>
    <t>销量占比</t>
  </si>
  <si>
    <r>
      <rPr>
        <sz val="16"/>
        <color theme="0"/>
        <rFont val="Arial"/>
        <charset val="134"/>
      </rPr>
      <t>2021</t>
    </r>
    <r>
      <rPr>
        <sz val="16"/>
        <color theme="0"/>
        <rFont val="宋体"/>
        <charset val="134"/>
      </rPr>
      <t>年全店铺每月销售额</t>
    </r>
  </si>
  <si>
    <r>
      <rPr>
        <sz val="16"/>
        <color theme="0"/>
        <rFont val="Arial"/>
        <charset val="134"/>
      </rPr>
      <t>2022</t>
    </r>
    <r>
      <rPr>
        <sz val="16"/>
        <color theme="0"/>
        <rFont val="宋体"/>
        <charset val="134"/>
      </rPr>
      <t>年全店铺每月销售额及同比</t>
    </r>
  </si>
  <si>
    <r>
      <rPr>
        <sz val="11"/>
        <color theme="0"/>
        <rFont val="宋体"/>
        <charset val="134"/>
      </rPr>
      <t>产品中文名</t>
    </r>
  </si>
  <si>
    <t>同比增长</t>
  </si>
  <si>
    <r>
      <rPr>
        <b/>
        <sz val="16"/>
        <color theme="0"/>
        <rFont val="Arial"/>
        <charset val="134"/>
      </rPr>
      <t>2021</t>
    </r>
    <r>
      <rPr>
        <b/>
        <sz val="16"/>
        <color theme="0"/>
        <rFont val="微软雅黑"/>
        <charset val="134"/>
      </rPr>
      <t>年单品每月销售额占比</t>
    </r>
  </si>
  <si>
    <r>
      <rPr>
        <b/>
        <sz val="16"/>
        <color theme="0"/>
        <rFont val="Arial"/>
        <charset val="134"/>
      </rPr>
      <t>2022</t>
    </r>
    <r>
      <rPr>
        <b/>
        <sz val="16"/>
        <color theme="0"/>
        <rFont val="微软雅黑"/>
        <charset val="134"/>
      </rPr>
      <t>年单品每月销售额占比</t>
    </r>
  </si>
  <si>
    <t>SKU</t>
  </si>
  <si>
    <t>图片</t>
  </si>
  <si>
    <t>店铺</t>
  </si>
  <si>
    <t>分组</t>
  </si>
  <si>
    <t>父ASIN</t>
  </si>
  <si>
    <t>子ASIN</t>
  </si>
  <si>
    <t>时间</t>
  </si>
  <si>
    <t>货币单位</t>
  </si>
  <si>
    <t>买家访问次数</t>
  </si>
  <si>
    <t>订单商品数量转化率</t>
  </si>
  <si>
    <t>大类目Rank</t>
  </si>
  <si>
    <t>大类目名称</t>
  </si>
  <si>
    <t>小类目Rank</t>
  </si>
  <si>
    <t>小类目名称</t>
  </si>
  <si>
    <t>页面浏览次数</t>
  </si>
  <si>
    <t>购买按钮赢得率</t>
  </si>
  <si>
    <t>销量</t>
  </si>
  <si>
    <t>多渠道数量</t>
  </si>
  <si>
    <t>销售额</t>
  </si>
  <si>
    <t>退款量</t>
  </si>
  <si>
    <t>销售退款金额</t>
  </si>
  <si>
    <t>退款率</t>
  </si>
  <si>
    <t>促销返点</t>
  </si>
  <si>
    <t>促销占比</t>
  </si>
  <si>
    <t>促销返点退款</t>
  </si>
  <si>
    <t>毛利润</t>
  </si>
  <si>
    <t>毛利率</t>
  </si>
  <si>
    <t>广告花费</t>
  </si>
  <si>
    <t>ACoAS</t>
  </si>
  <si>
    <t>曝光量</t>
  </si>
  <si>
    <t>点击量</t>
  </si>
  <si>
    <t>转化率</t>
  </si>
  <si>
    <t>点击率（CTR）</t>
  </si>
  <si>
    <t>单次点击成本（CPC）</t>
  </si>
  <si>
    <t>广告投入产出比（ACOS）</t>
  </si>
  <si>
    <t>直接订单量</t>
  </si>
  <si>
    <t>直接订单量占比</t>
  </si>
  <si>
    <t>直接销售额</t>
  </si>
  <si>
    <t>间接订单量</t>
  </si>
  <si>
    <t>间接订单量占比</t>
  </si>
  <si>
    <t>间接销售额</t>
  </si>
  <si>
    <t>SD花费</t>
  </si>
  <si>
    <t>SP花费</t>
  </si>
  <si>
    <t>SB花费</t>
  </si>
  <si>
    <r>
      <rPr>
        <sz val="10"/>
        <color theme="0"/>
        <rFont val="宋体"/>
        <charset val="134"/>
      </rPr>
      <t>月份</t>
    </r>
  </si>
  <si>
    <r>
      <rPr>
        <sz val="10"/>
        <color theme="0"/>
        <rFont val="宋体"/>
        <charset val="134"/>
      </rPr>
      <t>月销量</t>
    </r>
  </si>
  <si>
    <r>
      <rPr>
        <sz val="10"/>
        <color theme="0"/>
        <rFont val="宋体"/>
        <charset val="134"/>
      </rPr>
      <t>月销售额</t>
    </r>
    <r>
      <rPr>
        <sz val="10"/>
        <color theme="0"/>
        <rFont val="Arial"/>
        <charset val="134"/>
      </rPr>
      <t>(€)</t>
    </r>
  </si>
  <si>
    <r>
      <rPr>
        <sz val="10"/>
        <color theme="0"/>
        <rFont val="宋体"/>
        <charset val="134"/>
      </rPr>
      <t>平均</t>
    </r>
    <r>
      <rPr>
        <sz val="10"/>
        <color theme="0"/>
        <rFont val="Arial"/>
        <charset val="134"/>
      </rPr>
      <t>BSR</t>
    </r>
  </si>
  <si>
    <t>月销量</t>
  </si>
  <si>
    <t>月销售额(€)</t>
  </si>
  <si>
    <t>平均BSR</t>
  </si>
  <si>
    <r>
      <rPr>
        <sz val="10"/>
        <color theme="0"/>
        <rFont val="宋体"/>
        <charset val="134"/>
      </rPr>
      <t>排名</t>
    </r>
  </si>
  <si>
    <r>
      <rPr>
        <sz val="10"/>
        <color theme="0"/>
        <rFont val="宋体"/>
        <charset val="134"/>
      </rPr>
      <t>品牌</t>
    </r>
  </si>
  <si>
    <r>
      <rPr>
        <sz val="10"/>
        <color theme="0"/>
        <rFont val="宋体"/>
        <charset val="134"/>
      </rPr>
      <t>商品数量</t>
    </r>
  </si>
  <si>
    <r>
      <rPr>
        <sz val="10"/>
        <color theme="0"/>
        <rFont val="宋体"/>
        <charset val="134"/>
      </rPr>
      <t>新品数量</t>
    </r>
  </si>
  <si>
    <r>
      <rPr>
        <sz val="10"/>
        <color theme="0"/>
        <rFont val="宋体"/>
        <charset val="134"/>
      </rPr>
      <t>品牌月销量</t>
    </r>
  </si>
  <si>
    <r>
      <rPr>
        <sz val="10"/>
        <color theme="0"/>
        <rFont val="宋体"/>
        <charset val="134"/>
      </rPr>
      <t>月销量占比</t>
    </r>
  </si>
  <si>
    <r>
      <rPr>
        <sz val="10"/>
        <color theme="0"/>
        <rFont val="宋体"/>
        <charset val="134"/>
      </rPr>
      <t>新品销量占比</t>
    </r>
  </si>
  <si>
    <r>
      <rPr>
        <sz val="10"/>
        <color theme="0"/>
        <rFont val="宋体"/>
        <charset val="134"/>
      </rPr>
      <t>非新品销量占比</t>
    </r>
  </si>
  <si>
    <r>
      <rPr>
        <sz val="10"/>
        <color theme="0"/>
        <rFont val="宋体"/>
        <charset val="134"/>
      </rPr>
      <t>品牌月销售额</t>
    </r>
    <r>
      <rPr>
        <sz val="10"/>
        <color theme="0"/>
        <rFont val="Arial"/>
        <charset val="134"/>
      </rPr>
      <t>(€)</t>
    </r>
  </si>
  <si>
    <r>
      <rPr>
        <sz val="10"/>
        <color theme="0"/>
        <rFont val="宋体"/>
        <charset val="134"/>
      </rPr>
      <t>月销售额占比</t>
    </r>
  </si>
  <si>
    <r>
      <rPr>
        <sz val="10"/>
        <color theme="0"/>
        <rFont val="宋体"/>
        <charset val="134"/>
      </rPr>
      <t>新品销售额占比</t>
    </r>
  </si>
  <si>
    <r>
      <rPr>
        <sz val="10"/>
        <color theme="0"/>
        <rFont val="宋体"/>
        <charset val="134"/>
      </rPr>
      <t>非新品销售额占比</t>
    </r>
  </si>
  <si>
    <t>排名</t>
  </si>
  <si>
    <t>商品数量</t>
  </si>
  <si>
    <t>新品数量</t>
  </si>
  <si>
    <t>品牌月销量</t>
  </si>
  <si>
    <t>月销量占比</t>
  </si>
  <si>
    <t>新品销量占比</t>
  </si>
  <si>
    <t>非新品销量占比</t>
  </si>
  <si>
    <r>
      <rPr>
        <sz val="11"/>
        <color theme="0"/>
        <rFont val="宋体"/>
        <charset val="134"/>
      </rPr>
      <t>品牌月销售额</t>
    </r>
    <r>
      <rPr>
        <sz val="11"/>
        <color theme="0"/>
        <rFont val="Arial"/>
        <charset val="134"/>
      </rPr>
      <t>(€)</t>
    </r>
  </si>
  <si>
    <t>月销售额占比</t>
  </si>
  <si>
    <t>新品销售额占比</t>
  </si>
  <si>
    <t>非新品销售额占比</t>
  </si>
  <si>
    <t>品牌月销售额(€)</t>
  </si>
  <si>
    <t>广告花费占比</t>
  </si>
  <si>
    <t>CPC</t>
  </si>
  <si>
    <t>CPA</t>
  </si>
  <si>
    <t>TCPA</t>
  </si>
  <si>
    <t>促销花费</t>
  </si>
  <si>
    <t>促销花费占比</t>
  </si>
  <si>
    <t>渠道SKU</t>
  </si>
  <si>
    <t>数量</t>
  </si>
  <si>
    <t>销售额-USD</t>
  </si>
  <si>
    <t>退款额-USD</t>
  </si>
  <si>
    <t>FBA操作费-USD</t>
  </si>
  <si>
    <t>FBA操作费占比</t>
  </si>
  <si>
    <t>平台费用-USD</t>
  </si>
  <si>
    <t>平台费用占比</t>
  </si>
  <si>
    <t>促销-USD</t>
  </si>
  <si>
    <t>促销费用比率</t>
  </si>
  <si>
    <t>广告费-USD</t>
  </si>
  <si>
    <t>广告比率</t>
  </si>
  <si>
    <t>头程-USD</t>
  </si>
  <si>
    <t>头程比率</t>
  </si>
  <si>
    <t>产品成本-USD</t>
  </si>
  <si>
    <t>成本率</t>
  </si>
  <si>
    <t>税-USD</t>
  </si>
  <si>
    <t>税负比率</t>
  </si>
  <si>
    <t>刷单-USD</t>
  </si>
  <si>
    <t>其他-USD</t>
  </si>
  <si>
    <t>净利润-USD</t>
  </si>
  <si>
    <t>利润率</t>
  </si>
  <si>
    <t>利润贡献率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</si>
</sst>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￥-804]* #,##0.00_ ;_ [$￥-804]* \-#,##0.00_ ;_ [$￥-804]* &quot;-&quot;??_ ;_ @_ "/>
    <numFmt numFmtId="177" formatCode="#,##0_ "/>
    <numFmt numFmtId="178" formatCode="0.00%;\-0.00%;0.00%"/>
    <numFmt numFmtId="179" formatCode="#,##0.00%;\-#,##0.00%;#,##0.00%"/>
    <numFmt numFmtId="180" formatCode="#,##0.00\ &quot;€&quot;;\-#,##0.00\ &quot;€&quot;"/>
    <numFmt numFmtId="181" formatCode="0_ "/>
    <numFmt numFmtId="182" formatCode="#,##0.00%"/>
    <numFmt numFmtId="183" formatCode="yyyy/m/d;@"/>
    <numFmt numFmtId="184" formatCode="yyyy&quot;年&quot;m&quot;月&quot;;@"/>
    <numFmt numFmtId="185" formatCode="\$#,##0.00;\-\$#,##0.00"/>
    <numFmt numFmtId="186" formatCode="m"/>
    <numFmt numFmtId="187" formatCode="#,##0\ &quot;€&quot;;\-#,##0\ &quot;€&quot;"/>
  </numFmts>
  <fonts count="59">
    <font>
      <sz val="11"/>
      <color theme="1"/>
      <name val="宋体"/>
      <charset val="134"/>
      <scheme val="minor"/>
    </font>
    <font>
      <sz val="11"/>
      <color theme="0"/>
      <name val="Arial"/>
      <charset val="134"/>
    </font>
    <font>
      <sz val="11"/>
      <name val="Arial"/>
      <charset val="134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theme="1"/>
      <name val="Arial"/>
      <charset val="134"/>
    </font>
    <font>
      <sz val="11"/>
      <color theme="0"/>
      <name val="宋体"/>
      <charset val="134"/>
    </font>
    <font>
      <sz val="11"/>
      <color rgb="FFC00000"/>
      <name val="Arial"/>
      <charset val="134"/>
    </font>
    <font>
      <sz val="11"/>
      <name val="Arial"/>
      <charset val="0"/>
    </font>
    <font>
      <sz val="11"/>
      <color theme="1"/>
      <name val="宋体"/>
      <charset val="134"/>
    </font>
    <font>
      <sz val="18"/>
      <color theme="0"/>
      <name val="Arial"/>
      <charset val="134"/>
    </font>
    <font>
      <sz val="10"/>
      <color theme="0"/>
      <name val="Arial"/>
      <charset val="134"/>
    </font>
    <font>
      <sz val="10"/>
      <name val="Arial"/>
      <charset val="134"/>
    </font>
    <font>
      <sz val="11"/>
      <name val="宋体"/>
      <charset val="134"/>
    </font>
    <font>
      <sz val="11"/>
      <name val="宋体"/>
      <charset val="0"/>
    </font>
    <font>
      <sz val="11"/>
      <name val="微软雅黑"/>
      <charset val="134"/>
    </font>
    <font>
      <b/>
      <sz val="20"/>
      <color theme="0"/>
      <name val="Arial"/>
      <charset val="134"/>
    </font>
    <font>
      <sz val="16"/>
      <color theme="0"/>
      <name val="Arial"/>
      <charset val="134"/>
    </font>
    <font>
      <b/>
      <sz val="16"/>
      <color theme="0"/>
      <name val="Arial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sz val="20"/>
      <color theme="0"/>
      <name val="Arial"/>
      <charset val="134"/>
    </font>
    <font>
      <b/>
      <sz val="18"/>
      <color theme="0"/>
      <name val="Arial"/>
      <charset val="134"/>
    </font>
    <font>
      <sz val="11"/>
      <color theme="0"/>
      <name val="微软雅黑"/>
      <charset val="134"/>
    </font>
    <font>
      <sz val="16"/>
      <color theme="0"/>
      <name val="微软雅黑"/>
      <charset val="134"/>
    </font>
    <font>
      <sz val="16"/>
      <name val="Arial"/>
      <charset val="134"/>
    </font>
    <font>
      <b/>
      <sz val="14"/>
      <color theme="0"/>
      <name val="微软雅黑"/>
      <charset val="134"/>
    </font>
    <font>
      <sz val="12"/>
      <color theme="0"/>
      <name val="微软雅黑"/>
      <charset val="134"/>
    </font>
    <font>
      <sz val="12"/>
      <color theme="0"/>
      <name val="Arial"/>
      <charset val="134"/>
    </font>
    <font>
      <b/>
      <sz val="24"/>
      <color theme="0"/>
      <name val="Arial"/>
      <charset val="134"/>
    </font>
    <font>
      <b/>
      <sz val="24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0"/>
      <name val="宋体"/>
      <charset val="134"/>
    </font>
    <font>
      <b/>
      <sz val="18"/>
      <color theme="0"/>
      <name val="宋体"/>
      <charset val="134"/>
    </font>
    <font>
      <b/>
      <sz val="16"/>
      <color theme="0"/>
      <name val="微软雅黑"/>
      <charset val="134"/>
    </font>
    <font>
      <sz val="11"/>
      <color rgb="FFC00000"/>
      <name val="宋体"/>
      <charset val="134"/>
    </font>
    <font>
      <sz val="16"/>
      <color theme="0"/>
      <name val="宋体"/>
      <charset val="134"/>
    </font>
    <font>
      <b/>
      <sz val="18"/>
      <color theme="0"/>
      <name val="微软雅黑"/>
      <charset val="134"/>
    </font>
    <font>
      <sz val="20"/>
      <color theme="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-0.25"/>
        <bgColor rgb="FF2F75B5"/>
      </patternFill>
    </fill>
    <fill>
      <patternFill patternType="solid">
        <fgColor theme="9" tint="-0.2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7" borderId="12" applyNumberFormat="0" applyAlignment="0" applyProtection="0">
      <alignment vertical="center"/>
    </xf>
    <xf numFmtId="0" fontId="40" fillId="8" borderId="13" applyNumberFormat="0" applyAlignment="0" applyProtection="0">
      <alignment vertical="center"/>
    </xf>
    <xf numFmtId="0" fontId="41" fillId="8" borderId="12" applyNumberFormat="0" applyAlignment="0" applyProtection="0">
      <alignment vertical="center"/>
    </xf>
    <xf numFmtId="0" fontId="42" fillId="9" borderId="14" applyNumberFormat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176" fontId="0" fillId="0" borderId="0">
      <alignment vertical="center"/>
    </xf>
  </cellStyleXfs>
  <cellXfs count="26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80" fontId="1" fillId="4" borderId="3" xfId="0" applyNumberFormat="1" applyFont="1" applyFill="1" applyBorder="1" applyAlignment="1">
      <alignment horizontal="center" vertical="center"/>
    </xf>
    <xf numFmtId="180" fontId="1" fillId="4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180" fontId="6" fillId="3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80" fontId="1" fillId="4" borderId="6" xfId="0" applyNumberFormat="1" applyFont="1" applyFill="1" applyBorder="1" applyAlignment="1">
      <alignment horizontal="center" vertical="center"/>
    </xf>
    <xf numFmtId="180" fontId="1" fillId="3" borderId="3" xfId="0" applyNumberFormat="1" applyFont="1" applyFill="1" applyBorder="1" applyAlignment="1">
      <alignment horizontal="center" vertical="center"/>
    </xf>
    <xf numFmtId="180" fontId="1" fillId="3" borderId="4" xfId="0" applyNumberFormat="1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180" fontId="1" fillId="3" borderId="6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180" fontId="10" fillId="4" borderId="1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80" fontId="11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NumberFormat="1" applyFont="1" applyFill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4" fontId="12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83" fontId="1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57" fontId="5" fillId="0" borderId="1" xfId="0" applyNumberFormat="1" applyFont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  <xf numFmtId="183" fontId="5" fillId="0" borderId="1" xfId="0" applyNumberFormat="1" applyFont="1" applyBorder="1" applyAlignment="1">
      <alignment horizontal="center" vertical="center"/>
    </xf>
    <xf numFmtId="184" fontId="0" fillId="0" borderId="0" xfId="0" applyNumberFormat="1">
      <alignment vertical="center"/>
    </xf>
    <xf numFmtId="184" fontId="1" fillId="4" borderId="1" xfId="0" applyNumberFormat="1" applyFont="1" applyFill="1" applyBorder="1" applyAlignment="1">
      <alignment horizontal="center" vertical="center"/>
    </xf>
    <xf numFmtId="184" fontId="5" fillId="0" borderId="1" xfId="0" applyNumberFormat="1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85" fontId="5" fillId="0" borderId="1" xfId="0" applyNumberFormat="1" applyFont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185" fontId="17" fillId="5" borderId="1" xfId="0" applyNumberFormat="1" applyFont="1" applyFill="1" applyBorder="1" applyAlignment="1">
      <alignment horizontal="center" vertical="center"/>
    </xf>
    <xf numFmtId="184" fontId="6" fillId="3" borderId="7" xfId="0" applyNumberFormat="1" applyFont="1" applyFill="1" applyBorder="1" applyAlignment="1">
      <alignment horizontal="center" vertical="center"/>
    </xf>
    <xf numFmtId="184" fontId="1" fillId="3" borderId="1" xfId="0" applyNumberFormat="1" applyFont="1" applyFill="1" applyBorder="1" applyAlignment="1">
      <alignment horizontal="center" vertical="center"/>
    </xf>
    <xf numFmtId="184" fontId="1" fillId="3" borderId="2" xfId="0" applyNumberFormat="1" applyFont="1" applyFill="1" applyBorder="1" applyAlignment="1">
      <alignment horizontal="center" vertical="center"/>
    </xf>
    <xf numFmtId="184" fontId="1" fillId="3" borderId="5" xfId="0" applyNumberFormat="1" applyFont="1" applyFill="1" applyBorder="1" applyAlignment="1">
      <alignment horizontal="center" vertical="center"/>
    </xf>
    <xf numFmtId="185" fontId="18" fillId="3" borderId="1" xfId="0" applyNumberFormat="1" applyFont="1" applyFill="1" applyBorder="1" applyAlignment="1">
      <alignment horizontal="center" vertical="center"/>
    </xf>
    <xf numFmtId="10" fontId="17" fillId="5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10" fontId="18" fillId="3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10" fontId="20" fillId="4" borderId="4" xfId="0" applyNumberFormat="1" applyFont="1" applyFill="1" applyBorder="1" applyAlignment="1">
      <alignment horizontal="center" vertical="center"/>
    </xf>
    <xf numFmtId="180" fontId="20" fillId="4" borderId="4" xfId="0" applyNumberFormat="1" applyFont="1" applyFill="1" applyBorder="1" applyAlignment="1">
      <alignment horizontal="center" vertical="center"/>
    </xf>
    <xf numFmtId="184" fontId="6" fillId="5" borderId="1" xfId="0" applyNumberFormat="1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185" fontId="5" fillId="0" borderId="0" xfId="0" applyNumberFormat="1" applyFont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180" fontId="1" fillId="3" borderId="5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81" fontId="5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0" fontId="21" fillId="4" borderId="0" xfId="0" applyNumberFormat="1" applyFont="1" applyFill="1" applyAlignment="1">
      <alignment horizontal="center" vertical="center"/>
    </xf>
    <xf numFmtId="181" fontId="5" fillId="0" borderId="0" xfId="0" applyNumberFormat="1" applyFont="1">
      <alignment vertical="center"/>
    </xf>
    <xf numFmtId="10" fontId="5" fillId="0" borderId="0" xfId="0" applyNumberFormat="1" applyFont="1">
      <alignment vertical="center"/>
    </xf>
    <xf numFmtId="180" fontId="5" fillId="0" borderId="0" xfId="0" applyNumberFormat="1" applyFont="1">
      <alignment vertical="center"/>
    </xf>
    <xf numFmtId="0" fontId="22" fillId="4" borderId="3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180" fontId="22" fillId="4" borderId="4" xfId="0" applyNumberFormat="1" applyFont="1" applyFill="1" applyBorder="1" applyAlignment="1">
      <alignment horizontal="center" vertical="center"/>
    </xf>
    <xf numFmtId="181" fontId="6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181" fontId="0" fillId="0" borderId="0" xfId="0" applyNumberFormat="1">
      <alignment vertical="center"/>
    </xf>
    <xf numFmtId="181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0" fontId="22" fillId="4" borderId="0" xfId="0" applyNumberFormat="1" applyFont="1" applyFill="1" applyAlignment="1">
      <alignment horizontal="center" vertical="center"/>
    </xf>
    <xf numFmtId="181" fontId="22" fillId="4" borderId="0" xfId="0" applyNumberFormat="1" applyFont="1" applyFill="1" applyAlignment="1">
      <alignment horizontal="center" vertical="center"/>
    </xf>
    <xf numFmtId="180" fontId="22" fillId="4" borderId="0" xfId="0" applyNumberFormat="1" applyFont="1" applyFill="1" applyAlignment="1">
      <alignment horizontal="center" vertical="center"/>
    </xf>
    <xf numFmtId="0" fontId="22" fillId="3" borderId="0" xfId="0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0" fontId="23" fillId="5" borderId="1" xfId="0" applyNumberFormat="1" applyFont="1" applyFill="1" applyBorder="1" applyAlignment="1">
      <alignment horizontal="center" vertical="center" wrapText="1"/>
    </xf>
    <xf numFmtId="181" fontId="1" fillId="3" borderId="1" xfId="0" applyNumberFormat="1" applyFont="1" applyFill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80" fontId="1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10" fontId="22" fillId="3" borderId="0" xfId="0" applyNumberFormat="1" applyFont="1" applyFill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181" fontId="1" fillId="4" borderId="1" xfId="0" applyNumberFormat="1" applyFont="1" applyFill="1" applyBorder="1" applyAlignment="1">
      <alignment horizontal="center" vertical="center" wrapText="1"/>
    </xf>
    <xf numFmtId="10" fontId="6" fillId="5" borderId="1" xfId="0" applyNumberFormat="1" applyFont="1" applyFill="1" applyBorder="1" applyAlignment="1">
      <alignment horizontal="center" vertical="center" wrapText="1"/>
    </xf>
    <xf numFmtId="180" fontId="5" fillId="0" borderId="1" xfId="0" applyNumberFormat="1" applyFont="1" applyFill="1" applyBorder="1" applyAlignment="1">
      <alignment horizontal="center" vertical="center" wrapText="1"/>
    </xf>
    <xf numFmtId="180" fontId="22" fillId="3" borderId="0" xfId="0" applyNumberFormat="1" applyFont="1" applyFill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Fill="1">
      <alignment vertical="center"/>
    </xf>
    <xf numFmtId="0" fontId="24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0" fontId="6" fillId="5" borderId="0" xfId="0" applyNumberFormat="1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180" fontId="1" fillId="3" borderId="0" xfId="0" applyNumberFormat="1" applyFont="1" applyFill="1" applyAlignment="1">
      <alignment horizontal="center" vertical="center"/>
    </xf>
    <xf numFmtId="180" fontId="1" fillId="5" borderId="0" xfId="0" applyNumberFormat="1" applyFont="1" applyFill="1" applyAlignment="1">
      <alignment horizontal="center" vertical="center"/>
    </xf>
    <xf numFmtId="10" fontId="1" fillId="4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86" fontId="5" fillId="0" borderId="0" xfId="0" applyNumberFormat="1" applyFont="1" applyBorder="1" applyAlignment="1">
      <alignment horizontal="center" vertical="center"/>
    </xf>
    <xf numFmtId="10" fontId="5" fillId="0" borderId="0" xfId="0" applyNumberFormat="1" applyFont="1" applyBorder="1" applyAlignment="1">
      <alignment horizontal="center" vertical="center"/>
    </xf>
    <xf numFmtId="180" fontId="5" fillId="0" borderId="0" xfId="0" applyNumberFormat="1" applyFont="1" applyBorder="1" applyAlignment="1">
      <alignment horizontal="center" vertical="center"/>
    </xf>
    <xf numFmtId="0" fontId="1" fillId="0" borderId="0" xfId="0" applyFont="1" applyFill="1">
      <alignment vertical="center"/>
    </xf>
    <xf numFmtId="10" fontId="1" fillId="0" borderId="0" xfId="0" applyNumberFormat="1" applyFont="1" applyFill="1">
      <alignment vertical="center"/>
    </xf>
    <xf numFmtId="0" fontId="6" fillId="3" borderId="0" xfId="0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center" vertical="center"/>
    </xf>
    <xf numFmtId="10" fontId="1" fillId="5" borderId="0" xfId="0" applyNumberFormat="1" applyFont="1" applyFill="1" applyAlignment="1">
      <alignment horizontal="center" vertical="center"/>
    </xf>
    <xf numFmtId="180" fontId="6" fillId="3" borderId="0" xfId="0" applyNumberFormat="1" applyFont="1" applyFill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181" fontId="5" fillId="0" borderId="0" xfId="0" applyNumberFormat="1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81" fontId="1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/>
    </xf>
    <xf numFmtId="180" fontId="13" fillId="0" borderId="0" xfId="0" applyNumberFormat="1" applyFont="1" applyFill="1" applyBorder="1" applyAlignment="1">
      <alignment horizontal="center" vertical="center"/>
    </xf>
    <xf numFmtId="1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87" fontId="2" fillId="0" borderId="0" xfId="0" applyNumberFormat="1" applyFont="1" applyFill="1" applyBorder="1" applyAlignment="1">
      <alignment horizontal="center" vertical="center"/>
    </xf>
    <xf numFmtId="10" fontId="2" fillId="0" borderId="0" xfId="0" applyNumberFormat="1" applyFont="1" applyFill="1" applyBorder="1" applyAlignment="1">
      <alignment vertical="center"/>
    </xf>
    <xf numFmtId="180" fontId="2" fillId="0" borderId="0" xfId="0" applyNumberFormat="1" applyFont="1" applyFill="1" applyBorder="1" applyAlignment="1">
      <alignment vertical="center"/>
    </xf>
    <xf numFmtId="10" fontId="5" fillId="0" borderId="0" xfId="0" applyNumberFormat="1" applyFont="1" applyFill="1" applyBorder="1" applyAlignment="1">
      <alignment vertical="center"/>
    </xf>
    <xf numFmtId="180" fontId="5" fillId="0" borderId="0" xfId="0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0" fontId="17" fillId="4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0" fontId="1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180" fontId="9" fillId="0" borderId="0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180" fontId="6" fillId="5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81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6" fillId="0" borderId="0" xfId="0" applyFont="1" applyFill="1" applyAlignment="1">
      <alignment vertical="center"/>
    </xf>
    <xf numFmtId="185" fontId="5" fillId="0" borderId="0" xfId="0" applyNumberFormat="1" applyFont="1">
      <alignment vertical="center"/>
    </xf>
    <xf numFmtId="10" fontId="5" fillId="0" borderId="0" xfId="0" applyNumberFormat="1" applyFont="1" applyFill="1">
      <alignment vertical="center"/>
    </xf>
    <xf numFmtId="185" fontId="5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85" fontId="0" fillId="0" borderId="0" xfId="0" applyNumberFormat="1" applyAlignment="1">
      <alignment horizontal="center" vertical="center"/>
    </xf>
    <xf numFmtId="185" fontId="0" fillId="0" borderId="0" xfId="0" applyNumberFormat="1">
      <alignment vertical="center"/>
    </xf>
    <xf numFmtId="185" fontId="22" fillId="4" borderId="1" xfId="0" applyNumberFormat="1" applyFont="1" applyFill="1" applyBorder="1" applyAlignment="1">
      <alignment horizontal="center" vertical="center"/>
    </xf>
    <xf numFmtId="185" fontId="1" fillId="4" borderId="1" xfId="0" applyNumberFormat="1" applyFont="1" applyFill="1" applyBorder="1" applyAlignment="1">
      <alignment horizontal="center" vertical="center"/>
    </xf>
    <xf numFmtId="181" fontId="1" fillId="4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81" fontId="6" fillId="4" borderId="1" xfId="0" applyNumberFormat="1" applyFont="1" applyFill="1" applyBorder="1" applyAlignment="1">
      <alignment horizontal="center" vertical="center"/>
    </xf>
    <xf numFmtId="185" fontId="1" fillId="3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10" fontId="22" fillId="4" borderId="1" xfId="0" applyNumberFormat="1" applyFont="1" applyFill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185" fontId="29" fillId="4" borderId="0" xfId="0" applyNumberFormat="1" applyFont="1" applyFill="1" applyAlignment="1">
      <alignment horizontal="center" vertical="center"/>
    </xf>
    <xf numFmtId="10" fontId="29" fillId="4" borderId="0" xfId="0" applyNumberFormat="1" applyFont="1" applyFill="1" applyAlignment="1">
      <alignment horizontal="center" vertical="center"/>
    </xf>
    <xf numFmtId="9" fontId="29" fillId="4" borderId="0" xfId="0" applyNumberFormat="1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185" fontId="23" fillId="3" borderId="7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80" fontId="30" fillId="4" borderId="0" xfId="0" applyNumberFormat="1" applyFont="1" applyFill="1" applyAlignment="1">
      <alignment horizontal="center" vertical="center"/>
    </xf>
    <xf numFmtId="181" fontId="30" fillId="4" borderId="0" xfId="0" applyNumberFormat="1" applyFont="1" applyFill="1" applyAlignment="1">
      <alignment horizontal="center" vertical="center"/>
    </xf>
    <xf numFmtId="10" fontId="30" fillId="4" borderId="0" xfId="0" applyNumberFormat="1" applyFont="1" applyFill="1" applyAlignment="1">
      <alignment horizontal="center" vertical="center"/>
    </xf>
    <xf numFmtId="0" fontId="5" fillId="0" borderId="0" xfId="0" applyFont="1" applyBorder="1" applyAlignment="1">
      <alignment vertical="center"/>
    </xf>
    <xf numFmtId="185" fontId="23" fillId="3" borderId="1" xfId="0" applyNumberFormat="1" applyFont="1" applyFill="1" applyBorder="1" applyAlignment="1">
      <alignment horizontal="center" vertical="center"/>
    </xf>
    <xf numFmtId="180" fontId="23" fillId="3" borderId="1" xfId="0" applyNumberFormat="1" applyFont="1" applyFill="1" applyBorder="1" applyAlignment="1">
      <alignment horizontal="center" vertical="center"/>
    </xf>
    <xf numFmtId="181" fontId="23" fillId="3" borderId="1" xfId="0" applyNumberFormat="1" applyFont="1" applyFill="1" applyBorder="1" applyAlignment="1">
      <alignment horizontal="center" vertical="center"/>
    </xf>
    <xf numFmtId="10" fontId="23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13" xfId="49"/>
  </cellStyles>
  <dxfs count="15">
    <dxf>
      <font>
        <b val="1"/>
        <color theme="1"/>
      </font>
      <border>
        <bottom style="thin">
          <color theme="8"/>
        </bottom>
      </border>
    </dxf>
    <dxf>
      <font>
        <name val="Arial"/>
        <scheme val="none"/>
        <b val="0"/>
        <i val="0"/>
        <u val="none"/>
        <sz val="11"/>
        <color theme="1"/>
      </font>
      <border>
        <left/>
        <right/>
        <top/>
        <bottom/>
        <vertical/>
        <horizontal/>
      </border>
    </dxf>
    <dxf>
      <border>
        <top style="thin">
          <color theme="8" tint="0.799981688894314"/>
        </top>
        <bottom style="thin">
          <color theme="8" tint="0.799981688894314"/>
        </bottom>
      </border>
    </dxf>
    <dxf>
      <border>
        <top style="thin">
          <color theme="8" tint="0.799981688894314"/>
        </top>
        <bottom style="thin">
          <color theme="8" tint="0.799981688894314"/>
        </bottom>
      </border>
    </dxf>
    <dxf>
      <fill>
        <patternFill patternType="solid">
          <fgColor theme="8" tint="0.799981688894314"/>
          <bgColor theme="8" tint="0.799981688894314"/>
        </patternFill>
      </fill>
      <border>
        <bottom style="thin">
          <color theme="8"/>
        </bottom>
      </border>
    </dxf>
    <dxf>
      <font>
        <color theme="0"/>
      </font>
      <fill>
        <patternFill patternType="solid">
          <fgColor theme="8" tint="0.399975585192419"/>
          <bgColor theme="8" tint="0.399975585192419"/>
        </patternFill>
      </fill>
      <border>
        <bottom style="thin">
          <color theme="8" tint="0.799981688894314"/>
        </bottom>
        <horizontal style="thin">
          <color theme="8" tint="0.399975585192419"/>
        </horizontal>
      </border>
    </dxf>
    <dxf>
      <border>
        <bottom style="thin">
          <color theme="8" tint="0.599993896298105"/>
        </bottom>
      </border>
    </dxf>
    <dxf>
      <font>
        <b val="1"/>
        <color theme="1"/>
      </font>
      <fill>
        <patternFill patternType="solid">
          <fgColor theme="0" tint="-0.149998474074526"/>
          <bgColor theme="0" tint="-0.149998474074526"/>
        </patternFill>
      </fill>
    </dxf>
    <dxf>
      <font>
        <b val="1"/>
        <color theme="0"/>
      </font>
      <fill>
        <patternFill patternType="solid">
          <fgColor theme="8" tint="0.399975585192419"/>
          <bgColor theme="8" tint="0.399975585192419"/>
        </patternFill>
      </fill>
    </dxf>
    <dxf>
      <font>
        <b val="1"/>
        <color theme="0"/>
      </font>
    </dxf>
    <dxf>
      <border>
        <left style="thin">
          <color theme="8" tint="-0.249977111117893"/>
        </left>
        <right style="thin">
          <color theme="8" tint="-0.249977111117893"/>
        </right>
      </border>
    </dxf>
    <dxf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name val="宋体"/>
        <scheme val="none"/>
        <b val="0"/>
        <i val="0"/>
        <u val="none"/>
        <sz val="11"/>
        <color rgb="FFFFFFFF"/>
      </font>
      <fill>
        <patternFill patternType="solid">
          <bgColor theme="8" tint="-0.25"/>
        </patternFill>
      </fill>
      <border>
        <left/>
        <right/>
        <top style="double">
          <color theme="8" tint="-0.249977111117893"/>
        </top>
        <bottom/>
        <vertical/>
        <horizontal/>
      </border>
    </dxf>
    <dxf>
      <font>
        <color theme="0"/>
      </font>
      <fill>
        <patternFill patternType="solid">
          <fgColor theme="8" tint="-0.249977111117893"/>
          <bgColor theme="8" tint="-0.249977111117893"/>
        </patternFill>
      </fill>
      <border>
        <horizontal style="thin">
          <color theme="8" tint="-0.249977111117893"/>
        </horizontal>
      </border>
    </dxf>
    <dxf>
      <font>
        <color theme="1"/>
      </font>
      <border>
        <horizontal style="thin">
          <color theme="8" tint="0.799981688894314"/>
        </horizontal>
      </border>
    </dxf>
  </dxfs>
  <tableStyles count="2" defaultTableStyle="TableStyleMedium2" defaultPivotStyle="PivotStyleLight16">
    <tableStyle name="SlicerStyleDark5 2" pivot="0" table="0" count="10" xr9:uid="{D30D835C-6DCC-4534-BF1B-BA5FEF1D4946}">
      <tableStyleElement type="wholeTable" dxfId="1"/>
      <tableStyleElement type="headerRow" dxfId="0"/>
    </tableStyle>
    <tableStyle name="PivotStyleMedium6 2" table="0" count="13" xr9:uid="{180F4372-5EB6-4433-A5D4-D16E1D7EA4E8}">
      <tableStyleElement type="wholeTable" dxfId="14"/>
      <tableStyleElement type="headerRow" dxfId="13"/>
      <tableStyleElement type="totalRow" dxfId="12"/>
      <tableStyleElement type="firstRowStripe" dxfId="11"/>
      <tableStyleElement type="firstColumnStripe" dxfId="10"/>
      <tableStyleElement type="firstHeaderCell" dxfId="9"/>
      <tableStyleElement type="firstSubtotalRow" dxfId="8"/>
      <tableStyleElement type="secondSubtotalRow" dxfId="7"/>
      <tableStyleElement type="firstColumnSubheading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00000000"/>
      <color rgb="00FFFFFF"/>
      <color rgb="00C000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theme="8" tint="-0.249977111117893"/>
          </font>
          <fill>
            <patternFill patternType="solid">
              <fgColor theme="8" tint="0.599993896298105"/>
              <bgColor theme="8" tint="0.599993896298105"/>
            </patternFill>
          </fill>
          <border>
            <left style="thin">
              <color theme="8" tint="0.599993896298105"/>
            </left>
            <right style="thin">
              <color theme="8" tint="0.599993896298105"/>
            </right>
            <top style="thin">
              <color theme="8" tint="0.599993896298105"/>
            </top>
            <bottom style="thin">
              <color theme="8" tint="0.599993896298105"/>
            </bottom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73660</xdr:colOff>
      <xdr:row>5</xdr:row>
      <xdr:rowOff>163830</xdr:rowOff>
    </xdr:from>
    <xdr:to>
      <xdr:col>4</xdr:col>
      <xdr:colOff>0</xdr:colOff>
      <xdr:row>5</xdr:row>
      <xdr:rowOff>862965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14880" y="3869055"/>
          <a:ext cx="1574800" cy="699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351155</xdr:colOff>
      <xdr:row>11</xdr:row>
      <xdr:rowOff>63500</xdr:rowOff>
    </xdr:from>
    <xdr:to>
      <xdr:col>3</xdr:col>
      <xdr:colOff>1324610</xdr:colOff>
      <xdr:row>11</xdr:row>
      <xdr:rowOff>597535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192375" y="8185150"/>
          <a:ext cx="973455" cy="53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73660</xdr:colOff>
      <xdr:row>6</xdr:row>
      <xdr:rowOff>163830</xdr:rowOff>
    </xdr:from>
    <xdr:to>
      <xdr:col>4</xdr:col>
      <xdr:colOff>0</xdr:colOff>
      <xdr:row>6</xdr:row>
      <xdr:rowOff>862965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14880" y="4872355"/>
          <a:ext cx="1574800" cy="699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395605</xdr:colOff>
      <xdr:row>11</xdr:row>
      <xdr:rowOff>28575</xdr:rowOff>
    </xdr:from>
    <xdr:to>
      <xdr:col>3</xdr:col>
      <xdr:colOff>1330960</xdr:colOff>
      <xdr:row>11</xdr:row>
      <xdr:rowOff>578485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236825" y="8150225"/>
          <a:ext cx="935355" cy="54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581025</xdr:colOff>
      <xdr:row>14</xdr:row>
      <xdr:rowOff>56515</xdr:rowOff>
    </xdr:from>
    <xdr:to>
      <xdr:col>3</xdr:col>
      <xdr:colOff>1009650</xdr:colOff>
      <xdr:row>14</xdr:row>
      <xdr:rowOff>1340485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422245" y="9829165"/>
          <a:ext cx="428625" cy="1283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topLeftCell="B1" workbookViewId="0">
      <selection activeCell="B4" sqref="B4"/>
    </sheetView>
  </sheetViews>
  <sheetFormatPr defaultColWidth="9" defaultRowHeight="14.25" outlineLevelCol="3"/>
  <cols>
    <col min="1" max="1" width="21.6333333333333" style="26" customWidth="1"/>
    <col min="2" max="2" width="151.5" style="26" customWidth="1"/>
    <col min="3" max="4" width="21.6333333333333" style="26" customWidth="1"/>
    <col min="5" max="16384" width="9" style="26"/>
  </cols>
  <sheetData>
    <row r="1" ht="27" customHeight="1" spans="1:4">
      <c r="A1" s="72" t="s">
        <v>0</v>
      </c>
      <c r="B1" s="72" t="s">
        <v>1</v>
      </c>
      <c r="C1" s="72" t="s">
        <v>2</v>
      </c>
      <c r="D1" s="72" t="s">
        <v>3</v>
      </c>
    </row>
    <row r="2" ht="42.75" spans="1:4">
      <c r="A2" s="20" t="s">
        <v>4</v>
      </c>
      <c r="B2" s="257" t="s">
        <v>5</v>
      </c>
      <c r="C2" s="20" t="s">
        <v>6</v>
      </c>
      <c r="D2" s="20" t="s">
        <v>6</v>
      </c>
    </row>
    <row r="3" ht="81" customHeight="1" spans="1:4">
      <c r="A3" s="258" t="s">
        <v>7</v>
      </c>
      <c r="B3" s="257" t="s">
        <v>8</v>
      </c>
      <c r="C3" s="20"/>
      <c r="D3" s="20"/>
    </row>
    <row r="4" ht="81" customHeight="1" spans="1:4">
      <c r="A4" s="121" t="s">
        <v>9</v>
      </c>
      <c r="B4" s="257" t="s">
        <v>10</v>
      </c>
      <c r="C4" s="20" t="s">
        <v>6</v>
      </c>
      <c r="D4" s="20" t="s">
        <v>6</v>
      </c>
    </row>
    <row r="5" ht="60" customHeight="1" spans="1:4">
      <c r="A5" s="121" t="s">
        <v>11</v>
      </c>
      <c r="B5" s="257" t="s">
        <v>12</v>
      </c>
      <c r="C5" s="20" t="s">
        <v>6</v>
      </c>
      <c r="D5" s="20"/>
    </row>
    <row r="6" ht="79" customHeight="1" spans="1:4">
      <c r="A6" s="121" t="s">
        <v>13</v>
      </c>
      <c r="B6" s="259" t="s">
        <v>14</v>
      </c>
      <c r="C6" s="20" t="s">
        <v>6</v>
      </c>
      <c r="D6" s="20"/>
    </row>
    <row r="7" ht="71.25" spans="1:4">
      <c r="A7" s="121" t="s">
        <v>15</v>
      </c>
      <c r="B7" s="257" t="s">
        <v>16</v>
      </c>
      <c r="C7" s="20" t="s">
        <v>6</v>
      </c>
      <c r="D7" s="20"/>
    </row>
    <row r="8" ht="28.5" spans="1:4">
      <c r="A8" s="20" t="s">
        <v>17</v>
      </c>
      <c r="B8" s="260" t="s">
        <v>18</v>
      </c>
      <c r="C8" s="20" t="s">
        <v>6</v>
      </c>
      <c r="D8" s="20" t="s">
        <v>6</v>
      </c>
    </row>
    <row r="9" ht="73" customHeight="1" spans="1:4">
      <c r="A9" s="121" t="s">
        <v>19</v>
      </c>
      <c r="B9" s="260" t="s">
        <v>18</v>
      </c>
      <c r="C9" s="20" t="s">
        <v>6</v>
      </c>
      <c r="D9" s="20" t="s">
        <v>6</v>
      </c>
    </row>
    <row r="10" ht="48" customHeight="1" spans="1:4">
      <c r="A10" s="121" t="s">
        <v>20</v>
      </c>
      <c r="B10" s="257" t="s">
        <v>21</v>
      </c>
      <c r="C10" s="20" t="s">
        <v>6</v>
      </c>
      <c r="D10" s="20"/>
    </row>
    <row r="11" ht="48" customHeight="1" spans="1:4">
      <c r="A11" s="121" t="s">
        <v>22</v>
      </c>
      <c r="B11" s="257" t="s">
        <v>23</v>
      </c>
      <c r="C11" s="20"/>
      <c r="D11" s="20"/>
    </row>
    <row r="12" ht="52" customHeight="1" spans="1:4">
      <c r="A12" s="121" t="s">
        <v>24</v>
      </c>
      <c r="B12" s="257" t="s">
        <v>25</v>
      </c>
      <c r="C12" s="20"/>
      <c r="D12" s="20"/>
    </row>
    <row r="13" ht="51" customHeight="1" spans="1:4">
      <c r="A13" s="121" t="s">
        <v>26</v>
      </c>
      <c r="B13" s="257" t="s">
        <v>27</v>
      </c>
      <c r="C13" s="20"/>
      <c r="D13" s="20"/>
    </row>
    <row r="14" ht="27" customHeight="1" spans="1:4">
      <c r="A14" s="258" t="s">
        <v>28</v>
      </c>
      <c r="B14" s="261" t="s">
        <v>29</v>
      </c>
      <c r="C14" s="20"/>
      <c r="D14" s="20"/>
    </row>
    <row r="15" ht="112" customHeight="1" spans="1:4">
      <c r="A15" s="258" t="s">
        <v>30</v>
      </c>
      <c r="B15" s="261" t="s">
        <v>31</v>
      </c>
      <c r="C15" s="20"/>
      <c r="D15" s="20"/>
    </row>
  </sheetData>
  <mergeCells count="1">
    <mergeCell ref="D10:D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C00000"/>
  </sheetPr>
  <dimension ref="A1:S21"/>
  <sheetViews>
    <sheetView workbookViewId="0">
      <selection activeCell="E21" sqref="E21"/>
    </sheetView>
  </sheetViews>
  <sheetFormatPr defaultColWidth="9" defaultRowHeight="14.25"/>
  <cols>
    <col min="1" max="1" width="9.13333333333333" style="26" customWidth="1"/>
    <col min="2" max="3" width="21" style="106" customWidth="1"/>
    <col min="4" max="4" width="21" style="28" customWidth="1"/>
    <col min="5" max="5" width="21" style="106" customWidth="1"/>
    <col min="6" max="6" width="21" style="239" customWidth="1"/>
    <col min="7" max="7" width="4.38333333333333" style="26" customWidth="1"/>
    <col min="8" max="8" width="10.8833333333333" style="26" customWidth="1"/>
    <col min="9" max="9" width="17.3833333333333" style="26" customWidth="1"/>
    <col min="10" max="10" width="15" style="26" customWidth="1"/>
    <col min="11" max="11" width="17.1333333333333" style="27" customWidth="1"/>
    <col min="12" max="12" width="15" style="180" customWidth="1"/>
    <col min="13" max="13" width="18.5" style="27" customWidth="1"/>
    <col min="14" max="14" width="10.1333333333333" style="28" customWidth="1"/>
    <col min="15" max="15" width="10.8833333333333" style="28" customWidth="1"/>
    <col min="16" max="16384" width="9" style="26"/>
  </cols>
  <sheetData>
    <row r="1" ht="36" customHeight="1" spans="1:19">
      <c r="A1" s="240" t="s">
        <v>32</v>
      </c>
      <c r="B1" s="241"/>
      <c r="C1" s="241"/>
      <c r="D1" s="242"/>
      <c r="E1" s="241"/>
      <c r="F1" s="243"/>
      <c r="H1" s="244" t="s">
        <v>33</v>
      </c>
      <c r="I1" s="244"/>
      <c r="J1" s="244"/>
      <c r="K1" s="249"/>
      <c r="L1" s="250"/>
      <c r="M1" s="249"/>
      <c r="N1" s="251"/>
      <c r="O1" s="251"/>
      <c r="P1" s="252"/>
      <c r="Q1" s="252"/>
      <c r="R1" s="252"/>
      <c r="S1" s="252"/>
    </row>
    <row r="2" ht="25" customHeight="1" spans="1:15">
      <c r="A2" s="57" t="s">
        <v>34</v>
      </c>
      <c r="B2" s="236" t="s">
        <v>35</v>
      </c>
      <c r="C2" s="236" t="s">
        <v>36</v>
      </c>
      <c r="D2" s="122" t="s">
        <v>37</v>
      </c>
      <c r="E2" s="236" t="s">
        <v>38</v>
      </c>
      <c r="F2" s="245" t="s">
        <v>39</v>
      </c>
      <c r="H2" s="246" t="s">
        <v>40</v>
      </c>
      <c r="I2" s="253" t="s">
        <v>41</v>
      </c>
      <c r="J2" s="253" t="s">
        <v>42</v>
      </c>
      <c r="K2" s="254" t="s">
        <v>43</v>
      </c>
      <c r="L2" s="255" t="s">
        <v>44</v>
      </c>
      <c r="M2" s="254" t="s">
        <v>45</v>
      </c>
      <c r="N2" s="256" t="s">
        <v>46</v>
      </c>
      <c r="O2" s="256" t="s">
        <v>47</v>
      </c>
    </row>
    <row r="3" ht="22" customHeight="1" spans="1:15">
      <c r="A3" s="20">
        <v>1</v>
      </c>
      <c r="B3" s="85"/>
      <c r="C3" s="85"/>
      <c r="D3" s="21">
        <f>IFERROR(C3/B3,0)</f>
        <v>0</v>
      </c>
      <c r="E3" s="85"/>
      <c r="F3" s="247">
        <f>IFERROR((E3-C3)/C3,0)</f>
        <v>0</v>
      </c>
      <c r="H3" s="20"/>
      <c r="I3" s="20"/>
      <c r="J3" s="20">
        <f>SUMIFS(单品目标年销量!I:I,单品目标年销量!B:B,I:I,单品目标年销量!A:A,H:H)</f>
        <v>0</v>
      </c>
      <c r="K3" s="38">
        <f>SUMIFS(单品目标年销量!P:P,单品目标年销量!B:B,I:I,单品目标年销量!A:A,H:H)</f>
        <v>0</v>
      </c>
      <c r="L3" s="39">
        <f>SUMIFS(单品目标年销量!U:U,单品目标年销量!B:B,I:I,单品目标年销量!A:A,H:H)</f>
        <v>0</v>
      </c>
      <c r="M3" s="38">
        <f>SUMIFS(单品目标年销量!W:W,单品目标年销量!B:B,I:I,单品目标年销量!A:A,H:H)</f>
        <v>0</v>
      </c>
      <c r="N3" s="21">
        <f>IFERROR((L3-J3)/J3,0)</f>
        <v>0</v>
      </c>
      <c r="O3" s="21">
        <f>IFERROR((M3-K3)/K3,0)</f>
        <v>0</v>
      </c>
    </row>
    <row r="4" ht="22" customHeight="1" spans="1:15">
      <c r="A4" s="20">
        <v>2</v>
      </c>
      <c r="B4" s="85"/>
      <c r="C4" s="85"/>
      <c r="D4" s="21">
        <f t="shared" ref="D4:D15" si="0">IFERROR(C4/B4,0)</f>
        <v>0</v>
      </c>
      <c r="E4" s="85"/>
      <c r="F4" s="247">
        <f t="shared" ref="F4:F15" si="1">IFERROR((E4-C4)/C4,0)</f>
        <v>0</v>
      </c>
      <c r="H4" s="20"/>
      <c r="I4" s="20"/>
      <c r="J4" s="20">
        <f>SUMIFS(单品目标年销量!I:I,单品目标年销量!B:B,I:I,单品目标年销量!A:A,H:H)</f>
        <v>0</v>
      </c>
      <c r="K4" s="38">
        <f>SUMIFS(单品目标年销量!P:P,单品目标年销量!B:B,I:I,单品目标年销量!A:A,H:H)</f>
        <v>0</v>
      </c>
      <c r="L4" s="39">
        <f>SUMIFS(单品目标年销量!U:U,单品目标年销量!B:B,I:I,单品目标年销量!A:A,H:H)</f>
        <v>0</v>
      </c>
      <c r="M4" s="38">
        <f>SUMIFS(单品目标年销量!W:W,单品目标年销量!B:B,I:I,单品目标年销量!A:A,H:H)</f>
        <v>0</v>
      </c>
      <c r="N4" s="21">
        <f t="shared" ref="N4:N12" si="2">IFERROR((L4-J4)/J4,0)</f>
        <v>0</v>
      </c>
      <c r="O4" s="21">
        <f t="shared" ref="O4:O12" si="3">IFERROR((M4-K4)/K4,0)</f>
        <v>0</v>
      </c>
    </row>
    <row r="5" ht="22" customHeight="1" spans="1:15">
      <c r="A5" s="20">
        <v>3</v>
      </c>
      <c r="B5" s="85"/>
      <c r="C5" s="85"/>
      <c r="D5" s="21">
        <f t="shared" si="0"/>
        <v>0</v>
      </c>
      <c r="E5" s="85"/>
      <c r="F5" s="247">
        <f t="shared" si="1"/>
        <v>0</v>
      </c>
      <c r="H5" s="20"/>
      <c r="I5" s="121"/>
      <c r="J5" s="20">
        <f>SUMIFS(单品目标年销量!I:I,单品目标年销量!B:B,I:I,单品目标年销量!A:A,H:H)</f>
        <v>0</v>
      </c>
      <c r="K5" s="38">
        <f>SUMIFS(单品目标年销量!P:P,单品目标年销量!B:B,I:I,单品目标年销量!A:A,H:H)</f>
        <v>0</v>
      </c>
      <c r="L5" s="39">
        <f>SUMIFS(单品目标年销量!U:U,单品目标年销量!B:B,I:I,单品目标年销量!A:A,H:H)</f>
        <v>0</v>
      </c>
      <c r="M5" s="38">
        <f>SUMIFS(单品目标年销量!W:W,单品目标年销量!B:B,I:I,单品目标年销量!A:A,H:H)</f>
        <v>0</v>
      </c>
      <c r="N5" s="21">
        <f t="shared" si="2"/>
        <v>0</v>
      </c>
      <c r="O5" s="21">
        <f t="shared" si="3"/>
        <v>0</v>
      </c>
    </row>
    <row r="6" ht="22" customHeight="1" spans="1:15">
      <c r="A6" s="20">
        <v>4</v>
      </c>
      <c r="B6" s="85"/>
      <c r="C6" s="85"/>
      <c r="D6" s="21">
        <f t="shared" si="0"/>
        <v>0</v>
      </c>
      <c r="E6" s="85"/>
      <c r="F6" s="247">
        <f t="shared" si="1"/>
        <v>0</v>
      </c>
      <c r="H6" s="20"/>
      <c r="I6" s="121"/>
      <c r="J6" s="20">
        <f>SUMIFS(单品目标年销量!I:I,单品目标年销量!B:B,I:I,单品目标年销量!A:A,H:H)</f>
        <v>0</v>
      </c>
      <c r="K6" s="38">
        <f>SUMIFS(单品目标年销量!P:P,单品目标年销量!B:B,I:I,单品目标年销量!A:A,H:H)</f>
        <v>0</v>
      </c>
      <c r="L6" s="39">
        <f>SUMIFS(单品目标年销量!U:U,单品目标年销量!B:B,I:I,单品目标年销量!A:A,H:H)</f>
        <v>0</v>
      </c>
      <c r="M6" s="38">
        <f>SUMIFS(单品目标年销量!W:W,单品目标年销量!B:B,I:I,单品目标年销量!A:A,H:H)</f>
        <v>0</v>
      </c>
      <c r="N6" s="21">
        <f t="shared" si="2"/>
        <v>0</v>
      </c>
      <c r="O6" s="21">
        <f t="shared" si="3"/>
        <v>0</v>
      </c>
    </row>
    <row r="7" ht="22" customHeight="1" spans="1:15">
      <c r="A7" s="20">
        <v>5</v>
      </c>
      <c r="B7" s="85"/>
      <c r="C7" s="85"/>
      <c r="D7" s="21">
        <f t="shared" si="0"/>
        <v>0</v>
      </c>
      <c r="E7" s="85"/>
      <c r="F7" s="247">
        <f t="shared" si="1"/>
        <v>0</v>
      </c>
      <c r="H7" s="20"/>
      <c r="I7" s="121"/>
      <c r="J7" s="20">
        <f>SUMIFS(单品目标年销量!I:I,单品目标年销量!B:B,I:I,单品目标年销量!A:A,H:H)</f>
        <v>0</v>
      </c>
      <c r="K7" s="38">
        <f>SUMIFS(单品目标年销量!P:P,单品目标年销量!B:B,I:I,单品目标年销量!A:A,H:H)</f>
        <v>0</v>
      </c>
      <c r="L7" s="39">
        <f>SUMIFS(单品目标年销量!U:U,单品目标年销量!B:B,I:I,单品目标年销量!A:A,H:H)</f>
        <v>0</v>
      </c>
      <c r="M7" s="38">
        <f>SUMIFS(单品目标年销量!W:W,单品目标年销量!B:B,I:I,单品目标年销量!A:A,H:H)</f>
        <v>0</v>
      </c>
      <c r="N7" s="21">
        <f t="shared" si="2"/>
        <v>0</v>
      </c>
      <c r="O7" s="21">
        <f t="shared" si="3"/>
        <v>0</v>
      </c>
    </row>
    <row r="8" ht="22" customHeight="1" spans="1:15">
      <c r="A8" s="20">
        <v>6</v>
      </c>
      <c r="B8" s="85"/>
      <c r="C8" s="85"/>
      <c r="D8" s="21">
        <f t="shared" si="0"/>
        <v>0</v>
      </c>
      <c r="E8" s="85"/>
      <c r="F8" s="247">
        <f t="shared" si="1"/>
        <v>0</v>
      </c>
      <c r="H8" s="20"/>
      <c r="I8" s="20"/>
      <c r="J8" s="20">
        <f>SUMIFS(单品目标年销量!I:I,单品目标年销量!B:B,I:I,单品目标年销量!A:A,H:H)</f>
        <v>0</v>
      </c>
      <c r="K8" s="38">
        <f>SUMIFS(单品目标年销量!P:P,单品目标年销量!B:B,I:I,单品目标年销量!A:A,H:H)</f>
        <v>0</v>
      </c>
      <c r="L8" s="39">
        <f>SUMIFS(单品目标年销量!U:U,单品目标年销量!B:B,I:I,单品目标年销量!A:A,H:H)</f>
        <v>0</v>
      </c>
      <c r="M8" s="38">
        <f>SUMIFS(单品目标年销量!W:W,单品目标年销量!B:B,I:I,单品目标年销量!A:A,H:H)</f>
        <v>0</v>
      </c>
      <c r="N8" s="21">
        <f t="shared" si="2"/>
        <v>0</v>
      </c>
      <c r="O8" s="21">
        <f t="shared" si="3"/>
        <v>0</v>
      </c>
    </row>
    <row r="9" ht="22" customHeight="1" spans="1:15">
      <c r="A9" s="20">
        <v>7</v>
      </c>
      <c r="B9" s="85"/>
      <c r="C9" s="85"/>
      <c r="D9" s="21">
        <f t="shared" si="0"/>
        <v>0</v>
      </c>
      <c r="E9" s="85"/>
      <c r="F9" s="247">
        <f t="shared" si="1"/>
        <v>0</v>
      </c>
      <c r="H9" s="121"/>
      <c r="I9" s="121"/>
      <c r="J9" s="20">
        <f>SUMIFS(单品目标年销量!I:I,单品目标年销量!B:B,I:I,单品目标年销量!A:A,H:H)</f>
        <v>0</v>
      </c>
      <c r="K9" s="38">
        <f>SUMIFS(单品目标年销量!P:P,单品目标年销量!B:B,I:I,单品目标年销量!A:A,H:H)</f>
        <v>0</v>
      </c>
      <c r="L9" s="39">
        <f>SUMIFS(单品目标年销量!U:U,单品目标年销量!B:B,I:I,单品目标年销量!A:A,H:H)</f>
        <v>0</v>
      </c>
      <c r="M9" s="38">
        <f>SUMIFS(单品目标年销量!W:W,单品目标年销量!B:B,I:I,单品目标年销量!A:A,H:H)</f>
        <v>0</v>
      </c>
      <c r="N9" s="21">
        <f t="shared" si="2"/>
        <v>0</v>
      </c>
      <c r="O9" s="21">
        <f t="shared" si="3"/>
        <v>0</v>
      </c>
    </row>
    <row r="10" ht="22" customHeight="1" spans="1:15">
      <c r="A10" s="20">
        <v>8</v>
      </c>
      <c r="B10" s="85"/>
      <c r="C10" s="85"/>
      <c r="D10" s="21">
        <f t="shared" si="0"/>
        <v>0</v>
      </c>
      <c r="E10" s="85"/>
      <c r="F10" s="247">
        <f t="shared" si="1"/>
        <v>0</v>
      </c>
      <c r="H10" s="121"/>
      <c r="I10" s="20"/>
      <c r="J10" s="20">
        <f>SUMIFS(单品目标年销量!I:I,单品目标年销量!B:B,I:I,单品目标年销量!A:A,H:H)</f>
        <v>0</v>
      </c>
      <c r="K10" s="38">
        <f>SUMIFS(单品目标年销量!P:P,单品目标年销量!B:B,I:I,单品目标年销量!A:A,H:H)</f>
        <v>0</v>
      </c>
      <c r="L10" s="39">
        <f>SUMIFS(单品目标年销量!U:U,单品目标年销量!B:B,I:I,单品目标年销量!A:A,H:H)</f>
        <v>0</v>
      </c>
      <c r="M10" s="38">
        <f>SUMIFS(单品目标年销量!W:W,单品目标年销量!B:B,I:I,单品目标年销量!A:A,H:H)</f>
        <v>0</v>
      </c>
      <c r="N10" s="21">
        <f t="shared" si="2"/>
        <v>0</v>
      </c>
      <c r="O10" s="21">
        <f t="shared" si="3"/>
        <v>0</v>
      </c>
    </row>
    <row r="11" ht="22" customHeight="1" spans="1:15">
      <c r="A11" s="20">
        <v>9</v>
      </c>
      <c r="B11" s="85"/>
      <c r="C11" s="85"/>
      <c r="D11" s="21">
        <f t="shared" si="0"/>
        <v>0</v>
      </c>
      <c r="E11" s="85"/>
      <c r="F11" s="247">
        <f t="shared" si="1"/>
        <v>0</v>
      </c>
      <c r="H11" s="121"/>
      <c r="I11" s="20"/>
      <c r="J11" s="20">
        <f>SUMIFS(单品目标年销量!I:I,单品目标年销量!B:B,I:I,单品目标年销量!A:A,H:H)</f>
        <v>0</v>
      </c>
      <c r="K11" s="38">
        <f>SUMIFS(单品目标年销量!P:P,单品目标年销量!B:B,I:I,单品目标年销量!A:A,H:H)</f>
        <v>0</v>
      </c>
      <c r="L11" s="39">
        <f>SUMIFS(单品目标年销量!U:U,单品目标年销量!B:B,I:I,单品目标年销量!A:A,H:H)</f>
        <v>0</v>
      </c>
      <c r="M11" s="38">
        <f>SUMIFS(单品目标年销量!W:W,单品目标年销量!B:B,I:I,单品目标年销量!A:A,H:H)</f>
        <v>0</v>
      </c>
      <c r="N11" s="21">
        <f t="shared" si="2"/>
        <v>0</v>
      </c>
      <c r="O11" s="21">
        <f t="shared" si="3"/>
        <v>0</v>
      </c>
    </row>
    <row r="12" ht="22" customHeight="1" spans="1:15">
      <c r="A12" s="20">
        <v>10</v>
      </c>
      <c r="B12" s="85"/>
      <c r="C12" s="85"/>
      <c r="D12" s="21">
        <f t="shared" si="0"/>
        <v>0</v>
      </c>
      <c r="E12" s="85"/>
      <c r="F12" s="247">
        <f t="shared" si="1"/>
        <v>0</v>
      </c>
      <c r="H12" s="121" t="s">
        <v>48</v>
      </c>
      <c r="I12" s="20" t="s">
        <v>6</v>
      </c>
      <c r="J12" s="20">
        <f>SUM(J3:J11)</f>
        <v>0</v>
      </c>
      <c r="K12" s="38">
        <f>SUM(K3:K11)</f>
        <v>0</v>
      </c>
      <c r="L12" s="39">
        <f>SUM(L3:L11)</f>
        <v>0</v>
      </c>
      <c r="M12" s="38">
        <f>SUM(M3:M11)</f>
        <v>0</v>
      </c>
      <c r="N12" s="21">
        <f t="shared" si="2"/>
        <v>0</v>
      </c>
      <c r="O12" s="21">
        <f t="shared" si="3"/>
        <v>0</v>
      </c>
    </row>
    <row r="13" ht="22" customHeight="1" spans="1:6">
      <c r="A13" s="20">
        <v>11</v>
      </c>
      <c r="B13" s="85"/>
      <c r="C13" s="85"/>
      <c r="D13" s="21">
        <f t="shared" si="0"/>
        <v>0</v>
      </c>
      <c r="E13" s="85"/>
      <c r="F13" s="247">
        <f t="shared" si="1"/>
        <v>0</v>
      </c>
    </row>
    <row r="14" ht="22" customHeight="1" spans="1:6">
      <c r="A14" s="20">
        <v>12</v>
      </c>
      <c r="B14" s="85"/>
      <c r="C14" s="85"/>
      <c r="D14" s="21">
        <f t="shared" si="0"/>
        <v>0</v>
      </c>
      <c r="E14" s="85"/>
      <c r="F14" s="247">
        <f t="shared" si="1"/>
        <v>0</v>
      </c>
    </row>
    <row r="15" ht="22" customHeight="1" spans="1:6">
      <c r="A15" s="121" t="s">
        <v>48</v>
      </c>
      <c r="B15" s="85">
        <f>SUM(B3:B14)</f>
        <v>0</v>
      </c>
      <c r="C15" s="85">
        <f>SUM(C3:C14)</f>
        <v>0</v>
      </c>
      <c r="D15" s="21">
        <f t="shared" si="0"/>
        <v>0</v>
      </c>
      <c r="E15" s="85">
        <f>SUM(E3:E14)</f>
        <v>0</v>
      </c>
      <c r="F15" s="247">
        <f t="shared" si="1"/>
        <v>0</v>
      </c>
    </row>
    <row r="17" spans="1:3">
      <c r="A17" s="157" t="s">
        <v>49</v>
      </c>
      <c r="B17" s="248" t="s">
        <v>50</v>
      </c>
      <c r="C17" s="211"/>
    </row>
    <row r="18" spans="1:2">
      <c r="A18" s="26" t="s">
        <v>51</v>
      </c>
      <c r="B18" s="26">
        <v>1.0682148</v>
      </c>
    </row>
    <row r="19" spans="1:2">
      <c r="A19" s="26" t="s">
        <v>52</v>
      </c>
      <c r="B19" s="26">
        <v>1.2075472</v>
      </c>
    </row>
    <row r="20" spans="1:2">
      <c r="A20" s="26" t="s">
        <v>53</v>
      </c>
      <c r="B20" s="26">
        <v>6.89</v>
      </c>
    </row>
    <row r="21" spans="1:2">
      <c r="A21" s="26" t="s">
        <v>54</v>
      </c>
      <c r="B21" s="26">
        <v>0.0956459</v>
      </c>
    </row>
  </sheetData>
  <mergeCells count="2">
    <mergeCell ref="A1:F1"/>
    <mergeCell ref="H1:O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zoomScale="55" zoomScaleNormal="55" workbookViewId="0">
      <pane xSplit="6" ySplit="2" topLeftCell="G3" activePane="bottomRight" state="frozen"/>
      <selection/>
      <selection pane="topRight"/>
      <selection pane="bottomLeft"/>
      <selection pane="bottomRight" activeCell="F14" sqref="F14"/>
    </sheetView>
  </sheetViews>
  <sheetFormatPr defaultColWidth="9" defaultRowHeight="14.25"/>
  <cols>
    <col min="1" max="1" width="11.1333333333333" style="26" customWidth="1"/>
    <col min="2" max="3" width="17.3833333333333" style="26" customWidth="1"/>
    <col min="4" max="4" width="15.25" style="26" customWidth="1"/>
    <col min="5" max="5" width="17.1333333333333" style="26" customWidth="1"/>
    <col min="6" max="6" width="64.5" style="228" customWidth="1"/>
    <col min="7" max="7" width="13.25" style="229" customWidth="1"/>
    <col min="8" max="8" width="8.63333333333333" style="128" customWidth="1"/>
    <col min="9" max="9" width="15" style="128" customWidth="1"/>
    <col min="10" max="10" width="10" style="229" customWidth="1"/>
    <col min="11" max="15" width="13.6333333333333" style="229" customWidth="1"/>
    <col min="16" max="16" width="13.6333333333333" style="230" customWidth="1"/>
    <col min="17" max="17" width="12.6333333333333" style="2" customWidth="1"/>
    <col min="18" max="18" width="8.88333333333333" style="230" customWidth="1"/>
    <col min="19" max="19" width="8.63333333333333" style="229" customWidth="1"/>
    <col min="20" max="20" width="9.75" style="229" customWidth="1"/>
    <col min="21" max="21" width="12.6333333333333" style="230" customWidth="1"/>
    <col min="22" max="22" width="12.6333333333333" style="129" customWidth="1"/>
    <col min="23" max="23" width="10.6333333333333" style="129" customWidth="1"/>
    <col min="24" max="24" width="11.5" style="229" customWidth="1"/>
    <col min="25" max="25" width="10.6333333333333" style="2" customWidth="1"/>
  </cols>
  <sheetData>
    <row r="1" ht="23" customHeight="1" spans="1:25">
      <c r="A1" s="61" t="s">
        <v>55</v>
      </c>
      <c r="B1" s="61" t="s">
        <v>56</v>
      </c>
      <c r="C1" s="61" t="s">
        <v>57</v>
      </c>
      <c r="D1" s="61" t="s">
        <v>58</v>
      </c>
      <c r="E1" s="61" t="s">
        <v>59</v>
      </c>
      <c r="F1" s="61" t="s">
        <v>60</v>
      </c>
      <c r="G1" s="231" t="s">
        <v>61</v>
      </c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8"/>
    </row>
    <row r="2" ht="24" customHeight="1" spans="1:25">
      <c r="A2" s="61"/>
      <c r="B2" s="61"/>
      <c r="C2" s="61"/>
      <c r="D2" s="61"/>
      <c r="E2" s="61"/>
      <c r="F2" s="61"/>
      <c r="G2" s="232" t="s">
        <v>62</v>
      </c>
      <c r="H2" s="233" t="s">
        <v>63</v>
      </c>
      <c r="I2" s="235" t="s">
        <v>64</v>
      </c>
      <c r="J2" s="232" t="s">
        <v>65</v>
      </c>
      <c r="K2" s="232" t="s">
        <v>66</v>
      </c>
      <c r="L2" s="232" t="s">
        <v>67</v>
      </c>
      <c r="M2" s="232" t="s">
        <v>68</v>
      </c>
      <c r="N2" s="232" t="s">
        <v>69</v>
      </c>
      <c r="O2" s="232" t="s">
        <v>70</v>
      </c>
      <c r="P2" s="236" t="s">
        <v>71</v>
      </c>
      <c r="Q2" s="237" t="s">
        <v>72</v>
      </c>
      <c r="R2" s="236" t="s">
        <v>73</v>
      </c>
      <c r="S2" s="236" t="s">
        <v>74</v>
      </c>
      <c r="T2" s="236" t="s">
        <v>75</v>
      </c>
      <c r="U2" s="232" t="s">
        <v>76</v>
      </c>
      <c r="V2" s="237" t="s">
        <v>77</v>
      </c>
      <c r="W2" s="237" t="s">
        <v>78</v>
      </c>
      <c r="X2" s="85" t="s">
        <v>79</v>
      </c>
      <c r="Y2" s="21" t="s">
        <v>80</v>
      </c>
    </row>
    <row r="3" ht="27" customHeight="1" spans="1:25">
      <c r="A3" s="36"/>
      <c r="B3" s="36"/>
      <c r="C3" s="37"/>
      <c r="D3" s="37"/>
      <c r="E3" s="37"/>
      <c r="F3" s="110"/>
      <c r="G3" s="85">
        <f>SUMIF(每月目标分解!E:E,F:F,每月目标分解!R:R)*年目标!$B$18</f>
        <v>0</v>
      </c>
      <c r="H3" s="39">
        <f>IFERROR(SUMIF(F:F,每月目标分解!E:E,每月目标分解!R:R)/SUMIF(F:F,单品目标年销量!E:E,单品目标年销量!F:F),0)</f>
        <v>0</v>
      </c>
      <c r="I3" s="39">
        <f>H3*0.4</f>
        <v>0</v>
      </c>
      <c r="J3" s="85">
        <f>IFERROR(G3*'2022年全年财务报表'!$E$154,0)</f>
        <v>0</v>
      </c>
      <c r="K3" s="85">
        <f>G3*'2022年全年财务报表'!$G$154</f>
        <v>0</v>
      </c>
      <c r="L3" s="85">
        <f>G3*'2022年全年财务报表'!$I$154</f>
        <v>0</v>
      </c>
      <c r="M3" s="85">
        <f>G3*'2022年全年财务报表'!$O$154</f>
        <v>0</v>
      </c>
      <c r="N3" s="85">
        <f>G3*'2022年全年财务报表'!$Q$154</f>
        <v>0</v>
      </c>
      <c r="O3" s="85">
        <f>G3*'2022年全年财务报表'!$S$154</f>
        <v>0</v>
      </c>
      <c r="P3" s="85">
        <f>IFERROR(I3/W3*R3,0)</f>
        <v>0</v>
      </c>
      <c r="Q3" s="21">
        <f>IFERROR(P3/G3,0)</f>
        <v>0</v>
      </c>
      <c r="R3" s="85" t="e">
        <f>SUMIF('船长每月数据(2023年)'!C:C,"BBQ",'船长每月数据(2023年)'!AA:AA)/SUMIF('船长每月数据(2023年)'!C:C,"BBQ",'船长每月数据(2023年)'!AD:AD)*年目标!$B$18</f>
        <v>#DIV/0!</v>
      </c>
      <c r="S3" s="85">
        <f>IFERROR(P3/I3,0)</f>
        <v>0</v>
      </c>
      <c r="T3" s="85">
        <f>IFERROR(P3/H3,0)</f>
        <v>0</v>
      </c>
      <c r="U3" s="85">
        <f>G3*'2022年全年财务报表'!$K$154</f>
        <v>0</v>
      </c>
      <c r="V3" s="21">
        <f>IFERROR(U3/G3,0)</f>
        <v>0</v>
      </c>
      <c r="W3" s="21" t="e">
        <f>SUMIF('船长每月数据(2023年)'!C:C,"BBQ",'船长每月数据(2023年)'!P:P)/SUMIF('船长每月数据(2023年)'!C:C,"BBQ",'船长每月数据(2023年)'!H:H)</f>
        <v>#DIV/0!</v>
      </c>
      <c r="X3" s="85">
        <f t="shared" ref="X3:X14" si="0">IFERROR(G3+J3+K3+L3+M3+N3+O3+P3+U3,0)</f>
        <v>0</v>
      </c>
      <c r="Y3" s="21">
        <f t="shared" ref="Y3:Y14" si="1">IFERROR(X3/G3,0)</f>
        <v>0</v>
      </c>
    </row>
    <row r="4" ht="27" customHeight="1" spans="1:25">
      <c r="A4" s="36"/>
      <c r="B4" s="36"/>
      <c r="C4" s="37"/>
      <c r="D4" s="37"/>
      <c r="E4" s="37"/>
      <c r="F4" s="111"/>
      <c r="G4" s="85">
        <f>SUMIF(每月目标分解!E:E,F:F,每月目标分解!R:R)*年目标!$B$18</f>
        <v>0</v>
      </c>
      <c r="H4" s="39">
        <f>IFERROR(SUMIF(F:F,每月目标分解!E:E,每月目标分解!R:R)/SUMIF(F:F,单品目标年销量!E:E,单品目标年销量!F:F),0)</f>
        <v>0</v>
      </c>
      <c r="I4" s="39">
        <f t="shared" ref="I4:I13" si="2">H4*0.4</f>
        <v>0</v>
      </c>
      <c r="J4" s="85">
        <f>IFERROR(G4*'2022年全年财务报表'!$E$154,0)</f>
        <v>0</v>
      </c>
      <c r="K4" s="85">
        <f>G4*'2022年全年财务报表'!$G$154</f>
        <v>0</v>
      </c>
      <c r="L4" s="85">
        <f>G4*'2022年全年财务报表'!$I$154</f>
        <v>0</v>
      </c>
      <c r="M4" s="85">
        <f>G4*'2022年全年财务报表'!$O$154</f>
        <v>0</v>
      </c>
      <c r="N4" s="85">
        <f>G4*'2022年全年财务报表'!$Q$154</f>
        <v>0</v>
      </c>
      <c r="O4" s="85">
        <f>G4*'2022年全年财务报表'!$S$154</f>
        <v>0</v>
      </c>
      <c r="P4" s="85">
        <f t="shared" ref="P4:P21" si="3">IFERROR(I4/W4*R4,0)</f>
        <v>0</v>
      </c>
      <c r="Q4" s="21">
        <f t="shared" ref="Q4:Q14" si="4">IFERROR(P4/G4,0)</f>
        <v>0</v>
      </c>
      <c r="R4" s="85" t="e">
        <f>SUMIF('船长每月数据(2023年)'!C:C,"BBQ",'船长每月数据(2023年)'!AA:AA)/SUMIF('船长每月数据(2023年)'!C:C,"BBQ",'船长每月数据(2023年)'!AD:AD)*年目标!$B$18</f>
        <v>#DIV/0!</v>
      </c>
      <c r="S4" s="85">
        <f t="shared" ref="S4:S14" si="5">IFERROR(P4/I4,0)</f>
        <v>0</v>
      </c>
      <c r="T4" s="85">
        <f t="shared" ref="T4:T14" si="6">IFERROR(P4/H4,0)</f>
        <v>0</v>
      </c>
      <c r="U4" s="85">
        <f>G4*'2022年全年财务报表'!$K$154</f>
        <v>0</v>
      </c>
      <c r="V4" s="21">
        <f t="shared" ref="V4:V14" si="7">IFERROR(U4/G4,0)</f>
        <v>0</v>
      </c>
      <c r="W4" s="21" t="e">
        <f>SUMIF('船长每月数据(2023年)'!C:C,"BBQ",'船长每月数据(2023年)'!P:P)/SUMIF('船长每月数据(2023年)'!C:C,"BBQ",'船长每月数据(2023年)'!H:H)</f>
        <v>#DIV/0!</v>
      </c>
      <c r="X4" s="85">
        <f t="shared" si="0"/>
        <v>0</v>
      </c>
      <c r="Y4" s="21">
        <f t="shared" si="1"/>
        <v>0</v>
      </c>
    </row>
    <row r="5" ht="27" customHeight="1" spans="1:25">
      <c r="A5" s="36"/>
      <c r="B5" s="36"/>
      <c r="C5" s="37"/>
      <c r="D5" s="37"/>
      <c r="E5" s="37"/>
      <c r="F5" s="110"/>
      <c r="G5" s="85">
        <f>SUMIF(每月目标分解!E:E,F:F,每月目标分解!R:R)*年目标!$B$18</f>
        <v>0</v>
      </c>
      <c r="H5" s="39">
        <f>IFERROR(SUMIF(F:F,每月目标分解!E:E,每月目标分解!R:R)/SUMIF(F:F,单品目标年销量!E:E,单品目标年销量!F:F),0)</f>
        <v>0</v>
      </c>
      <c r="I5" s="39">
        <f t="shared" si="2"/>
        <v>0</v>
      </c>
      <c r="J5" s="85">
        <f>IFERROR(G5*'2022年全年财务报表'!$E$154,0)</f>
        <v>0</v>
      </c>
      <c r="K5" s="85">
        <f>G5*'2022年全年财务报表'!$G$154</f>
        <v>0</v>
      </c>
      <c r="L5" s="85">
        <f>G5*'2022年全年财务报表'!$I$154</f>
        <v>0</v>
      </c>
      <c r="M5" s="85">
        <f>G5*'2022年全年财务报表'!$O$154</f>
        <v>0</v>
      </c>
      <c r="N5" s="85">
        <f>G5*'2022年全年财务报表'!$Q$154</f>
        <v>0</v>
      </c>
      <c r="O5" s="85">
        <f>G5*'2022年全年财务报表'!$S$154</f>
        <v>0</v>
      </c>
      <c r="P5" s="85">
        <f t="shared" si="3"/>
        <v>0</v>
      </c>
      <c r="Q5" s="21">
        <f t="shared" si="4"/>
        <v>0</v>
      </c>
      <c r="R5" s="85" t="e">
        <f>SUMIF('船长每月数据(2023年)'!C:C,"BBQ",'船长每月数据(2023年)'!AA:AA)/SUMIF('船长每月数据(2023年)'!C:C,"BBQ",'船长每月数据(2023年)'!AD:AD)*年目标!$B$18</f>
        <v>#DIV/0!</v>
      </c>
      <c r="S5" s="85">
        <f t="shared" si="5"/>
        <v>0</v>
      </c>
      <c r="T5" s="85">
        <f t="shared" si="6"/>
        <v>0</v>
      </c>
      <c r="U5" s="85">
        <f>G5*'2022年全年财务报表'!$K$154</f>
        <v>0</v>
      </c>
      <c r="V5" s="21">
        <f t="shared" si="7"/>
        <v>0</v>
      </c>
      <c r="W5" s="21" t="e">
        <f>SUMIF('船长每月数据(2023年)'!C:C,"BBQ",'船长每月数据(2023年)'!P:P)/SUMIF('船长每月数据(2023年)'!C:C,"BBQ",'船长每月数据(2023年)'!H:H)</f>
        <v>#DIV/0!</v>
      </c>
      <c r="X5" s="85">
        <f t="shared" si="0"/>
        <v>0</v>
      </c>
      <c r="Y5" s="21">
        <f t="shared" si="1"/>
        <v>0</v>
      </c>
    </row>
    <row r="6" ht="27" customHeight="1" spans="1:25">
      <c r="A6" s="36"/>
      <c r="B6" s="36"/>
      <c r="C6" s="37"/>
      <c r="D6" s="37"/>
      <c r="E6" s="37"/>
      <c r="F6" s="111"/>
      <c r="G6" s="85">
        <f>SUMIF(每月目标分解!E:E,F:F,每月目标分解!R:R)*年目标!$B$18</f>
        <v>0</v>
      </c>
      <c r="H6" s="39">
        <f>IFERROR(SUMIF(F:F,每月目标分解!E:E,每月目标分解!R:R)/SUMIF(F:F,单品目标年销量!E:E,单品目标年销量!F:F),0)</f>
        <v>0</v>
      </c>
      <c r="I6" s="39">
        <f t="shared" si="2"/>
        <v>0</v>
      </c>
      <c r="J6" s="85">
        <f>IFERROR(G6*'2022年全年财务报表'!$E$154,0)</f>
        <v>0</v>
      </c>
      <c r="K6" s="85">
        <f>G6*'2022年全年财务报表'!$G$154</f>
        <v>0</v>
      </c>
      <c r="L6" s="85">
        <f>G6*'2022年全年财务报表'!$I$154</f>
        <v>0</v>
      </c>
      <c r="M6" s="85">
        <f>G6*'2022年全年财务报表'!$O$154</f>
        <v>0</v>
      </c>
      <c r="N6" s="85">
        <f>G6*'2022年全年财务报表'!$Q$154</f>
        <v>0</v>
      </c>
      <c r="O6" s="85">
        <f>G6*'2022年全年财务报表'!$S$154</f>
        <v>0</v>
      </c>
      <c r="P6" s="85">
        <f t="shared" si="3"/>
        <v>0</v>
      </c>
      <c r="Q6" s="21">
        <f t="shared" si="4"/>
        <v>0</v>
      </c>
      <c r="R6" s="85" t="e">
        <f>SUMIF('船长每月数据(2023年)'!C:C,"BBQ",'船长每月数据(2023年)'!AA:AA)/SUMIF('船长每月数据(2023年)'!C:C,"BBQ",'船长每月数据(2023年)'!AD:AD)*年目标!$B$18</f>
        <v>#DIV/0!</v>
      </c>
      <c r="S6" s="85">
        <f t="shared" si="5"/>
        <v>0</v>
      </c>
      <c r="T6" s="85">
        <f t="shared" si="6"/>
        <v>0</v>
      </c>
      <c r="U6" s="85">
        <f>G6*'2022年全年财务报表'!$K$154</f>
        <v>0</v>
      </c>
      <c r="V6" s="21">
        <f t="shared" si="7"/>
        <v>0</v>
      </c>
      <c r="W6" s="21" t="e">
        <f>SUMIF('船长每月数据(2023年)'!C:C,"BBQ",'船长每月数据(2023年)'!P:P)/SUMIF('船长每月数据(2023年)'!C:C,"BBQ",'船长每月数据(2023年)'!H:H)</f>
        <v>#DIV/0!</v>
      </c>
      <c r="X6" s="85">
        <f t="shared" si="0"/>
        <v>0</v>
      </c>
      <c r="Y6" s="21">
        <f t="shared" si="1"/>
        <v>0</v>
      </c>
    </row>
    <row r="7" ht="27" customHeight="1" spans="1:25">
      <c r="A7" s="36"/>
      <c r="B7" s="36"/>
      <c r="C7" s="37"/>
      <c r="D7" s="37"/>
      <c r="E7" s="37"/>
      <c r="F7" s="111"/>
      <c r="G7" s="85">
        <f>SUMIF(每月目标分解!E:E,F:F,每月目标分解!R:R)*年目标!$B$18</f>
        <v>0</v>
      </c>
      <c r="H7" s="39">
        <f>IFERROR(SUMIF(F:F,每月目标分解!E:E,每月目标分解!R:R)/SUMIF(F:F,单品目标年销量!E:E,单品目标年销量!F:F),0)</f>
        <v>0</v>
      </c>
      <c r="I7" s="39">
        <f t="shared" si="2"/>
        <v>0</v>
      </c>
      <c r="J7" s="85">
        <f>IFERROR(G7*'2022年全年财务报表'!$E$154,0)</f>
        <v>0</v>
      </c>
      <c r="K7" s="85">
        <f>G7*'2022年全年财务报表'!$G$154</f>
        <v>0</v>
      </c>
      <c r="L7" s="85">
        <f>G7*'2022年全年财务报表'!$I$154</f>
        <v>0</v>
      </c>
      <c r="M7" s="85">
        <f>G7*'2022年全年财务报表'!$O$154</f>
        <v>0</v>
      </c>
      <c r="N7" s="85">
        <f>G7*'2022年全年财务报表'!$Q$154</f>
        <v>0</v>
      </c>
      <c r="O7" s="85">
        <f>G7*'2022年全年财务报表'!$S$154</f>
        <v>0</v>
      </c>
      <c r="P7" s="85">
        <f t="shared" si="3"/>
        <v>0</v>
      </c>
      <c r="Q7" s="21">
        <f t="shared" si="4"/>
        <v>0</v>
      </c>
      <c r="R7" s="85" t="e">
        <f>SUMIF('船长每月数据(2023年)'!C:C,"BBQ",'船长每月数据(2023年)'!AA:AA)/SUMIF('船长每月数据(2023年)'!C:C,"BBQ",'船长每月数据(2023年)'!AD:AD)*年目标!$B$18</f>
        <v>#DIV/0!</v>
      </c>
      <c r="S7" s="85">
        <f t="shared" si="5"/>
        <v>0</v>
      </c>
      <c r="T7" s="85">
        <f t="shared" si="6"/>
        <v>0</v>
      </c>
      <c r="U7" s="85">
        <f>G7*'2022年全年财务报表'!$K$154</f>
        <v>0</v>
      </c>
      <c r="V7" s="21">
        <f t="shared" si="7"/>
        <v>0</v>
      </c>
      <c r="W7" s="21" t="e">
        <f>SUMIF('船长每月数据(2023年)'!C:C,"BBQ",'船长每月数据(2023年)'!P:P)/SUMIF('船长每月数据(2023年)'!C:C,"BBQ",'船长每月数据(2023年)'!H:H)</f>
        <v>#DIV/0!</v>
      </c>
      <c r="X7" s="85">
        <f t="shared" si="0"/>
        <v>0</v>
      </c>
      <c r="Y7" s="21">
        <f t="shared" si="1"/>
        <v>0</v>
      </c>
    </row>
    <row r="8" ht="27" customHeight="1" spans="1:25">
      <c r="A8" s="36"/>
      <c r="B8" s="36"/>
      <c r="C8" s="37"/>
      <c r="D8" s="37"/>
      <c r="E8" s="37"/>
      <c r="F8" s="110"/>
      <c r="G8" s="85">
        <f>SUMIF(每月目标分解!E:E,F:F,每月目标分解!R:R)*年目标!$B$18</f>
        <v>0</v>
      </c>
      <c r="H8" s="39">
        <f>IFERROR(SUMIF(F:F,每月目标分解!E:E,每月目标分解!R:R)/SUMIF(F:F,单品目标年销量!E:E,单品目标年销量!F:F),0)</f>
        <v>0</v>
      </c>
      <c r="I8" s="39">
        <f t="shared" si="2"/>
        <v>0</v>
      </c>
      <c r="J8" s="85">
        <f>IFERROR(G8*'2022年全年财务报表'!$E$154,0)</f>
        <v>0</v>
      </c>
      <c r="K8" s="85">
        <f>G8*'2022年全年财务报表'!$G$154</f>
        <v>0</v>
      </c>
      <c r="L8" s="85">
        <f>G8*'2022年全年财务报表'!$I$154</f>
        <v>0</v>
      </c>
      <c r="M8" s="85">
        <f>G8*'2022年全年财务报表'!$O$154</f>
        <v>0</v>
      </c>
      <c r="N8" s="85">
        <f>G8*'2022年全年财务报表'!$Q$154</f>
        <v>0</v>
      </c>
      <c r="O8" s="85">
        <f>G8*'2022年全年财务报表'!$S$154</f>
        <v>0</v>
      </c>
      <c r="P8" s="85">
        <f t="shared" si="3"/>
        <v>0</v>
      </c>
      <c r="Q8" s="21">
        <f t="shared" si="4"/>
        <v>0</v>
      </c>
      <c r="R8" s="85" t="e">
        <f>SUMIF('船长每月数据(2023年)'!C:C,"BBQ",'船长每月数据(2023年)'!AA:AA)/SUMIF('船长每月数据(2023年)'!C:C,"BBQ",'船长每月数据(2023年)'!AD:AD)*年目标!$B$18</f>
        <v>#DIV/0!</v>
      </c>
      <c r="S8" s="85">
        <f t="shared" si="5"/>
        <v>0</v>
      </c>
      <c r="T8" s="85">
        <f t="shared" si="6"/>
        <v>0</v>
      </c>
      <c r="U8" s="85">
        <f>G8*'2022年全年财务报表'!$K$154</f>
        <v>0</v>
      </c>
      <c r="V8" s="21">
        <f t="shared" si="7"/>
        <v>0</v>
      </c>
      <c r="W8" s="21" t="e">
        <f>SUMIF('船长每月数据(2023年)'!C:C,"BBQ",'船长每月数据(2023年)'!P:P)/SUMIF('船长每月数据(2023年)'!C:C,"BBQ",'船长每月数据(2023年)'!H:H)</f>
        <v>#DIV/0!</v>
      </c>
      <c r="X8" s="85">
        <f t="shared" si="0"/>
        <v>0</v>
      </c>
      <c r="Y8" s="21">
        <f t="shared" si="1"/>
        <v>0</v>
      </c>
    </row>
    <row r="9" ht="27" customHeight="1" spans="1:25">
      <c r="A9" s="36"/>
      <c r="B9" s="36"/>
      <c r="C9" s="37"/>
      <c r="D9" s="37"/>
      <c r="E9" s="37"/>
      <c r="F9" s="111"/>
      <c r="G9" s="85">
        <f>SUMIF(每月目标分解!E:E,F:F,每月目标分解!R:R)*年目标!$B$18</f>
        <v>0</v>
      </c>
      <c r="H9" s="39">
        <f>IFERROR(SUMIF(F:F,每月目标分解!E:E,每月目标分解!R:R)/SUMIF(F:F,单品目标年销量!E:E,单品目标年销量!F:F),0)</f>
        <v>0</v>
      </c>
      <c r="I9" s="39">
        <f t="shared" si="2"/>
        <v>0</v>
      </c>
      <c r="J9" s="85">
        <f>IFERROR(G9*'2022年全年财务报表'!$E$154,0)</f>
        <v>0</v>
      </c>
      <c r="K9" s="85">
        <f>G9*'2022年全年财务报表'!$G$154</f>
        <v>0</v>
      </c>
      <c r="L9" s="85">
        <f>G9*'2022年全年财务报表'!$I$154</f>
        <v>0</v>
      </c>
      <c r="M9" s="85">
        <f>G9*'2022年全年财务报表'!$O$154</f>
        <v>0</v>
      </c>
      <c r="N9" s="85">
        <f>G9*'2022年全年财务报表'!$Q$154</f>
        <v>0</v>
      </c>
      <c r="O9" s="85">
        <f>G9*'2022年全年财务报表'!$S$154</f>
        <v>0</v>
      </c>
      <c r="P9" s="85">
        <f t="shared" si="3"/>
        <v>0</v>
      </c>
      <c r="Q9" s="21">
        <f t="shared" si="4"/>
        <v>0</v>
      </c>
      <c r="R9" s="85" t="e">
        <f>SUMIF('船长每月数据(2023年)'!C:C,"BBQ",'船长每月数据(2023年)'!AA:AA)/SUMIF('船长每月数据(2023年)'!C:C,"BBQ",'船长每月数据(2023年)'!AD:AD)*年目标!$B$18</f>
        <v>#DIV/0!</v>
      </c>
      <c r="S9" s="85">
        <f t="shared" si="5"/>
        <v>0</v>
      </c>
      <c r="T9" s="85">
        <f t="shared" si="6"/>
        <v>0</v>
      </c>
      <c r="U9" s="85">
        <f>G9*'2022年全年财务报表'!$K$154</f>
        <v>0</v>
      </c>
      <c r="V9" s="21">
        <f t="shared" si="7"/>
        <v>0</v>
      </c>
      <c r="W9" s="21" t="e">
        <f>SUMIF('船长每月数据(2023年)'!C:C,"BBQ",'船长每月数据(2023年)'!P:P)/SUMIF('船长每月数据(2023年)'!C:C,"BBQ",'船长每月数据(2023年)'!H:H)</f>
        <v>#DIV/0!</v>
      </c>
      <c r="X9" s="85">
        <f t="shared" si="0"/>
        <v>0</v>
      </c>
      <c r="Y9" s="21">
        <f t="shared" si="1"/>
        <v>0</v>
      </c>
    </row>
    <row r="10" ht="27" customHeight="1" spans="1:25">
      <c r="A10" s="36"/>
      <c r="B10" s="36"/>
      <c r="C10" s="37"/>
      <c r="D10" s="37"/>
      <c r="E10" s="37"/>
      <c r="F10" s="111"/>
      <c r="G10" s="85">
        <f>SUMIF(每月目标分解!E:E,F:F,每月目标分解!R:R)*年目标!$B$18</f>
        <v>0</v>
      </c>
      <c r="H10" s="39">
        <f>IFERROR(SUMIF(F:F,每月目标分解!E:E,每月目标分解!R:R)/SUMIF(F:F,单品目标年销量!E:E,单品目标年销量!F:F),0)</f>
        <v>0</v>
      </c>
      <c r="I10" s="39">
        <f t="shared" si="2"/>
        <v>0</v>
      </c>
      <c r="J10" s="85">
        <f>IFERROR(G10*'2022年全年财务报表'!$E$154,0)</f>
        <v>0</v>
      </c>
      <c r="K10" s="85">
        <f>G10*'2022年全年财务报表'!$G$154</f>
        <v>0</v>
      </c>
      <c r="L10" s="85">
        <f>G10*'2022年全年财务报表'!$I$154</f>
        <v>0</v>
      </c>
      <c r="M10" s="85">
        <f>G10*'2022年全年财务报表'!$O$154</f>
        <v>0</v>
      </c>
      <c r="N10" s="85">
        <f>G10*'2022年全年财务报表'!$Q$154</f>
        <v>0</v>
      </c>
      <c r="O10" s="85">
        <f>G10*'2022年全年财务报表'!$S$154</f>
        <v>0</v>
      </c>
      <c r="P10" s="85">
        <f t="shared" si="3"/>
        <v>0</v>
      </c>
      <c r="Q10" s="21">
        <f t="shared" si="4"/>
        <v>0</v>
      </c>
      <c r="R10" s="85" t="e">
        <f>SUMIF('船长每月数据(2023年)'!C:C,"BBQ",'船长每月数据(2023年)'!AA:AA)/SUMIF('船长每月数据(2023年)'!C:C,"BBQ",'船长每月数据(2023年)'!AD:AD)*年目标!$B$18</f>
        <v>#DIV/0!</v>
      </c>
      <c r="S10" s="85">
        <f t="shared" si="5"/>
        <v>0</v>
      </c>
      <c r="T10" s="85">
        <f t="shared" si="6"/>
        <v>0</v>
      </c>
      <c r="U10" s="85">
        <f>G10*'2022年全年财务报表'!$K$154</f>
        <v>0</v>
      </c>
      <c r="V10" s="21">
        <f t="shared" si="7"/>
        <v>0</v>
      </c>
      <c r="W10" s="21" t="e">
        <f>SUMIF('船长每月数据(2023年)'!C:C,"BBQ",'船长每月数据(2023年)'!P:P)/SUMIF('船长每月数据(2023年)'!C:C,"BBQ",'船长每月数据(2023年)'!H:H)</f>
        <v>#DIV/0!</v>
      </c>
      <c r="X10" s="85">
        <f t="shared" si="0"/>
        <v>0</v>
      </c>
      <c r="Y10" s="21">
        <f t="shared" si="1"/>
        <v>0</v>
      </c>
    </row>
    <row r="11" ht="27" customHeight="1" spans="1:25">
      <c r="A11" s="36"/>
      <c r="B11" s="36"/>
      <c r="C11" s="37"/>
      <c r="D11" s="37"/>
      <c r="E11" s="37"/>
      <c r="F11" s="111"/>
      <c r="G11" s="85">
        <f>SUMIF(每月目标分解!E:E,F:F,每月目标分解!R:R)*年目标!$B$18</f>
        <v>0</v>
      </c>
      <c r="H11" s="39">
        <f>IFERROR(SUMIF(F:F,每月目标分解!E:E,每月目标分解!R:R)/SUMIF(F:F,单品目标年销量!E:E,单品目标年销量!F:F),0)</f>
        <v>0</v>
      </c>
      <c r="I11" s="39">
        <f t="shared" si="2"/>
        <v>0</v>
      </c>
      <c r="J11" s="85">
        <f>IFERROR(G11*'2022年全年财务报表'!$E$154,0)</f>
        <v>0</v>
      </c>
      <c r="K11" s="85">
        <f>G11*'2022年全年财务报表'!$G$154</f>
        <v>0</v>
      </c>
      <c r="L11" s="85">
        <f>G11*'2022年全年财务报表'!$I$154</f>
        <v>0</v>
      </c>
      <c r="M11" s="85">
        <f>G11*'2022年全年财务报表'!$O$154</f>
        <v>0</v>
      </c>
      <c r="N11" s="85">
        <f>G11*'2022年全年财务报表'!$Q$154</f>
        <v>0</v>
      </c>
      <c r="O11" s="85">
        <f>G11*'2022年全年财务报表'!$S$154</f>
        <v>0</v>
      </c>
      <c r="P11" s="85">
        <f t="shared" si="3"/>
        <v>0</v>
      </c>
      <c r="Q11" s="21">
        <f t="shared" si="4"/>
        <v>0</v>
      </c>
      <c r="R11" s="85" t="e">
        <f>SUMIF('船长每月数据(2023年)'!C:C,"BBQ",'船长每月数据(2023年)'!AA:AA)/SUMIF('船长每月数据(2023年)'!C:C,"BBQ",'船长每月数据(2023年)'!AD:AD)*年目标!$B$18</f>
        <v>#DIV/0!</v>
      </c>
      <c r="S11" s="85">
        <f t="shared" si="5"/>
        <v>0</v>
      </c>
      <c r="T11" s="85">
        <f t="shared" si="6"/>
        <v>0</v>
      </c>
      <c r="U11" s="85">
        <f>G11*'2022年全年财务报表'!$K$154</f>
        <v>0</v>
      </c>
      <c r="V11" s="21">
        <f t="shared" si="7"/>
        <v>0</v>
      </c>
      <c r="W11" s="21" t="e">
        <f>SUMIF('船长每月数据(2023年)'!C:C,"BBQ",'船长每月数据(2023年)'!P:P)/SUMIF('船长每月数据(2023年)'!C:C,"BBQ",'船长每月数据(2023年)'!H:H)</f>
        <v>#DIV/0!</v>
      </c>
      <c r="X11" s="85">
        <f t="shared" si="0"/>
        <v>0</v>
      </c>
      <c r="Y11" s="21">
        <f t="shared" si="1"/>
        <v>0</v>
      </c>
    </row>
    <row r="12" ht="27" customHeight="1" spans="1:25">
      <c r="A12" s="36"/>
      <c r="B12" s="36"/>
      <c r="C12" s="37"/>
      <c r="D12" s="37"/>
      <c r="E12" s="37"/>
      <c r="F12" s="110"/>
      <c r="G12" s="85">
        <f>SUMIF(每月目标分解!E:E,F:F,每月目标分解!R:R)*年目标!$B$18</f>
        <v>0</v>
      </c>
      <c r="H12" s="39">
        <f>IFERROR(SUMIF(F:F,每月目标分解!E:E,每月目标分解!R:R)/SUMIF(F:F,单品目标年销量!E:E,单品目标年销量!F:F),0)</f>
        <v>0</v>
      </c>
      <c r="I12" s="39">
        <f t="shared" si="2"/>
        <v>0</v>
      </c>
      <c r="J12" s="85">
        <f>IFERROR(G12*'2022年全年财务报表'!$E$154,0)</f>
        <v>0</v>
      </c>
      <c r="K12" s="85">
        <f>G12*'2022年全年财务报表'!$G$154</f>
        <v>0</v>
      </c>
      <c r="L12" s="85">
        <f>G12*'2022年全年财务报表'!$I$154</f>
        <v>0</v>
      </c>
      <c r="M12" s="85">
        <f>G12*'2022年全年财务报表'!$O$154</f>
        <v>0</v>
      </c>
      <c r="N12" s="85">
        <f>G12*'2022年全年财务报表'!$Q$154</f>
        <v>0</v>
      </c>
      <c r="O12" s="85">
        <f>G12*'2022年全年财务报表'!$S$154</f>
        <v>0</v>
      </c>
      <c r="P12" s="85">
        <f t="shared" si="3"/>
        <v>0</v>
      </c>
      <c r="Q12" s="21">
        <f t="shared" si="4"/>
        <v>0</v>
      </c>
      <c r="R12" s="85" t="e">
        <f>SUMIF('船长每月数据(2023年)'!C:C,"BBQ",'船长每月数据(2023年)'!AA:AA)/SUMIF('船长每月数据(2023年)'!C:C,"BBQ",'船长每月数据(2023年)'!AD:AD)*年目标!$B$18</f>
        <v>#DIV/0!</v>
      </c>
      <c r="S12" s="85">
        <f t="shared" si="5"/>
        <v>0</v>
      </c>
      <c r="T12" s="85">
        <f t="shared" si="6"/>
        <v>0</v>
      </c>
      <c r="U12" s="85">
        <f>G12*'2022年全年财务报表'!$K$154</f>
        <v>0</v>
      </c>
      <c r="V12" s="21">
        <f t="shared" si="7"/>
        <v>0</v>
      </c>
      <c r="W12" s="21" t="e">
        <f>SUMIF('船长每月数据(2023年)'!C:C,"BBQ",'船长每月数据(2023年)'!P:P)/SUMIF('船长每月数据(2023年)'!C:C,"BBQ",'船长每月数据(2023年)'!H:H)</f>
        <v>#DIV/0!</v>
      </c>
      <c r="X12" s="85">
        <f t="shared" si="0"/>
        <v>0</v>
      </c>
      <c r="Y12" s="21">
        <f t="shared" si="1"/>
        <v>0</v>
      </c>
    </row>
    <row r="13" ht="27" customHeight="1" spans="1:25">
      <c r="A13" s="36"/>
      <c r="B13" s="36"/>
      <c r="C13" s="37"/>
      <c r="D13" s="37"/>
      <c r="E13" s="37"/>
      <c r="F13" s="110"/>
      <c r="G13" s="85">
        <f>SUMIF(每月目标分解!E:E,F:F,每月目标分解!R:R)*年目标!$B$18</f>
        <v>0</v>
      </c>
      <c r="H13" s="39">
        <f>IFERROR(SUMIF(F:F,每月目标分解!E:E,每月目标分解!R:R)/SUMIF(F:F,单品目标年销量!E:E,单品目标年销量!F:F),0)</f>
        <v>0</v>
      </c>
      <c r="I13" s="39">
        <f t="shared" si="2"/>
        <v>0</v>
      </c>
      <c r="J13" s="85">
        <f>IFERROR(G13*'2022年全年财务报表'!$E$154,0)</f>
        <v>0</v>
      </c>
      <c r="K13" s="85">
        <f>G13*'2022年全年财务报表'!$G$154</f>
        <v>0</v>
      </c>
      <c r="L13" s="85">
        <f>G13*'2022年全年财务报表'!$I$154</f>
        <v>0</v>
      </c>
      <c r="M13" s="85">
        <f>G13*'2022年全年财务报表'!$O$154</f>
        <v>0</v>
      </c>
      <c r="N13" s="85">
        <f>G13*'2022年全年财务报表'!$Q$154</f>
        <v>0</v>
      </c>
      <c r="O13" s="85">
        <f>G13*'2022年全年财务报表'!$S$154</f>
        <v>0</v>
      </c>
      <c r="P13" s="85">
        <f t="shared" si="3"/>
        <v>0</v>
      </c>
      <c r="Q13" s="21">
        <f t="shared" si="4"/>
        <v>0</v>
      </c>
      <c r="R13" s="85" t="e">
        <f>SUMIF('船长每月数据(2023年)'!C:C,"BBQ",'船长每月数据(2023年)'!AA:AA)/SUMIF('船长每月数据(2023年)'!C:C,"BBQ",'船长每月数据(2023年)'!AD:AD)*年目标!$B$18</f>
        <v>#DIV/0!</v>
      </c>
      <c r="S13" s="85">
        <f t="shared" si="5"/>
        <v>0</v>
      </c>
      <c r="T13" s="85">
        <f t="shared" si="6"/>
        <v>0</v>
      </c>
      <c r="U13" s="85">
        <f>G13*'2022年全年财务报表'!$K$154</f>
        <v>0</v>
      </c>
      <c r="V13" s="21">
        <f t="shared" si="7"/>
        <v>0</v>
      </c>
      <c r="W13" s="21">
        <v>0.1399</v>
      </c>
      <c r="X13" s="85">
        <f t="shared" si="0"/>
        <v>0</v>
      </c>
      <c r="Y13" s="21">
        <f t="shared" si="1"/>
        <v>0</v>
      </c>
    </row>
    <row r="14" ht="27" customHeight="1" spans="1:25">
      <c r="A14" s="36"/>
      <c r="B14" s="40"/>
      <c r="C14" s="40"/>
      <c r="D14" s="41"/>
      <c r="E14" s="41"/>
      <c r="F14" s="74"/>
      <c r="G14" s="85">
        <f>SUMIF(每月目标分解!E:E,F:F,每月目标分解!R:R)*年目标!$B$18</f>
        <v>0</v>
      </c>
      <c r="H14" s="39">
        <f>IFERROR(SUMIF(F:F,每月目标分解!E:E,每月目标分解!R:R)/SUMIF(F:F,单品目标年销量!E:E,单品目标年销量!F:F),0)</f>
        <v>0</v>
      </c>
      <c r="I14" s="39">
        <f>IFERROR(SUMIF(D:D,D:D,H:H)*(SUMIF('船长每月数据(2023年)'!E:E,D:D,'船长每月数据(2023年)'!AI:AI)/SUMIF('船长每月数据(2023年)'!E:E,D:D,'船长每月数据(2023年)'!P:P)),0)</f>
        <v>0</v>
      </c>
      <c r="J14" s="85">
        <f>SUMIF(D:D,D:D,G:G)*SUMIF('2022年全年财务报表'!A:A,C:C,'2022年全年财务报表'!E:E)</f>
        <v>0</v>
      </c>
      <c r="K14" s="85">
        <f>SUMIF(D:D,D:D,G:G)*SUMIF('2022年全年财务报表'!A:A,C:C,'2022年全年财务报表'!G:G)</f>
        <v>0</v>
      </c>
      <c r="L14" s="85">
        <f>SUMIF(D:D,D:D,G:G)*SUMIF('2022年全年财务报表'!A:A,C:C,'2022年全年财务报表'!I:I)</f>
        <v>0</v>
      </c>
      <c r="M14" s="85">
        <f>SUMIF(D:D,D:D,G:G)*SUMIF('2022年全年财务报表'!A:A,C:C,'2022年全年财务报表'!O:O)</f>
        <v>0</v>
      </c>
      <c r="N14" s="85">
        <f>SUMIF(D:D,D:D,G:G)*SUMIF('2022年全年财务报表'!A:A,C:C,'2022年全年财务报表'!Q:Q)</f>
        <v>0</v>
      </c>
      <c r="O14" s="85">
        <f>SUMIF(D:D,D:D,G:G)*SUMIF('2022年全年财务报表'!A:A,C:C,'2022年全年财务报表'!S:S)</f>
        <v>0</v>
      </c>
      <c r="P14" s="85">
        <f>IFERROR(I14/W14*R14,0)/1.5</f>
        <v>0</v>
      </c>
      <c r="Q14" s="21">
        <f t="shared" si="4"/>
        <v>0</v>
      </c>
      <c r="R14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14" s="85">
        <f t="shared" si="5"/>
        <v>0</v>
      </c>
      <c r="T14" s="85">
        <f t="shared" si="6"/>
        <v>0</v>
      </c>
      <c r="U14" s="85">
        <f>SUMIF(D:D,D:D,G:G)*SUMIF('2022年全年财务报表'!A:A,C:C,'2022年全年财务报表'!K:K)/2</f>
        <v>0</v>
      </c>
      <c r="V14" s="21">
        <f t="shared" si="7"/>
        <v>0</v>
      </c>
      <c r="W14" s="21">
        <f>IFERROR(SUMIF('船长每月数据(2023年)'!E:E,D:D,'船长每月数据(2023年)'!P:P)/SUMIF('船长每月数据(2023年)'!E:E,D:D,'船长每月数据(2023年)'!H:H),0)</f>
        <v>0</v>
      </c>
      <c r="X14" s="85">
        <f t="shared" si="0"/>
        <v>0</v>
      </c>
      <c r="Y14" s="21">
        <f t="shared" si="1"/>
        <v>0</v>
      </c>
    </row>
    <row r="15" ht="27" customHeight="1" spans="1:25">
      <c r="A15" s="36"/>
      <c r="B15" s="40"/>
      <c r="C15" s="40"/>
      <c r="D15" s="41"/>
      <c r="E15" s="41"/>
      <c r="F15" s="74"/>
      <c r="G15" s="85">
        <f>SUMIF(每月目标分解!E:E,F:F,每月目标分解!R:R)*年目标!$B$18</f>
        <v>0</v>
      </c>
      <c r="H15" s="39">
        <f>IFERROR(SUMIF(F:F,每月目标分解!E:E,每月目标分解!R:R)/SUMIF(F:F,单品目标年销量!E:E,单品目标年销量!F:F),0)</f>
        <v>0</v>
      </c>
      <c r="I15" s="39">
        <f>IFERROR(SUMIF(D:D,D:D,H:H)*(SUMIF('船长每月数据(2023年)'!E:E,D:D,'船长每月数据(2023年)'!AI:AI)/SUMIF('船长每月数据(2023年)'!E:E,D:D,'船长每月数据(2023年)'!P:P)),0)</f>
        <v>0</v>
      </c>
      <c r="J15" s="85">
        <f>SUMIF(D:D,D:D,G:G)*SUMIF('2022年全年财务报表'!A:A,C:C,'2022年全年财务报表'!E:E)</f>
        <v>0</v>
      </c>
      <c r="K15" s="85">
        <f>SUMIF(D:D,D:D,G:G)*SUMIF('2022年全年财务报表'!A:A,C:C,'2022年全年财务报表'!G:G)</f>
        <v>0</v>
      </c>
      <c r="L15" s="85">
        <f>SUMIF(D:D,D:D,G:G)*SUMIF('2022年全年财务报表'!A:A,C:C,'2022年全年财务报表'!I:I)</f>
        <v>0</v>
      </c>
      <c r="M15" s="85">
        <f>SUMIF(D:D,D:D,G:G)*SUMIF('2022年全年财务报表'!A:A,C:C,'2022年全年财务报表'!O:O)</f>
        <v>0</v>
      </c>
      <c r="N15" s="85">
        <f>SUMIF(D:D,D:D,G:G)*SUMIF('2022年全年财务报表'!A:A,C:C,'2022年全年财务报表'!Q:Q)</f>
        <v>0</v>
      </c>
      <c r="O15" s="85">
        <f>SUMIF(D:D,D:D,G:G)*SUMIF('2022年全年财务报表'!A:A,C:C,'2022年全年财务报表'!S:S)</f>
        <v>0</v>
      </c>
      <c r="P15" s="85">
        <f>IFERROR(I15/W15*R15,0)</f>
        <v>0</v>
      </c>
      <c r="Q15" s="21">
        <f t="shared" ref="Q15:Q37" si="8">IFERROR(P15/G15,0)</f>
        <v>0</v>
      </c>
      <c r="R15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15" s="85">
        <f t="shared" ref="S15:S37" si="9">IFERROR(P15/I15,0)</f>
        <v>0</v>
      </c>
      <c r="T15" s="85">
        <f t="shared" ref="T15:T37" si="10">IFERROR(P15/H15,0)</f>
        <v>0</v>
      </c>
      <c r="U15" s="85">
        <f>SUMIF(D:D,D:D,G:G)*SUMIF('2022年全年财务报表'!A:A,C:C,'2022年全年财务报表'!K:K)</f>
        <v>0</v>
      </c>
      <c r="V15" s="21">
        <f t="shared" ref="V15:V37" si="11">IFERROR(U15/G15,0)</f>
        <v>0</v>
      </c>
      <c r="W15" s="21">
        <f>IFERROR(SUMIF('船长每月数据(2023年)'!E:E,D:D,'船长每月数据(2023年)'!P:P)/SUMIF('船长每月数据(2023年)'!E:E,D:D,'船长每月数据(2023年)'!H:H),0)</f>
        <v>0</v>
      </c>
      <c r="X15" s="85">
        <f t="shared" ref="X15:X36" si="12">IFERROR(G15+J15+K15+L15+M15+N15+O15+P15+U15,0)</f>
        <v>0</v>
      </c>
      <c r="Y15" s="21">
        <f t="shared" ref="Y15:Y37" si="13">IFERROR(X15/G15,0)</f>
        <v>0</v>
      </c>
    </row>
    <row r="16" ht="27" customHeight="1" spans="1:25">
      <c r="A16" s="36"/>
      <c r="B16" s="36"/>
      <c r="C16" s="40"/>
      <c r="D16" s="41"/>
      <c r="E16" s="41"/>
      <c r="F16" s="74"/>
      <c r="G16" s="85">
        <f>SUMIF(每月目标分解!E:E,F:F,每月目标分解!R:R)*年目标!$B$18</f>
        <v>0</v>
      </c>
      <c r="H16" s="39">
        <f>IFERROR(SUMIF(F:F,每月目标分解!E:E,每月目标分解!R:R)/SUMIF(F:F,单品目标年销量!E:E,单品目标年销量!F:F),0)</f>
        <v>0</v>
      </c>
      <c r="I16" s="39">
        <f>IFERROR(SUMIF(D:D,D:D,H:H)*(SUMIF('船长每月数据(2023年)'!E:E,D:D,'船长每月数据(2023年)'!AI:AI)/SUMIF('船长每月数据(2023年)'!E:E,D:D,'船长每月数据(2023年)'!P:P)),0)</f>
        <v>0</v>
      </c>
      <c r="J16" s="85">
        <f>SUMIF(D:D,D:D,G:G)*SUMIF('2022年全年财务报表'!A:A,C:C,'2022年全年财务报表'!E:E)</f>
        <v>0</v>
      </c>
      <c r="K16" s="85">
        <f>SUMIF(D:D,D:D,G:G)*SUMIF('2022年全年财务报表'!A:A,C:C,'2022年全年财务报表'!G:G)</f>
        <v>0</v>
      </c>
      <c r="L16" s="85">
        <f>SUMIF(D:D,D:D,G:G)*SUMIF('2022年全年财务报表'!A:A,C:C,'2022年全年财务报表'!I:I)</f>
        <v>0</v>
      </c>
      <c r="M16" s="85">
        <f>SUMIF(D:D,D:D,G:G)*SUMIF('2022年全年财务报表'!A:A,C:C,'2022年全年财务报表'!O:O)</f>
        <v>0</v>
      </c>
      <c r="N16" s="85">
        <f>SUMIF(D:D,D:D,G:G)*SUMIF('2022年全年财务报表'!A:A,C:C,'2022年全年财务报表'!Q:Q)</f>
        <v>0</v>
      </c>
      <c r="O16" s="85">
        <f>SUMIF(D:D,D:D,G:G)*SUMIF('2022年全年财务报表'!A:A,C:C,'2022年全年财务报表'!S:S)</f>
        <v>0</v>
      </c>
      <c r="P16" s="85">
        <f>IFERROR(I16/W16*R16,0)/1.2</f>
        <v>0</v>
      </c>
      <c r="Q16" s="21">
        <f t="shared" si="8"/>
        <v>0</v>
      </c>
      <c r="R16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16" s="85">
        <f t="shared" si="9"/>
        <v>0</v>
      </c>
      <c r="T16" s="85">
        <f t="shared" si="10"/>
        <v>0</v>
      </c>
      <c r="U16" s="85">
        <f>SUMIF(D:D,D:D,G:G)*SUMIF('2022年全年财务报表'!A:A,C:C,'2022年全年财务报表'!K:K)/1.2</f>
        <v>0</v>
      </c>
      <c r="V16" s="21">
        <f t="shared" si="11"/>
        <v>0</v>
      </c>
      <c r="W16" s="21">
        <f>IFERROR(SUMIF('船长每月数据(2023年)'!E:E,D:D,'船长每月数据(2023年)'!P:P)/SUMIF('船长每月数据(2023年)'!E:E,D:D,'船长每月数据(2023年)'!H:H),0)</f>
        <v>0</v>
      </c>
      <c r="X16" s="85">
        <f t="shared" si="12"/>
        <v>0</v>
      </c>
      <c r="Y16" s="21">
        <f t="shared" si="13"/>
        <v>0</v>
      </c>
    </row>
    <row r="17" ht="27" customHeight="1" spans="1:25">
      <c r="A17" s="36"/>
      <c r="B17" s="36"/>
      <c r="C17" s="40"/>
      <c r="D17" s="41"/>
      <c r="E17" s="41"/>
      <c r="F17" s="74"/>
      <c r="G17" s="85">
        <f>SUMIF(每月目标分解!E:E,F:F,每月目标分解!R:R)*年目标!$B$18</f>
        <v>0</v>
      </c>
      <c r="H17" s="39">
        <f>IFERROR(SUMIF(F:F,每月目标分解!E:E,每月目标分解!R:R)/SUMIF(F:F,单品目标年销量!E:E,单品目标年销量!F:F),0)</f>
        <v>0</v>
      </c>
      <c r="I17" s="39">
        <f>IFERROR(SUMIF(D:D,D:D,H:H)*(SUMIF('船长每月数据(2023年)'!E:E,D:D,'船长每月数据(2023年)'!AI:AI)/SUMIF('船长每月数据(2023年)'!E:E,D:D,'船长每月数据(2023年)'!P:P)),0)</f>
        <v>0</v>
      </c>
      <c r="J17" s="85">
        <f>SUMIF(D:D,D:D,G:G)*SUMIF('2022年全年财务报表'!A:A,C:C,'2022年全年财务报表'!E:E)</f>
        <v>0</v>
      </c>
      <c r="K17" s="85">
        <f>SUMIF(D:D,D:D,G:G)*SUMIF('2022年全年财务报表'!A:A,C:C,'2022年全年财务报表'!G:G)</f>
        <v>0</v>
      </c>
      <c r="L17" s="85">
        <f>SUMIF(D:D,D:D,G:G)*SUMIF('2022年全年财务报表'!A:A,C:C,'2022年全年财务报表'!I:I)</f>
        <v>0</v>
      </c>
      <c r="M17" s="85">
        <f>SUMIF(D:D,D:D,G:G)*SUMIF('2022年全年财务报表'!A:A,C:C,'2022年全年财务报表'!O:O)</f>
        <v>0</v>
      </c>
      <c r="N17" s="85">
        <f>SUMIF(D:D,D:D,G:G)*SUMIF('2022年全年财务报表'!A:A,C:C,'2022年全年财务报表'!Q:Q)</f>
        <v>0</v>
      </c>
      <c r="O17" s="85">
        <f>SUMIF(D:D,D:D,G:G)*SUMIF('2022年全年财务报表'!A:A,C:C,'2022年全年财务报表'!S:S)</f>
        <v>0</v>
      </c>
      <c r="P17" s="85">
        <f t="shared" si="3"/>
        <v>0</v>
      </c>
      <c r="Q17" s="21">
        <f t="shared" si="8"/>
        <v>0</v>
      </c>
      <c r="R17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17" s="85">
        <f t="shared" si="9"/>
        <v>0</v>
      </c>
      <c r="T17" s="85">
        <f t="shared" si="10"/>
        <v>0</v>
      </c>
      <c r="U17" s="85">
        <f>SUMIF(D:D,D:D,G:G)*SUMIF('2022年全年财务报表'!A:A,C:C,'2022年全年财务报表'!K:K)</f>
        <v>0</v>
      </c>
      <c r="V17" s="21">
        <f t="shared" si="11"/>
        <v>0</v>
      </c>
      <c r="W17" s="21">
        <f>IFERROR(SUMIF('船长每月数据(2023年)'!E:E,D:D,'船长每月数据(2023年)'!P:P)/SUMIF('船长每月数据(2023年)'!E:E,D:D,'船长每月数据(2023年)'!H:H),0)</f>
        <v>0</v>
      </c>
      <c r="X17" s="85">
        <f t="shared" si="12"/>
        <v>0</v>
      </c>
      <c r="Y17" s="21">
        <f t="shared" si="13"/>
        <v>0</v>
      </c>
    </row>
    <row r="18" ht="27" customHeight="1" spans="1:25">
      <c r="A18" s="36"/>
      <c r="B18" s="36"/>
      <c r="C18" s="40"/>
      <c r="D18" s="41"/>
      <c r="E18" s="41"/>
      <c r="F18" s="74"/>
      <c r="G18" s="85">
        <f>SUMIF(每月目标分解!E:E,F:F,每月目标分解!R:R)*年目标!$B$18</f>
        <v>0</v>
      </c>
      <c r="H18" s="39">
        <f>IFERROR(SUMIF(F:F,每月目标分解!E:E,每月目标分解!R:R)/SUMIF(F:F,单品目标年销量!E:E,单品目标年销量!F:F),0)</f>
        <v>0</v>
      </c>
      <c r="I18" s="39">
        <f>IFERROR(SUMIF(D:D,D:D,H:H)*(SUMIF('船长每月数据(2023年)'!E:E,D:D,'船长每月数据(2023年)'!AI:AI)/SUMIF('船长每月数据(2023年)'!E:E,D:D,'船长每月数据(2023年)'!P:P)),0)</f>
        <v>0</v>
      </c>
      <c r="J18" s="85">
        <f>SUMIF(D:D,D:D,G:G)*SUMIF('2022年全年财务报表'!A:A,C:C,'2022年全年财务报表'!E:E)</f>
        <v>0</v>
      </c>
      <c r="K18" s="85">
        <f>SUMIF(D:D,D:D,G:G)*SUMIF('2022年全年财务报表'!A:A,C:C,'2022年全年财务报表'!G:G)</f>
        <v>0</v>
      </c>
      <c r="L18" s="85">
        <f>SUMIF(D:D,D:D,G:G)*SUMIF('2022年全年财务报表'!A:A,C:C,'2022年全年财务报表'!I:I)</f>
        <v>0</v>
      </c>
      <c r="M18" s="85">
        <f>SUMIF(D:D,D:D,G:G)*SUMIF('2022年全年财务报表'!A:A,C:C,'2022年全年财务报表'!O:O)</f>
        <v>0</v>
      </c>
      <c r="N18" s="85">
        <f>SUMIF(D:D,D:D,G:G)*SUMIF('2022年全年财务报表'!A:A,C:C,'2022年全年财务报表'!Q:Q)</f>
        <v>0</v>
      </c>
      <c r="O18" s="85">
        <f>SUMIF(D:D,D:D,G:G)*SUMIF('2022年全年财务报表'!A:A,C:C,'2022年全年财务报表'!S:S)</f>
        <v>0</v>
      </c>
      <c r="P18" s="85">
        <f t="shared" si="3"/>
        <v>0</v>
      </c>
      <c r="Q18" s="21">
        <f t="shared" si="8"/>
        <v>0</v>
      </c>
      <c r="R18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18" s="85">
        <f t="shared" si="9"/>
        <v>0</v>
      </c>
      <c r="T18" s="85">
        <f t="shared" si="10"/>
        <v>0</v>
      </c>
      <c r="U18" s="85">
        <f>SUMIF(D:D,D:D,G:G)*SUMIF('2022年全年财务报表'!A:A,C:C,'2022年全年财务报表'!K:K)</f>
        <v>0</v>
      </c>
      <c r="V18" s="21">
        <f t="shared" si="11"/>
        <v>0</v>
      </c>
      <c r="W18" s="21">
        <f>IFERROR(SUMIF('船长每月数据(2023年)'!E:E,D:D,'船长每月数据(2023年)'!P:P)/SUMIF('船长每月数据(2023年)'!E:E,D:D,'船长每月数据(2023年)'!H:H),0)</f>
        <v>0</v>
      </c>
      <c r="X18" s="85">
        <f t="shared" si="12"/>
        <v>0</v>
      </c>
      <c r="Y18" s="21">
        <f t="shared" si="13"/>
        <v>0</v>
      </c>
    </row>
    <row r="19" ht="27" customHeight="1" spans="1:25">
      <c r="A19" s="36"/>
      <c r="B19" s="36"/>
      <c r="C19" s="40"/>
      <c r="D19" s="20"/>
      <c r="E19" s="20"/>
      <c r="F19" s="74"/>
      <c r="G19" s="85">
        <f>SUMIF(每月目标分解!E:E,F:F,每月目标分解!R:R)*年目标!$B$18</f>
        <v>0</v>
      </c>
      <c r="H19" s="39">
        <f>IFERROR(SUMIF(F:F,每月目标分解!E:E,每月目标分解!R:R)/SUMIF(F:F,单品目标年销量!E:E,单品目标年销量!F:F),0)</f>
        <v>0</v>
      </c>
      <c r="I19" s="39">
        <f>IFERROR(SUMIF(D:D,D:D,H:H)*(SUMIF('船长每月数据(2023年)'!E:E,D:D,'船长每月数据(2023年)'!AI:AI)/SUMIF('船长每月数据(2023年)'!E:E,D:D,'船长每月数据(2023年)'!P:P)),0)</f>
        <v>0</v>
      </c>
      <c r="J19" s="85">
        <f>SUMIF(D:D,D:D,G:G)*SUMIF('2022年全年财务报表'!A:A,C:C,'2022年全年财务报表'!E:E)</f>
        <v>0</v>
      </c>
      <c r="K19" s="85">
        <f>SUMIF(D:D,D:D,G:G)*SUMIF('2022年全年财务报表'!A:A,C:C,'2022年全年财务报表'!G:G)</f>
        <v>0</v>
      </c>
      <c r="L19" s="85">
        <f>SUMIF(D:D,D:D,G:G)*SUMIF('2022年全年财务报表'!A:A,C:C,'2022年全年财务报表'!I:I)</f>
        <v>0</v>
      </c>
      <c r="M19" s="85">
        <f>SUMIF(D:D,D:D,G:G)*SUMIF('2022年全年财务报表'!A:A,C:C,'2022年全年财务报表'!O:O)</f>
        <v>0</v>
      </c>
      <c r="N19" s="85">
        <f>SUMIF(D:D,D:D,G:G)*SUMIF('2022年全年财务报表'!A:A,C:C,'2022年全年财务报表'!Q:Q)</f>
        <v>0</v>
      </c>
      <c r="O19" s="85">
        <f>SUMIF(D:D,D:D,G:G)*SUMIF('2022年全年财务报表'!A:A,C:C,'2022年全年财务报表'!S:S)</f>
        <v>0</v>
      </c>
      <c r="P19" s="85">
        <f>IFERROR(I19/W19*R19,0)*0</f>
        <v>0</v>
      </c>
      <c r="Q19" s="21">
        <f t="shared" si="8"/>
        <v>0</v>
      </c>
      <c r="R19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19" s="85">
        <f t="shared" si="9"/>
        <v>0</v>
      </c>
      <c r="T19" s="85">
        <f t="shared" si="10"/>
        <v>0</v>
      </c>
      <c r="U19" s="85">
        <f>SUMIF(D:D,D:D,G:G)*SUMIF('2022年全年财务报表'!A:A,C:C,'2022年全年财务报表'!K:K)/2</f>
        <v>0</v>
      </c>
      <c r="V19" s="21">
        <f t="shared" si="11"/>
        <v>0</v>
      </c>
      <c r="W19" s="21">
        <f>IFERROR(SUMIF('船长每月数据(2023年)'!E:E,D:D,'船长每月数据(2023年)'!P:P)/SUMIF('船长每月数据(2023年)'!E:E,D:D,'船长每月数据(2023年)'!H:H),0)</f>
        <v>0</v>
      </c>
      <c r="X19" s="85">
        <f t="shared" si="12"/>
        <v>0</v>
      </c>
      <c r="Y19" s="21">
        <f t="shared" si="13"/>
        <v>0</v>
      </c>
    </row>
    <row r="20" ht="27" customHeight="1" spans="1:25">
      <c r="A20" s="36"/>
      <c r="B20" s="36"/>
      <c r="C20" s="40"/>
      <c r="D20" s="20"/>
      <c r="E20" s="20"/>
      <c r="F20" s="74"/>
      <c r="G20" s="85">
        <f>SUMIF(每月目标分解!E:E,F:F,每月目标分解!R:R)*年目标!$B$18</f>
        <v>0</v>
      </c>
      <c r="H20" s="39">
        <f>IFERROR(SUMIF(F:F,每月目标分解!E:E,每月目标分解!R:R)/SUMIF(F:F,单品目标年销量!E:E,单品目标年销量!F:F),0)</f>
        <v>0</v>
      </c>
      <c r="I20" s="39">
        <f>IFERROR(SUMIF(D:D,D:D,H:H)*(SUMIF('船长每月数据(2023年)'!E:E,D:D,'船长每月数据(2023年)'!AI:AI)/SUMIF('船长每月数据(2023年)'!E:E,D:D,'船长每月数据(2023年)'!P:P)),0)</f>
        <v>0</v>
      </c>
      <c r="J20" s="85">
        <f>SUMIF(D:D,D:D,G:G)*SUMIF('2022年全年财务报表'!A:A,C:C,'2022年全年财务报表'!E:E)</f>
        <v>0</v>
      </c>
      <c r="K20" s="85">
        <f>SUMIF(D:D,D:D,G:G)*SUMIF('2022年全年财务报表'!A:A,C:C,'2022年全年财务报表'!G:G)</f>
        <v>0</v>
      </c>
      <c r="L20" s="85">
        <f>SUMIF(D:D,D:D,G:G)*SUMIF('2022年全年财务报表'!A:A,C:C,'2022年全年财务报表'!I:I)</f>
        <v>0</v>
      </c>
      <c r="M20" s="85">
        <f>SUMIF(D:D,D:D,G:G)*SUMIF('2022年全年财务报表'!A:A,C:C,'2022年全年财务报表'!O:O)</f>
        <v>0</v>
      </c>
      <c r="N20" s="85">
        <f>SUMIF(D:D,D:D,G:G)*SUMIF('2022年全年财务报表'!A:A,C:C,'2022年全年财务报表'!Q:Q)</f>
        <v>0</v>
      </c>
      <c r="O20" s="85">
        <f>SUMIF(D:D,D:D,G:G)*SUMIF('2022年全年财务报表'!A:A,C:C,'2022年全年财务报表'!S:S)</f>
        <v>0</v>
      </c>
      <c r="P20" s="85">
        <f t="shared" si="3"/>
        <v>0</v>
      </c>
      <c r="Q20" s="21">
        <f t="shared" si="8"/>
        <v>0</v>
      </c>
      <c r="R20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20" s="85">
        <f t="shared" si="9"/>
        <v>0</v>
      </c>
      <c r="T20" s="85">
        <f t="shared" si="10"/>
        <v>0</v>
      </c>
      <c r="U20" s="85">
        <f>SUMIF(D:D,D:D,G:G)*SUMIF('2022年全年财务报表'!A:A,C:C,'2022年全年财务报表'!K:K)</f>
        <v>0</v>
      </c>
      <c r="V20" s="21">
        <f t="shared" si="11"/>
        <v>0</v>
      </c>
      <c r="W20" s="21">
        <f>IFERROR(SUMIF('船长每月数据(2023年)'!E:E,D:D,'船长每月数据(2023年)'!P:P)/SUMIF('船长每月数据(2023年)'!E:E,D:D,'船长每月数据(2023年)'!H:H),0)</f>
        <v>0</v>
      </c>
      <c r="X20" s="85">
        <f t="shared" si="12"/>
        <v>0</v>
      </c>
      <c r="Y20" s="21">
        <f t="shared" si="13"/>
        <v>0</v>
      </c>
    </row>
    <row r="21" ht="27" customHeight="1" spans="1:25">
      <c r="A21" s="36"/>
      <c r="B21" s="36"/>
      <c r="C21" s="40"/>
      <c r="D21" s="20"/>
      <c r="E21" s="20"/>
      <c r="F21" s="74"/>
      <c r="G21" s="85">
        <f>SUMIF(每月目标分解!E:E,F:F,每月目标分解!R:R)*年目标!$B$18</f>
        <v>0</v>
      </c>
      <c r="H21" s="39">
        <f>IFERROR(SUMIF(F:F,每月目标分解!E:E,每月目标分解!R:R)/SUMIF(F:F,单品目标年销量!E:E,单品目标年销量!F:F),0)</f>
        <v>0</v>
      </c>
      <c r="I21" s="39">
        <f>IFERROR(SUMIF(D:D,D:D,H:H)*(SUMIF('船长每月数据(2023年)'!E:E,D:D,'船长每月数据(2023年)'!AI:AI)/SUMIF('船长每月数据(2023年)'!E:E,D:D,'船长每月数据(2023年)'!P:P)),0)</f>
        <v>0</v>
      </c>
      <c r="J21" s="85">
        <f>SUMIF(D:D,D:D,G:G)*SUMIF('2022年全年财务报表'!A:A,C:C,'2022年全年财务报表'!E:E)</f>
        <v>0</v>
      </c>
      <c r="K21" s="85">
        <f>SUMIF(D:D,D:D,G:G)*SUMIF('2022年全年财务报表'!A:A,C:C,'2022年全年财务报表'!G:G)</f>
        <v>0</v>
      </c>
      <c r="L21" s="85">
        <f>SUMIF(D:D,D:D,G:G)*SUMIF('2022年全年财务报表'!A:A,C:C,'2022年全年财务报表'!I:I)</f>
        <v>0</v>
      </c>
      <c r="M21" s="85">
        <f>SUMIF(D:D,D:D,G:G)*SUMIF('2022年全年财务报表'!A:A,C:C,'2022年全年财务报表'!O:O)</f>
        <v>0</v>
      </c>
      <c r="N21" s="85">
        <f>SUMIF(D:D,D:D,G:G)*SUMIF('2022年全年财务报表'!A:A,C:C,'2022年全年财务报表'!Q:Q)</f>
        <v>0</v>
      </c>
      <c r="O21" s="85">
        <f>SUMIF(D:D,D:D,G:G)*SUMIF('2022年全年财务报表'!A:A,C:C,'2022年全年财务报表'!S:S)</f>
        <v>0</v>
      </c>
      <c r="P21" s="85">
        <f t="shared" si="3"/>
        <v>0</v>
      </c>
      <c r="Q21" s="21">
        <f t="shared" si="8"/>
        <v>0</v>
      </c>
      <c r="R21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21" s="85">
        <f t="shared" si="9"/>
        <v>0</v>
      </c>
      <c r="T21" s="85">
        <f t="shared" si="10"/>
        <v>0</v>
      </c>
      <c r="U21" s="85">
        <f>SUMIF(D:D,D:D,G:G)*SUMIF('2022年全年财务报表'!A:A,C:C,'2022年全年财务报表'!K:K)</f>
        <v>0</v>
      </c>
      <c r="V21" s="21">
        <f t="shared" si="11"/>
        <v>0</v>
      </c>
      <c r="W21" s="21">
        <f>IFERROR(SUMIF('船长每月数据(2023年)'!E:E,D:D,'船长每月数据(2023年)'!P:P)/SUMIF('船长每月数据(2023年)'!E:E,D:D,'船长每月数据(2023年)'!H:H),0)</f>
        <v>0</v>
      </c>
      <c r="X21" s="85">
        <f t="shared" si="12"/>
        <v>0</v>
      </c>
      <c r="Y21" s="21">
        <f t="shared" si="13"/>
        <v>0</v>
      </c>
    </row>
    <row r="22" ht="27" customHeight="1" spans="1:25">
      <c r="A22" s="36"/>
      <c r="B22" s="36"/>
      <c r="C22" s="40"/>
      <c r="D22" s="20"/>
      <c r="E22" s="20"/>
      <c r="F22" s="74"/>
      <c r="G22" s="85">
        <f>SUMIF(每月目标分解!E:E,F:F,每月目标分解!R:R)*年目标!$B$18</f>
        <v>0</v>
      </c>
      <c r="H22" s="39">
        <f>IFERROR(SUMIF(F:F,每月目标分解!E:E,每月目标分解!R:R)/SUMIF(F:F,单品目标年销量!E:E,单品目标年销量!F:F),0)</f>
        <v>0</v>
      </c>
      <c r="I22" s="39">
        <f>IFERROR(SUMIF(D:D,D:D,H:H)*(SUMIF('船长每月数据(2023年)'!E:E,D:D,'船长每月数据(2023年)'!AI:AI)/SUMIF('船长每月数据(2023年)'!E:E,D:D,'船长每月数据(2023年)'!P:P)),0)</f>
        <v>0</v>
      </c>
      <c r="J22" s="85">
        <f>SUMIF(D:D,D:D,G:G)*SUMIF('2022年全年财务报表'!A:A,C:C,'2022年全年财务报表'!E:E)</f>
        <v>0</v>
      </c>
      <c r="K22" s="85">
        <f>SUMIF(D:D,D:D,G:G)*SUMIF('2022年全年财务报表'!A:A,C:C,'2022年全年财务报表'!G:G)</f>
        <v>0</v>
      </c>
      <c r="L22" s="85">
        <f>SUMIF(D:D,D:D,G:G)*SUMIF('2022年全年财务报表'!A:A,C:C,'2022年全年财务报表'!I:I)</f>
        <v>0</v>
      </c>
      <c r="M22" s="85">
        <f>SUMIF(D:D,D:D,G:G)*SUMIF('2022年全年财务报表'!A:A,C:C,'2022年全年财务报表'!O:O)</f>
        <v>0</v>
      </c>
      <c r="N22" s="85">
        <f>SUMIF(D:D,D:D,G:G)*SUMIF('2022年全年财务报表'!A:A,C:C,'2022年全年财务报表'!Q:Q)</f>
        <v>0</v>
      </c>
      <c r="O22" s="85">
        <f>SUMIF(D:D,D:D,G:G)*SUMIF('2022年全年财务报表'!A:A,C:C,'2022年全年财务报表'!S:S)</f>
        <v>0</v>
      </c>
      <c r="P22" s="85">
        <f>IFERROR(I22/W22*R22,0)/2.5</f>
        <v>0</v>
      </c>
      <c r="Q22" s="21">
        <f t="shared" si="8"/>
        <v>0</v>
      </c>
      <c r="R22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22" s="85">
        <f t="shared" si="9"/>
        <v>0</v>
      </c>
      <c r="T22" s="85">
        <f t="shared" si="10"/>
        <v>0</v>
      </c>
      <c r="U22" s="85">
        <f>SUMIF(D:D,D:D,G:G)*SUMIF('2022年全年财务报表'!A:A,C:C,'2022年全年财务报表'!K:K)/1.2</f>
        <v>0</v>
      </c>
      <c r="V22" s="21">
        <f t="shared" si="11"/>
        <v>0</v>
      </c>
      <c r="W22" s="21">
        <f>IFERROR(SUMIF('船长每月数据(2023年)'!E:E,D:D,'船长每月数据(2023年)'!P:P)/SUMIF('船长每月数据(2023年)'!E:E,D:D,'船长每月数据(2023年)'!H:H),0)</f>
        <v>0</v>
      </c>
      <c r="X22" s="85">
        <f t="shared" si="12"/>
        <v>0</v>
      </c>
      <c r="Y22" s="21">
        <f t="shared" si="13"/>
        <v>0</v>
      </c>
    </row>
    <row r="23" ht="27" customHeight="1" spans="1:25">
      <c r="A23" s="36"/>
      <c r="B23" s="36"/>
      <c r="C23" s="40"/>
      <c r="D23" s="20"/>
      <c r="E23" s="20"/>
      <c r="F23" s="74"/>
      <c r="G23" s="85">
        <f>SUMIF(每月目标分解!E:E,F:F,每月目标分解!R:R)*年目标!$B$18</f>
        <v>0</v>
      </c>
      <c r="H23" s="39">
        <f>IFERROR(SUMIF(F:F,每月目标分解!E:E,每月目标分解!R:R)/SUMIF(F:F,单品目标年销量!E:E,单品目标年销量!F:F),0)</f>
        <v>0</v>
      </c>
      <c r="I23" s="39">
        <f>IFERROR(SUMIF(D:D,D:D,H:H)*(SUMIF('船长每月数据(2023年)'!E:E,D:D,'船长每月数据(2023年)'!AI:AI)/SUMIF('船长每月数据(2023年)'!E:E,D:D,'船长每月数据(2023年)'!P:P)),0)</f>
        <v>0</v>
      </c>
      <c r="J23" s="85">
        <f>SUMIF(D:D,D:D,G:G)*SUMIF('2022年全年财务报表'!A:A,C:C,'2022年全年财务报表'!E:E)</f>
        <v>0</v>
      </c>
      <c r="K23" s="85">
        <f>SUMIF(D:D,D:D,G:G)*SUMIF('2022年全年财务报表'!A:A,C:C,'2022年全年财务报表'!G:G)</f>
        <v>0</v>
      </c>
      <c r="L23" s="85">
        <f>SUMIF(D:D,D:D,G:G)*SUMIF('2022年全年财务报表'!A:A,C:C,'2022年全年财务报表'!I:I)</f>
        <v>0</v>
      </c>
      <c r="M23" s="85">
        <f>SUMIF(D:D,D:D,G:G)*SUMIF('2022年全年财务报表'!A:A,C:C,'2022年全年财务报表'!O:O)</f>
        <v>0</v>
      </c>
      <c r="N23" s="85">
        <f>SUMIF(D:D,D:D,G:G)*SUMIF('2022年全年财务报表'!A:A,C:C,'2022年全年财务报表'!Q:Q)</f>
        <v>0</v>
      </c>
      <c r="O23" s="85">
        <f>SUMIF(D:D,D:D,G:G)*SUMIF('2022年全年财务报表'!A:A,C:C,'2022年全年财务报表'!S:S)</f>
        <v>0</v>
      </c>
      <c r="P23" s="85">
        <f>IFERROR(I23/W23*R23,0)/2.5</f>
        <v>0</v>
      </c>
      <c r="Q23" s="21">
        <f t="shared" si="8"/>
        <v>0</v>
      </c>
      <c r="R23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23" s="85">
        <f t="shared" si="9"/>
        <v>0</v>
      </c>
      <c r="T23" s="85">
        <f t="shared" si="10"/>
        <v>0</v>
      </c>
      <c r="U23" s="85">
        <f>SUMIF(D:D,D:D,G:G)*SUMIF('2022年全年财务报表'!A:A,C:C,'2022年全年财务报表'!K:K)/1.2</f>
        <v>0</v>
      </c>
      <c r="V23" s="21">
        <f t="shared" si="11"/>
        <v>0</v>
      </c>
      <c r="W23" s="21">
        <f>IFERROR(SUMIF('船长每月数据(2023年)'!E:E,D:D,'船长每月数据(2023年)'!P:P)/SUMIF('船长每月数据(2023年)'!E:E,D:D,'船长每月数据(2023年)'!H:H),0)</f>
        <v>0</v>
      </c>
      <c r="X23" s="85">
        <f t="shared" si="12"/>
        <v>0</v>
      </c>
      <c r="Y23" s="21">
        <f t="shared" si="13"/>
        <v>0</v>
      </c>
    </row>
    <row r="24" ht="27" customHeight="1" spans="1:25">
      <c r="A24" s="36"/>
      <c r="B24" s="36"/>
      <c r="C24" s="40"/>
      <c r="D24" s="20"/>
      <c r="E24" s="20"/>
      <c r="F24" s="74"/>
      <c r="G24" s="85">
        <f>SUMIF(每月目标分解!E:E,F:F,每月目标分解!R:R)*年目标!$B$18</f>
        <v>0</v>
      </c>
      <c r="H24" s="39">
        <f>IFERROR(SUMIF(F:F,每月目标分解!E:E,每月目标分解!R:R)/SUMIF(F:F,单品目标年销量!E:E,单品目标年销量!F:F),0)</f>
        <v>0</v>
      </c>
      <c r="I24" s="39">
        <f>IFERROR(SUMIF(D:D,D:D,H:H)*(SUMIF('船长每月数据(2023年)'!E:E,D:D,'船长每月数据(2023年)'!AI:AI)/SUMIF('船长每月数据(2023年)'!E:E,D:D,'船长每月数据(2023年)'!P:P)),0)</f>
        <v>0</v>
      </c>
      <c r="J24" s="85">
        <f>SUMIF(D:D,D:D,G:G)*SUMIF('2022年全年财务报表'!A:A,C:C,'2022年全年财务报表'!E:E)</f>
        <v>0</v>
      </c>
      <c r="K24" s="85">
        <f>SUMIF(D:D,D:D,G:G)*SUMIF('2022年全年财务报表'!A:A,C:C,'2022年全年财务报表'!G:G)</f>
        <v>0</v>
      </c>
      <c r="L24" s="85">
        <f>SUMIF(D:D,D:D,G:G)*SUMIF('2022年全年财务报表'!A:A,C:C,'2022年全年财务报表'!I:I)</f>
        <v>0</v>
      </c>
      <c r="M24" s="85">
        <f>SUMIF(D:D,D:D,G:G)*SUMIF('2022年全年财务报表'!A:A,C:C,'2022年全年财务报表'!O:O)</f>
        <v>0</v>
      </c>
      <c r="N24" s="85">
        <f>SUMIF(D:D,D:D,G:G)*SUMIF('2022年全年财务报表'!A:A,C:C,'2022年全年财务报表'!Q:Q)</f>
        <v>0</v>
      </c>
      <c r="O24" s="85">
        <f>SUMIF(D:D,D:D,G:G)*SUMIF('2022年全年财务报表'!A:A,C:C,'2022年全年财务报表'!S:S)</f>
        <v>0</v>
      </c>
      <c r="P24" s="85">
        <f>IFERROR(I24/W24*R24,0)/1.2</f>
        <v>0</v>
      </c>
      <c r="Q24" s="21">
        <f t="shared" si="8"/>
        <v>0</v>
      </c>
      <c r="R24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24" s="85">
        <f t="shared" si="9"/>
        <v>0</v>
      </c>
      <c r="T24" s="85">
        <f t="shared" si="10"/>
        <v>0</v>
      </c>
      <c r="U24" s="85">
        <f>SUMIF(D:D,D:D,G:G)*SUMIF('2022年全年财务报表'!A:A,C:C,'2022年全年财务报表'!K:K)</f>
        <v>0</v>
      </c>
      <c r="V24" s="21">
        <f t="shared" si="11"/>
        <v>0</v>
      </c>
      <c r="W24" s="21">
        <f>IFERROR(SUMIF('船长每月数据(2023年)'!E:E,D:D,'船长每月数据(2023年)'!P:P)/SUMIF('船长每月数据(2023年)'!E:E,D:D,'船长每月数据(2023年)'!H:H),0)</f>
        <v>0</v>
      </c>
      <c r="X24" s="85">
        <f t="shared" si="12"/>
        <v>0</v>
      </c>
      <c r="Y24" s="21">
        <f t="shared" si="13"/>
        <v>0</v>
      </c>
    </row>
    <row r="25" ht="27" customHeight="1" spans="1:25">
      <c r="A25" s="36"/>
      <c r="B25" s="36"/>
      <c r="C25" s="40"/>
      <c r="D25" s="41"/>
      <c r="E25" s="41"/>
      <c r="F25" s="74"/>
      <c r="G25" s="85">
        <f>SUMIF(每月目标分解!E:E,F:F,每月目标分解!R:R)*年目标!$B$18</f>
        <v>0</v>
      </c>
      <c r="H25" s="39">
        <f>IFERROR(SUMIF(F:F,每月目标分解!E:E,每月目标分解!R:R)/SUMIF(F:F,单品目标年销量!E:E,单品目标年销量!F:F),0)</f>
        <v>0</v>
      </c>
      <c r="I25" s="39">
        <f>IFERROR(SUMIF(D:D,D:D,H:H)*(SUMIF('船长每月数据(2023年)'!E:E,D:D,'船长每月数据(2023年)'!AI:AI)/SUMIF('船长每月数据(2023年)'!E:E,D:D,'船长每月数据(2023年)'!P:P)),0)</f>
        <v>0</v>
      </c>
      <c r="J25" s="85">
        <f>SUMIF(D:D,D:D,G:G)*SUMIF('2022年全年财务报表'!A:A,C:C,'2022年全年财务报表'!E:E)</f>
        <v>0</v>
      </c>
      <c r="K25" s="85">
        <f>SUMIF(D:D,D:D,G:G)*SUMIF('2022年全年财务报表'!A:A,C:C,'2022年全年财务报表'!G:G)</f>
        <v>0</v>
      </c>
      <c r="L25" s="85">
        <f>SUMIF(D:D,D:D,G:G)*SUMIF('2022年全年财务报表'!A:A,C:C,'2022年全年财务报表'!I:I)</f>
        <v>0</v>
      </c>
      <c r="M25" s="85">
        <f>SUMIF(D:D,D:D,G:G)*SUMIF('2022年全年财务报表'!A:A,C:C,'2022年全年财务报表'!O:O)</f>
        <v>0</v>
      </c>
      <c r="N25" s="85">
        <f>SUMIF(D:D,D:D,G:G)*SUMIF('2022年全年财务报表'!A:A,C:C,'2022年全年财务报表'!Q:Q)</f>
        <v>0</v>
      </c>
      <c r="O25" s="85">
        <f>SUMIF(D:D,D:D,G:G)*SUMIF('2022年全年财务报表'!A:A,C:C,'2022年全年财务报表'!S:S)</f>
        <v>0</v>
      </c>
      <c r="P25" s="85">
        <f>IFERROR(I25/W25*R25,0)</f>
        <v>0</v>
      </c>
      <c r="Q25" s="21">
        <f t="shared" si="8"/>
        <v>0</v>
      </c>
      <c r="R25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25" s="85">
        <f t="shared" si="9"/>
        <v>0</v>
      </c>
      <c r="T25" s="85">
        <f t="shared" si="10"/>
        <v>0</v>
      </c>
      <c r="U25" s="85">
        <f>SUMIF(D:D,D:D,G:G)*SUMIF('2022年全年财务报表'!A:A,C:C,'2022年全年财务报表'!K:K)</f>
        <v>0</v>
      </c>
      <c r="V25" s="21">
        <f t="shared" si="11"/>
        <v>0</v>
      </c>
      <c r="W25" s="21">
        <f>IFERROR(SUMIF('船长每月数据(2023年)'!E:E,D:D,'船长每月数据(2023年)'!P:P)/SUMIF('船长每月数据(2023年)'!E:E,D:D,'船长每月数据(2023年)'!H:H),0)</f>
        <v>0</v>
      </c>
      <c r="X25" s="85">
        <f t="shared" si="12"/>
        <v>0</v>
      </c>
      <c r="Y25" s="21">
        <f t="shared" si="13"/>
        <v>0</v>
      </c>
    </row>
    <row r="26" ht="27" customHeight="1" spans="1:25">
      <c r="A26" s="36"/>
      <c r="B26" s="36"/>
      <c r="C26" s="40"/>
      <c r="D26" s="41"/>
      <c r="E26" s="41"/>
      <c r="F26" s="74"/>
      <c r="G26" s="85">
        <f>SUMIF(每月目标分解!E:E,F:F,每月目标分解!R:R)*年目标!$B$18</f>
        <v>0</v>
      </c>
      <c r="H26" s="39">
        <f>IFERROR(SUMIF(F:F,每月目标分解!E:E,每月目标分解!R:R)/SUMIF(F:F,单品目标年销量!E:E,单品目标年销量!F:F),0)</f>
        <v>0</v>
      </c>
      <c r="I26" s="39">
        <f>IFERROR(SUMIF(D:D,D:D,H:H)*(SUMIF('船长每月数据(2023年)'!E:E,D:D,'船长每月数据(2023年)'!AI:AI)/SUMIF('船长每月数据(2023年)'!E:E,D:D,'船长每月数据(2023年)'!P:P)),0)</f>
        <v>0</v>
      </c>
      <c r="J26" s="85">
        <f>SUMIF(D:D,D:D,G:G)*SUMIF('2022年全年财务报表'!A:A,C:C,'2022年全年财务报表'!E:E)</f>
        <v>0</v>
      </c>
      <c r="K26" s="85">
        <f>SUMIF(D:D,D:D,G:G)*SUMIF('2022年全年财务报表'!A:A,C:C,'2022年全年财务报表'!G:G)</f>
        <v>0</v>
      </c>
      <c r="L26" s="85">
        <f>SUMIF(D:D,D:D,G:G)*SUMIF('2022年全年财务报表'!A:A,C:C,'2022年全年财务报表'!I:I)</f>
        <v>0</v>
      </c>
      <c r="M26" s="85">
        <f>SUMIF(D:D,D:D,G:G)*SUMIF('2022年全年财务报表'!A:A,C:C,'2022年全年财务报表'!O:O)</f>
        <v>0</v>
      </c>
      <c r="N26" s="85">
        <f>SUMIF(D:D,D:D,G:G)*SUMIF('2022年全年财务报表'!A:A,C:C,'2022年全年财务报表'!Q:Q)</f>
        <v>0</v>
      </c>
      <c r="O26" s="85">
        <f>SUMIF(D:D,D:D,G:G)*SUMIF('2022年全年财务报表'!A:A,C:C,'2022年全年财务报表'!S:S)</f>
        <v>0</v>
      </c>
      <c r="P26" s="85">
        <f>IFERROR(I26/W26*R26,0)</f>
        <v>0</v>
      </c>
      <c r="Q26" s="21">
        <f t="shared" si="8"/>
        <v>0</v>
      </c>
      <c r="R26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26" s="85">
        <f t="shared" si="9"/>
        <v>0</v>
      </c>
      <c r="T26" s="85">
        <f t="shared" si="10"/>
        <v>0</v>
      </c>
      <c r="U26" s="85">
        <f>SUMIF(D:D,D:D,G:G)*SUMIF('2022年全年财务报表'!A:A,C:C,'2022年全年财务报表'!K:K)</f>
        <v>0</v>
      </c>
      <c r="V26" s="21">
        <f t="shared" si="11"/>
        <v>0</v>
      </c>
      <c r="W26" s="21">
        <f>IFERROR(SUMIF('船长每月数据(2023年)'!E:E,D:D,'船长每月数据(2023年)'!P:P)/SUMIF('船长每月数据(2023年)'!E:E,D:D,'船长每月数据(2023年)'!H:H),0)</f>
        <v>0</v>
      </c>
      <c r="X26" s="85">
        <f t="shared" si="12"/>
        <v>0</v>
      </c>
      <c r="Y26" s="21">
        <f t="shared" si="13"/>
        <v>0</v>
      </c>
    </row>
    <row r="27" ht="27" customHeight="1" spans="1:25">
      <c r="A27" s="36"/>
      <c r="B27" s="36"/>
      <c r="C27" s="40"/>
      <c r="D27" s="20"/>
      <c r="E27" s="20"/>
      <c r="F27" s="74"/>
      <c r="G27" s="85">
        <f>SUMIF(每月目标分解!E:E,F:F,每月目标分解!R:R)*年目标!$B$18</f>
        <v>0</v>
      </c>
      <c r="H27" s="39">
        <f>IFERROR(SUMIF(F:F,每月目标分解!E:E,每月目标分解!R:R)/SUMIF(F:F,单品目标年销量!E:E,单品目标年销量!F:F),0)</f>
        <v>0</v>
      </c>
      <c r="I27" s="39">
        <f>IFERROR(SUMIF(D:D,D:D,H:H)*(SUMIF('船长每月数据(2023年)'!E:E,D:D,'船长每月数据(2023年)'!AI:AI)/SUMIF('船长每月数据(2023年)'!E:E,D:D,'船长每月数据(2023年)'!P:P)),0)</f>
        <v>0</v>
      </c>
      <c r="J27" s="85">
        <f>SUMIF(D:D,D:D,G:G)*SUMIF('2022年全年财务报表'!A:A,C:C,'2022年全年财务报表'!E:E)</f>
        <v>0</v>
      </c>
      <c r="K27" s="85">
        <f>SUMIF(D:D,D:D,G:G)*SUMIF('2022年全年财务报表'!A:A,C:C,'2022年全年财务报表'!G:G)</f>
        <v>0</v>
      </c>
      <c r="L27" s="85">
        <f>SUMIF(D:D,D:D,G:G)*SUMIF('2022年全年财务报表'!A:A,C:C,'2022年全年财务报表'!I:I)</f>
        <v>0</v>
      </c>
      <c r="M27" s="85">
        <f>SUMIF(D:D,D:D,G:G)*SUMIF('2022年全年财务报表'!A:A,C:C,'2022年全年财务报表'!O:O)</f>
        <v>0</v>
      </c>
      <c r="N27" s="85">
        <f>SUMIF(D:D,D:D,G:G)*SUMIF('2022年全年财务报表'!A:A,C:C,'2022年全年财务报表'!Q:Q)</f>
        <v>0</v>
      </c>
      <c r="O27" s="85">
        <f>SUMIF(D:D,D:D,G:G)*SUMIF('2022年全年财务报表'!A:A,C:C,'2022年全年财务报表'!S:S)</f>
        <v>0</v>
      </c>
      <c r="P27" s="85">
        <f>IFERROR(I27/W27*R27,0)/3.5</f>
        <v>0</v>
      </c>
      <c r="Q27" s="21">
        <f t="shared" si="8"/>
        <v>0</v>
      </c>
      <c r="R27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27" s="85">
        <f t="shared" si="9"/>
        <v>0</v>
      </c>
      <c r="T27" s="85">
        <f t="shared" si="10"/>
        <v>0</v>
      </c>
      <c r="U27" s="85">
        <f>SUMIF(D:D,D:D,G:G)*SUMIF('2022年全年财务报表'!A:A,C:C,'2022年全年财务报表'!K:K)/4</f>
        <v>0</v>
      </c>
      <c r="V27" s="21">
        <f t="shared" si="11"/>
        <v>0</v>
      </c>
      <c r="W27" s="21">
        <f>IFERROR(SUMIF('船长每月数据(2023年)'!E:E,D:D,'船长每月数据(2023年)'!P:P)/SUMIF('船长每月数据(2023年)'!E:E,D:D,'船长每月数据(2023年)'!H:H),0)</f>
        <v>0</v>
      </c>
      <c r="X27" s="85">
        <f t="shared" si="12"/>
        <v>0</v>
      </c>
      <c r="Y27" s="21">
        <f t="shared" si="13"/>
        <v>0</v>
      </c>
    </row>
    <row r="28" ht="27" customHeight="1" spans="1:25">
      <c r="A28" s="36"/>
      <c r="B28" s="36"/>
      <c r="C28" s="40"/>
      <c r="D28" s="20"/>
      <c r="E28" s="20"/>
      <c r="F28" s="74"/>
      <c r="G28" s="85">
        <f>SUMIF(每月目标分解!E:E,F:F,每月目标分解!R:R)*年目标!$B$18</f>
        <v>0</v>
      </c>
      <c r="H28" s="39">
        <f>IFERROR(SUMIF(F:F,每月目标分解!E:E,每月目标分解!R:R)/SUMIF(F:F,单品目标年销量!E:E,单品目标年销量!F:F),0)</f>
        <v>0</v>
      </c>
      <c r="I28" s="39">
        <f>IFERROR(SUMIF(D:D,D:D,H:H)*(SUMIF('船长每月数据(2023年)'!E:E,D:D,'船长每月数据(2023年)'!AI:AI)/SUMIF('船长每月数据(2023年)'!E:E,D:D,'船长每月数据(2023年)'!P:P)),0)</f>
        <v>0</v>
      </c>
      <c r="J28" s="85">
        <f>SUMIF(D:D,D:D,G:G)*SUMIF('2022年全年财务报表'!A:A,C:C,'2022年全年财务报表'!E:E)</f>
        <v>0</v>
      </c>
      <c r="K28" s="85">
        <f>SUMIF(D:D,D:D,G:G)*SUMIF('2022年全年财务报表'!A:A,C:C,'2022年全年财务报表'!G:G)</f>
        <v>0</v>
      </c>
      <c r="L28" s="85">
        <f>SUMIF(D:D,D:D,G:G)*SUMIF('2022年全年财务报表'!A:A,C:C,'2022年全年财务报表'!I:I)</f>
        <v>0</v>
      </c>
      <c r="M28" s="85">
        <f>SUMIF(D:D,D:D,G:G)*SUMIF('2022年全年财务报表'!A:A,C:C,'2022年全年财务报表'!O:O)</f>
        <v>0</v>
      </c>
      <c r="N28" s="85">
        <f>SUMIF(D:D,D:D,G:G)*SUMIF('2022年全年财务报表'!A:A,C:C,'2022年全年财务报表'!Q:Q)</f>
        <v>0</v>
      </c>
      <c r="O28" s="85">
        <f>SUMIF(D:D,D:D,G:G)*SUMIF('2022年全年财务报表'!A:A,C:C,'2022年全年财务报表'!S:S)</f>
        <v>0</v>
      </c>
      <c r="P28" s="85">
        <f>IFERROR(I28/W28*R28,0)/3</f>
        <v>0</v>
      </c>
      <c r="Q28" s="21">
        <f t="shared" si="8"/>
        <v>0</v>
      </c>
      <c r="R28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28" s="85">
        <f t="shared" si="9"/>
        <v>0</v>
      </c>
      <c r="T28" s="85">
        <f t="shared" si="10"/>
        <v>0</v>
      </c>
      <c r="U28" s="85">
        <f>SUMIF(D:D,D:D,G:G)*SUMIF('2022年全年财务报表'!A:A,C:C,'2022年全年财务报表'!K:K)/3</f>
        <v>0</v>
      </c>
      <c r="V28" s="21">
        <f t="shared" si="11"/>
        <v>0</v>
      </c>
      <c r="W28" s="21">
        <f>IFERROR(SUMIF('船长每月数据(2023年)'!E:E,D:D,'船长每月数据(2023年)'!P:P)/SUMIF('船长每月数据(2023年)'!E:E,D:D,'船长每月数据(2023年)'!H:H),0)</f>
        <v>0</v>
      </c>
      <c r="X28" s="85">
        <f t="shared" si="12"/>
        <v>0</v>
      </c>
      <c r="Y28" s="21">
        <f t="shared" si="13"/>
        <v>0</v>
      </c>
    </row>
    <row r="29" ht="27" customHeight="1" spans="1:25">
      <c r="A29" s="36"/>
      <c r="B29" s="36"/>
      <c r="C29" s="40"/>
      <c r="D29" s="20"/>
      <c r="E29" s="20"/>
      <c r="F29" s="74"/>
      <c r="G29" s="85">
        <f>SUMIF(每月目标分解!E:E,F:F,每月目标分解!R:R)*年目标!$B$18</f>
        <v>0</v>
      </c>
      <c r="H29" s="39">
        <f>IFERROR(SUMIF(F:F,每月目标分解!E:E,每月目标分解!R:R)/SUMIF(F:F,单品目标年销量!E:E,单品目标年销量!F:F),0)</f>
        <v>0</v>
      </c>
      <c r="I29" s="39">
        <f>IFERROR(SUMIF(D:D,D:D,H:H)*(SUMIF('船长每月数据(2023年)'!E:E,D:D,'船长每月数据(2023年)'!AI:AI)/SUMIF('船长每月数据(2023年)'!E:E,D:D,'船长每月数据(2023年)'!P:P)),0)</f>
        <v>0</v>
      </c>
      <c r="J29" s="85">
        <f>SUMIF(D:D,D:D,G:G)*SUMIF('2022年全年财务报表'!A:A,C:C,'2022年全年财务报表'!E:E)</f>
        <v>0</v>
      </c>
      <c r="K29" s="85">
        <f>SUMIF(D:D,D:D,G:G)*SUMIF('2022年全年财务报表'!A:A,C:C,'2022年全年财务报表'!G:G)</f>
        <v>0</v>
      </c>
      <c r="L29" s="85">
        <f>SUMIF(D:D,D:D,G:G)*SUMIF('2022年全年财务报表'!A:A,C:C,'2022年全年财务报表'!I:I)</f>
        <v>0</v>
      </c>
      <c r="M29" s="85">
        <f>SUMIF(D:D,D:D,G:G)*SUMIF('2022年全年财务报表'!A:A,C:C,'2022年全年财务报表'!O:O)</f>
        <v>0</v>
      </c>
      <c r="N29" s="85">
        <f>SUMIF(D:D,D:D,G:G)*SUMIF('2022年全年财务报表'!A:A,C:C,'2022年全年财务报表'!Q:Q)</f>
        <v>0</v>
      </c>
      <c r="O29" s="85">
        <f>SUMIF(D:D,D:D,G:G)*SUMIF('2022年全年财务报表'!A:A,C:C,'2022年全年财务报表'!S:S)</f>
        <v>0</v>
      </c>
      <c r="P29" s="85">
        <f>IFERROR(I29/W29*R29,0)/2</f>
        <v>0</v>
      </c>
      <c r="Q29" s="21">
        <f t="shared" si="8"/>
        <v>0</v>
      </c>
      <c r="R29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29" s="85">
        <f t="shared" si="9"/>
        <v>0</v>
      </c>
      <c r="T29" s="85">
        <f t="shared" si="10"/>
        <v>0</v>
      </c>
      <c r="U29" s="85">
        <f>SUMIF(D:D,D:D,G:G)*SUMIF('2022年全年财务报表'!A:A,C:C,'2022年全年财务报表'!K:K)/2</f>
        <v>0</v>
      </c>
      <c r="V29" s="21">
        <f t="shared" si="11"/>
        <v>0</v>
      </c>
      <c r="W29" s="21">
        <f>IFERROR(SUMIF('船长每月数据(2023年)'!E:E,D:D,'船长每月数据(2023年)'!P:P)/SUMIF('船长每月数据(2023年)'!E:E,D:D,'船长每月数据(2023年)'!H:H),0)</f>
        <v>0</v>
      </c>
      <c r="X29" s="85">
        <f t="shared" si="12"/>
        <v>0</v>
      </c>
      <c r="Y29" s="21">
        <f t="shared" si="13"/>
        <v>0</v>
      </c>
    </row>
    <row r="30" ht="27" customHeight="1" spans="1:25">
      <c r="A30" s="36"/>
      <c r="B30" s="36"/>
      <c r="C30" s="40"/>
      <c r="D30" s="41"/>
      <c r="E30" s="41"/>
      <c r="F30" s="74"/>
      <c r="G30" s="85">
        <f>SUMIF(每月目标分解!E:E,F:F,每月目标分解!R:R)*年目标!$B$18</f>
        <v>0</v>
      </c>
      <c r="H30" s="39">
        <f>IFERROR(SUMIF(F:F,每月目标分解!E:E,每月目标分解!R:R)/SUMIF(F:F,单品目标年销量!E:E,单品目标年销量!F:F),0)</f>
        <v>0</v>
      </c>
      <c r="I30" s="39">
        <f>IFERROR(SUMIF(D:D,D:D,H:H)*(SUMIF('船长每月数据(2023年)'!E:E,D:D,'船长每月数据(2023年)'!AI:AI)/SUMIF('船长每月数据(2023年)'!E:E,D:D,'船长每月数据(2023年)'!P:P)),0)</f>
        <v>0</v>
      </c>
      <c r="J30" s="85">
        <f>SUMIF(D:D,D:D,G:G)*SUMIF('2022年全年财务报表'!A:A,C:C,'2022年全年财务报表'!E:E)</f>
        <v>0</v>
      </c>
      <c r="K30" s="85">
        <f>SUMIF(D:D,D:D,G:G)*SUMIF('2022年全年财务报表'!A:A,C:C,'2022年全年财务报表'!G:G)</f>
        <v>0</v>
      </c>
      <c r="L30" s="85">
        <f>SUMIF(D:D,D:D,G:G)*SUMIF('2022年全年财务报表'!A:A,C:C,'2022年全年财务报表'!I:I)</f>
        <v>0</v>
      </c>
      <c r="M30" s="85">
        <f>SUMIF(D:D,D:D,G:G)*SUMIF('2022年全年财务报表'!A:A,C:C,'2022年全年财务报表'!O:O)</f>
        <v>0</v>
      </c>
      <c r="N30" s="85">
        <f>SUMIF(D:D,D:D,G:G)*SUMIF('2022年全年财务报表'!A:A,C:C,'2022年全年财务报表'!Q:Q)</f>
        <v>0</v>
      </c>
      <c r="O30" s="85">
        <f>SUMIF(D:D,D:D,G:G)*SUMIF('2022年全年财务报表'!A:A,C:C,'2022年全年财务报表'!S:S)</f>
        <v>0</v>
      </c>
      <c r="P30" s="85">
        <f>IFERROR(I30/W30*R30,0)/5</f>
        <v>0</v>
      </c>
      <c r="Q30" s="21">
        <f t="shared" si="8"/>
        <v>0</v>
      </c>
      <c r="R30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30" s="85">
        <f t="shared" si="9"/>
        <v>0</v>
      </c>
      <c r="T30" s="85">
        <f t="shared" si="10"/>
        <v>0</v>
      </c>
      <c r="U30" s="85">
        <f>SUMIF(D:D,D:D,G:G)*SUMIF('2022年全年财务报表'!A:A,C:C,'2022年全年财务报表'!K:K)</f>
        <v>0</v>
      </c>
      <c r="V30" s="21">
        <f t="shared" si="11"/>
        <v>0</v>
      </c>
      <c r="W30" s="21">
        <f>IFERROR(SUMIF('船长每月数据(2023年)'!E:E,D:D,'船长每月数据(2023年)'!P:P)/SUMIF('船长每月数据(2023年)'!E:E,D:D,'船长每月数据(2023年)'!H:H),0)</f>
        <v>0</v>
      </c>
      <c r="X30" s="85">
        <f t="shared" si="12"/>
        <v>0</v>
      </c>
      <c r="Y30" s="21">
        <f t="shared" si="13"/>
        <v>0</v>
      </c>
    </row>
    <row r="31" ht="27" customHeight="1" spans="1:25">
      <c r="A31" s="36"/>
      <c r="B31" s="36"/>
      <c r="C31" s="40"/>
      <c r="D31" s="41"/>
      <c r="E31" s="41"/>
      <c r="F31" s="74"/>
      <c r="G31" s="85">
        <f>SUMIF(每月目标分解!E:E,F:F,每月目标分解!R:R)*年目标!$B$18</f>
        <v>0</v>
      </c>
      <c r="H31" s="39">
        <f>IFERROR(SUMIF(F:F,每月目标分解!E:E,每月目标分解!R:R)/SUMIF(F:F,单品目标年销量!E:E,单品目标年销量!F:F),0)</f>
        <v>0</v>
      </c>
      <c r="I31" s="39">
        <f>IFERROR(SUMIF(D:D,D:D,H:H)*(SUMIF('船长每月数据(2023年)'!E:E,D:D,'船长每月数据(2023年)'!AI:AI)/SUMIF('船长每月数据(2023年)'!E:E,D:D,'船长每月数据(2023年)'!P:P)),0)</f>
        <v>0</v>
      </c>
      <c r="J31" s="85">
        <f>SUMIF(D:D,D:D,G:G)*SUMIF('2022年全年财务报表'!A:A,C:C,'2022年全年财务报表'!E:E)</f>
        <v>0</v>
      </c>
      <c r="K31" s="85">
        <f>SUMIF(D:D,D:D,G:G)*SUMIF('2022年全年财务报表'!A:A,C:C,'2022年全年财务报表'!G:G)</f>
        <v>0</v>
      </c>
      <c r="L31" s="85">
        <f>SUMIF(D:D,D:D,G:G)*SUMIF('2022年全年财务报表'!A:A,C:C,'2022年全年财务报表'!I:I)</f>
        <v>0</v>
      </c>
      <c r="M31" s="85">
        <f>SUMIF(D:D,D:D,G:G)*SUMIF('2022年全年财务报表'!A:A,C:C,'2022年全年财务报表'!O:O)/3</f>
        <v>0</v>
      </c>
      <c r="N31" s="85">
        <f>SUMIF(D:D,D:D,G:G)*SUMIF('2022年全年财务报表'!A:A,C:C,'2022年全年财务报表'!Q:Q)</f>
        <v>0</v>
      </c>
      <c r="O31" s="85">
        <f>SUMIF(D:D,D:D,G:G)*SUMIF('2022年全年财务报表'!A:A,C:C,'2022年全年财务报表'!S:S)</f>
        <v>0</v>
      </c>
      <c r="P31" s="85">
        <f>IFERROR(I31/W31*R31,0)/2</f>
        <v>0</v>
      </c>
      <c r="Q31" s="21">
        <f t="shared" si="8"/>
        <v>0</v>
      </c>
      <c r="R31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31" s="85">
        <f t="shared" si="9"/>
        <v>0</v>
      </c>
      <c r="T31" s="85">
        <f t="shared" si="10"/>
        <v>0</v>
      </c>
      <c r="U31" s="85">
        <f>SUMIF(D:D,D:D,G:G)*SUMIF('2022年全年财务报表'!A:A,C:C,'2022年全年财务报表'!K:K)</f>
        <v>0</v>
      </c>
      <c r="V31" s="21">
        <f t="shared" si="11"/>
        <v>0</v>
      </c>
      <c r="W31" s="21">
        <f>IFERROR(SUMIF('船长每月数据(2023年)'!E:E,D:D,'船长每月数据(2023年)'!P:P)/SUMIF('船长每月数据(2023年)'!E:E,D:D,'船长每月数据(2023年)'!H:H),0)</f>
        <v>0</v>
      </c>
      <c r="X31" s="85">
        <f t="shared" si="12"/>
        <v>0</v>
      </c>
      <c r="Y31" s="21">
        <f t="shared" si="13"/>
        <v>0</v>
      </c>
    </row>
    <row r="32" ht="27" customHeight="1" spans="1:25">
      <c r="A32" s="36"/>
      <c r="B32" s="36"/>
      <c r="C32" s="40"/>
      <c r="D32" s="41"/>
      <c r="E32" s="41"/>
      <c r="F32" s="74"/>
      <c r="G32" s="85">
        <f>SUMIF(每月目标分解!E:E,F:F,每月目标分解!R:R)*年目标!$B$18</f>
        <v>0</v>
      </c>
      <c r="H32" s="39">
        <f>IFERROR(SUMIF(F:F,每月目标分解!E:E,每月目标分解!R:R)/SUMIF(F:F,单品目标年销量!E:E,单品目标年销量!F:F),0)</f>
        <v>0</v>
      </c>
      <c r="I32" s="39">
        <f>IFERROR(SUMIF(D:D,D:D,H:H)*(SUMIF('船长每月数据(2023年)'!E:E,D:D,'船长每月数据(2023年)'!AI:AI)/SUMIF('船长每月数据(2023年)'!E:E,D:D,'船长每月数据(2023年)'!P:P)),0)</f>
        <v>0</v>
      </c>
      <c r="J32" s="85">
        <f>SUMIF(D:D,D:D,G:G)*SUMIF('2022年全年财务报表'!A:A,C:C,'2022年全年财务报表'!E:E)</f>
        <v>0</v>
      </c>
      <c r="K32" s="85">
        <f>SUMIF(D:D,D:D,G:G)*SUMIF('2022年全年财务报表'!A:A,C:C,'2022年全年财务报表'!G:G)</f>
        <v>0</v>
      </c>
      <c r="L32" s="85">
        <f>SUMIF(D:D,D:D,G:G)*SUMIF('2022年全年财务报表'!A:A,C:C,'2022年全年财务报表'!I:I)</f>
        <v>0</v>
      </c>
      <c r="M32" s="85">
        <f>SUMIF(D:D,D:D,G:G)*SUMIF('2022年全年财务报表'!A:A,C:C,'2022年全年财务报表'!O:O)</f>
        <v>0</v>
      </c>
      <c r="N32" s="85">
        <f>SUMIF(D:D,D:D,G:G)*SUMIF('2022年全年财务报表'!A:A,C:C,'2022年全年财务报表'!Q:Q)</f>
        <v>0</v>
      </c>
      <c r="O32" s="85">
        <f>SUMIF(D:D,D:D,G:G)*SUMIF('2022年全年财务报表'!A:A,C:C,'2022年全年财务报表'!S:S)</f>
        <v>0</v>
      </c>
      <c r="P32" s="85">
        <f>IFERROR(I32/W32*R32,0)/3</f>
        <v>0</v>
      </c>
      <c r="Q32" s="21">
        <f t="shared" si="8"/>
        <v>0</v>
      </c>
      <c r="R32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32" s="85">
        <f t="shared" si="9"/>
        <v>0</v>
      </c>
      <c r="T32" s="85">
        <f t="shared" si="10"/>
        <v>0</v>
      </c>
      <c r="U32" s="85">
        <f>SUMIF(D:D,D:D,G:G)*SUMIF('2022年全年财务报表'!A:A,C:C,'2022年全年财务报表'!K:K)</f>
        <v>0</v>
      </c>
      <c r="V32" s="21">
        <f t="shared" si="11"/>
        <v>0</v>
      </c>
      <c r="W32" s="21">
        <f>IFERROR(SUMIF('船长每月数据(2023年)'!E:E,D:D,'船长每月数据(2023年)'!P:P)/SUMIF('船长每月数据(2023年)'!E:E,D:D,'船长每月数据(2023年)'!H:H),0)</f>
        <v>0</v>
      </c>
      <c r="X32" s="85">
        <f t="shared" si="12"/>
        <v>0</v>
      </c>
      <c r="Y32" s="21">
        <f t="shared" si="13"/>
        <v>0</v>
      </c>
    </row>
    <row r="33" ht="27" customHeight="1" spans="1:25">
      <c r="A33" s="36"/>
      <c r="B33" s="36"/>
      <c r="C33" s="40"/>
      <c r="D33" s="41"/>
      <c r="E33" s="41"/>
      <c r="F33" s="74"/>
      <c r="G33" s="85">
        <f>SUMIF(每月目标分解!E:E,F:F,每月目标分解!R:R)*年目标!$B$18</f>
        <v>0</v>
      </c>
      <c r="H33" s="39">
        <f>IFERROR(SUMIF(F:F,每月目标分解!E:E,每月目标分解!R:R)/SUMIF(F:F,单品目标年销量!E:E,单品目标年销量!F:F),0)</f>
        <v>0</v>
      </c>
      <c r="I33" s="39">
        <f>IFERROR(SUMIF(D:D,D:D,H:H)*(SUMIF('船长每月数据(2023年)'!E:E,D:D,'船长每月数据(2023年)'!AI:AI)/SUMIF('船长每月数据(2023年)'!E:E,D:D,'船长每月数据(2023年)'!P:P)),0)</f>
        <v>0</v>
      </c>
      <c r="J33" s="85">
        <f>SUMIF(D:D,D:D,G:G)*SUMIF('2022年全年财务报表'!A:A,C:C,'2022年全年财务报表'!E:E)</f>
        <v>0</v>
      </c>
      <c r="K33" s="85">
        <f>SUMIF(D:D,D:D,G:G)*SUMIF('2022年全年财务报表'!A:A,C:C,'2022年全年财务报表'!G:G)</f>
        <v>0</v>
      </c>
      <c r="L33" s="85">
        <f>SUMIF(D:D,D:D,G:G)*SUMIF('2022年全年财务报表'!A:A,C:C,'2022年全年财务报表'!I:I)</f>
        <v>0</v>
      </c>
      <c r="M33" s="85">
        <f>SUMIF(D:D,D:D,G:G)*SUMIF('2022年全年财务报表'!A:A,C:C,'2022年全年财务报表'!O:O)</f>
        <v>0</v>
      </c>
      <c r="N33" s="85">
        <f>SUMIF(D:D,D:D,G:G)*SUMIF('2022年全年财务报表'!A:A,C:C,'2022年全年财务报表'!Q:Q)</f>
        <v>0</v>
      </c>
      <c r="O33" s="85">
        <f>SUMIF(D:D,D:D,G:G)*SUMIF('2022年全年财务报表'!A:A,C:C,'2022年全年财务报表'!S:S)</f>
        <v>0</v>
      </c>
      <c r="P33" s="85">
        <f>IFERROR(I33/W33*R33,0)/4</f>
        <v>0</v>
      </c>
      <c r="Q33" s="21">
        <f t="shared" si="8"/>
        <v>0</v>
      </c>
      <c r="R33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33" s="85">
        <f t="shared" si="9"/>
        <v>0</v>
      </c>
      <c r="T33" s="85">
        <f t="shared" si="10"/>
        <v>0</v>
      </c>
      <c r="U33" s="85">
        <f>SUMIF(D:D,D:D,G:G)*SUMIF('2022年全年财务报表'!A:A,C:C,'2022年全年财务报表'!K:K)</f>
        <v>0</v>
      </c>
      <c r="V33" s="21">
        <f t="shared" si="11"/>
        <v>0</v>
      </c>
      <c r="W33" s="21">
        <f>IFERROR(SUMIF('船长每月数据(2023年)'!E:E,D:D,'船长每月数据(2023年)'!P:P)/SUMIF('船长每月数据(2023年)'!E:E,D:D,'船长每月数据(2023年)'!H:H),0)</f>
        <v>0</v>
      </c>
      <c r="X33" s="85">
        <f t="shared" si="12"/>
        <v>0</v>
      </c>
      <c r="Y33" s="21">
        <f t="shared" si="13"/>
        <v>0</v>
      </c>
    </row>
    <row r="34" ht="27" customHeight="1" spans="1:25">
      <c r="A34" s="40"/>
      <c r="B34" s="36"/>
      <c r="C34" s="40"/>
      <c r="D34" s="41"/>
      <c r="E34" s="41"/>
      <c r="F34" s="74"/>
      <c r="G34" s="85">
        <f>SUMIF(每月目标分解!E:E,F:F,每月目标分解!R:R)*年目标!$B$18</f>
        <v>0</v>
      </c>
      <c r="H34" s="39">
        <f>IFERROR(SUMIF(F:F,每月目标分解!E:E,每月目标分解!R:R)/SUMIF(F:F,单品目标年销量!E:E,单品目标年销量!F:F),0)</f>
        <v>0</v>
      </c>
      <c r="I34" s="39">
        <f>IFERROR(SUMIF(D:D,D:D,H:H)*(SUMIF('船长每月数据(2023年)'!E:E,D:D,'船长每月数据(2023年)'!AI:AI)/SUMIF('船长每月数据(2023年)'!E:E,D:D,'船长每月数据(2023年)'!P:P)),0)</f>
        <v>0</v>
      </c>
      <c r="J34" s="85">
        <f>SUMIF(D:D,D:D,G:G)*SUMIF('2022年全年财务报表'!A:A,C:C,'2022年全年财务报表'!E:E)</f>
        <v>0</v>
      </c>
      <c r="K34" s="85">
        <f>SUMIF(D:D,D:D,G:G)*SUMIF('2022年全年财务报表'!A:A,C:C,'2022年全年财务报表'!G:G)</f>
        <v>0</v>
      </c>
      <c r="L34" s="85">
        <f>SUMIF(D:D,D:D,G:G)*SUMIF('2022年全年财务报表'!A:A,C:C,'2022年全年财务报表'!I:I)</f>
        <v>0</v>
      </c>
      <c r="M34" s="85">
        <f>SUMIF(D:D,D:D,G:G)*SUMIF('2022年全年财务报表'!A:A,C:C,'2022年全年财务报表'!O:O)</f>
        <v>0</v>
      </c>
      <c r="N34" s="85">
        <f>SUMIF(D:D,D:D,G:G)*SUMIF('2022年全年财务报表'!A:A,C:C,'2022年全年财务报表'!Q:Q)</f>
        <v>0</v>
      </c>
      <c r="O34" s="85">
        <f>SUMIF(D:D,D:D,G:G)*SUMIF('2022年全年财务报表'!A:A,C:C,'2022年全年财务报表'!S:S)</f>
        <v>0</v>
      </c>
      <c r="P34" s="85">
        <f>IFERROR(I34/W34*R34,0)/3</f>
        <v>0</v>
      </c>
      <c r="Q34" s="21">
        <f t="shared" si="8"/>
        <v>0</v>
      </c>
      <c r="R34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34" s="85">
        <f t="shared" si="9"/>
        <v>0</v>
      </c>
      <c r="T34" s="85">
        <f t="shared" si="10"/>
        <v>0</v>
      </c>
      <c r="U34" s="85">
        <f>SUMIF(D:D,D:D,G:G)*SUMIF('2022年全年财务报表'!A:A,C:C,'2022年全年财务报表'!K:K)</f>
        <v>0</v>
      </c>
      <c r="V34" s="21">
        <f t="shared" si="11"/>
        <v>0</v>
      </c>
      <c r="W34" s="21">
        <f>IFERROR(SUMIF('船长每月数据(2023年)'!E:E,D:D,'船长每月数据(2023年)'!P:P)/SUMIF('船长每月数据(2023年)'!E:E,D:D,'船长每月数据(2023年)'!H:H),0)</f>
        <v>0</v>
      </c>
      <c r="X34" s="85">
        <f t="shared" si="12"/>
        <v>0</v>
      </c>
      <c r="Y34" s="21">
        <f t="shared" si="13"/>
        <v>0</v>
      </c>
    </row>
    <row r="35" ht="27" customHeight="1" spans="1:25">
      <c r="A35" s="36"/>
      <c r="B35" s="36"/>
      <c r="C35" s="234"/>
      <c r="D35" s="20"/>
      <c r="E35" s="20"/>
      <c r="F35" s="74"/>
      <c r="G35" s="85">
        <f>SUMIF(每月目标分解!E:E,F:F,每月目标分解!R:R)*年目标!$B$18</f>
        <v>0</v>
      </c>
      <c r="H35" s="39">
        <f>IFERROR(SUMIF(F:F,每月目标分解!E:E,每月目标分解!R:R)/SUMIF(F:F,单品目标年销量!E:E,单品目标年销量!F:F),0)</f>
        <v>0</v>
      </c>
      <c r="I35" s="39">
        <f>IFERROR(SUMIF(D:D,D:D,H:H)*(SUMIF('船长每月数据(2023年)'!E:E,D:D,'船长每月数据(2023年)'!AI:AI)/SUMIF('船长每月数据(2023年)'!E:E,D:D,'船长每月数据(2023年)'!P:P)),0)</f>
        <v>0</v>
      </c>
      <c r="J35" s="85">
        <f>SUMIF(D:D,D:D,G:G)*SUMIF('2022年全年财务报表'!A:A,C:C,'2022年全年财务报表'!E:E)/1.2</f>
        <v>0</v>
      </c>
      <c r="K35" s="85">
        <f>SUMIF(D:D,D:D,G:G)*SUMIF('2022年全年财务报表'!A:A,C:C,'2022年全年财务报表'!G:G)</f>
        <v>0</v>
      </c>
      <c r="L35" s="85">
        <f>SUMIF(D:D,D:D,G:G)*SUMIF('2022年全年财务报表'!A:A,C:C,'2022年全年财务报表'!I:I)</f>
        <v>0</v>
      </c>
      <c r="M35" s="85">
        <f>SUMIF(D:D,D:D,G:G)*SUMIF('2022年全年财务报表'!A:A,C:C,'2022年全年财务报表'!O:O)/2</f>
        <v>0</v>
      </c>
      <c r="N35" s="85">
        <f>SUMIF(D:D,D:D,G:G)*SUMIF('2022年全年财务报表'!A:A,C:C,'2022年全年财务报表'!Q:Q)</f>
        <v>0</v>
      </c>
      <c r="O35" s="85">
        <f>SUMIF(D:D,D:D,G:G)*SUMIF('2022年全年财务报表'!A:A,C:C,'2022年全年财务报表'!S:S)</f>
        <v>0</v>
      </c>
      <c r="P35" s="85">
        <f>IFERROR(I35/W35*R35,0)/5</f>
        <v>0</v>
      </c>
      <c r="Q35" s="21">
        <f t="shared" si="8"/>
        <v>0</v>
      </c>
      <c r="R35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35" s="85">
        <f t="shared" si="9"/>
        <v>0</v>
      </c>
      <c r="T35" s="85">
        <f t="shared" si="10"/>
        <v>0</v>
      </c>
      <c r="U35" s="85">
        <f>SUMIF(D:D,D:D,G:G)*SUMIF('2022年全年财务报表'!A:A,C:C,'2022年全年财务报表'!K:K)/5</f>
        <v>0</v>
      </c>
      <c r="V35" s="21">
        <f t="shared" si="11"/>
        <v>0</v>
      </c>
      <c r="W35" s="21">
        <f>IFERROR(SUMIF('船长每月数据(2023年)'!E:E,D:D,'船长每月数据(2023年)'!P:P)/SUMIF('船长每月数据(2023年)'!E:E,D:D,'船长每月数据(2023年)'!H:H),0)</f>
        <v>0</v>
      </c>
      <c r="X35" s="85">
        <f t="shared" si="12"/>
        <v>0</v>
      </c>
      <c r="Y35" s="21">
        <f t="shared" si="13"/>
        <v>0</v>
      </c>
    </row>
    <row r="36" ht="27" customHeight="1" spans="1:25">
      <c r="A36" s="36"/>
      <c r="B36" s="36"/>
      <c r="C36" s="40"/>
      <c r="D36" s="20"/>
      <c r="E36" s="20"/>
      <c r="F36" s="74"/>
      <c r="G36" s="85">
        <f>SUMIF(每月目标分解!E:E,F:F,每月目标分解!R:R)*年目标!$B$18</f>
        <v>0</v>
      </c>
      <c r="H36" s="39">
        <f>IFERROR(SUMIF(F:F,每月目标分解!E:E,每月目标分解!R:R)/SUMIF(F:F,单品目标年销量!E:E,单品目标年销量!F:F),0)</f>
        <v>0</v>
      </c>
      <c r="I36" s="39">
        <f>IFERROR(SUMIF(D:D,D:D,H:H)*(SUMIF('船长每月数据(2023年)'!E:E,D:D,'船长每月数据(2023年)'!AI:AI)/SUMIF('船长每月数据(2023年)'!E:E,D:D,'船长每月数据(2023年)'!P:P)),0)</f>
        <v>0</v>
      </c>
      <c r="J36" s="85">
        <f>SUMIF(D:D,D:D,G:G)*SUMIF('2022年全年财务报表'!A:A,C:C,'2022年全年财务报表'!E:E)</f>
        <v>0</v>
      </c>
      <c r="K36" s="85">
        <f>SUMIF(D:D,D:D,G:G)*SUMIF('2022年全年财务报表'!A:A,C:C,'2022年全年财务报表'!G:G)</f>
        <v>0</v>
      </c>
      <c r="L36" s="85">
        <f>SUMIF(D:D,D:D,G:G)*SUMIF('2022年全年财务报表'!A:A,C:C,'2022年全年财务报表'!I:I)</f>
        <v>0</v>
      </c>
      <c r="M36" s="85">
        <f>SUMIF(D:D,D:D,G:G)*SUMIF('2022年全年财务报表'!A:A,C:C,'2022年全年财务报表'!O:O)/2</f>
        <v>0</v>
      </c>
      <c r="N36" s="85">
        <f>SUMIF(D:D,D:D,G:G)*SUMIF('2022年全年财务报表'!A:A,C:C,'2022年全年财务报表'!Q:Q)</f>
        <v>0</v>
      </c>
      <c r="O36" s="85">
        <f>SUMIF(D:D,D:D,G:G)*SUMIF('2022年全年财务报表'!A:A,C:C,'2022年全年财务报表'!S:S)</f>
        <v>0</v>
      </c>
      <c r="P36" s="85">
        <f>IFERROR(I36/W36*R36,0)/8</f>
        <v>0</v>
      </c>
      <c r="Q36" s="21">
        <f t="shared" si="8"/>
        <v>0</v>
      </c>
      <c r="R36" s="85">
        <f>IFERROR(SUMIF('2021&amp;2022营销成本概况'!C:C,D:D,'2021&amp;2022营销成本概况'!S:S)+SUMIF('2021&amp;2022营销成本概况'!C:C,D:D,'2021&amp;2022营销成本概况'!S:S)*'2021&amp;2022营销成本概况'!$T$37,0)*年目标!$B$18</f>
        <v>0</v>
      </c>
      <c r="S36" s="85">
        <f t="shared" si="9"/>
        <v>0</v>
      </c>
      <c r="T36" s="85">
        <f t="shared" si="10"/>
        <v>0</v>
      </c>
      <c r="U36" s="85">
        <f>SUMIF(D:D,D:D,G:G)*SUMIF('2022年全年财务报表'!A:A,C:C,'2022年全年财务报表'!K:K)/5</f>
        <v>0</v>
      </c>
      <c r="V36" s="21">
        <f t="shared" si="11"/>
        <v>0</v>
      </c>
      <c r="W36" s="21">
        <f>IFERROR(SUMIF('船长每月数据(2023年)'!E:E,D:D,'船长每月数据(2023年)'!P:P)/SUMIF('船长每月数据(2023年)'!E:E,D:D,'船长每月数据(2023年)'!H:H),0)</f>
        <v>0</v>
      </c>
      <c r="X36" s="85">
        <f t="shared" si="12"/>
        <v>0</v>
      </c>
      <c r="Y36" s="21">
        <f t="shared" si="13"/>
        <v>0</v>
      </c>
    </row>
    <row r="37" ht="27" customHeight="1" spans="1:25">
      <c r="A37" s="20" t="s">
        <v>81</v>
      </c>
      <c r="B37" s="20"/>
      <c r="C37" s="20"/>
      <c r="D37" s="20"/>
      <c r="E37" s="20"/>
      <c r="F37" s="20"/>
      <c r="G37" s="85">
        <f t="shared" ref="G37:P37" si="14">SUM(G3:G36)</f>
        <v>0</v>
      </c>
      <c r="H37" s="39">
        <f t="shared" si="14"/>
        <v>0</v>
      </c>
      <c r="I37" s="39">
        <f t="shared" si="14"/>
        <v>0</v>
      </c>
      <c r="J37" s="85">
        <f t="shared" si="14"/>
        <v>0</v>
      </c>
      <c r="K37" s="85">
        <f t="shared" si="14"/>
        <v>0</v>
      </c>
      <c r="L37" s="85">
        <f t="shared" si="14"/>
        <v>0</v>
      </c>
      <c r="M37" s="85">
        <f t="shared" si="14"/>
        <v>0</v>
      </c>
      <c r="N37" s="85">
        <f t="shared" si="14"/>
        <v>0</v>
      </c>
      <c r="O37" s="85">
        <f t="shared" si="14"/>
        <v>0</v>
      </c>
      <c r="P37" s="85">
        <f t="shared" si="14"/>
        <v>0</v>
      </c>
      <c r="Q37" s="21">
        <f t="shared" si="8"/>
        <v>0</v>
      </c>
      <c r="R37" s="85">
        <f>IFERROR(SUMIF('2021&amp;2022营销成本概况'!C:C,D:D,'2021&amp;2022营销成本概况'!S:S)+SUMIF('2021&amp;2022营销成本概况'!C:C,D:D,'2021&amp;2022营销成本概况'!S:S)*'2021&amp;2022营销成本概况'!$T$37,0)</f>
        <v>0</v>
      </c>
      <c r="S37" s="85">
        <f t="shared" si="9"/>
        <v>0</v>
      </c>
      <c r="T37" s="85">
        <f t="shared" si="10"/>
        <v>0</v>
      </c>
      <c r="U37" s="85">
        <f>SUM(U3:U36)</f>
        <v>0</v>
      </c>
      <c r="V37" s="21">
        <f t="shared" si="11"/>
        <v>0</v>
      </c>
      <c r="W37" s="21" t="e">
        <f>AVERAGE(W3:W36)</f>
        <v>#DIV/0!</v>
      </c>
      <c r="X37" s="85">
        <f>SUM(X3:X36)</f>
        <v>0</v>
      </c>
      <c r="Y37" s="21">
        <f t="shared" si="13"/>
        <v>0</v>
      </c>
    </row>
  </sheetData>
  <mergeCells count="7">
    <mergeCell ref="G1:Y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C00000"/>
    <pageSetUpPr autoPageBreaks="0"/>
  </sheetPr>
  <dimension ref="A1:T168"/>
  <sheetViews>
    <sheetView topLeftCell="A15" workbookViewId="0">
      <selection activeCell="G110" sqref="G110"/>
    </sheetView>
  </sheetViews>
  <sheetFormatPr defaultColWidth="9" defaultRowHeight="14.25"/>
  <cols>
    <col min="1" max="2" width="18.1333333333333" style="152" customWidth="1"/>
    <col min="3" max="3" width="13.75" style="152" customWidth="1"/>
    <col min="4" max="4" width="20" style="115" customWidth="1"/>
    <col min="5" max="5" width="17" style="116"/>
    <col min="6" max="6" width="15.1333333333333" style="116" customWidth="1"/>
    <col min="7" max="7" width="20" style="115" customWidth="1"/>
    <col min="8" max="8" width="20.75" style="152" customWidth="1"/>
    <col min="9" max="9" width="17.8833333333333" style="115" customWidth="1"/>
    <col min="10" max="10" width="14.5" style="152" customWidth="1"/>
    <col min="11" max="11" width="20.75" style="152" customWidth="1"/>
    <col min="12" max="12" width="15" style="153" customWidth="1"/>
    <col min="13" max="16" width="15.8833333333333" style="153" customWidth="1"/>
    <col min="17" max="17" width="15" style="153" customWidth="1"/>
    <col min="18" max="18" width="9" style="153" customWidth="1"/>
    <col min="19" max="20" width="9" style="152" customWidth="1"/>
    <col min="21" max="16383" width="9" style="152"/>
  </cols>
  <sheetData>
    <row r="1" ht="29" customHeight="1" spans="1:18">
      <c r="A1" s="154" t="s">
        <v>82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81"/>
      <c r="N1" s="181"/>
      <c r="O1" s="181"/>
      <c r="P1" s="181"/>
      <c r="Q1" s="181"/>
      <c r="R1" s="181"/>
    </row>
    <row r="2" ht="19" customHeight="1" spans="1:18">
      <c r="A2" s="156" t="s">
        <v>83</v>
      </c>
      <c r="B2" s="156" t="s">
        <v>84</v>
      </c>
      <c r="C2" s="157" t="s">
        <v>85</v>
      </c>
      <c r="D2" s="158" t="s">
        <v>86</v>
      </c>
      <c r="E2" s="159" t="s">
        <v>87</v>
      </c>
      <c r="F2" s="160" t="s">
        <v>88</v>
      </c>
      <c r="G2" s="161" t="s">
        <v>89</v>
      </c>
      <c r="H2" s="162" t="s">
        <v>90</v>
      </c>
      <c r="I2" s="182" t="s">
        <v>91</v>
      </c>
      <c r="J2" s="156" t="s">
        <v>92</v>
      </c>
      <c r="K2" s="159" t="s">
        <v>93</v>
      </c>
      <c r="L2" s="165" t="s">
        <v>94</v>
      </c>
      <c r="M2" s="183"/>
      <c r="N2" s="184"/>
      <c r="O2" s="184"/>
      <c r="P2" s="185"/>
      <c r="Q2" s="185"/>
      <c r="R2" s="184"/>
    </row>
    <row r="3" s="26" customFormat="1" ht="22" customHeight="1" spans="1:18">
      <c r="A3" s="20" t="s">
        <v>95</v>
      </c>
      <c r="B3" s="20"/>
      <c r="C3" s="20">
        <f>SUM(C9:C20)</f>
        <v>0</v>
      </c>
      <c r="D3" s="141" t="s">
        <v>6</v>
      </c>
      <c r="E3" s="141">
        <f>SUM(C36:C47)</f>
        <v>0</v>
      </c>
      <c r="F3" s="21">
        <f>IFERROR(E3/C3,0)</f>
        <v>0</v>
      </c>
      <c r="G3" s="21" t="s">
        <v>6</v>
      </c>
      <c r="H3" s="38">
        <f>SUM(F8:F20)</f>
        <v>0</v>
      </c>
      <c r="I3" s="21" t="s">
        <v>6</v>
      </c>
      <c r="J3" s="38">
        <f>SUM(G36:G47)</f>
        <v>0</v>
      </c>
      <c r="K3" s="21">
        <f>IFERROR(J3/H3,0)</f>
        <v>0</v>
      </c>
      <c r="L3" s="150" t="s">
        <v>6</v>
      </c>
      <c r="M3" s="186"/>
      <c r="N3" s="186"/>
      <c r="O3" s="187"/>
      <c r="P3" s="188"/>
      <c r="Q3" s="188"/>
      <c r="R3" s="187"/>
    </row>
    <row r="4" ht="21" customHeight="1" spans="1:18">
      <c r="A4" s="20" t="s">
        <v>96</v>
      </c>
      <c r="B4" s="20"/>
      <c r="C4" s="20">
        <f>SUM(C21:C32)</f>
        <v>0</v>
      </c>
      <c r="D4" s="21">
        <f>IFERROR((C4-C3)/C3,0)</f>
        <v>0</v>
      </c>
      <c r="E4" s="141">
        <f>SUM(C48:C59)</f>
        <v>0</v>
      </c>
      <c r="F4" s="21">
        <f>IFERROR(E4/C4,0)</f>
        <v>0</v>
      </c>
      <c r="G4" s="21">
        <f>IFERROR((F4-F3)/F3,0)</f>
        <v>0</v>
      </c>
      <c r="H4" s="38">
        <f>SUM(F21:F32)</f>
        <v>0</v>
      </c>
      <c r="I4" s="21">
        <f>IFERROR((H4-H3)/H3,0)</f>
        <v>0</v>
      </c>
      <c r="J4" s="38">
        <f>SUM(G48:G59)</f>
        <v>0</v>
      </c>
      <c r="K4" s="21">
        <f>IFERROR(J4/H4,0)</f>
        <v>0</v>
      </c>
      <c r="L4" s="150">
        <f>IFERROR((K4-K3)/K3,0)</f>
        <v>0</v>
      </c>
      <c r="M4" s="186"/>
      <c r="N4" s="186"/>
      <c r="O4" s="187"/>
      <c r="P4" s="188"/>
      <c r="Q4" s="188"/>
      <c r="R4" s="187"/>
    </row>
    <row r="5" spans="12:18">
      <c r="L5" s="189"/>
      <c r="M5" s="186"/>
      <c r="N5" s="186"/>
      <c r="O5" s="187"/>
      <c r="P5" s="188"/>
      <c r="Q5" s="188"/>
      <c r="R5" s="187"/>
    </row>
    <row r="6" ht="29" customHeight="1" spans="1:18">
      <c r="A6" s="154" t="s">
        <v>97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81"/>
      <c r="M6" s="181"/>
      <c r="N6" s="181"/>
      <c r="O6" s="190"/>
      <c r="P6" s="190"/>
      <c r="Q6" s="210"/>
      <c r="R6" s="211"/>
    </row>
    <row r="7" ht="18" customHeight="1" spans="1:18">
      <c r="A7" s="163" t="s">
        <v>98</v>
      </c>
      <c r="B7" s="163" t="s">
        <v>99</v>
      </c>
      <c r="C7" s="164" t="s">
        <v>100</v>
      </c>
      <c r="D7" s="165" t="s">
        <v>101</v>
      </c>
      <c r="E7" s="156" t="s">
        <v>102</v>
      </c>
      <c r="F7" s="166" t="s">
        <v>103</v>
      </c>
      <c r="G7" s="165" t="s">
        <v>101</v>
      </c>
      <c r="H7" s="165" t="s">
        <v>104</v>
      </c>
      <c r="I7" s="191" t="s">
        <v>105</v>
      </c>
      <c r="J7" s="192" t="s">
        <v>106</v>
      </c>
      <c r="K7" s="192" t="s">
        <v>107</v>
      </c>
      <c r="L7" s="193"/>
      <c r="M7" s="193"/>
      <c r="N7" s="194"/>
      <c r="O7" s="195"/>
      <c r="P7" s="195"/>
      <c r="Q7" s="212"/>
      <c r="R7" s="187"/>
    </row>
    <row r="8" ht="18" customHeight="1" spans="1:18">
      <c r="A8" s="163">
        <v>2020</v>
      </c>
      <c r="B8" s="163">
        <v>12</v>
      </c>
      <c r="C8" s="163">
        <f>每月市场趋势!B26+每月市场趋势!G26+每月市场趋势!L26+每月市场趋势!Q26</f>
        <v>0</v>
      </c>
      <c r="D8" s="163" t="s">
        <v>6</v>
      </c>
      <c r="E8" s="163" t="s">
        <v>6</v>
      </c>
      <c r="F8" s="167">
        <f>每月市场趋势!C26+每月市场趋势!H26+每月市场趋势!M26+每月市场趋势!R26</f>
        <v>0</v>
      </c>
      <c r="G8" s="163" t="s">
        <v>6</v>
      </c>
      <c r="H8" s="26" t="s">
        <v>6</v>
      </c>
      <c r="I8" s="167">
        <f>IFERROR(F8/C8,0)</f>
        <v>0</v>
      </c>
      <c r="J8" s="196" t="s">
        <v>6</v>
      </c>
      <c r="K8" s="196" t="s">
        <v>6</v>
      </c>
      <c r="L8" s="197"/>
      <c r="M8" s="198"/>
      <c r="N8" s="199"/>
      <c r="O8" s="200"/>
      <c r="P8" s="201"/>
      <c r="Q8" s="203"/>
      <c r="R8" s="187"/>
    </row>
    <row r="9" ht="18" customHeight="1" spans="1:18">
      <c r="A9" s="26">
        <v>2021</v>
      </c>
      <c r="B9" s="26">
        <v>1</v>
      </c>
      <c r="C9" s="163">
        <f>每月市场趋势!B27+每月市场趋势!G27+每月市场趋势!L27+每月市场趋势!Q27</f>
        <v>0</v>
      </c>
      <c r="D9" s="28">
        <f>IFERROR((C9-C8)/C8,0)</f>
        <v>0</v>
      </c>
      <c r="E9" s="26" t="s">
        <v>6</v>
      </c>
      <c r="F9" s="167">
        <f>每月市场趋势!C27+每月市场趋势!H27+每月市场趋势!M27+每月市场趋势!R27</f>
        <v>0</v>
      </c>
      <c r="G9" s="28">
        <f>IFERROR((F9-F8)/F8,0)</f>
        <v>0</v>
      </c>
      <c r="H9" s="26" t="s">
        <v>6</v>
      </c>
      <c r="I9" s="167">
        <f t="shared" ref="I9:I32" si="0">IFERROR(F9/C9,0)</f>
        <v>0</v>
      </c>
      <c r="J9" s="187">
        <f>IFERROR((I9-I8)/I8,0)</f>
        <v>0</v>
      </c>
      <c r="K9" s="196" t="s">
        <v>6</v>
      </c>
      <c r="L9" s="197"/>
      <c r="M9" s="198"/>
      <c r="N9" s="199"/>
      <c r="O9" s="202"/>
      <c r="P9" s="203"/>
      <c r="Q9" s="203"/>
      <c r="R9" s="187"/>
    </row>
    <row r="10" ht="18" customHeight="1" spans="1:18">
      <c r="A10" s="26">
        <v>2021</v>
      </c>
      <c r="B10" s="26">
        <v>2</v>
      </c>
      <c r="C10" s="163">
        <f>每月市场趋势!B28+每月市场趋势!G28+每月市场趋势!L28+每月市场趋势!Q28</f>
        <v>0</v>
      </c>
      <c r="D10" s="28">
        <f>IFERROR((C10-C9)/C9,0)</f>
        <v>0</v>
      </c>
      <c r="E10" s="26" t="s">
        <v>6</v>
      </c>
      <c r="F10" s="167">
        <f>每月市场趋势!C28+每月市场趋势!H28+每月市场趋势!M28+每月市场趋势!R28</f>
        <v>0</v>
      </c>
      <c r="G10" s="28">
        <f t="shared" ref="G10:G32" si="1">IFERROR((F10-F9)/F9,0)</f>
        <v>0</v>
      </c>
      <c r="H10" s="26" t="s">
        <v>6</v>
      </c>
      <c r="I10" s="167">
        <f t="shared" si="0"/>
        <v>0</v>
      </c>
      <c r="J10" s="187">
        <f t="shared" ref="J10:J32" si="2">IFERROR((I10-I9)/I9,0)</f>
        <v>0</v>
      </c>
      <c r="K10" s="196" t="s">
        <v>6</v>
      </c>
      <c r="L10" s="197"/>
      <c r="M10" s="198"/>
      <c r="N10" s="199"/>
      <c r="O10" s="202"/>
      <c r="P10" s="203"/>
      <c r="Q10" s="203"/>
      <c r="R10" s="187"/>
    </row>
    <row r="11" ht="18" customHeight="1" spans="1:18">
      <c r="A11" s="26">
        <v>2021</v>
      </c>
      <c r="B11" s="26">
        <v>3</v>
      </c>
      <c r="C11" s="163">
        <f>每月市场趋势!B29+每月市场趋势!G29+每月市场趋势!L29+每月市场趋势!Q29</f>
        <v>0</v>
      </c>
      <c r="D11" s="28">
        <f t="shared" ref="D11:D32" si="3">IFERROR((C11-C10)/C10,0)</f>
        <v>0</v>
      </c>
      <c r="E11" s="26" t="s">
        <v>6</v>
      </c>
      <c r="F11" s="167">
        <f>每月市场趋势!C29+每月市场趋势!H29+每月市场趋势!M29+每月市场趋势!R29</f>
        <v>0</v>
      </c>
      <c r="G11" s="28">
        <f t="shared" si="1"/>
        <v>0</v>
      </c>
      <c r="H11" s="26" t="s">
        <v>6</v>
      </c>
      <c r="I11" s="167">
        <f t="shared" si="0"/>
        <v>0</v>
      </c>
      <c r="J11" s="187">
        <f t="shared" si="2"/>
        <v>0</v>
      </c>
      <c r="K11" s="196" t="s">
        <v>6</v>
      </c>
      <c r="L11" s="197"/>
      <c r="M11" s="198"/>
      <c r="N11" s="199"/>
      <c r="O11" s="202"/>
      <c r="P11" s="203"/>
      <c r="Q11" s="203"/>
      <c r="R11" s="187"/>
    </row>
    <row r="12" ht="18" customHeight="1" spans="1:18">
      <c r="A12" s="26">
        <v>2021</v>
      </c>
      <c r="B12" s="26">
        <v>4</v>
      </c>
      <c r="C12" s="163">
        <f>每月市场趋势!B30+每月市场趋势!G30+每月市场趋势!L30+每月市场趋势!Q30</f>
        <v>0</v>
      </c>
      <c r="D12" s="28">
        <f t="shared" si="3"/>
        <v>0</v>
      </c>
      <c r="E12" s="26" t="s">
        <v>6</v>
      </c>
      <c r="F12" s="167">
        <f>每月市场趋势!C30+每月市场趋势!H30+每月市场趋势!M30+每月市场趋势!R30</f>
        <v>0</v>
      </c>
      <c r="G12" s="28">
        <f t="shared" si="1"/>
        <v>0</v>
      </c>
      <c r="H12" s="26" t="s">
        <v>6</v>
      </c>
      <c r="I12" s="167">
        <f t="shared" si="0"/>
        <v>0</v>
      </c>
      <c r="J12" s="187">
        <f t="shared" si="2"/>
        <v>0</v>
      </c>
      <c r="K12" s="196" t="s">
        <v>6</v>
      </c>
      <c r="L12" s="197"/>
      <c r="M12" s="198"/>
      <c r="N12" s="199"/>
      <c r="O12" s="202"/>
      <c r="P12" s="203"/>
      <c r="Q12" s="203"/>
      <c r="R12" s="187"/>
    </row>
    <row r="13" ht="18" customHeight="1" spans="1:14">
      <c r="A13" s="26">
        <v>2021</v>
      </c>
      <c r="B13" s="26">
        <v>5</v>
      </c>
      <c r="C13" s="163">
        <f>每月市场趋势!B31+每月市场趋势!G31+每月市场趋势!L31+每月市场趋势!Q31</f>
        <v>0</v>
      </c>
      <c r="D13" s="28">
        <f t="shared" si="3"/>
        <v>0</v>
      </c>
      <c r="E13" s="26" t="s">
        <v>6</v>
      </c>
      <c r="F13" s="167">
        <f>每月市场趋势!C31+每月市场趋势!H31+每月市场趋势!M31+每月市场趋势!R31</f>
        <v>0</v>
      </c>
      <c r="G13" s="28">
        <f t="shared" si="1"/>
        <v>0</v>
      </c>
      <c r="H13" s="26" t="s">
        <v>6</v>
      </c>
      <c r="I13" s="167">
        <f t="shared" si="0"/>
        <v>0</v>
      </c>
      <c r="J13" s="187">
        <f t="shared" si="2"/>
        <v>0</v>
      </c>
      <c r="K13" s="196" t="s">
        <v>6</v>
      </c>
      <c r="L13" s="197"/>
      <c r="M13" s="198"/>
      <c r="N13" s="199"/>
    </row>
    <row r="14" ht="18" customHeight="1" spans="1:20">
      <c r="A14" s="26">
        <v>2021</v>
      </c>
      <c r="B14" s="26">
        <v>6</v>
      </c>
      <c r="C14" s="163">
        <f>每月市场趋势!B32+每月市场趋势!G32+每月市场趋势!L32+每月市场趋势!Q32</f>
        <v>0</v>
      </c>
      <c r="D14" s="28">
        <f t="shared" si="3"/>
        <v>0</v>
      </c>
      <c r="E14" s="26" t="s">
        <v>6</v>
      </c>
      <c r="F14" s="167">
        <f>每月市场趋势!C32+每月市场趋势!H32+每月市场趋势!M32+每月市场趋势!R32</f>
        <v>0</v>
      </c>
      <c r="G14" s="28">
        <f t="shared" si="1"/>
        <v>0</v>
      </c>
      <c r="H14" s="26" t="s">
        <v>6</v>
      </c>
      <c r="I14" s="167">
        <f t="shared" si="0"/>
        <v>0</v>
      </c>
      <c r="J14" s="187">
        <f t="shared" si="2"/>
        <v>0</v>
      </c>
      <c r="K14" s="196" t="s">
        <v>6</v>
      </c>
      <c r="L14" s="197"/>
      <c r="M14" s="198"/>
      <c r="N14" s="199"/>
      <c r="O14" s="204"/>
      <c r="P14" s="204"/>
      <c r="Q14" s="204"/>
      <c r="R14" s="204"/>
      <c r="S14" s="204"/>
      <c r="T14" s="204"/>
    </row>
    <row r="15" ht="18" customHeight="1" spans="1:20">
      <c r="A15" s="26">
        <v>2021</v>
      </c>
      <c r="B15" s="26">
        <v>7</v>
      </c>
      <c r="C15" s="163">
        <f>每月市场趋势!B33+每月市场趋势!G33+每月市场趋势!L33+每月市场趋势!Q33</f>
        <v>0</v>
      </c>
      <c r="D15" s="28">
        <f t="shared" si="3"/>
        <v>0</v>
      </c>
      <c r="E15" s="26" t="s">
        <v>6</v>
      </c>
      <c r="F15" s="167">
        <f>每月市场趋势!C33+每月市场趋势!H33+每月市场趋势!M33+每月市场趋势!R33</f>
        <v>0</v>
      </c>
      <c r="G15" s="28">
        <f t="shared" si="1"/>
        <v>0</v>
      </c>
      <c r="H15" s="26" t="s">
        <v>6</v>
      </c>
      <c r="I15" s="167">
        <f t="shared" si="0"/>
        <v>0</v>
      </c>
      <c r="J15" s="187">
        <f t="shared" si="2"/>
        <v>0</v>
      </c>
      <c r="K15" s="196" t="s">
        <v>6</v>
      </c>
      <c r="L15" s="197"/>
      <c r="M15" s="198"/>
      <c r="N15" s="199"/>
      <c r="O15" s="205"/>
      <c r="P15" s="205"/>
      <c r="Q15" s="205"/>
      <c r="R15" s="205"/>
      <c r="S15" s="205"/>
      <c r="T15" s="205"/>
    </row>
    <row r="16" ht="18" customHeight="1" spans="1:20">
      <c r="A16" s="26">
        <v>2021</v>
      </c>
      <c r="B16" s="26">
        <v>8</v>
      </c>
      <c r="C16" s="163">
        <f>每月市场趋势!B34+每月市场趋势!G34+每月市场趋势!L34+每月市场趋势!Q34</f>
        <v>0</v>
      </c>
      <c r="D16" s="28">
        <f t="shared" si="3"/>
        <v>0</v>
      </c>
      <c r="E16" s="26" t="s">
        <v>6</v>
      </c>
      <c r="F16" s="167">
        <f>每月市场趋势!C34+每月市场趋势!H34+每月市场趋势!M34+每月市场趋势!R34</f>
        <v>0</v>
      </c>
      <c r="G16" s="28">
        <f t="shared" si="1"/>
        <v>0</v>
      </c>
      <c r="H16" s="26" t="s">
        <v>6</v>
      </c>
      <c r="I16" s="167">
        <f t="shared" si="0"/>
        <v>0</v>
      </c>
      <c r="J16" s="187">
        <f t="shared" si="2"/>
        <v>0</v>
      </c>
      <c r="K16" s="196" t="s">
        <v>6</v>
      </c>
      <c r="L16" s="197"/>
      <c r="M16" s="198"/>
      <c r="N16" s="199"/>
      <c r="O16" s="206"/>
      <c r="P16" s="206"/>
      <c r="Q16" s="206"/>
      <c r="R16" s="206"/>
      <c r="S16" s="206"/>
      <c r="T16" s="206"/>
    </row>
    <row r="17" ht="18" customHeight="1" spans="1:20">
      <c r="A17" s="26">
        <v>2021</v>
      </c>
      <c r="B17" s="26">
        <v>9</v>
      </c>
      <c r="C17" s="163">
        <f>每月市场趋势!B35+每月市场趋势!G35+每月市场趋势!L35+每月市场趋势!Q35</f>
        <v>0</v>
      </c>
      <c r="D17" s="28">
        <f t="shared" si="3"/>
        <v>0</v>
      </c>
      <c r="E17" s="26" t="s">
        <v>6</v>
      </c>
      <c r="F17" s="167">
        <f>每月市场趋势!C35+每月市场趋势!H35+每月市场趋势!M35+每月市场趋势!R35</f>
        <v>0</v>
      </c>
      <c r="G17" s="28">
        <f t="shared" si="1"/>
        <v>0</v>
      </c>
      <c r="H17" s="26" t="s">
        <v>6</v>
      </c>
      <c r="I17" s="167">
        <f t="shared" si="0"/>
        <v>0</v>
      </c>
      <c r="J17" s="187">
        <f t="shared" si="2"/>
        <v>0</v>
      </c>
      <c r="K17" s="196" t="s">
        <v>6</v>
      </c>
      <c r="L17" s="197"/>
      <c r="M17" s="198"/>
      <c r="N17" s="199"/>
      <c r="O17" s="206"/>
      <c r="P17" s="206"/>
      <c r="Q17" s="206"/>
      <c r="R17" s="206"/>
      <c r="S17" s="206"/>
      <c r="T17" s="206"/>
    </row>
    <row r="18" ht="18" customHeight="1" spans="1:20">
      <c r="A18" s="26">
        <v>2021</v>
      </c>
      <c r="B18" s="26">
        <v>10</v>
      </c>
      <c r="C18" s="163">
        <f>每月市场趋势!B36+每月市场趋势!G36+每月市场趋势!L36+每月市场趋势!Q36</f>
        <v>0</v>
      </c>
      <c r="D18" s="28">
        <f t="shared" si="3"/>
        <v>0</v>
      </c>
      <c r="E18" s="26" t="s">
        <v>6</v>
      </c>
      <c r="F18" s="167">
        <f>每月市场趋势!C36+每月市场趋势!H36+每月市场趋势!M36+每月市场趋势!R36</f>
        <v>0</v>
      </c>
      <c r="G18" s="28">
        <f t="shared" si="1"/>
        <v>0</v>
      </c>
      <c r="H18" s="26" t="s">
        <v>6</v>
      </c>
      <c r="I18" s="167">
        <f t="shared" si="0"/>
        <v>0</v>
      </c>
      <c r="J18" s="187">
        <f t="shared" si="2"/>
        <v>0</v>
      </c>
      <c r="K18" s="196" t="s">
        <v>6</v>
      </c>
      <c r="L18" s="197"/>
      <c r="M18" s="198"/>
      <c r="N18" s="199"/>
      <c r="O18" s="206"/>
      <c r="P18" s="206"/>
      <c r="Q18" s="206"/>
      <c r="R18" s="206"/>
      <c r="S18" s="206"/>
      <c r="T18" s="206"/>
    </row>
    <row r="19" ht="18" customHeight="1" spans="1:20">
      <c r="A19" s="26">
        <v>2021</v>
      </c>
      <c r="B19" s="26">
        <v>11</v>
      </c>
      <c r="C19" s="163">
        <f>每月市场趋势!B37+每月市场趋势!G37+每月市场趋势!L37+每月市场趋势!Q37</f>
        <v>0</v>
      </c>
      <c r="D19" s="28">
        <f t="shared" si="3"/>
        <v>0</v>
      </c>
      <c r="E19" s="26" t="s">
        <v>6</v>
      </c>
      <c r="F19" s="167">
        <f>每月市场趋势!C37+每月市场趋势!H37+每月市场趋势!M37+每月市场趋势!R37</f>
        <v>0</v>
      </c>
      <c r="G19" s="28">
        <f t="shared" si="1"/>
        <v>0</v>
      </c>
      <c r="H19" s="26" t="s">
        <v>6</v>
      </c>
      <c r="I19" s="167">
        <f t="shared" si="0"/>
        <v>0</v>
      </c>
      <c r="J19" s="187">
        <f t="shared" si="2"/>
        <v>0</v>
      </c>
      <c r="K19" s="196" t="s">
        <v>6</v>
      </c>
      <c r="L19" s="197"/>
      <c r="M19" s="198"/>
      <c r="N19" s="199"/>
      <c r="O19" s="206"/>
      <c r="P19" s="206"/>
      <c r="Q19" s="206"/>
      <c r="R19" s="206"/>
      <c r="S19" s="206"/>
      <c r="T19" s="206"/>
    </row>
    <row r="20" ht="18" customHeight="1" spans="1:20">
      <c r="A20" s="26">
        <v>2021</v>
      </c>
      <c r="B20" s="26">
        <v>12</v>
      </c>
      <c r="C20" s="163">
        <f>每月市场趋势!B38+每月市场趋势!G38+每月市场趋势!L38+每月市场趋势!Q38</f>
        <v>0</v>
      </c>
      <c r="D20" s="28">
        <f t="shared" si="3"/>
        <v>0</v>
      </c>
      <c r="E20" s="26" t="s">
        <v>6</v>
      </c>
      <c r="F20" s="167">
        <f>每月市场趋势!C38+每月市场趋势!H38+每月市场趋势!M38+每月市场趋势!R38</f>
        <v>0</v>
      </c>
      <c r="G20" s="28">
        <f t="shared" si="1"/>
        <v>0</v>
      </c>
      <c r="H20" s="26" t="s">
        <v>6</v>
      </c>
      <c r="I20" s="167">
        <f t="shared" si="0"/>
        <v>0</v>
      </c>
      <c r="J20" s="187">
        <f t="shared" si="2"/>
        <v>0</v>
      </c>
      <c r="K20" s="196" t="s">
        <v>6</v>
      </c>
      <c r="L20" s="197"/>
      <c r="M20" s="198"/>
      <c r="N20" s="199"/>
      <c r="O20" s="206"/>
      <c r="P20" s="206"/>
      <c r="Q20" s="206"/>
      <c r="R20" s="206"/>
      <c r="S20" s="206"/>
      <c r="T20" s="206"/>
    </row>
    <row r="21" ht="18" customHeight="1" spans="1:20">
      <c r="A21" s="26">
        <v>2022</v>
      </c>
      <c r="B21" s="26">
        <v>1</v>
      </c>
      <c r="C21" s="163">
        <f>每月市场趋势!B39+每月市场趋势!G39+每月市场趋势!L39+每月市场趋势!Q39</f>
        <v>0</v>
      </c>
      <c r="D21" s="28">
        <f t="shared" si="3"/>
        <v>0</v>
      </c>
      <c r="E21" s="28">
        <f>IFERROR((C21-C9)/C9,0)</f>
        <v>0</v>
      </c>
      <c r="F21" s="167">
        <f>每月市场趋势!C39+每月市场趋势!H39+每月市场趋势!M39+每月市场趋势!R39</f>
        <v>0</v>
      </c>
      <c r="G21" s="28">
        <f t="shared" si="1"/>
        <v>0</v>
      </c>
      <c r="H21" s="28">
        <f>IFERROR((F21-F9)/F9,0)</f>
        <v>0</v>
      </c>
      <c r="I21" s="167">
        <f t="shared" si="0"/>
        <v>0</v>
      </c>
      <c r="J21" s="187">
        <f t="shared" si="2"/>
        <v>0</v>
      </c>
      <c r="K21" s="187">
        <f>IFERROR((I21-I8)/I8,0)</f>
        <v>0</v>
      </c>
      <c r="L21" s="197"/>
      <c r="M21" s="198"/>
      <c r="N21" s="199"/>
      <c r="O21" s="206"/>
      <c r="P21" s="206"/>
      <c r="Q21" s="206"/>
      <c r="R21" s="206"/>
      <c r="S21" s="206"/>
      <c r="T21" s="206"/>
    </row>
    <row r="22" ht="18" customHeight="1" spans="1:20">
      <c r="A22" s="26">
        <v>2022</v>
      </c>
      <c r="B22" s="26">
        <v>2</v>
      </c>
      <c r="C22" s="163">
        <f>每月市场趋势!B40+每月市场趋势!G40+每月市场趋势!L40+每月市场趋势!Q40</f>
        <v>0</v>
      </c>
      <c r="D22" s="28">
        <f t="shared" si="3"/>
        <v>0</v>
      </c>
      <c r="E22" s="28">
        <f t="shared" ref="E22:E32" si="4">IFERROR((C22-C10)/C10,0)</f>
        <v>0</v>
      </c>
      <c r="F22" s="167">
        <f>每月市场趋势!C40+每月市场趋势!H40+每月市场趋势!M40+每月市场趋势!R40</f>
        <v>0</v>
      </c>
      <c r="G22" s="28">
        <f t="shared" si="1"/>
        <v>0</v>
      </c>
      <c r="H22" s="28">
        <f t="shared" ref="H22:H32" si="5">IFERROR((F22-F10)/F10,0)</f>
        <v>0</v>
      </c>
      <c r="I22" s="167">
        <f t="shared" si="0"/>
        <v>0</v>
      </c>
      <c r="J22" s="187">
        <f t="shared" si="2"/>
        <v>0</v>
      </c>
      <c r="K22" s="187">
        <f t="shared" ref="K22:K32" si="6">IFERROR((I22-I9)/I9,0)</f>
        <v>0</v>
      </c>
      <c r="L22" s="197"/>
      <c r="M22" s="198"/>
      <c r="N22" s="199"/>
      <c r="O22" s="206"/>
      <c r="P22" s="206"/>
      <c r="Q22" s="206"/>
      <c r="R22" s="206"/>
      <c r="S22" s="206"/>
      <c r="T22" s="206"/>
    </row>
    <row r="23" ht="18" customHeight="1" spans="1:20">
      <c r="A23" s="26">
        <v>2022</v>
      </c>
      <c r="B23" s="26">
        <v>3</v>
      </c>
      <c r="C23" s="163">
        <f>每月市场趋势!B41+每月市场趋势!G41+每月市场趋势!L41+每月市场趋势!Q41</f>
        <v>0</v>
      </c>
      <c r="D23" s="28">
        <f t="shared" si="3"/>
        <v>0</v>
      </c>
      <c r="E23" s="28">
        <f t="shared" si="4"/>
        <v>0</v>
      </c>
      <c r="F23" s="167">
        <f>每月市场趋势!C41+每月市场趋势!H41+每月市场趋势!M41+每月市场趋势!R41</f>
        <v>0</v>
      </c>
      <c r="G23" s="28">
        <f t="shared" si="1"/>
        <v>0</v>
      </c>
      <c r="H23" s="28">
        <f t="shared" si="5"/>
        <v>0</v>
      </c>
      <c r="I23" s="167">
        <f t="shared" si="0"/>
        <v>0</v>
      </c>
      <c r="J23" s="187">
        <f t="shared" si="2"/>
        <v>0</v>
      </c>
      <c r="K23" s="187">
        <f t="shared" si="6"/>
        <v>0</v>
      </c>
      <c r="L23" s="197"/>
      <c r="M23" s="198"/>
      <c r="N23" s="199"/>
      <c r="O23" s="206"/>
      <c r="P23" s="206"/>
      <c r="Q23" s="206"/>
      <c r="R23" s="206"/>
      <c r="S23" s="206"/>
      <c r="T23" s="206"/>
    </row>
    <row r="24" ht="18" customHeight="1" spans="1:20">
      <c r="A24" s="26">
        <v>2022</v>
      </c>
      <c r="B24" s="26">
        <v>4</v>
      </c>
      <c r="C24" s="163">
        <f>每月市场趋势!B42+每月市场趋势!G42+每月市场趋势!L42+每月市场趋势!Q42</f>
        <v>0</v>
      </c>
      <c r="D24" s="28">
        <f t="shared" si="3"/>
        <v>0</v>
      </c>
      <c r="E24" s="28">
        <f t="shared" si="4"/>
        <v>0</v>
      </c>
      <c r="F24" s="167">
        <f>每月市场趋势!C42+每月市场趋势!H42+每月市场趋势!M42+每月市场趋势!R42</f>
        <v>0</v>
      </c>
      <c r="G24" s="28">
        <f t="shared" si="1"/>
        <v>0</v>
      </c>
      <c r="H24" s="28">
        <f t="shared" si="5"/>
        <v>0</v>
      </c>
      <c r="I24" s="167">
        <f t="shared" si="0"/>
        <v>0</v>
      </c>
      <c r="J24" s="187">
        <f t="shared" si="2"/>
        <v>0</v>
      </c>
      <c r="K24" s="187">
        <f t="shared" si="6"/>
        <v>0</v>
      </c>
      <c r="L24" s="197"/>
      <c r="M24" s="198"/>
      <c r="N24" s="199"/>
      <c r="O24" s="206"/>
      <c r="P24" s="206"/>
      <c r="Q24" s="206"/>
      <c r="R24" s="206"/>
      <c r="S24" s="206"/>
      <c r="T24" s="206"/>
    </row>
    <row r="25" ht="18" customHeight="1" spans="1:20">
      <c r="A25" s="26">
        <v>2022</v>
      </c>
      <c r="B25" s="26">
        <v>5</v>
      </c>
      <c r="C25" s="163">
        <f>每月市场趋势!B43+每月市场趋势!G43+每月市场趋势!L43+每月市场趋势!Q43</f>
        <v>0</v>
      </c>
      <c r="D25" s="28">
        <f t="shared" si="3"/>
        <v>0</v>
      </c>
      <c r="E25" s="28">
        <f t="shared" si="4"/>
        <v>0</v>
      </c>
      <c r="F25" s="167">
        <f>每月市场趋势!C43+每月市场趋势!H43+每月市场趋势!M43+每月市场趋势!R43</f>
        <v>0</v>
      </c>
      <c r="G25" s="28">
        <f t="shared" si="1"/>
        <v>0</v>
      </c>
      <c r="H25" s="28">
        <f t="shared" si="5"/>
        <v>0</v>
      </c>
      <c r="I25" s="167">
        <f t="shared" si="0"/>
        <v>0</v>
      </c>
      <c r="J25" s="187">
        <f t="shared" si="2"/>
        <v>0</v>
      </c>
      <c r="K25" s="187">
        <f t="shared" si="6"/>
        <v>0</v>
      </c>
      <c r="L25" s="197"/>
      <c r="M25" s="198"/>
      <c r="N25" s="199"/>
      <c r="O25" s="206"/>
      <c r="P25" s="206"/>
      <c r="Q25" s="206"/>
      <c r="R25" s="206"/>
      <c r="S25" s="206"/>
      <c r="T25" s="206"/>
    </row>
    <row r="26" ht="18" customHeight="1" spans="1:20">
      <c r="A26" s="26">
        <v>2022</v>
      </c>
      <c r="B26" s="26">
        <v>6</v>
      </c>
      <c r="C26" s="163">
        <f>每月市场趋势!B44+每月市场趋势!G44+每月市场趋势!L44+每月市场趋势!Q44</f>
        <v>0</v>
      </c>
      <c r="D26" s="28">
        <f t="shared" si="3"/>
        <v>0</v>
      </c>
      <c r="E26" s="28">
        <f t="shared" si="4"/>
        <v>0</v>
      </c>
      <c r="F26" s="167">
        <f>每月市场趋势!C44+每月市场趋势!H44+每月市场趋势!M44+每月市场趋势!R44</f>
        <v>0</v>
      </c>
      <c r="G26" s="28">
        <f t="shared" si="1"/>
        <v>0</v>
      </c>
      <c r="H26" s="28">
        <f t="shared" si="5"/>
        <v>0</v>
      </c>
      <c r="I26" s="167">
        <f t="shared" si="0"/>
        <v>0</v>
      </c>
      <c r="J26" s="187">
        <f t="shared" si="2"/>
        <v>0</v>
      </c>
      <c r="K26" s="187">
        <f t="shared" si="6"/>
        <v>0</v>
      </c>
      <c r="L26" s="197"/>
      <c r="M26" s="198"/>
      <c r="N26" s="199"/>
      <c r="O26" s="206"/>
      <c r="P26" s="206"/>
      <c r="Q26" s="206"/>
      <c r="R26" s="206"/>
      <c r="S26" s="206"/>
      <c r="T26" s="206"/>
    </row>
    <row r="27" ht="18" customHeight="1" spans="1:20">
      <c r="A27" s="26">
        <v>2022</v>
      </c>
      <c r="B27" s="26">
        <v>7</v>
      </c>
      <c r="C27" s="163">
        <f>每月市场趋势!B45+每月市场趋势!G45+每月市场趋势!L45+每月市场趋势!Q45</f>
        <v>0</v>
      </c>
      <c r="D27" s="28">
        <f t="shared" si="3"/>
        <v>0</v>
      </c>
      <c r="E27" s="28">
        <f t="shared" si="4"/>
        <v>0</v>
      </c>
      <c r="F27" s="167">
        <f>每月市场趋势!C45+每月市场趋势!H45+每月市场趋势!M45+每月市场趋势!R45</f>
        <v>0</v>
      </c>
      <c r="G27" s="28">
        <f t="shared" si="1"/>
        <v>0</v>
      </c>
      <c r="H27" s="28">
        <f t="shared" si="5"/>
        <v>0</v>
      </c>
      <c r="I27" s="167">
        <f t="shared" si="0"/>
        <v>0</v>
      </c>
      <c r="J27" s="187">
        <f t="shared" si="2"/>
        <v>0</v>
      </c>
      <c r="K27" s="187">
        <f t="shared" si="6"/>
        <v>0</v>
      </c>
      <c r="L27" s="197"/>
      <c r="M27" s="198"/>
      <c r="N27" s="199"/>
      <c r="O27" s="206"/>
      <c r="P27" s="206"/>
      <c r="Q27" s="206"/>
      <c r="R27" s="206"/>
      <c r="S27" s="206"/>
      <c r="T27" s="206"/>
    </row>
    <row r="28" ht="18" customHeight="1" spans="1:20">
      <c r="A28" s="26">
        <v>2022</v>
      </c>
      <c r="B28" s="26">
        <v>8</v>
      </c>
      <c r="C28" s="163">
        <f>每月市场趋势!B46+每月市场趋势!G46+每月市场趋势!L46+每月市场趋势!Q46</f>
        <v>0</v>
      </c>
      <c r="D28" s="28">
        <f t="shared" si="3"/>
        <v>0</v>
      </c>
      <c r="E28" s="28">
        <f t="shared" si="4"/>
        <v>0</v>
      </c>
      <c r="F28" s="167">
        <f>每月市场趋势!C46+每月市场趋势!H46+每月市场趋势!M46+每月市场趋势!R46</f>
        <v>0</v>
      </c>
      <c r="G28" s="28">
        <f t="shared" si="1"/>
        <v>0</v>
      </c>
      <c r="H28" s="28">
        <f t="shared" si="5"/>
        <v>0</v>
      </c>
      <c r="I28" s="167">
        <f t="shared" si="0"/>
        <v>0</v>
      </c>
      <c r="J28" s="187">
        <f t="shared" si="2"/>
        <v>0</v>
      </c>
      <c r="K28" s="187">
        <f t="shared" si="6"/>
        <v>0</v>
      </c>
      <c r="L28" s="197"/>
      <c r="M28" s="198"/>
      <c r="N28" s="199"/>
      <c r="O28" s="206"/>
      <c r="P28" s="206"/>
      <c r="Q28" s="206"/>
      <c r="R28" s="206"/>
      <c r="S28" s="206"/>
      <c r="T28" s="206"/>
    </row>
    <row r="29" ht="18" customHeight="1" spans="1:20">
      <c r="A29" s="26">
        <v>2022</v>
      </c>
      <c r="B29" s="26">
        <v>9</v>
      </c>
      <c r="C29" s="163">
        <f>每月市场趋势!B47+每月市场趋势!G47+每月市场趋势!L47+每月市场趋势!Q47</f>
        <v>0</v>
      </c>
      <c r="D29" s="28">
        <f t="shared" si="3"/>
        <v>0</v>
      </c>
      <c r="E29" s="28">
        <f t="shared" si="4"/>
        <v>0</v>
      </c>
      <c r="F29" s="167">
        <f>每月市场趋势!C47+每月市场趋势!H47+每月市场趋势!M47+每月市场趋势!R47</f>
        <v>0</v>
      </c>
      <c r="G29" s="28">
        <f t="shared" si="1"/>
        <v>0</v>
      </c>
      <c r="H29" s="28">
        <f t="shared" si="5"/>
        <v>0</v>
      </c>
      <c r="I29" s="167">
        <f t="shared" si="0"/>
        <v>0</v>
      </c>
      <c r="J29" s="187">
        <f t="shared" si="2"/>
        <v>0</v>
      </c>
      <c r="K29" s="187">
        <f t="shared" si="6"/>
        <v>0</v>
      </c>
      <c r="L29" s="197"/>
      <c r="M29" s="198"/>
      <c r="N29" s="199"/>
      <c r="O29" s="206"/>
      <c r="P29" s="206"/>
      <c r="Q29" s="206"/>
      <c r="R29" s="206"/>
      <c r="S29" s="206"/>
      <c r="T29" s="206"/>
    </row>
    <row r="30" ht="18" customHeight="1" spans="1:20">
      <c r="A30" s="26">
        <v>2022</v>
      </c>
      <c r="B30" s="26">
        <v>10</v>
      </c>
      <c r="C30" s="163">
        <f>每月市场趋势!B48+每月市场趋势!G48+每月市场趋势!L48+每月市场趋势!Q48</f>
        <v>0</v>
      </c>
      <c r="D30" s="28">
        <f t="shared" si="3"/>
        <v>0</v>
      </c>
      <c r="E30" s="28">
        <f t="shared" si="4"/>
        <v>0</v>
      </c>
      <c r="F30" s="167">
        <f>每月市场趋势!C48+每月市场趋势!H48+每月市场趋势!M48+每月市场趋势!R48</f>
        <v>0</v>
      </c>
      <c r="G30" s="28">
        <f t="shared" si="1"/>
        <v>0</v>
      </c>
      <c r="H30" s="28">
        <f t="shared" si="5"/>
        <v>0</v>
      </c>
      <c r="I30" s="167">
        <f t="shared" si="0"/>
        <v>0</v>
      </c>
      <c r="J30" s="187">
        <f t="shared" si="2"/>
        <v>0</v>
      </c>
      <c r="K30" s="187">
        <f t="shared" si="6"/>
        <v>0</v>
      </c>
      <c r="L30" s="197"/>
      <c r="M30" s="198"/>
      <c r="N30" s="199"/>
      <c r="O30" s="206"/>
      <c r="P30" s="206"/>
      <c r="Q30" s="206"/>
      <c r="R30" s="206"/>
      <c r="S30" s="206"/>
      <c r="T30" s="206"/>
    </row>
    <row r="31" ht="18" customHeight="1" spans="1:20">
      <c r="A31" s="26">
        <v>2022</v>
      </c>
      <c r="B31" s="26">
        <v>11</v>
      </c>
      <c r="C31" s="163">
        <f>每月市场趋势!B49+每月市场趋势!G49+每月市场趋势!L49+每月市场趋势!Q49</f>
        <v>0</v>
      </c>
      <c r="D31" s="28">
        <f t="shared" si="3"/>
        <v>0</v>
      </c>
      <c r="E31" s="28">
        <f t="shared" si="4"/>
        <v>0</v>
      </c>
      <c r="F31" s="167">
        <f>每月市场趋势!C49+每月市场趋势!H49+每月市场趋势!M49+每月市场趋势!R49</f>
        <v>0</v>
      </c>
      <c r="G31" s="28">
        <f t="shared" si="1"/>
        <v>0</v>
      </c>
      <c r="H31" s="28">
        <f t="shared" si="5"/>
        <v>0</v>
      </c>
      <c r="I31" s="167">
        <f t="shared" si="0"/>
        <v>0</v>
      </c>
      <c r="J31" s="187">
        <f t="shared" si="2"/>
        <v>0</v>
      </c>
      <c r="K31" s="187">
        <f t="shared" si="6"/>
        <v>0</v>
      </c>
      <c r="L31" s="197"/>
      <c r="M31" s="198"/>
      <c r="N31" s="199"/>
      <c r="O31" s="206"/>
      <c r="P31" s="206"/>
      <c r="Q31" s="206"/>
      <c r="R31" s="206"/>
      <c r="S31" s="206"/>
      <c r="T31" s="206"/>
    </row>
    <row r="32" ht="18" customHeight="1" spans="1:20">
      <c r="A32" s="26">
        <v>2022</v>
      </c>
      <c r="B32" s="26">
        <v>12</v>
      </c>
      <c r="C32" s="163">
        <f>每月市场趋势!B50+每月市场趋势!G50+每月市场趋势!L50+每月市场趋势!Q50</f>
        <v>0</v>
      </c>
      <c r="D32" s="28">
        <f t="shared" si="3"/>
        <v>0</v>
      </c>
      <c r="E32" s="28">
        <f t="shared" si="4"/>
        <v>0</v>
      </c>
      <c r="F32" s="167">
        <f>每月市场趋势!C50+每月市场趋势!H50+每月市场趋势!M50+每月市场趋势!R50</f>
        <v>0</v>
      </c>
      <c r="G32" s="28">
        <f t="shared" si="1"/>
        <v>0</v>
      </c>
      <c r="H32" s="28">
        <f t="shared" si="5"/>
        <v>0</v>
      </c>
      <c r="I32" s="167">
        <f t="shared" si="0"/>
        <v>0</v>
      </c>
      <c r="J32" s="187">
        <f t="shared" si="2"/>
        <v>0</v>
      </c>
      <c r="K32" s="187">
        <f t="shared" si="6"/>
        <v>0</v>
      </c>
      <c r="L32" s="197"/>
      <c r="M32" s="198"/>
      <c r="N32" s="199"/>
      <c r="O32" s="206"/>
      <c r="P32" s="206"/>
      <c r="Q32" s="206"/>
      <c r="R32" s="206"/>
      <c r="S32" s="206"/>
      <c r="T32" s="206"/>
    </row>
    <row r="33" spans="13:20">
      <c r="M33" s="206"/>
      <c r="N33" s="206"/>
      <c r="O33" s="206"/>
      <c r="P33" s="206"/>
      <c r="Q33" s="206"/>
      <c r="R33" s="206"/>
      <c r="S33" s="206"/>
      <c r="T33" s="206"/>
    </row>
    <row r="34" ht="24" customHeight="1" spans="1:20">
      <c r="A34" s="155" t="s">
        <v>108</v>
      </c>
      <c r="B34" s="155"/>
      <c r="C34" s="155"/>
      <c r="D34" s="155"/>
      <c r="E34" s="155"/>
      <c r="F34" s="155"/>
      <c r="G34" s="155"/>
      <c r="H34" s="155"/>
      <c r="I34" s="207"/>
      <c r="J34" s="155"/>
      <c r="K34" s="208"/>
      <c r="M34" s="206"/>
      <c r="N34" s="206"/>
      <c r="O34" s="206"/>
      <c r="P34" s="206"/>
      <c r="Q34" s="206"/>
      <c r="R34" s="206"/>
      <c r="S34" s="206"/>
      <c r="T34" s="206"/>
    </row>
    <row r="35" ht="24" customHeight="1" spans="1:20">
      <c r="A35" s="168" t="s">
        <v>109</v>
      </c>
      <c r="B35" s="168" t="s">
        <v>110</v>
      </c>
      <c r="C35" s="168" t="s">
        <v>111</v>
      </c>
      <c r="D35" s="168" t="s">
        <v>112</v>
      </c>
      <c r="E35" s="169" t="s">
        <v>113</v>
      </c>
      <c r="F35" s="169" t="s">
        <v>89</v>
      </c>
      <c r="G35" s="168" t="s">
        <v>114</v>
      </c>
      <c r="H35" s="168" t="s">
        <v>115</v>
      </c>
      <c r="I35" s="209" t="s">
        <v>116</v>
      </c>
      <c r="J35" s="169" t="s">
        <v>94</v>
      </c>
      <c r="K35" s="183"/>
      <c r="M35" s="206"/>
      <c r="N35" s="206"/>
      <c r="O35" s="206"/>
      <c r="P35" s="206"/>
      <c r="Q35" s="206"/>
      <c r="R35" s="206"/>
      <c r="S35" s="206"/>
      <c r="T35" s="206"/>
    </row>
    <row r="36" ht="20" customHeight="1" spans="1:20">
      <c r="A36" s="170">
        <v>2021</v>
      </c>
      <c r="B36" s="171">
        <v>44197</v>
      </c>
      <c r="C36" s="170">
        <f>SUMIFS('船长每月数据(2022年)'!P:P,'船长每月数据(2022年)'!C:C,"BBQ",'船长每月数据(2022年)'!F:F,B36)</f>
        <v>0</v>
      </c>
      <c r="D36" s="172">
        <f>IFERROR(C36/C9,0)</f>
        <v>0</v>
      </c>
      <c r="E36" s="170" t="s">
        <v>6</v>
      </c>
      <c r="F36" s="170" t="s">
        <v>6</v>
      </c>
      <c r="G36" s="173">
        <f>SUMIFS('船长每月数据(2022年)'!R:R,'船长每月数据(2022年)'!C:C,"BBQ",'船长每月数据(2022年)'!F:F,B36)</f>
        <v>0</v>
      </c>
      <c r="H36" s="172">
        <f>IFERROR(G36/F8,0)</f>
        <v>0</v>
      </c>
      <c r="I36" s="172" t="s">
        <v>6</v>
      </c>
      <c r="J36" s="170" t="s">
        <v>6</v>
      </c>
      <c r="K36" s="26"/>
      <c r="M36" s="206"/>
      <c r="N36" s="206"/>
      <c r="O36" s="206"/>
      <c r="P36" s="206"/>
      <c r="Q36" s="206"/>
      <c r="R36" s="206"/>
      <c r="S36" s="206"/>
      <c r="T36" s="206"/>
    </row>
    <row r="37" ht="20" customHeight="1" spans="1:20">
      <c r="A37" s="170">
        <v>2021</v>
      </c>
      <c r="B37" s="171">
        <v>44228</v>
      </c>
      <c r="C37" s="170">
        <f>SUMIFS('船长每月数据(2022年)'!P:P,'船长每月数据(2022年)'!C:C,"BBQ",'船长每月数据(2022年)'!F:F,B37)</f>
        <v>0</v>
      </c>
      <c r="D37" s="172">
        <f t="shared" ref="D37:D47" si="7">IFERROR(C37/C10,0)</f>
        <v>0</v>
      </c>
      <c r="E37" s="172">
        <f>IFERROR((D37-D36)/D36,0)</f>
        <v>0</v>
      </c>
      <c r="F37" s="170" t="s">
        <v>6</v>
      </c>
      <c r="G37" s="173">
        <f>SUMIFS('船长每月数据(2022年)'!R:R,'船长每月数据(2022年)'!C:C,"BBQ",'船长每月数据(2022年)'!F:F,B37)</f>
        <v>0</v>
      </c>
      <c r="H37" s="172">
        <f t="shared" ref="H37:H59" si="8">IFERROR(G37/F9,0)</f>
        <v>0</v>
      </c>
      <c r="I37" s="172">
        <f>IFERROR((H37-H36)/H36,0)</f>
        <v>0</v>
      </c>
      <c r="J37" s="170" t="s">
        <v>6</v>
      </c>
      <c r="K37" s="26"/>
      <c r="M37" s="206"/>
      <c r="N37" s="206"/>
      <c r="O37" s="206"/>
      <c r="P37" s="206"/>
      <c r="Q37" s="206"/>
      <c r="R37" s="206"/>
      <c r="S37" s="206"/>
      <c r="T37" s="206"/>
    </row>
    <row r="38" ht="20" customHeight="1" spans="1:20">
      <c r="A38" s="170">
        <v>2021</v>
      </c>
      <c r="B38" s="171">
        <v>44256</v>
      </c>
      <c r="C38" s="170">
        <f>SUMIFS('船长每月数据(2022年)'!P:P,'船长每月数据(2022年)'!C:C,"BBQ",'船长每月数据(2022年)'!F:F,B38)</f>
        <v>0</v>
      </c>
      <c r="D38" s="172">
        <f t="shared" si="7"/>
        <v>0</v>
      </c>
      <c r="E38" s="172">
        <f t="shared" ref="E38:E59" si="9">IFERROR((D38-D37)/D37,0)</f>
        <v>0</v>
      </c>
      <c r="F38" s="170" t="s">
        <v>6</v>
      </c>
      <c r="G38" s="173">
        <f>SUMIFS('船长每月数据(2022年)'!R:R,'船长每月数据(2022年)'!C:C,"BBQ",'船长每月数据(2022年)'!F:F,B38)</f>
        <v>0</v>
      </c>
      <c r="H38" s="172">
        <f t="shared" si="8"/>
        <v>0</v>
      </c>
      <c r="I38" s="172">
        <f t="shared" ref="I38:I48" si="10">IFERROR((H38-H37)/H37,0)</f>
        <v>0</v>
      </c>
      <c r="J38" s="170" t="s">
        <v>6</v>
      </c>
      <c r="K38" s="26"/>
      <c r="M38" s="206"/>
      <c r="N38" s="206"/>
      <c r="O38" s="206"/>
      <c r="P38" s="206"/>
      <c r="Q38" s="206"/>
      <c r="R38" s="206"/>
      <c r="S38" s="206"/>
      <c r="T38" s="206"/>
    </row>
    <row r="39" ht="20" customHeight="1" spans="1:20">
      <c r="A39" s="170">
        <v>2021</v>
      </c>
      <c r="B39" s="171">
        <v>44287</v>
      </c>
      <c r="C39" s="170">
        <f>SUMIFS('船长每月数据(2022年)'!P:P,'船长每月数据(2022年)'!C:C,"BBQ",'船长每月数据(2022年)'!F:F,B39)</f>
        <v>0</v>
      </c>
      <c r="D39" s="172">
        <f t="shared" si="7"/>
        <v>0</v>
      </c>
      <c r="E39" s="172">
        <f t="shared" si="9"/>
        <v>0</v>
      </c>
      <c r="F39" s="170" t="s">
        <v>6</v>
      </c>
      <c r="G39" s="173">
        <f>SUMIFS('船长每月数据(2022年)'!R:R,'船长每月数据(2022年)'!C:C,"BBQ",'船长每月数据(2022年)'!F:F,B39)</f>
        <v>0</v>
      </c>
      <c r="H39" s="172">
        <f t="shared" si="8"/>
        <v>0</v>
      </c>
      <c r="I39" s="172">
        <f t="shared" si="10"/>
        <v>0</v>
      </c>
      <c r="J39" s="170" t="s">
        <v>6</v>
      </c>
      <c r="K39" s="26"/>
      <c r="M39" s="206"/>
      <c r="N39" s="206"/>
      <c r="O39" s="206"/>
      <c r="P39" s="206"/>
      <c r="Q39" s="206"/>
      <c r="R39" s="206"/>
      <c r="S39" s="206"/>
      <c r="T39" s="206"/>
    </row>
    <row r="40" ht="20" customHeight="1" spans="1:11">
      <c r="A40" s="170">
        <v>2021</v>
      </c>
      <c r="B40" s="171">
        <v>44317</v>
      </c>
      <c r="C40" s="170">
        <f>SUMIFS('船长每月数据(2022年)'!P:P,'船长每月数据(2022年)'!C:C,"BBQ",'船长每月数据(2022年)'!F:F,B40)</f>
        <v>0</v>
      </c>
      <c r="D40" s="172">
        <f t="shared" si="7"/>
        <v>0</v>
      </c>
      <c r="E40" s="172">
        <f t="shared" si="9"/>
        <v>0</v>
      </c>
      <c r="F40" s="170" t="s">
        <v>6</v>
      </c>
      <c r="G40" s="173">
        <f>SUMIFS('船长每月数据(2022年)'!R:R,'船长每月数据(2022年)'!C:C,"BBQ",'船长每月数据(2022年)'!F:F,B40)</f>
        <v>0</v>
      </c>
      <c r="H40" s="172">
        <f t="shared" si="8"/>
        <v>0</v>
      </c>
      <c r="I40" s="172">
        <f t="shared" si="10"/>
        <v>0</v>
      </c>
      <c r="J40" s="170" t="s">
        <v>6</v>
      </c>
      <c r="K40" s="26"/>
    </row>
    <row r="41" ht="20" customHeight="1" spans="1:11">
      <c r="A41" s="170">
        <v>2021</v>
      </c>
      <c r="B41" s="171">
        <v>44348</v>
      </c>
      <c r="C41" s="170">
        <f>SUMIFS('船长每月数据(2022年)'!P:P,'船长每月数据(2022年)'!C:C,"BBQ",'船长每月数据(2022年)'!F:F,B41)</f>
        <v>0</v>
      </c>
      <c r="D41" s="172">
        <f t="shared" si="7"/>
        <v>0</v>
      </c>
      <c r="E41" s="172">
        <f t="shared" si="9"/>
        <v>0</v>
      </c>
      <c r="F41" s="170" t="s">
        <v>6</v>
      </c>
      <c r="G41" s="173">
        <f>SUMIFS('船长每月数据(2022年)'!R:R,'船长每月数据(2022年)'!C:C,"BBQ",'船长每月数据(2022年)'!F:F,B41)</f>
        <v>0</v>
      </c>
      <c r="H41" s="172">
        <f t="shared" si="8"/>
        <v>0</v>
      </c>
      <c r="I41" s="172">
        <f t="shared" si="10"/>
        <v>0</v>
      </c>
      <c r="J41" s="170" t="s">
        <v>6</v>
      </c>
      <c r="K41" s="26"/>
    </row>
    <row r="42" ht="20" customHeight="1" spans="1:11">
      <c r="A42" s="170">
        <v>2021</v>
      </c>
      <c r="B42" s="171">
        <v>44378</v>
      </c>
      <c r="C42" s="170">
        <f>SUMIFS('船长每月数据(2022年)'!P:P,'船长每月数据(2022年)'!C:C,"BBQ",'船长每月数据(2022年)'!F:F,B42)</f>
        <v>0</v>
      </c>
      <c r="D42" s="172">
        <f t="shared" si="7"/>
        <v>0</v>
      </c>
      <c r="E42" s="172">
        <f t="shared" si="9"/>
        <v>0</v>
      </c>
      <c r="F42" s="170" t="s">
        <v>6</v>
      </c>
      <c r="G42" s="173">
        <f>SUMIFS('船长每月数据(2022年)'!R:R,'船长每月数据(2022年)'!C:C,"BBQ",'船长每月数据(2022年)'!F:F,B42)</f>
        <v>0</v>
      </c>
      <c r="H42" s="172">
        <f t="shared" si="8"/>
        <v>0</v>
      </c>
      <c r="I42" s="172">
        <f t="shared" si="10"/>
        <v>0</v>
      </c>
      <c r="J42" s="170" t="s">
        <v>6</v>
      </c>
      <c r="K42" s="26"/>
    </row>
    <row r="43" ht="20" customHeight="1" spans="1:11">
      <c r="A43" s="170">
        <v>2021</v>
      </c>
      <c r="B43" s="171">
        <v>44409</v>
      </c>
      <c r="C43" s="170">
        <f>SUMIFS('船长每月数据(2022年)'!P:P,'船长每月数据(2022年)'!C:C,"BBQ",'船长每月数据(2022年)'!F:F,B43)</f>
        <v>0</v>
      </c>
      <c r="D43" s="172">
        <f t="shared" si="7"/>
        <v>0</v>
      </c>
      <c r="E43" s="172">
        <f t="shared" si="9"/>
        <v>0</v>
      </c>
      <c r="F43" s="170" t="s">
        <v>6</v>
      </c>
      <c r="G43" s="173">
        <f>SUMIFS('船长每月数据(2022年)'!R:R,'船长每月数据(2022年)'!C:C,"BBQ",'船长每月数据(2022年)'!F:F,B43)</f>
        <v>0</v>
      </c>
      <c r="H43" s="172">
        <f t="shared" si="8"/>
        <v>0</v>
      </c>
      <c r="I43" s="172">
        <f t="shared" si="10"/>
        <v>0</v>
      </c>
      <c r="J43" s="170" t="s">
        <v>6</v>
      </c>
      <c r="K43" s="26"/>
    </row>
    <row r="44" ht="20" customHeight="1" spans="1:11">
      <c r="A44" s="170">
        <v>2021</v>
      </c>
      <c r="B44" s="171">
        <v>44440</v>
      </c>
      <c r="C44" s="170">
        <f>SUMIFS('船长每月数据(2022年)'!P:P,'船长每月数据(2022年)'!C:C,"BBQ",'船长每月数据(2022年)'!F:F,B44)</f>
        <v>0</v>
      </c>
      <c r="D44" s="172">
        <f t="shared" si="7"/>
        <v>0</v>
      </c>
      <c r="E44" s="172">
        <f t="shared" si="9"/>
        <v>0</v>
      </c>
      <c r="F44" s="170" t="s">
        <v>6</v>
      </c>
      <c r="G44" s="173">
        <f>SUMIFS('船长每月数据(2022年)'!R:R,'船长每月数据(2022年)'!C:C,"BBQ",'船长每月数据(2022年)'!F:F,B44)</f>
        <v>0</v>
      </c>
      <c r="H44" s="172">
        <f t="shared" si="8"/>
        <v>0</v>
      </c>
      <c r="I44" s="172">
        <f t="shared" si="10"/>
        <v>0</v>
      </c>
      <c r="J44" s="170" t="s">
        <v>6</v>
      </c>
      <c r="K44" s="26"/>
    </row>
    <row r="45" ht="20" customHeight="1" spans="1:11">
      <c r="A45" s="170">
        <v>2021</v>
      </c>
      <c r="B45" s="171">
        <v>44470</v>
      </c>
      <c r="C45" s="170">
        <f>SUMIFS('船长每月数据(2022年)'!P:P,'船长每月数据(2022年)'!C:C,"BBQ",'船长每月数据(2022年)'!F:F,B45)</f>
        <v>0</v>
      </c>
      <c r="D45" s="172">
        <f t="shared" si="7"/>
        <v>0</v>
      </c>
      <c r="E45" s="172">
        <f t="shared" si="9"/>
        <v>0</v>
      </c>
      <c r="F45" s="170" t="s">
        <v>6</v>
      </c>
      <c r="G45" s="173">
        <f>SUMIFS('船长每月数据(2022年)'!R:R,'船长每月数据(2022年)'!C:C,"BBQ",'船长每月数据(2022年)'!F:F,B45)</f>
        <v>0</v>
      </c>
      <c r="H45" s="172">
        <f t="shared" si="8"/>
        <v>0</v>
      </c>
      <c r="I45" s="172">
        <f t="shared" si="10"/>
        <v>0</v>
      </c>
      <c r="J45" s="170" t="s">
        <v>6</v>
      </c>
      <c r="K45" s="26"/>
    </row>
    <row r="46" ht="20" customHeight="1" spans="1:11">
      <c r="A46" s="170">
        <v>2021</v>
      </c>
      <c r="B46" s="171">
        <v>44501</v>
      </c>
      <c r="C46" s="170">
        <f>SUMIFS('船长每月数据(2022年)'!P:P,'船长每月数据(2022年)'!C:C,"BBQ",'船长每月数据(2022年)'!F:F,B46)</f>
        <v>0</v>
      </c>
      <c r="D46" s="172">
        <f t="shared" si="7"/>
        <v>0</v>
      </c>
      <c r="E46" s="172">
        <f t="shared" si="9"/>
        <v>0</v>
      </c>
      <c r="F46" s="170" t="s">
        <v>6</v>
      </c>
      <c r="G46" s="173">
        <f>SUMIFS('船长每月数据(2022年)'!R:R,'船长每月数据(2022年)'!C:C,"BBQ",'船长每月数据(2022年)'!F:F,B46)</f>
        <v>0</v>
      </c>
      <c r="H46" s="172">
        <f t="shared" si="8"/>
        <v>0</v>
      </c>
      <c r="I46" s="172">
        <f t="shared" si="10"/>
        <v>0</v>
      </c>
      <c r="J46" s="170" t="s">
        <v>6</v>
      </c>
      <c r="K46" s="26"/>
    </row>
    <row r="47" ht="20" customHeight="1" spans="1:11">
      <c r="A47" s="170">
        <v>2021</v>
      </c>
      <c r="B47" s="171">
        <v>44531</v>
      </c>
      <c r="C47" s="170">
        <f>SUMIFS('船长每月数据(2022年)'!P:P,'船长每月数据(2022年)'!C:C,"BBQ",'船长每月数据(2022年)'!F:F,B47)</f>
        <v>0</v>
      </c>
      <c r="D47" s="172">
        <f t="shared" si="7"/>
        <v>0</v>
      </c>
      <c r="E47" s="172">
        <f t="shared" si="9"/>
        <v>0</v>
      </c>
      <c r="F47" s="170" t="s">
        <v>6</v>
      </c>
      <c r="G47" s="173">
        <f>SUMIFS('船长每月数据(2022年)'!R:R,'船长每月数据(2022年)'!C:C,"BBQ",'船长每月数据(2022年)'!F:F,B47)</f>
        <v>0</v>
      </c>
      <c r="H47" s="172">
        <f t="shared" si="8"/>
        <v>0</v>
      </c>
      <c r="I47" s="172">
        <f t="shared" si="10"/>
        <v>0</v>
      </c>
      <c r="J47" s="170" t="s">
        <v>6</v>
      </c>
      <c r="K47" s="26"/>
    </row>
    <row r="48" ht="20" customHeight="1" spans="1:11">
      <c r="A48" s="170">
        <v>2022</v>
      </c>
      <c r="B48" s="171">
        <v>44562</v>
      </c>
      <c r="C48" s="170">
        <f>SUMIFS('船长每月数据(2023年)'!P:P,'船长每月数据(2023年)'!C:C,"BBQ",'船长每月数据(2023年)'!F:F,B48)</f>
        <v>0</v>
      </c>
      <c r="D48" s="172">
        <f t="shared" ref="D48:D59" si="11">IFERROR(C48/C21,0)</f>
        <v>0</v>
      </c>
      <c r="E48" s="172">
        <f t="shared" si="9"/>
        <v>0</v>
      </c>
      <c r="F48" s="172">
        <f>IFERROR((D48-D36)/D36,0)</f>
        <v>0</v>
      </c>
      <c r="G48" s="173">
        <f>SUMIFS('船长每月数据(2023年)'!R:R,'船长每月数据(2023年)'!C:C,"BBQ",'船长每月数据(2023年)'!F:F,B48)</f>
        <v>0</v>
      </c>
      <c r="H48" s="172">
        <f t="shared" si="8"/>
        <v>0</v>
      </c>
      <c r="I48" s="172">
        <f t="shared" si="10"/>
        <v>0</v>
      </c>
      <c r="J48" s="172">
        <f>IFERROR((H48-H36)/H36,0)</f>
        <v>0</v>
      </c>
      <c r="K48" s="28"/>
    </row>
    <row r="49" ht="20" customHeight="1" spans="1:11">
      <c r="A49" s="170">
        <v>2022</v>
      </c>
      <c r="B49" s="171">
        <v>44593</v>
      </c>
      <c r="C49" s="170">
        <f>SUMIFS('船长每月数据(2023年)'!P:P,'船长每月数据(2023年)'!C:C,"BBQ",'船长每月数据(2023年)'!F:F,B49)</f>
        <v>0</v>
      </c>
      <c r="D49" s="172">
        <f t="shared" si="11"/>
        <v>0</v>
      </c>
      <c r="E49" s="172">
        <f t="shared" si="9"/>
        <v>0</v>
      </c>
      <c r="F49" s="172">
        <f t="shared" ref="F49:F59" si="12">IFERROR((D49-D37)/D37,0)</f>
        <v>0</v>
      </c>
      <c r="G49" s="173">
        <f>SUMIFS('船长每月数据(2023年)'!R:R,'船长每月数据(2023年)'!C:C,"BBQ",'船长每月数据(2023年)'!F:F,B49)</f>
        <v>0</v>
      </c>
      <c r="H49" s="172">
        <f t="shared" si="8"/>
        <v>0</v>
      </c>
      <c r="I49" s="172">
        <f t="shared" ref="I49:I59" si="13">IFERROR((H49-H48)/H48,0)</f>
        <v>0</v>
      </c>
      <c r="J49" s="172">
        <f t="shared" ref="J49:J59" si="14">IFERROR((H49-H37)/H37,0)</f>
        <v>0</v>
      </c>
      <c r="K49" s="28"/>
    </row>
    <row r="50" ht="20" customHeight="1" spans="1:11">
      <c r="A50" s="170">
        <v>2022</v>
      </c>
      <c r="B50" s="171">
        <v>44621</v>
      </c>
      <c r="C50" s="170">
        <f>SUMIFS('船长每月数据(2023年)'!P:P,'船长每月数据(2023年)'!C:C,"BBQ",'船长每月数据(2023年)'!F:F,B50)</f>
        <v>0</v>
      </c>
      <c r="D50" s="172">
        <f t="shared" si="11"/>
        <v>0</v>
      </c>
      <c r="E50" s="172">
        <f t="shared" si="9"/>
        <v>0</v>
      </c>
      <c r="F50" s="172">
        <f t="shared" si="12"/>
        <v>0</v>
      </c>
      <c r="G50" s="173">
        <f>SUMIFS('船长每月数据(2023年)'!R:R,'船长每月数据(2023年)'!C:C,"BBQ",'船长每月数据(2023年)'!F:F,B50)</f>
        <v>0</v>
      </c>
      <c r="H50" s="172">
        <f t="shared" si="8"/>
        <v>0</v>
      </c>
      <c r="I50" s="172">
        <f t="shared" si="13"/>
        <v>0</v>
      </c>
      <c r="J50" s="172">
        <f t="shared" si="14"/>
        <v>0</v>
      </c>
      <c r="K50" s="28"/>
    </row>
    <row r="51" ht="20" customHeight="1" spans="1:11">
      <c r="A51" s="170">
        <v>2022</v>
      </c>
      <c r="B51" s="171">
        <v>44652</v>
      </c>
      <c r="C51" s="170">
        <f>SUMIFS('船长每月数据(2023年)'!P:P,'船长每月数据(2023年)'!C:C,"BBQ",'船长每月数据(2023年)'!F:F,B51)</f>
        <v>0</v>
      </c>
      <c r="D51" s="172">
        <f t="shared" si="11"/>
        <v>0</v>
      </c>
      <c r="E51" s="172">
        <f t="shared" si="9"/>
        <v>0</v>
      </c>
      <c r="F51" s="172">
        <f t="shared" si="12"/>
        <v>0</v>
      </c>
      <c r="G51" s="173">
        <f>SUMIFS('船长每月数据(2023年)'!R:R,'船长每月数据(2023年)'!C:C,"BBQ",'船长每月数据(2023年)'!F:F,B51)</f>
        <v>0</v>
      </c>
      <c r="H51" s="172">
        <f t="shared" si="8"/>
        <v>0</v>
      </c>
      <c r="I51" s="172">
        <f t="shared" si="13"/>
        <v>0</v>
      </c>
      <c r="J51" s="172">
        <f t="shared" si="14"/>
        <v>0</v>
      </c>
      <c r="K51" s="28"/>
    </row>
    <row r="52" ht="20" customHeight="1" spans="1:11">
      <c r="A52" s="170">
        <v>2022</v>
      </c>
      <c r="B52" s="171">
        <v>44682</v>
      </c>
      <c r="C52" s="170">
        <f>SUMIFS('船长每月数据(2023年)'!P:P,'船长每月数据(2023年)'!C:C,"BBQ",'船长每月数据(2023年)'!F:F,B52)</f>
        <v>0</v>
      </c>
      <c r="D52" s="172">
        <f t="shared" si="11"/>
        <v>0</v>
      </c>
      <c r="E52" s="172">
        <f t="shared" si="9"/>
        <v>0</v>
      </c>
      <c r="F52" s="172">
        <f t="shared" si="12"/>
        <v>0</v>
      </c>
      <c r="G52" s="173">
        <f>SUMIFS('船长每月数据(2023年)'!R:R,'船长每月数据(2023年)'!C:C,"BBQ",'船长每月数据(2023年)'!F:F,B52)</f>
        <v>0</v>
      </c>
      <c r="H52" s="172">
        <f t="shared" si="8"/>
        <v>0</v>
      </c>
      <c r="I52" s="172">
        <f t="shared" si="13"/>
        <v>0</v>
      </c>
      <c r="J52" s="172">
        <f t="shared" si="14"/>
        <v>0</v>
      </c>
      <c r="K52" s="28"/>
    </row>
    <row r="53" ht="20" customHeight="1" spans="1:11">
      <c r="A53" s="170">
        <v>2022</v>
      </c>
      <c r="B53" s="171">
        <v>44713</v>
      </c>
      <c r="C53" s="170">
        <f>SUMIFS('船长每月数据(2023年)'!P:P,'船长每月数据(2023年)'!C:C,"BBQ",'船长每月数据(2023年)'!F:F,B53)</f>
        <v>0</v>
      </c>
      <c r="D53" s="172">
        <f t="shared" si="11"/>
        <v>0</v>
      </c>
      <c r="E53" s="172">
        <f t="shared" si="9"/>
        <v>0</v>
      </c>
      <c r="F53" s="172">
        <f t="shared" si="12"/>
        <v>0</v>
      </c>
      <c r="G53" s="173">
        <f>SUMIFS('船长每月数据(2023年)'!R:R,'船长每月数据(2023年)'!C:C,"BBQ",'船长每月数据(2023年)'!F:F,B53)</f>
        <v>0</v>
      </c>
      <c r="H53" s="172">
        <f t="shared" si="8"/>
        <v>0</v>
      </c>
      <c r="I53" s="172">
        <f t="shared" si="13"/>
        <v>0</v>
      </c>
      <c r="J53" s="172">
        <f t="shared" si="14"/>
        <v>0</v>
      </c>
      <c r="K53" s="28"/>
    </row>
    <row r="54" ht="20" customHeight="1" spans="1:11">
      <c r="A54" s="170">
        <v>2022</v>
      </c>
      <c r="B54" s="171">
        <v>44743</v>
      </c>
      <c r="C54" s="170">
        <f>SUMIFS('船长每月数据(2023年)'!P:P,'船长每月数据(2023年)'!C:C,"BBQ",'船长每月数据(2023年)'!F:F,B54)</f>
        <v>0</v>
      </c>
      <c r="D54" s="172">
        <f t="shared" si="11"/>
        <v>0</v>
      </c>
      <c r="E54" s="172">
        <f t="shared" si="9"/>
        <v>0</v>
      </c>
      <c r="F54" s="172">
        <f t="shared" si="12"/>
        <v>0</v>
      </c>
      <c r="G54" s="173">
        <f>SUMIFS('船长每月数据(2023年)'!R:R,'船长每月数据(2023年)'!C:C,"BBQ",'船长每月数据(2023年)'!F:F,B54)</f>
        <v>0</v>
      </c>
      <c r="H54" s="172">
        <f t="shared" si="8"/>
        <v>0</v>
      </c>
      <c r="I54" s="172">
        <f t="shared" si="13"/>
        <v>0</v>
      </c>
      <c r="J54" s="172">
        <f t="shared" si="14"/>
        <v>0</v>
      </c>
      <c r="K54" s="28"/>
    </row>
    <row r="55" ht="20" customHeight="1" spans="1:11">
      <c r="A55" s="170">
        <v>2022</v>
      </c>
      <c r="B55" s="171">
        <v>44774</v>
      </c>
      <c r="C55" s="170">
        <f>SUMIFS('船长每月数据(2023年)'!P:P,'船长每月数据(2023年)'!C:C,"BBQ",'船长每月数据(2023年)'!F:F,B55)</f>
        <v>0</v>
      </c>
      <c r="D55" s="172">
        <f t="shared" si="11"/>
        <v>0</v>
      </c>
      <c r="E55" s="172">
        <f t="shared" si="9"/>
        <v>0</v>
      </c>
      <c r="F55" s="172">
        <f t="shared" si="12"/>
        <v>0</v>
      </c>
      <c r="G55" s="173">
        <f>SUMIFS('船长每月数据(2023年)'!R:R,'船长每月数据(2023年)'!C:C,"BBQ",'船长每月数据(2023年)'!F:F,B55)</f>
        <v>0</v>
      </c>
      <c r="H55" s="172">
        <f t="shared" si="8"/>
        <v>0</v>
      </c>
      <c r="I55" s="172">
        <f t="shared" si="13"/>
        <v>0</v>
      </c>
      <c r="J55" s="172">
        <f t="shared" si="14"/>
        <v>0</v>
      </c>
      <c r="K55" s="28"/>
    </row>
    <row r="56" ht="20" customHeight="1" spans="1:11">
      <c r="A56" s="170">
        <v>2022</v>
      </c>
      <c r="B56" s="171">
        <v>44805</v>
      </c>
      <c r="C56" s="170">
        <f>SUMIFS('船长每月数据(2023年)'!P:P,'船长每月数据(2023年)'!C:C,"BBQ",'船长每月数据(2023年)'!F:F,B56)</f>
        <v>0</v>
      </c>
      <c r="D56" s="172">
        <f t="shared" si="11"/>
        <v>0</v>
      </c>
      <c r="E56" s="172">
        <f t="shared" si="9"/>
        <v>0</v>
      </c>
      <c r="F56" s="172">
        <f t="shared" si="12"/>
        <v>0</v>
      </c>
      <c r="G56" s="173">
        <f>SUMIFS('船长每月数据(2023年)'!R:R,'船长每月数据(2023年)'!C:C,"BBQ",'船长每月数据(2023年)'!F:F,B56)</f>
        <v>0</v>
      </c>
      <c r="H56" s="172">
        <f t="shared" si="8"/>
        <v>0</v>
      </c>
      <c r="I56" s="172">
        <f t="shared" si="13"/>
        <v>0</v>
      </c>
      <c r="J56" s="172">
        <f t="shared" si="14"/>
        <v>0</v>
      </c>
      <c r="K56" s="28"/>
    </row>
    <row r="57" ht="20" customHeight="1" spans="1:11">
      <c r="A57" s="170">
        <v>2022</v>
      </c>
      <c r="B57" s="171">
        <v>44835</v>
      </c>
      <c r="C57" s="170">
        <f>SUMIFS('船长每月数据(2023年)'!P:P,'船长每月数据(2023年)'!C:C,"BBQ",'船长每月数据(2023年)'!F:F,B57)</f>
        <v>0</v>
      </c>
      <c r="D57" s="172">
        <f t="shared" si="11"/>
        <v>0</v>
      </c>
      <c r="E57" s="172">
        <f t="shared" si="9"/>
        <v>0</v>
      </c>
      <c r="F57" s="172">
        <f t="shared" si="12"/>
        <v>0</v>
      </c>
      <c r="G57" s="173">
        <f>SUMIFS('船长每月数据(2023年)'!R:R,'船长每月数据(2023年)'!C:C,"BBQ",'船长每月数据(2023年)'!F:F,B57)</f>
        <v>0</v>
      </c>
      <c r="H57" s="172">
        <f t="shared" si="8"/>
        <v>0</v>
      </c>
      <c r="I57" s="172">
        <f t="shared" si="13"/>
        <v>0</v>
      </c>
      <c r="J57" s="172">
        <f t="shared" si="14"/>
        <v>0</v>
      </c>
      <c r="K57" s="28"/>
    </row>
    <row r="58" ht="20" customHeight="1" spans="1:11">
      <c r="A58" s="170">
        <v>2022</v>
      </c>
      <c r="B58" s="171">
        <v>44866</v>
      </c>
      <c r="C58" s="170">
        <f>SUMIFS('船长每月数据(2023年)'!P:P,'船长每月数据(2023年)'!C:C,"BBQ",'船长每月数据(2023年)'!F:F,B58)</f>
        <v>0</v>
      </c>
      <c r="D58" s="172">
        <f t="shared" si="11"/>
        <v>0</v>
      </c>
      <c r="E58" s="172">
        <f t="shared" si="9"/>
        <v>0</v>
      </c>
      <c r="F58" s="172">
        <f t="shared" si="12"/>
        <v>0</v>
      </c>
      <c r="G58" s="173">
        <f>SUMIFS('船长每月数据(2023年)'!R:R,'船长每月数据(2023年)'!C:C,"BBQ",'船长每月数据(2023年)'!F:F,B58)</f>
        <v>0</v>
      </c>
      <c r="H58" s="172">
        <f t="shared" si="8"/>
        <v>0</v>
      </c>
      <c r="I58" s="172">
        <f t="shared" si="13"/>
        <v>0</v>
      </c>
      <c r="J58" s="172">
        <f t="shared" si="14"/>
        <v>0</v>
      </c>
      <c r="K58" s="28"/>
    </row>
    <row r="59" ht="20" customHeight="1" spans="1:11">
      <c r="A59" s="170">
        <v>2022</v>
      </c>
      <c r="B59" s="171">
        <v>44896</v>
      </c>
      <c r="C59" s="170">
        <f>SUMIFS('船长每月数据(2023年)'!P:P,'船长每月数据(2023年)'!C:C,"BBQ",'船长每月数据(2023年)'!F:F,B59)</f>
        <v>0</v>
      </c>
      <c r="D59" s="172">
        <f t="shared" si="11"/>
        <v>0</v>
      </c>
      <c r="E59" s="172">
        <f t="shared" si="9"/>
        <v>0</v>
      </c>
      <c r="F59" s="172">
        <f t="shared" si="12"/>
        <v>0</v>
      </c>
      <c r="G59" s="173">
        <f>SUMIFS('船长每月数据(2023年)'!R:R,'船长每月数据(2023年)'!C:C,"BBQ",'船长每月数据(2023年)'!F:F,B59)</f>
        <v>0</v>
      </c>
      <c r="H59" s="172">
        <f t="shared" si="8"/>
        <v>0</v>
      </c>
      <c r="I59" s="172">
        <f t="shared" si="13"/>
        <v>0</v>
      </c>
      <c r="J59" s="172">
        <f t="shared" si="14"/>
        <v>0</v>
      </c>
      <c r="K59" s="28"/>
    </row>
    <row r="60" spans="3:4">
      <c r="C60" s="174"/>
      <c r="D60" s="175"/>
    </row>
    <row r="61" ht="20.25" spans="1:8">
      <c r="A61" s="155" t="s">
        <v>117</v>
      </c>
      <c r="B61" s="155"/>
      <c r="C61" s="155"/>
      <c r="D61" s="155"/>
      <c r="E61" s="155"/>
      <c r="F61" s="155"/>
      <c r="G61" s="155"/>
      <c r="H61" s="155"/>
    </row>
    <row r="62" ht="22" customHeight="1" spans="1:10">
      <c r="A62" s="156" t="s">
        <v>118</v>
      </c>
      <c r="B62" s="176" t="s">
        <v>119</v>
      </c>
      <c r="C62" s="156" t="s">
        <v>120</v>
      </c>
      <c r="D62" s="177" t="s">
        <v>121</v>
      </c>
      <c r="E62" s="178" t="s">
        <v>88</v>
      </c>
      <c r="F62" s="160" t="s">
        <v>90</v>
      </c>
      <c r="G62" s="179" t="s">
        <v>122</v>
      </c>
      <c r="H62" s="178" t="s">
        <v>93</v>
      </c>
      <c r="I62" s="152"/>
      <c r="J62" s="115"/>
    </row>
    <row r="63" ht="21" customHeight="1" spans="1:10">
      <c r="A63" s="26"/>
      <c r="B63" s="26"/>
      <c r="C63" s="180">
        <f>SUM(每月市场趋势!$G$39:$G$50)</f>
        <v>0</v>
      </c>
      <c r="D63" s="180">
        <f>SUMIF('船长每月数据(2023年)'!E:E,A:A,'船长每月数据(2023年)'!P:P)</f>
        <v>0</v>
      </c>
      <c r="E63" s="28">
        <f t="shared" ref="E63:E72" si="15">IFERROR(D63/C63,0)</f>
        <v>0</v>
      </c>
      <c r="F63" s="27">
        <f>SUM(每月市场趋势!$H$39:$H$50)</f>
        <v>0</v>
      </c>
      <c r="G63" s="27">
        <f>SUMIF('船长每月数据(2023年)'!E:E,A:A,'船长每月数据(2023年)'!R:R)</f>
        <v>0</v>
      </c>
      <c r="H63" s="28">
        <f t="shared" ref="H63:H72" si="16">IFERROR(G63/F63,0)</f>
        <v>0</v>
      </c>
      <c r="I63" s="152"/>
      <c r="J63" s="115"/>
    </row>
    <row r="64" ht="21" customHeight="1" spans="1:10">
      <c r="A64" s="26"/>
      <c r="B64" s="26"/>
      <c r="C64" s="180">
        <f>SUM(每月市场趋势!$G$39:$G$50)</f>
        <v>0</v>
      </c>
      <c r="D64" s="180">
        <f>SUMIF('船长每月数据(2023年)'!E:E,A:A,'船长每月数据(2023年)'!P:P)</f>
        <v>0</v>
      </c>
      <c r="E64" s="28">
        <f t="shared" si="15"/>
        <v>0</v>
      </c>
      <c r="F64" s="27">
        <f>SUM(每月市场趋势!$H$39:$H$50)</f>
        <v>0</v>
      </c>
      <c r="G64" s="27">
        <f>SUMIF('船长每月数据(2023年)'!E:E,A:A,'船长每月数据(2023年)'!R:R)</f>
        <v>0</v>
      </c>
      <c r="H64" s="28">
        <f t="shared" si="16"/>
        <v>0</v>
      </c>
      <c r="I64" s="152"/>
      <c r="J64" s="115"/>
    </row>
    <row r="65" ht="21" customHeight="1" spans="1:10">
      <c r="A65" s="26"/>
      <c r="B65" s="26"/>
      <c r="C65" s="180">
        <f>SUM(每月市场趋势!$G$39:$G$50)</f>
        <v>0</v>
      </c>
      <c r="D65" s="180">
        <f>SUMIF('船长每月数据(2023年)'!E:E,A:A,'船长每月数据(2023年)'!P:P)</f>
        <v>0</v>
      </c>
      <c r="E65" s="28">
        <f t="shared" si="15"/>
        <v>0</v>
      </c>
      <c r="F65" s="27">
        <f>SUM(每月市场趋势!$H$39:$H$50)</f>
        <v>0</v>
      </c>
      <c r="G65" s="27">
        <f>SUMIF('船长每月数据(2023年)'!E:E,A:A,'船长每月数据(2023年)'!R:R)</f>
        <v>0</v>
      </c>
      <c r="H65" s="28">
        <f t="shared" si="16"/>
        <v>0</v>
      </c>
      <c r="I65" s="152"/>
      <c r="J65" s="115"/>
    </row>
    <row r="66" ht="21" customHeight="1" spans="1:10">
      <c r="A66" s="26"/>
      <c r="B66" s="26"/>
      <c r="C66" s="180">
        <f>SUM(每月市场趋势!$G$39:$G$50)</f>
        <v>0</v>
      </c>
      <c r="D66" s="180">
        <f>SUMIF('船长每月数据(2023年)'!E:E,A:A,'船长每月数据(2023年)'!P:P)</f>
        <v>0</v>
      </c>
      <c r="E66" s="28">
        <f t="shared" si="15"/>
        <v>0</v>
      </c>
      <c r="F66" s="27">
        <f>SUM(每月市场趋势!$H$39:$H$50)</f>
        <v>0</v>
      </c>
      <c r="G66" s="27">
        <f>SUMIF('船长每月数据(2023年)'!E:E,A:A,'船长每月数据(2023年)'!R:R)</f>
        <v>0</v>
      </c>
      <c r="H66" s="28">
        <f t="shared" si="16"/>
        <v>0</v>
      </c>
      <c r="I66" s="152"/>
      <c r="J66" s="115"/>
    </row>
    <row r="67" ht="21" customHeight="1" spans="1:10">
      <c r="A67" s="26"/>
      <c r="B67" s="26"/>
      <c r="C67" s="180">
        <f>SUM(每月市场趋势!$B$39:$B$50)</f>
        <v>0</v>
      </c>
      <c r="D67" s="180">
        <f>SUMIF('船长每月数据(2023年)'!E:E,A:A,'船长每月数据(2023年)'!P:P)</f>
        <v>0</v>
      </c>
      <c r="E67" s="28">
        <f t="shared" si="15"/>
        <v>0</v>
      </c>
      <c r="F67" s="27">
        <f>SUM(每月市场趋势!$C$39:$C$50)</f>
        <v>0</v>
      </c>
      <c r="G67" s="27">
        <f>SUMIF('船长每月数据(2023年)'!E:E,A:A,'船长每月数据(2023年)'!R:R)</f>
        <v>0</v>
      </c>
      <c r="H67" s="28">
        <f t="shared" si="16"/>
        <v>0</v>
      </c>
      <c r="I67" s="152"/>
      <c r="J67" s="115"/>
    </row>
    <row r="68" ht="21" customHeight="1" spans="1:10">
      <c r="A68" s="26"/>
      <c r="B68" s="26"/>
      <c r="C68" s="180">
        <f>SUM(每月市场趋势!$B$39:$B$50)</f>
        <v>0</v>
      </c>
      <c r="D68" s="180">
        <f>SUMIF('船长每月数据(2023年)'!E:E,A:A,'船长每月数据(2023年)'!P:P)</f>
        <v>0</v>
      </c>
      <c r="E68" s="28">
        <f t="shared" si="15"/>
        <v>0</v>
      </c>
      <c r="F68" s="27">
        <f>SUM(每月市场趋势!$C$39:$C$50)</f>
        <v>0</v>
      </c>
      <c r="G68" s="27">
        <f>SUMIF('船长每月数据(2023年)'!E:E,A:A,'船长每月数据(2023年)'!R:R)</f>
        <v>0</v>
      </c>
      <c r="H68" s="28">
        <f t="shared" si="16"/>
        <v>0</v>
      </c>
      <c r="I68" s="152"/>
      <c r="J68" s="115"/>
    </row>
    <row r="69" ht="21" customHeight="1" spans="1:10">
      <c r="A69" s="26"/>
      <c r="B69" s="26"/>
      <c r="C69" s="180">
        <f>SUM(每月市场趋势!Q39:Q50)</f>
        <v>0</v>
      </c>
      <c r="D69" s="180">
        <f>SUMIF('船长每月数据(2023年)'!E:E,A:A,'船长每月数据(2023年)'!P:P)</f>
        <v>0</v>
      </c>
      <c r="E69" s="28">
        <f t="shared" si="15"/>
        <v>0</v>
      </c>
      <c r="F69" s="27">
        <f>SUM(每月市场趋势!$R$39:$R$50)</f>
        <v>0</v>
      </c>
      <c r="G69" s="27">
        <f>SUMIF('船长每月数据(2023年)'!E:E,A:A,'船长每月数据(2023年)'!R:R)</f>
        <v>0</v>
      </c>
      <c r="H69" s="28">
        <f t="shared" si="16"/>
        <v>0</v>
      </c>
      <c r="I69" s="152"/>
      <c r="J69" s="115"/>
    </row>
    <row r="70" ht="21" customHeight="1" spans="1:10">
      <c r="A70" s="26"/>
      <c r="B70" s="26"/>
      <c r="C70" s="180">
        <f>SUM(每月市场趋势!$B$39:$B$50)</f>
        <v>0</v>
      </c>
      <c r="D70" s="180">
        <f>SUMIF('船长每月数据(2023年)'!E:E,A:A,'船长每月数据(2023年)'!P:P)</f>
        <v>0</v>
      </c>
      <c r="E70" s="28">
        <f t="shared" si="15"/>
        <v>0</v>
      </c>
      <c r="F70" s="27">
        <f>SUM(每月市场趋势!$C$39:$C$50)</f>
        <v>0</v>
      </c>
      <c r="G70" s="27">
        <f>SUMIF('船长每月数据(2023年)'!E:E,A:A,'船长每月数据(2023年)'!R:R)</f>
        <v>0</v>
      </c>
      <c r="H70" s="28">
        <f t="shared" si="16"/>
        <v>0</v>
      </c>
      <c r="I70" s="152"/>
      <c r="J70" s="115"/>
    </row>
    <row r="71" ht="21" customHeight="1" spans="1:10">
      <c r="A71" s="26"/>
      <c r="B71" s="26"/>
      <c r="C71" s="180">
        <f>SUM(每月市场趋势!$G$39:$G$50)</f>
        <v>0</v>
      </c>
      <c r="D71" s="180">
        <f>SUMIF('船长每月数据(2023年)'!E:E,A:A,'船长每月数据(2023年)'!P:P)</f>
        <v>0</v>
      </c>
      <c r="E71" s="28">
        <f t="shared" si="15"/>
        <v>0</v>
      </c>
      <c r="F71" s="27">
        <f>SUM(每月市场趋势!$H$39:$H$50)</f>
        <v>0</v>
      </c>
      <c r="G71" s="27">
        <f>SUMIF('船长每月数据(2023年)'!E:E,A:A,'船长每月数据(2023年)'!R:R)</f>
        <v>0</v>
      </c>
      <c r="H71" s="28">
        <f t="shared" si="16"/>
        <v>0</v>
      </c>
      <c r="I71" s="152"/>
      <c r="J71" s="115"/>
    </row>
    <row r="72" ht="21" customHeight="1" spans="1:10">
      <c r="A72" s="26"/>
      <c r="B72" s="26"/>
      <c r="C72" s="180">
        <f>SUM(每月市场趋势!$B$39:$B$50)</f>
        <v>0</v>
      </c>
      <c r="D72" s="180">
        <f>SUMIF('船长每月数据(2023年)'!E:E,A:A,'船长每月数据(2023年)'!P:P)</f>
        <v>0</v>
      </c>
      <c r="E72" s="28">
        <f t="shared" si="15"/>
        <v>0</v>
      </c>
      <c r="F72" s="27">
        <f>SUM(每月市场趋势!$C$39:$C$50)</f>
        <v>0</v>
      </c>
      <c r="G72" s="27">
        <f>SUMIF('船长每月数据(2023年)'!E:E,A:A,'船长每月数据(2023年)'!R:R)</f>
        <v>0</v>
      </c>
      <c r="H72" s="28">
        <f t="shared" si="16"/>
        <v>0</v>
      </c>
      <c r="I72" s="152"/>
      <c r="J72" s="115"/>
    </row>
    <row r="74" ht="25" customHeight="1" spans="1:8">
      <c r="A74" s="213" t="s">
        <v>123</v>
      </c>
      <c r="B74" s="72"/>
      <c r="C74" s="72"/>
      <c r="D74" s="72"/>
      <c r="E74" s="72"/>
      <c r="F74" s="72"/>
      <c r="G74" s="72"/>
      <c r="H74" s="72"/>
    </row>
    <row r="75" ht="22" customHeight="1" spans="1:8">
      <c r="A75" s="61" t="s">
        <v>124</v>
      </c>
      <c r="B75" s="61" t="s">
        <v>125</v>
      </c>
      <c r="C75" s="57" t="s">
        <v>126</v>
      </c>
      <c r="D75" s="120" t="s">
        <v>127</v>
      </c>
      <c r="E75" s="120" t="s">
        <v>128</v>
      </c>
      <c r="F75" s="35" t="s">
        <v>129</v>
      </c>
      <c r="G75" s="34" t="s">
        <v>130</v>
      </c>
      <c r="H75" s="214" t="s">
        <v>131</v>
      </c>
    </row>
    <row r="76" ht="23" customHeight="1" spans="1:8">
      <c r="A76" s="20"/>
      <c r="B76" s="20">
        <f>SUM(类目品牌市占率!AE3:AE61)</f>
        <v>0</v>
      </c>
      <c r="C76" s="151">
        <f>SUM(类目品牌市占率!AI3:AI61)</f>
        <v>0</v>
      </c>
      <c r="D76" s="215"/>
      <c r="E76" s="215">
        <f>SUMIF(类目品牌市占率!AB:AB,D:D,类目品牌市占率!AE:AE)</f>
        <v>0</v>
      </c>
      <c r="F76" s="150">
        <f>IFERROR(E76/$B$76,0)</f>
        <v>0</v>
      </c>
      <c r="G76" s="151">
        <f>SUMIF(类目品牌市占率!AB:AB,D:D,类目品牌市占率!AI:AI)</f>
        <v>0</v>
      </c>
      <c r="H76" s="150">
        <f t="shared" ref="H76:H81" si="17">IFERROR(G76/$C$76,0)</f>
        <v>0</v>
      </c>
    </row>
    <row r="77" ht="23" customHeight="1" spans="1:8">
      <c r="A77" s="20"/>
      <c r="B77" s="20"/>
      <c r="C77" s="216"/>
      <c r="D77" s="215"/>
      <c r="E77" s="215">
        <f>SUMIF(类目品牌市占率!AB:AB,D:D,类目品牌市占率!AE:AE)</f>
        <v>0</v>
      </c>
      <c r="F77" s="150">
        <f>IFERROR(E77/$B$76,0)</f>
        <v>0</v>
      </c>
      <c r="G77" s="151">
        <f>SUMIF(类目品牌市占率!AB:AB,D:D,类目品牌市占率!AI:AI)</f>
        <v>0</v>
      </c>
      <c r="H77" s="150">
        <f t="shared" si="17"/>
        <v>0</v>
      </c>
    </row>
    <row r="78" ht="23" customHeight="1" spans="1:8">
      <c r="A78" s="20"/>
      <c r="B78" s="20"/>
      <c r="C78" s="216"/>
      <c r="D78" s="215"/>
      <c r="E78" s="215">
        <f>SUMIF(类目品牌市占率!AB:AB,D:D,类目品牌市占率!AE:AE)</f>
        <v>0</v>
      </c>
      <c r="F78" s="150">
        <f>IFERROR(E78/$B$76,0)</f>
        <v>0</v>
      </c>
      <c r="G78" s="151">
        <f>SUMIF(类目品牌市占率!AB:AB,D:D,类目品牌市占率!AI:AI)</f>
        <v>0</v>
      </c>
      <c r="H78" s="150">
        <f t="shared" si="17"/>
        <v>0</v>
      </c>
    </row>
    <row r="79" ht="23" customHeight="1" spans="1:8">
      <c r="A79" s="20"/>
      <c r="B79" s="20"/>
      <c r="C79" s="216"/>
      <c r="D79" s="215"/>
      <c r="E79" s="215">
        <f>SUMIF(类目品牌市占率!AB:AB,D:D,类目品牌市占率!AE:AE)</f>
        <v>0</v>
      </c>
      <c r="F79" s="150">
        <f>IFERROR(E79/$B$76,0)</f>
        <v>0</v>
      </c>
      <c r="G79" s="151">
        <f>SUMIF(类目品牌市占率!AB:AB,D:D,类目品牌市占率!AI:AI)</f>
        <v>0</v>
      </c>
      <c r="H79" s="150">
        <f t="shared" si="17"/>
        <v>0</v>
      </c>
    </row>
    <row r="80" ht="23" customHeight="1" spans="1:8">
      <c r="A80" s="20"/>
      <c r="B80" s="20"/>
      <c r="C80" s="216"/>
      <c r="D80" s="215"/>
      <c r="E80" s="215">
        <f>SUMIF(类目品牌市占率!AB:AB,D:D,类目品牌市占率!AE:AE)</f>
        <v>0</v>
      </c>
      <c r="F80" s="150">
        <f>IFERROR(E80/$B$76,0)</f>
        <v>0</v>
      </c>
      <c r="G80" s="151">
        <f>SUMIF(类目品牌市占率!AB:AB,D:D,类目品牌市占率!AI:AI)</f>
        <v>0</v>
      </c>
      <c r="H80" s="150">
        <f t="shared" si="17"/>
        <v>0</v>
      </c>
    </row>
    <row r="81" ht="22" customHeight="1" spans="1:8">
      <c r="A81" s="57" t="s">
        <v>48</v>
      </c>
      <c r="B81" s="61" t="s">
        <v>6</v>
      </c>
      <c r="C81" s="61" t="s">
        <v>6</v>
      </c>
      <c r="D81" s="217" t="s">
        <v>6</v>
      </c>
      <c r="E81" s="217">
        <f>SUM(E76:E80)</f>
        <v>0</v>
      </c>
      <c r="F81" s="122">
        <f>IFERROR(E81/B76,0)</f>
        <v>0</v>
      </c>
      <c r="G81" s="46">
        <f>SUM(G76:G80)</f>
        <v>0</v>
      </c>
      <c r="H81" s="122">
        <f t="shared" si="17"/>
        <v>0</v>
      </c>
    </row>
    <row r="82" ht="23" customHeight="1" spans="1:8">
      <c r="A82" s="20"/>
      <c r="B82" s="20">
        <f>SUM(类目品牌市占率!E3:E73)</f>
        <v>0</v>
      </c>
      <c r="C82" s="38">
        <f>SUM(类目品牌市占率!I3:I73)</f>
        <v>0</v>
      </c>
      <c r="D82" s="21"/>
      <c r="E82" s="141">
        <f>SUMIF(类目品牌市占率!B:B,D:D,类目品牌市占率!E:E)</f>
        <v>0</v>
      </c>
      <c r="F82" s="21">
        <f t="shared" ref="F82:F87" si="18">IFERROR(E82/$B$82,0)</f>
        <v>0</v>
      </c>
      <c r="G82" s="38">
        <f>SUMIF(类目品牌市占率!B:B,D:D,类目品牌市占率!I:I)</f>
        <v>0</v>
      </c>
      <c r="H82" s="21">
        <f t="shared" ref="H82:H87" si="19">IFERROR(G82/$C$82,0)</f>
        <v>0</v>
      </c>
    </row>
    <row r="83" ht="23" customHeight="1" spans="1:8">
      <c r="A83" s="20"/>
      <c r="B83" s="20"/>
      <c r="C83" s="20"/>
      <c r="D83" s="21"/>
      <c r="E83" s="141">
        <f>SUMIF(类目品牌市占率!B:B,D:D,类目品牌市占率!E:E)</f>
        <v>0</v>
      </c>
      <c r="F83" s="21">
        <f t="shared" si="18"/>
        <v>0</v>
      </c>
      <c r="G83" s="38">
        <f>SUMIF(类目品牌市占率!B:B,D:D,类目品牌市占率!I:I)</f>
        <v>0</v>
      </c>
      <c r="H83" s="21">
        <f t="shared" si="19"/>
        <v>0</v>
      </c>
    </row>
    <row r="84" ht="23" customHeight="1" spans="1:8">
      <c r="A84" s="20"/>
      <c r="B84" s="20"/>
      <c r="C84" s="20"/>
      <c r="D84" s="21"/>
      <c r="E84" s="141">
        <f>SUMIF(类目品牌市占率!B:B,D:D,类目品牌市占率!E:E)</f>
        <v>0</v>
      </c>
      <c r="F84" s="21">
        <f t="shared" si="18"/>
        <v>0</v>
      </c>
      <c r="G84" s="38">
        <f>SUMIF(类目品牌市占率!B:B,D:D,类目品牌市占率!I:I)</f>
        <v>0</v>
      </c>
      <c r="H84" s="21">
        <f t="shared" si="19"/>
        <v>0</v>
      </c>
    </row>
    <row r="85" ht="23" customHeight="1" spans="1:8">
      <c r="A85" s="20"/>
      <c r="B85" s="20"/>
      <c r="C85" s="20"/>
      <c r="D85" s="21"/>
      <c r="E85" s="141">
        <f>SUMIF(类目品牌市占率!B:B,D:D,类目品牌市占率!E:E)</f>
        <v>0</v>
      </c>
      <c r="F85" s="21">
        <f t="shared" si="18"/>
        <v>0</v>
      </c>
      <c r="G85" s="38">
        <f>SUMIF(类目品牌市占率!B:B,D:D,类目品牌市占率!I:I)</f>
        <v>0</v>
      </c>
      <c r="H85" s="21">
        <f t="shared" si="19"/>
        <v>0</v>
      </c>
    </row>
    <row r="86" ht="23" customHeight="1" spans="1:8">
      <c r="A86" s="20"/>
      <c r="B86" s="20"/>
      <c r="C86" s="20"/>
      <c r="D86" s="21"/>
      <c r="E86" s="141">
        <f>SUMIF(类目品牌市占率!B:B,D:D,类目品牌市占率!E:E)</f>
        <v>0</v>
      </c>
      <c r="F86" s="21">
        <f t="shared" si="18"/>
        <v>0</v>
      </c>
      <c r="G86" s="38">
        <f>SUMIF(类目品牌市占率!B:B,D:D,类目品牌市占率!I:I)</f>
        <v>0</v>
      </c>
      <c r="H86" s="21">
        <f t="shared" si="19"/>
        <v>0</v>
      </c>
    </row>
    <row r="87" ht="23" customHeight="1" spans="1:8">
      <c r="A87" s="20"/>
      <c r="B87" s="20"/>
      <c r="C87" s="20"/>
      <c r="D87" s="21"/>
      <c r="E87" s="141">
        <f>SUMIF(类目品牌市占率!B:B,D:D,类目品牌市占率!E:E)</f>
        <v>0</v>
      </c>
      <c r="F87" s="21">
        <f t="shared" si="18"/>
        <v>0</v>
      </c>
      <c r="G87" s="38">
        <f>SUMIF(类目品牌市占率!B:B,D:D,类目品牌市占率!I:I)</f>
        <v>0</v>
      </c>
      <c r="H87" s="21">
        <f t="shared" si="19"/>
        <v>0</v>
      </c>
    </row>
    <row r="88" ht="24" customHeight="1" spans="1:8">
      <c r="A88" s="57" t="s">
        <v>48</v>
      </c>
      <c r="B88" s="61" t="s">
        <v>6</v>
      </c>
      <c r="C88" s="61" t="s">
        <v>6</v>
      </c>
      <c r="D88" s="217" t="s">
        <v>6</v>
      </c>
      <c r="E88" s="217">
        <f>SUM(E82:E86)</f>
        <v>0</v>
      </c>
      <c r="F88" s="122">
        <f>IFERROR(E88/B82,0)</f>
        <v>0</v>
      </c>
      <c r="G88" s="46">
        <f>SUM(G82:G86)</f>
        <v>0</v>
      </c>
      <c r="H88" s="122">
        <f>IFERROR(G88/C82,0)</f>
        <v>0</v>
      </c>
    </row>
    <row r="89" ht="23" customHeight="1" spans="1:8">
      <c r="A89" s="20"/>
      <c r="B89" s="20">
        <f>SUM(类目品牌市占率!R3:R30)</f>
        <v>0</v>
      </c>
      <c r="C89" s="38">
        <f>SUM(类目品牌市占率!V3:V30)</f>
        <v>0</v>
      </c>
      <c r="D89" s="21"/>
      <c r="E89" s="141">
        <f>SUMIF(类目品牌市占率!O:O,D:D,类目品牌市占率!R:R)</f>
        <v>0</v>
      </c>
      <c r="F89" s="21">
        <f t="shared" ref="F89:F94" si="20">IFERROR(E89/$B$89,0)</f>
        <v>0</v>
      </c>
      <c r="G89" s="38">
        <f>SUMIF(类目品牌市占率!O:O,D:D,类目品牌市占率!V:V)</f>
        <v>0</v>
      </c>
      <c r="H89" s="21">
        <f>IFERROR(G89/$C$89,0)</f>
        <v>0</v>
      </c>
    </row>
    <row r="90" ht="23" customHeight="1" spans="1:8">
      <c r="A90" s="20"/>
      <c r="B90" s="20"/>
      <c r="C90" s="20"/>
      <c r="D90" s="21"/>
      <c r="E90" s="141">
        <f>SUMIF(类目品牌市占率!O:O,D:D,类目品牌市占率!R:R)</f>
        <v>0</v>
      </c>
      <c r="F90" s="21">
        <f t="shared" si="20"/>
        <v>0</v>
      </c>
      <c r="G90" s="38">
        <f>SUMIF(类目品牌市占率!O:O,D:D,类目品牌市占率!V:V)</f>
        <v>0</v>
      </c>
      <c r="H90" s="21">
        <f>IFERROR(G90/$C$89,0)</f>
        <v>0</v>
      </c>
    </row>
    <row r="91" ht="23" customHeight="1" spans="1:8">
      <c r="A91" s="20"/>
      <c r="B91" s="20"/>
      <c r="C91" s="20"/>
      <c r="D91" s="21"/>
      <c r="E91" s="141">
        <f>SUMIF(类目品牌市占率!O:O,D:D,类目品牌市占率!R:R)</f>
        <v>0</v>
      </c>
      <c r="F91" s="21">
        <f t="shared" si="20"/>
        <v>0</v>
      </c>
      <c r="G91" s="38">
        <f>SUMIF(类目品牌市占率!O:O,D:D,类目品牌市占率!V:V)</f>
        <v>0</v>
      </c>
      <c r="H91" s="21">
        <f>IFERROR(G91/$C$89,0)</f>
        <v>0</v>
      </c>
    </row>
    <row r="92" ht="23" customHeight="1" spans="1:8">
      <c r="A92" s="20"/>
      <c r="B92" s="20"/>
      <c r="C92" s="20"/>
      <c r="D92" s="21"/>
      <c r="E92" s="141">
        <f>SUMIF(类目品牌市占率!O:O,D:D,类目品牌市占率!R:R)</f>
        <v>0</v>
      </c>
      <c r="F92" s="21">
        <f t="shared" si="20"/>
        <v>0</v>
      </c>
      <c r="G92" s="38">
        <f>SUMIF(类目品牌市占率!O:O,D:D,类目品牌市占率!V:V)</f>
        <v>0</v>
      </c>
      <c r="H92" s="21">
        <f>IFERROR(G92/$C$89,0)</f>
        <v>0</v>
      </c>
    </row>
    <row r="93" ht="23" customHeight="1" spans="1:8">
      <c r="A93" s="20"/>
      <c r="B93" s="20"/>
      <c r="C93" s="20"/>
      <c r="D93" s="21"/>
      <c r="E93" s="141">
        <f>SUMIF(类目品牌市占率!O:O,D:D,类目品牌市占率!R:R)</f>
        <v>0</v>
      </c>
      <c r="F93" s="21">
        <f t="shared" si="20"/>
        <v>0</v>
      </c>
      <c r="G93" s="38">
        <f>SUMIF(类目品牌市占率!O:O,D:D,类目品牌市占率!V:V)</f>
        <v>0</v>
      </c>
      <c r="H93" s="21">
        <f>IFERROR(G93/$C$89,0)</f>
        <v>0</v>
      </c>
    </row>
    <row r="94" ht="23" customHeight="1" spans="1:8">
      <c r="A94" s="57" t="s">
        <v>48</v>
      </c>
      <c r="B94" s="61" t="s">
        <v>6</v>
      </c>
      <c r="C94" s="61" t="s">
        <v>6</v>
      </c>
      <c r="D94" s="217" t="s">
        <v>6</v>
      </c>
      <c r="E94" s="218">
        <f>SUM(E89:E93)</f>
        <v>0</v>
      </c>
      <c r="F94" s="122">
        <f t="shared" si="20"/>
        <v>0</v>
      </c>
      <c r="G94" s="46">
        <f>SUM(G89:G93)</f>
        <v>0</v>
      </c>
      <c r="H94" s="122">
        <f>IFERROR(G94/C89,0)</f>
        <v>0</v>
      </c>
    </row>
    <row r="95" ht="23" customHeight="1" spans="1:8">
      <c r="A95" s="20"/>
      <c r="B95" s="20">
        <f>SUM(类目品牌市占率!AR3:AR62)</f>
        <v>0</v>
      </c>
      <c r="C95" s="38">
        <f>SUM(类目品牌市占率!AV3:AV62)</f>
        <v>0</v>
      </c>
      <c r="D95" s="21"/>
      <c r="E95" s="141">
        <f>SUMIF(类目品牌市占率!AO:AO,D:D,类目品牌市占率!AR:AR)</f>
        <v>0</v>
      </c>
      <c r="F95" s="21">
        <f>IFERROR(E95/$B$95,0)</f>
        <v>0</v>
      </c>
      <c r="G95" s="38">
        <f>SUMIF(类目品牌市占率!AO:AO,D:D,类目品牌市占率!AV:AV)</f>
        <v>0</v>
      </c>
      <c r="H95" s="21">
        <f>IFERROR(G95/$C$95,0)</f>
        <v>0</v>
      </c>
    </row>
    <row r="96" ht="23" customHeight="1" spans="1:8">
      <c r="A96" s="20"/>
      <c r="B96" s="20"/>
      <c r="C96" s="20"/>
      <c r="D96" s="21"/>
      <c r="E96" s="141">
        <f>SUMIF(类目品牌市占率!AO:AO,D:D,类目品牌市占率!AR:AR)</f>
        <v>0</v>
      </c>
      <c r="F96" s="21">
        <f>IFERROR(E96/$B$95,0)</f>
        <v>0</v>
      </c>
      <c r="G96" s="38">
        <f>SUMIF(类目品牌市占率!AO:AO,D:D,类目品牌市占率!AV:AV)</f>
        <v>0</v>
      </c>
      <c r="H96" s="21">
        <f>IFERROR(G96/$C$95,0)</f>
        <v>0</v>
      </c>
    </row>
    <row r="97" ht="23" customHeight="1" spans="1:8">
      <c r="A97" s="20"/>
      <c r="B97" s="20"/>
      <c r="C97" s="20"/>
      <c r="D97" s="21"/>
      <c r="E97" s="141">
        <f>SUMIF(类目品牌市占率!AO:AO,D:D,类目品牌市占率!AR:AR)</f>
        <v>0</v>
      </c>
      <c r="F97" s="21">
        <f>IFERROR(E97/$B$95,0)</f>
        <v>0</v>
      </c>
      <c r="G97" s="38">
        <f>SUMIF(类目品牌市占率!AO:AO,D:D,类目品牌市占率!AV:AV)</f>
        <v>0</v>
      </c>
      <c r="H97" s="21">
        <f>IFERROR(G97/$C$95,0)</f>
        <v>0</v>
      </c>
    </row>
    <row r="98" ht="23" customHeight="1" spans="1:8">
      <c r="A98" s="20"/>
      <c r="B98" s="20"/>
      <c r="C98" s="20"/>
      <c r="D98" s="21"/>
      <c r="E98" s="141">
        <f>SUMIF(类目品牌市占率!AO:AO,D:D,类目品牌市占率!AR:AR)</f>
        <v>0</v>
      </c>
      <c r="F98" s="21">
        <f>IFERROR(E98/$B$95,0)</f>
        <v>0</v>
      </c>
      <c r="G98" s="38">
        <f>SUMIF(类目品牌市占率!AO:AO,D:D,类目品牌市占率!AV:AV)</f>
        <v>0</v>
      </c>
      <c r="H98" s="21">
        <f>IFERROR(G98/$C$95,0)</f>
        <v>0</v>
      </c>
    </row>
    <row r="99" ht="23" customHeight="1" spans="1:8">
      <c r="A99" s="20"/>
      <c r="B99" s="20"/>
      <c r="C99" s="20"/>
      <c r="D99" s="21"/>
      <c r="E99" s="141">
        <f>SUMIF(类目品牌市占率!AO:AO,D:D,类目品牌市占率!AR:AR)</f>
        <v>0</v>
      </c>
      <c r="F99" s="21">
        <f>IFERROR(E99/$B$95,0)</f>
        <v>0</v>
      </c>
      <c r="G99" s="38">
        <f>SUMIF(类目品牌市占率!AO:AO,D:D,类目品牌市占率!AV:AV)</f>
        <v>0</v>
      </c>
      <c r="H99" s="21">
        <f>IFERROR(G99/$C$95,0)</f>
        <v>0</v>
      </c>
    </row>
    <row r="100" ht="23" customHeight="1" spans="1:8">
      <c r="A100" s="57" t="s">
        <v>48</v>
      </c>
      <c r="B100" s="61" t="s">
        <v>6</v>
      </c>
      <c r="C100" s="61" t="s">
        <v>6</v>
      </c>
      <c r="D100" s="122" t="s">
        <v>6</v>
      </c>
      <c r="E100" s="218">
        <f>SUM(E95:E99)</f>
        <v>0</v>
      </c>
      <c r="F100" s="122">
        <f>IFERROR(E100/B95,0)</f>
        <v>0</v>
      </c>
      <c r="G100" s="46">
        <f>SUM(G95:G99)</f>
        <v>0</v>
      </c>
      <c r="H100" s="122">
        <f>IFERROR(G100/C95,0)</f>
        <v>0</v>
      </c>
    </row>
    <row r="102" ht="32" customHeight="1" spans="1:15">
      <c r="A102" s="219" t="s">
        <v>132</v>
      </c>
      <c r="B102" s="219"/>
      <c r="C102" s="219"/>
      <c r="D102" s="219"/>
      <c r="E102" s="219"/>
      <c r="F102" s="219"/>
      <c r="G102" s="219"/>
      <c r="H102" s="220" t="s">
        <v>133</v>
      </c>
      <c r="I102" s="220"/>
      <c r="J102" s="220"/>
      <c r="K102" s="220"/>
      <c r="L102" s="224"/>
      <c r="M102" s="224"/>
      <c r="N102" s="224"/>
      <c r="O102"/>
    </row>
    <row r="103" ht="17.25" spans="1:18">
      <c r="A103" s="26" t="s">
        <v>134</v>
      </c>
      <c r="B103" s="221" t="s">
        <v>135</v>
      </c>
      <c r="C103" s="222"/>
      <c r="D103" s="222"/>
      <c r="E103" s="222"/>
      <c r="F103" s="182" t="s">
        <v>136</v>
      </c>
      <c r="G103" s="182" t="s">
        <v>137</v>
      </c>
      <c r="H103" s="223" t="s">
        <v>138</v>
      </c>
      <c r="I103" s="223"/>
      <c r="J103" s="182" t="s">
        <v>136</v>
      </c>
      <c r="K103" s="182" t="s">
        <v>137</v>
      </c>
      <c r="L103"/>
      <c r="P103" s="152"/>
      <c r="Q103" s="152"/>
      <c r="R103" s="152"/>
    </row>
    <row r="104" ht="21" customHeight="1" spans="1:18">
      <c r="A104" s="26"/>
      <c r="B104" s="157" t="s">
        <v>139</v>
      </c>
      <c r="C104" s="157" t="s">
        <v>140</v>
      </c>
      <c r="D104" s="157" t="s">
        <v>141</v>
      </c>
      <c r="E104" s="157" t="s">
        <v>142</v>
      </c>
      <c r="F104" s="165"/>
      <c r="G104" s="165"/>
      <c r="H104" s="156" t="s">
        <v>141</v>
      </c>
      <c r="I104" s="156" t="s">
        <v>142</v>
      </c>
      <c r="J104" s="182"/>
      <c r="K104" s="182"/>
      <c r="N104" s="152"/>
      <c r="O104" s="152"/>
      <c r="P104" s="152"/>
      <c r="Q104" s="152"/>
      <c r="R104" s="152"/>
    </row>
    <row r="105" ht="17" customHeight="1" spans="1:18">
      <c r="A105" s="26">
        <v>1</v>
      </c>
      <c r="B105" s="26">
        <f>IFERROR(每月市场趋势!B3+每月市场趋势!G3+每月市场趋势!L3+每月市场趋势!Q3,0)</f>
        <v>0</v>
      </c>
      <c r="C105" s="26">
        <f>IFERROR(每月市场趋势!B15+每月市场趋势!G15+每月市场趋势!L15+每月市场趋势!Q15,0)</f>
        <v>0</v>
      </c>
      <c r="D105" s="26">
        <f>IFERROR(每月市场趋势!B27+每月市场趋势!G27+每月市场趋势!L27+每月市场趋势!Q27,0)</f>
        <v>0</v>
      </c>
      <c r="E105" s="26">
        <f>IFERROR(每月市场趋势!B39+每月市场趋势!G39+每月市场趋势!L39+每月市场趋势!Q39,0)</f>
        <v>0</v>
      </c>
      <c r="F105" s="28" t="e">
        <f>EXP(LN(E105/B105/4)-1)</f>
        <v>#DIV/0!</v>
      </c>
      <c r="G105" s="28" t="e">
        <f>POWER(E105/B105,1/4)-1</f>
        <v>#DIV/0!</v>
      </c>
      <c r="H105" s="27">
        <f>IFERROR(每月市场趋势!C27+每月市场趋势!H27+每月市场趋势!M27+每月市场趋势!R27,0)</f>
        <v>0</v>
      </c>
      <c r="I105" s="27">
        <f>IFERROR(每月市场趋势!C39+每月市场趋势!H39+每月市场趋势!M39+每月市场趋势!R39,0)</f>
        <v>0</v>
      </c>
      <c r="J105" s="28" t="e">
        <f>EXP(LN(I105/H105/2)-1)</f>
        <v>#DIV/0!</v>
      </c>
      <c r="K105" s="28" t="e">
        <f>POWER(I105/H105,1/2)-1</f>
        <v>#DIV/0!</v>
      </c>
      <c r="L105"/>
      <c r="M105"/>
      <c r="N105"/>
      <c r="R105" s="152"/>
    </row>
    <row r="106" ht="17" customHeight="1" spans="1:18">
      <c r="A106" s="26">
        <v>2</v>
      </c>
      <c r="B106" s="26">
        <f>IFERROR(每月市场趋势!B4+每月市场趋势!G4+每月市场趋势!L4+每月市场趋势!Q4,0)</f>
        <v>0</v>
      </c>
      <c r="C106" s="26">
        <f>IFERROR(每月市场趋势!B16+每月市场趋势!G16+每月市场趋势!L16+每月市场趋势!Q16,0)</f>
        <v>0</v>
      </c>
      <c r="D106" s="26">
        <f>IFERROR(每月市场趋势!B28+每月市场趋势!G28+每月市场趋势!L28+每月市场趋势!Q28,0)</f>
        <v>0</v>
      </c>
      <c r="E106" s="26">
        <f>IFERROR(每月市场趋势!B40+每月市场趋势!G40+每月市场趋势!L40+每月市场趋势!Q40,0)</f>
        <v>0</v>
      </c>
      <c r="F106" s="28" t="e">
        <f t="shared" ref="F106:F116" si="21">EXP(LN(E106/B106/4)-1)</f>
        <v>#DIV/0!</v>
      </c>
      <c r="G106" s="28" t="e">
        <f t="shared" ref="G106:G116" si="22">POWER(E106/B106,1/4)-1</f>
        <v>#DIV/0!</v>
      </c>
      <c r="H106" s="27">
        <f>IFERROR(每月市场趋势!C28+每月市场趋势!H28+每月市场趋势!M28+每月市场趋势!R28,0)</f>
        <v>0</v>
      </c>
      <c r="I106" s="27">
        <f>IFERROR(每月市场趋势!C40+每月市场趋势!H40+每月市场趋势!M40+每月市场趋势!R40,0)</f>
        <v>0</v>
      </c>
      <c r="J106" s="28" t="e">
        <f t="shared" ref="J106:J116" si="23">EXP(LN(I106/H106/2)-1)</f>
        <v>#DIV/0!</v>
      </c>
      <c r="K106" s="28" t="e">
        <f t="shared" ref="K106:K116" si="24">POWER(I106/H106,1/2)-1</f>
        <v>#DIV/0!</v>
      </c>
      <c r="L106"/>
      <c r="M106"/>
      <c r="N106"/>
      <c r="R106" s="152"/>
    </row>
    <row r="107" ht="17" customHeight="1" spans="1:18">
      <c r="A107" s="26">
        <v>3</v>
      </c>
      <c r="B107" s="26">
        <f>IFERROR(每月市场趋势!B5+每月市场趋势!G5+每月市场趋势!L5+每月市场趋势!Q5,0)</f>
        <v>0</v>
      </c>
      <c r="C107" s="26">
        <f>IFERROR(每月市场趋势!B17+每月市场趋势!G17+每月市场趋势!L17+每月市场趋势!Q17,0)</f>
        <v>0</v>
      </c>
      <c r="D107" s="26">
        <f>IFERROR(每月市场趋势!B29+每月市场趋势!G29+每月市场趋势!L29+每月市场趋势!Q29,0)</f>
        <v>0</v>
      </c>
      <c r="E107" s="26">
        <f>IFERROR(每月市场趋势!B41+每月市场趋势!G41+每月市场趋势!L41+每月市场趋势!Q41,0)</f>
        <v>0</v>
      </c>
      <c r="F107" s="28" t="e">
        <f t="shared" si="21"/>
        <v>#DIV/0!</v>
      </c>
      <c r="G107" s="28" t="e">
        <f t="shared" si="22"/>
        <v>#DIV/0!</v>
      </c>
      <c r="H107" s="27">
        <f>IFERROR(每月市场趋势!C29+每月市场趋势!H29+每月市场趋势!M29+每月市场趋势!R29,0)</f>
        <v>0</v>
      </c>
      <c r="I107" s="27">
        <f>IFERROR(每月市场趋势!C41+每月市场趋势!H41+每月市场趋势!M41+每月市场趋势!R41,0)</f>
        <v>0</v>
      </c>
      <c r="J107" s="28" t="e">
        <f t="shared" si="23"/>
        <v>#DIV/0!</v>
      </c>
      <c r="K107" s="28" t="e">
        <f t="shared" si="24"/>
        <v>#DIV/0!</v>
      </c>
      <c r="L107"/>
      <c r="M107"/>
      <c r="N107"/>
      <c r="R107" s="152"/>
    </row>
    <row r="108" ht="17" customHeight="1" spans="1:18">
      <c r="A108" s="26">
        <v>4</v>
      </c>
      <c r="B108" s="26">
        <f>IFERROR(每月市场趋势!B6+每月市场趋势!G6+每月市场趋势!L6+每月市场趋势!Q6,0)</f>
        <v>0</v>
      </c>
      <c r="C108" s="26">
        <f>IFERROR(每月市场趋势!B18+每月市场趋势!G18+每月市场趋势!L18+每月市场趋势!Q18,0)</f>
        <v>0</v>
      </c>
      <c r="D108" s="26">
        <f>IFERROR(每月市场趋势!B30+每月市场趋势!G30+每月市场趋势!L30+每月市场趋势!Q30,0)</f>
        <v>0</v>
      </c>
      <c r="E108" s="26">
        <f>IFERROR(每月市场趋势!B42+每月市场趋势!G42+每月市场趋势!L42+每月市场趋势!Q42,0)</f>
        <v>0</v>
      </c>
      <c r="F108" s="28" t="e">
        <f t="shared" si="21"/>
        <v>#DIV/0!</v>
      </c>
      <c r="G108" s="28" t="e">
        <f t="shared" si="22"/>
        <v>#DIV/0!</v>
      </c>
      <c r="H108" s="27">
        <f>IFERROR(每月市场趋势!C30+每月市场趋势!H30+每月市场趋势!M30+每月市场趋势!R30,0)</f>
        <v>0</v>
      </c>
      <c r="I108" s="27">
        <f>IFERROR(每月市场趋势!C42+每月市场趋势!H42+每月市场趋势!M42+每月市场趋势!R42,0)</f>
        <v>0</v>
      </c>
      <c r="J108" s="28" t="e">
        <f t="shared" si="23"/>
        <v>#DIV/0!</v>
      </c>
      <c r="K108" s="28" t="e">
        <f t="shared" si="24"/>
        <v>#DIV/0!</v>
      </c>
      <c r="L108"/>
      <c r="M108"/>
      <c r="N108"/>
      <c r="R108" s="152"/>
    </row>
    <row r="109" ht="17" customHeight="1" spans="1:18">
      <c r="A109" s="26">
        <v>5</v>
      </c>
      <c r="B109" s="26">
        <f>IFERROR(每月市场趋势!B7+每月市场趋势!G7+每月市场趋势!L7+每月市场趋势!Q7,0)</f>
        <v>0</v>
      </c>
      <c r="C109" s="26">
        <f>IFERROR(每月市场趋势!B19+每月市场趋势!G19+每月市场趋势!L19+每月市场趋势!Q19,0)</f>
        <v>0</v>
      </c>
      <c r="D109" s="26">
        <f>IFERROR(每月市场趋势!B31+每月市场趋势!G31+每月市场趋势!L31+每月市场趋势!Q31,0)</f>
        <v>0</v>
      </c>
      <c r="E109" s="26">
        <f>IFERROR(每月市场趋势!B43+每月市场趋势!G43+每月市场趋势!L43+每月市场趋势!Q43,0)</f>
        <v>0</v>
      </c>
      <c r="F109" s="28" t="e">
        <f t="shared" si="21"/>
        <v>#DIV/0!</v>
      </c>
      <c r="G109" s="28" t="e">
        <f t="shared" si="22"/>
        <v>#DIV/0!</v>
      </c>
      <c r="H109" s="27">
        <f>IFERROR(每月市场趋势!C31+每月市场趋势!H31+每月市场趋势!M31+每月市场趋势!R31,0)</f>
        <v>0</v>
      </c>
      <c r="I109" s="27">
        <f>IFERROR(每月市场趋势!C43+每月市场趋势!H43+每月市场趋势!M43+每月市场趋势!R43,0)</f>
        <v>0</v>
      </c>
      <c r="J109" s="28" t="e">
        <f t="shared" si="23"/>
        <v>#DIV/0!</v>
      </c>
      <c r="K109" s="28" t="e">
        <f t="shared" si="24"/>
        <v>#DIV/0!</v>
      </c>
      <c r="L109"/>
      <c r="M109"/>
      <c r="N109"/>
      <c r="R109" s="152"/>
    </row>
    <row r="110" ht="17" customHeight="1" spans="1:18">
      <c r="A110" s="26">
        <v>6</v>
      </c>
      <c r="B110" s="26">
        <f>IFERROR(每月市场趋势!B8+每月市场趋势!G8+每月市场趋势!L8+每月市场趋势!Q8,0)</f>
        <v>0</v>
      </c>
      <c r="C110" s="26">
        <f>IFERROR(每月市场趋势!B20+每月市场趋势!G20+每月市场趋势!L20+每月市场趋势!Q20,0)</f>
        <v>0</v>
      </c>
      <c r="D110" s="26">
        <f>IFERROR(每月市场趋势!B32+每月市场趋势!G32+每月市场趋势!L32+每月市场趋势!Q32,0)</f>
        <v>0</v>
      </c>
      <c r="E110" s="26">
        <f>IFERROR(每月市场趋势!B44+每月市场趋势!G44+每月市场趋势!L44+每月市场趋势!Q44,0)</f>
        <v>0</v>
      </c>
      <c r="F110" s="28" t="e">
        <f t="shared" si="21"/>
        <v>#DIV/0!</v>
      </c>
      <c r="G110" s="28" t="e">
        <f t="shared" si="22"/>
        <v>#DIV/0!</v>
      </c>
      <c r="H110" s="27">
        <f>IFERROR(每月市场趋势!C32+每月市场趋势!H32+每月市场趋势!M32+每月市场趋势!R32,0)</f>
        <v>0</v>
      </c>
      <c r="I110" s="27">
        <f>IFERROR(每月市场趋势!C44+每月市场趋势!H44+每月市场趋势!M44+每月市场趋势!R44,0)</f>
        <v>0</v>
      </c>
      <c r="J110" s="28" t="e">
        <f t="shared" si="23"/>
        <v>#DIV/0!</v>
      </c>
      <c r="K110" s="28" t="e">
        <f t="shared" si="24"/>
        <v>#DIV/0!</v>
      </c>
      <c r="L110"/>
      <c r="M110"/>
      <c r="N110"/>
      <c r="R110" s="152"/>
    </row>
    <row r="111" ht="17" customHeight="1" spans="1:18">
      <c r="A111" s="26">
        <v>7</v>
      </c>
      <c r="B111" s="26">
        <f>IFERROR(每月市场趋势!B9+每月市场趋势!G9+每月市场趋势!L9+每月市场趋势!Q9,0)</f>
        <v>0</v>
      </c>
      <c r="C111" s="26">
        <f>IFERROR(每月市场趋势!B21+每月市场趋势!G21+每月市场趋势!L21+每月市场趋势!Q21,0)</f>
        <v>0</v>
      </c>
      <c r="D111" s="26">
        <f>IFERROR(每月市场趋势!B33+每月市场趋势!G33+每月市场趋势!L33+每月市场趋势!Q33,0)</f>
        <v>0</v>
      </c>
      <c r="E111" s="26">
        <f>IFERROR(每月市场趋势!B45+每月市场趋势!G45+每月市场趋势!L45+每月市场趋势!Q45,0)</f>
        <v>0</v>
      </c>
      <c r="F111" s="28" t="e">
        <f t="shared" si="21"/>
        <v>#DIV/0!</v>
      </c>
      <c r="G111" s="28" t="e">
        <f t="shared" si="22"/>
        <v>#DIV/0!</v>
      </c>
      <c r="H111" s="27">
        <f>IFERROR(每月市场趋势!C33+每月市场趋势!H33+每月市场趋势!M33+每月市场趋势!R33,0)</f>
        <v>0</v>
      </c>
      <c r="I111" s="27">
        <f>IFERROR(每月市场趋势!C45+每月市场趋势!H45+每月市场趋势!M45+每月市场趋势!R45,0)</f>
        <v>0</v>
      </c>
      <c r="J111" s="28" t="e">
        <f t="shared" si="23"/>
        <v>#DIV/0!</v>
      </c>
      <c r="K111" s="28" t="e">
        <f t="shared" si="24"/>
        <v>#DIV/0!</v>
      </c>
      <c r="L111"/>
      <c r="M111"/>
      <c r="N111"/>
      <c r="R111" s="152"/>
    </row>
    <row r="112" ht="17" customHeight="1" spans="1:18">
      <c r="A112" s="26">
        <v>8</v>
      </c>
      <c r="B112" s="26">
        <f>IFERROR(每月市场趋势!B10+每月市场趋势!G10+每月市场趋势!L10+每月市场趋势!Q10,0)</f>
        <v>0</v>
      </c>
      <c r="C112" s="26">
        <f>IFERROR(每月市场趋势!B22+每月市场趋势!G22+每月市场趋势!L22+每月市场趋势!Q22,0)</f>
        <v>0</v>
      </c>
      <c r="D112" s="26">
        <f>IFERROR(每月市场趋势!B34+每月市场趋势!G34+每月市场趋势!L34+每月市场趋势!Q34,0)</f>
        <v>0</v>
      </c>
      <c r="E112" s="26">
        <f>IFERROR(每月市场趋势!B46+每月市场趋势!G46+每月市场趋势!L46+每月市场趋势!Q46,0)</f>
        <v>0</v>
      </c>
      <c r="F112" s="28" t="e">
        <f t="shared" si="21"/>
        <v>#DIV/0!</v>
      </c>
      <c r="G112" s="28" t="e">
        <f t="shared" si="22"/>
        <v>#DIV/0!</v>
      </c>
      <c r="H112" s="27">
        <f>IFERROR(每月市场趋势!C34+每月市场趋势!H34+每月市场趋势!M34+每月市场趋势!R34,0)</f>
        <v>0</v>
      </c>
      <c r="I112" s="27">
        <f>IFERROR(每月市场趋势!C46+每月市场趋势!H46+每月市场趋势!M46+每月市场趋势!R46,0)</f>
        <v>0</v>
      </c>
      <c r="J112" s="28" t="e">
        <f t="shared" si="23"/>
        <v>#DIV/0!</v>
      </c>
      <c r="K112" s="28" t="e">
        <f t="shared" si="24"/>
        <v>#DIV/0!</v>
      </c>
      <c r="L112"/>
      <c r="M112"/>
      <c r="N112"/>
      <c r="R112" s="152"/>
    </row>
    <row r="113" ht="17" customHeight="1" spans="1:18">
      <c r="A113" s="26">
        <v>9</v>
      </c>
      <c r="B113" s="26">
        <f>IFERROR(每月市场趋势!B11+每月市场趋势!G11+每月市场趋势!L11+每月市场趋势!Q11,0)</f>
        <v>0</v>
      </c>
      <c r="C113" s="26">
        <f>IFERROR(每月市场趋势!B23+每月市场趋势!G23+每月市场趋势!L23+每月市场趋势!Q23,0)</f>
        <v>0</v>
      </c>
      <c r="D113" s="26">
        <f>IFERROR(每月市场趋势!B35+每月市场趋势!G35+每月市场趋势!L35+每月市场趋势!Q35,0)</f>
        <v>0</v>
      </c>
      <c r="E113" s="26">
        <f>IFERROR(每月市场趋势!B47+每月市场趋势!G47+每月市场趋势!L47+每月市场趋势!Q47,0)</f>
        <v>0</v>
      </c>
      <c r="F113" s="28" t="e">
        <f t="shared" si="21"/>
        <v>#DIV/0!</v>
      </c>
      <c r="G113" s="28" t="e">
        <f t="shared" si="22"/>
        <v>#DIV/0!</v>
      </c>
      <c r="H113" s="27">
        <f>IFERROR(每月市场趋势!C35+每月市场趋势!H35+每月市场趋势!M35+每月市场趋势!R35,0)</f>
        <v>0</v>
      </c>
      <c r="I113" s="27">
        <f>IFERROR(每月市场趋势!C47+每月市场趋势!H47+每月市场趋势!M47+每月市场趋势!R47,0)</f>
        <v>0</v>
      </c>
      <c r="J113" s="28" t="e">
        <f t="shared" si="23"/>
        <v>#DIV/0!</v>
      </c>
      <c r="K113" s="28" t="e">
        <f t="shared" si="24"/>
        <v>#DIV/0!</v>
      </c>
      <c r="L113"/>
      <c r="M113"/>
      <c r="N113"/>
      <c r="R113" s="152"/>
    </row>
    <row r="114" ht="17" customHeight="1" spans="1:18">
      <c r="A114" s="26">
        <v>10</v>
      </c>
      <c r="B114" s="26">
        <f>IFERROR(每月市场趋势!B12+每月市场趋势!G12+每月市场趋势!L12+每月市场趋势!Q12,0)</f>
        <v>0</v>
      </c>
      <c r="C114" s="26">
        <f>IFERROR(每月市场趋势!B24+每月市场趋势!G24+每月市场趋势!L24+每月市场趋势!Q24,0)</f>
        <v>0</v>
      </c>
      <c r="D114" s="26">
        <f>IFERROR(每月市场趋势!B36+每月市场趋势!G36+每月市场趋势!L36+每月市场趋势!Q36,0)</f>
        <v>0</v>
      </c>
      <c r="E114" s="26">
        <f>IFERROR(每月市场趋势!B48+每月市场趋势!G48+每月市场趋势!L48+每月市场趋势!Q48,0)</f>
        <v>0</v>
      </c>
      <c r="F114" s="28" t="e">
        <f t="shared" si="21"/>
        <v>#DIV/0!</v>
      </c>
      <c r="G114" s="28" t="e">
        <f t="shared" si="22"/>
        <v>#DIV/0!</v>
      </c>
      <c r="H114" s="27">
        <f>IFERROR(每月市场趋势!C36+每月市场趋势!H36+每月市场趋势!M36+每月市场趋势!R36,0)</f>
        <v>0</v>
      </c>
      <c r="I114" s="27">
        <f>IFERROR(每月市场趋势!C48+每月市场趋势!H48+每月市场趋势!M48+每月市场趋势!R48,0)</f>
        <v>0</v>
      </c>
      <c r="J114" s="28" t="e">
        <f t="shared" si="23"/>
        <v>#DIV/0!</v>
      </c>
      <c r="K114" s="28" t="e">
        <f t="shared" si="24"/>
        <v>#DIV/0!</v>
      </c>
      <c r="L114"/>
      <c r="M114"/>
      <c r="N114"/>
      <c r="R114" s="152"/>
    </row>
    <row r="115" ht="17" customHeight="1" spans="1:18">
      <c r="A115" s="26">
        <v>11</v>
      </c>
      <c r="B115" s="26">
        <f>IFERROR(每月市场趋势!B13+每月市场趋势!G13+每月市场趋势!L13+每月市场趋势!Q13,0)</f>
        <v>0</v>
      </c>
      <c r="C115" s="26">
        <f>IFERROR(每月市场趋势!B25+每月市场趋势!G25+每月市场趋势!L25+每月市场趋势!Q25,0)</f>
        <v>0</v>
      </c>
      <c r="D115" s="26">
        <f>IFERROR(每月市场趋势!B37+每月市场趋势!G37+每月市场趋势!L37+每月市场趋势!Q37,0)</f>
        <v>0</v>
      </c>
      <c r="E115" s="26">
        <f>IFERROR(每月市场趋势!B49+每月市场趋势!G49+每月市场趋势!L49+每月市场趋势!Q49,0)</f>
        <v>0</v>
      </c>
      <c r="F115" s="28" t="e">
        <f t="shared" si="21"/>
        <v>#DIV/0!</v>
      </c>
      <c r="G115" s="28" t="e">
        <f t="shared" si="22"/>
        <v>#DIV/0!</v>
      </c>
      <c r="H115" s="27">
        <f>IFERROR(每月市场趋势!C37+每月市场趋势!H37+每月市场趋势!M37+每月市场趋势!R37,0)</f>
        <v>0</v>
      </c>
      <c r="I115" s="27">
        <f>IFERROR(每月市场趋势!C49+每月市场趋势!H49+每月市场趋势!M49+每月市场趋势!R49,0)</f>
        <v>0</v>
      </c>
      <c r="J115" s="28" t="e">
        <f t="shared" si="23"/>
        <v>#DIV/0!</v>
      </c>
      <c r="K115" s="28" t="e">
        <f t="shared" si="24"/>
        <v>#DIV/0!</v>
      </c>
      <c r="L115"/>
      <c r="M115"/>
      <c r="N115"/>
      <c r="R115" s="152"/>
    </row>
    <row r="116" ht="17" customHeight="1" spans="1:18">
      <c r="A116" s="26">
        <v>12</v>
      </c>
      <c r="B116" s="26">
        <f>IFERROR(每月市场趋势!B14+每月市场趋势!G14+每月市场趋势!L14+每月市场趋势!Q14,0)</f>
        <v>0</v>
      </c>
      <c r="C116" s="26">
        <f>IFERROR(每月市场趋势!B26+每月市场趋势!G26+每月市场趋势!L26+每月市场趋势!Q26,0)</f>
        <v>0</v>
      </c>
      <c r="D116" s="26">
        <f>IFERROR(每月市场趋势!B38+每月市场趋势!G38+每月市场趋势!L38+每月市场趋势!Q38,0)</f>
        <v>0</v>
      </c>
      <c r="E116" s="26">
        <f>IFERROR(每月市场趋势!B50+每月市场趋势!G50+每月市场趋势!L50+每月市场趋势!Q50,0)</f>
        <v>0</v>
      </c>
      <c r="F116" s="28" t="e">
        <f t="shared" si="21"/>
        <v>#DIV/0!</v>
      </c>
      <c r="G116" s="28" t="e">
        <f t="shared" si="22"/>
        <v>#DIV/0!</v>
      </c>
      <c r="H116" s="27">
        <f>IFERROR(每月市场趋势!C38+每月市场趋势!H38+每月市场趋势!M38+每月市场趋势!R38,0)</f>
        <v>0</v>
      </c>
      <c r="I116" s="27">
        <f>IFERROR(每月市场趋势!C50+每月市场趋势!H50+每月市场趋势!M50+每月市场趋势!R50,0)</f>
        <v>0</v>
      </c>
      <c r="J116" s="28" t="e">
        <f t="shared" si="23"/>
        <v>#DIV/0!</v>
      </c>
      <c r="K116" s="28" t="e">
        <f t="shared" si="24"/>
        <v>#DIV/0!</v>
      </c>
      <c r="L116"/>
      <c r="M116"/>
      <c r="N116"/>
      <c r="R116" s="152"/>
    </row>
    <row r="117" spans="1:15">
      <c r="A117" s="26"/>
      <c r="B117" s="26"/>
      <c r="C117" s="26"/>
      <c r="D117" s="26"/>
      <c r="E117" s="26"/>
      <c r="F117" s="26"/>
      <c r="G117"/>
      <c r="H117"/>
      <c r="I117"/>
      <c r="J117"/>
      <c r="K117"/>
      <c r="L117"/>
      <c r="M117"/>
      <c r="N117"/>
      <c r="O117"/>
    </row>
    <row r="118" ht="24" customHeight="1" spans="1:13">
      <c r="A118" s="219" t="s">
        <v>143</v>
      </c>
      <c r="B118" s="219"/>
      <c r="C118" s="219"/>
      <c r="D118" s="219"/>
      <c r="E118" s="219"/>
      <c r="F118" s="219"/>
      <c r="G118" s="220" t="s">
        <v>144</v>
      </c>
      <c r="H118" s="220"/>
      <c r="I118" s="220"/>
      <c r="J118" s="220"/>
      <c r="K118" s="220"/>
      <c r="L118" s="220"/>
      <c r="M118" s="224"/>
    </row>
    <row r="119" ht="17.25" spans="1:18">
      <c r="A119" s="26" t="s">
        <v>134</v>
      </c>
      <c r="B119" s="221" t="s">
        <v>145</v>
      </c>
      <c r="C119" s="221"/>
      <c r="D119" s="221"/>
      <c r="E119" s="182" t="s">
        <v>136</v>
      </c>
      <c r="F119" s="182" t="s">
        <v>137</v>
      </c>
      <c r="G119" s="223" t="s">
        <v>146</v>
      </c>
      <c r="H119" s="223"/>
      <c r="I119" s="223"/>
      <c r="J119" s="223"/>
      <c r="K119" s="182" t="s">
        <v>136</v>
      </c>
      <c r="L119" s="182" t="s">
        <v>137</v>
      </c>
      <c r="R119" s="152"/>
    </row>
    <row r="120" spans="1:18">
      <c r="A120" s="26"/>
      <c r="B120" s="157" t="s">
        <v>140</v>
      </c>
      <c r="C120" s="157" t="s">
        <v>141</v>
      </c>
      <c r="D120" s="157" t="s">
        <v>142</v>
      </c>
      <c r="E120" s="182"/>
      <c r="F120" s="182"/>
      <c r="G120" s="156" t="s">
        <v>139</v>
      </c>
      <c r="H120" s="156" t="s">
        <v>140</v>
      </c>
      <c r="I120" s="156" t="s">
        <v>141</v>
      </c>
      <c r="J120" s="156" t="s">
        <v>142</v>
      </c>
      <c r="K120" s="182"/>
      <c r="L120" s="182"/>
      <c r="Q120" s="152"/>
      <c r="R120" s="152"/>
    </row>
    <row r="121" spans="1:18">
      <c r="A121" s="26">
        <v>1</v>
      </c>
      <c r="B121" s="26">
        <f>SUM('2021年销量数据'!F2:F73)</f>
        <v>0</v>
      </c>
      <c r="C121" s="26"/>
      <c r="D121" s="26"/>
      <c r="E121" s="28">
        <f>IFERROR(EXP(D121/B121/3)-1,0)</f>
        <v>0</v>
      </c>
      <c r="F121" s="28">
        <f>IFERROR(POWER(D121/B121,1/(2022-2020))-1,0)</f>
        <v>0</v>
      </c>
      <c r="G121" s="27"/>
      <c r="H121" s="27"/>
      <c r="I121" s="27"/>
      <c r="J121" s="27"/>
      <c r="K121" s="28">
        <f>IFERROR(EXP(LN(J121/G121/3)-1),0)</f>
        <v>0</v>
      </c>
      <c r="L121" s="28">
        <f>IFERROR(POWER(J121/G121,1/4)-1,0)</f>
        <v>0</v>
      </c>
      <c r="Q121" s="152"/>
      <c r="R121" s="152"/>
    </row>
    <row r="122" spans="1:18">
      <c r="A122" s="26">
        <v>2</v>
      </c>
      <c r="B122" s="26">
        <f>SUM('2021年销量数据'!G2:G73)</f>
        <v>0</v>
      </c>
      <c r="C122" s="26"/>
      <c r="D122" s="26"/>
      <c r="E122" s="28">
        <f t="shared" ref="E122:E133" si="25">IFERROR(EXP(D122/B122/3)-1,0)</f>
        <v>0</v>
      </c>
      <c r="F122" s="28">
        <f t="shared" ref="F122:F133" si="26">IFERROR(POWER(D122/B122,1/(2022-2020))-1,0)</f>
        <v>0</v>
      </c>
      <c r="G122" s="27"/>
      <c r="H122" s="27"/>
      <c r="I122" s="27"/>
      <c r="J122" s="27"/>
      <c r="K122" s="28">
        <f t="shared" ref="K122:K132" si="27">IFERROR(EXP(LN(J122/G122/3)-1),0)</f>
        <v>0</v>
      </c>
      <c r="L122" s="28">
        <f t="shared" ref="L122:L133" si="28">IFERROR(POWER(J122/G122,1/4)-1,0)</f>
        <v>0</v>
      </c>
      <c r="Q122" s="152"/>
      <c r="R122" s="152"/>
    </row>
    <row r="123" spans="1:18">
      <c r="A123" s="26">
        <v>3</v>
      </c>
      <c r="B123" s="26">
        <f>SUM('2021年销量数据'!H2:H73)</f>
        <v>0</v>
      </c>
      <c r="C123" s="26"/>
      <c r="D123" s="26"/>
      <c r="E123" s="28">
        <f t="shared" si="25"/>
        <v>0</v>
      </c>
      <c r="F123" s="28">
        <f t="shared" si="26"/>
        <v>0</v>
      </c>
      <c r="G123" s="27"/>
      <c r="H123" s="27"/>
      <c r="I123" s="27"/>
      <c r="J123" s="27"/>
      <c r="K123" s="28">
        <f t="shared" si="27"/>
        <v>0</v>
      </c>
      <c r="L123" s="28">
        <f t="shared" si="28"/>
        <v>0</v>
      </c>
      <c r="Q123" s="152"/>
      <c r="R123" s="152"/>
    </row>
    <row r="124" spans="1:18">
      <c r="A124" s="26">
        <v>4</v>
      </c>
      <c r="B124" s="26">
        <f>SUM('2021年销量数据'!I2:I73)</f>
        <v>0</v>
      </c>
      <c r="C124" s="26"/>
      <c r="D124" s="26"/>
      <c r="E124" s="28">
        <f t="shared" si="25"/>
        <v>0</v>
      </c>
      <c r="F124" s="28">
        <f t="shared" si="26"/>
        <v>0</v>
      </c>
      <c r="G124" s="27"/>
      <c r="H124" s="27"/>
      <c r="I124" s="27"/>
      <c r="J124" s="27"/>
      <c r="K124" s="28">
        <f t="shared" si="27"/>
        <v>0</v>
      </c>
      <c r="L124" s="28">
        <f t="shared" si="28"/>
        <v>0</v>
      </c>
      <c r="Q124" s="152"/>
      <c r="R124" s="152"/>
    </row>
    <row r="125" spans="1:18">
      <c r="A125" s="26">
        <v>5</v>
      </c>
      <c r="B125" s="26">
        <f>SUM('2021年销量数据'!J2:J73)</f>
        <v>0</v>
      </c>
      <c r="C125" s="26"/>
      <c r="D125" s="26"/>
      <c r="E125" s="28">
        <f t="shared" si="25"/>
        <v>0</v>
      </c>
      <c r="F125" s="28">
        <f t="shared" si="26"/>
        <v>0</v>
      </c>
      <c r="G125" s="27"/>
      <c r="H125" s="27"/>
      <c r="I125" s="27"/>
      <c r="J125" s="27"/>
      <c r="K125" s="28">
        <f t="shared" si="27"/>
        <v>0</v>
      </c>
      <c r="L125" s="28">
        <f t="shared" si="28"/>
        <v>0</v>
      </c>
      <c r="Q125" s="152"/>
      <c r="R125" s="152"/>
    </row>
    <row r="126" spans="1:18">
      <c r="A126" s="26">
        <v>6</v>
      </c>
      <c r="B126" s="26">
        <f>SUM('2021年销量数据'!K2:K73)</f>
        <v>0</v>
      </c>
      <c r="C126" s="26"/>
      <c r="D126" s="26"/>
      <c r="E126" s="28">
        <f t="shared" si="25"/>
        <v>0</v>
      </c>
      <c r="F126" s="28">
        <f t="shared" si="26"/>
        <v>0</v>
      </c>
      <c r="G126" s="27"/>
      <c r="H126" s="27"/>
      <c r="I126" s="27"/>
      <c r="J126" s="27"/>
      <c r="K126" s="28">
        <f t="shared" si="27"/>
        <v>0</v>
      </c>
      <c r="L126" s="28">
        <f t="shared" si="28"/>
        <v>0</v>
      </c>
      <c r="Q126" s="152"/>
      <c r="R126" s="152"/>
    </row>
    <row r="127" spans="1:18">
      <c r="A127" s="26">
        <v>7</v>
      </c>
      <c r="B127" s="26">
        <f>SUM('2021年销量数据'!L2:L73)</f>
        <v>0</v>
      </c>
      <c r="C127" s="26"/>
      <c r="D127" s="26"/>
      <c r="E127" s="28">
        <f t="shared" si="25"/>
        <v>0</v>
      </c>
      <c r="F127" s="28">
        <f t="shared" si="26"/>
        <v>0</v>
      </c>
      <c r="G127" s="27"/>
      <c r="H127" s="27"/>
      <c r="I127" s="27"/>
      <c r="J127" s="27"/>
      <c r="K127" s="28">
        <f t="shared" si="27"/>
        <v>0</v>
      </c>
      <c r="L127" s="28">
        <f t="shared" si="28"/>
        <v>0</v>
      </c>
      <c r="Q127" s="152"/>
      <c r="R127" s="152"/>
    </row>
    <row r="128" spans="1:18">
      <c r="A128" s="26">
        <v>8</v>
      </c>
      <c r="B128" s="26">
        <f>SUM('2021年销量数据'!M2:M73)</f>
        <v>0</v>
      </c>
      <c r="C128" s="26"/>
      <c r="D128" s="26"/>
      <c r="E128" s="28">
        <f t="shared" si="25"/>
        <v>0</v>
      </c>
      <c r="F128" s="28">
        <f t="shared" si="26"/>
        <v>0</v>
      </c>
      <c r="G128" s="27"/>
      <c r="H128" s="27"/>
      <c r="I128" s="27"/>
      <c r="J128" s="27"/>
      <c r="K128" s="28">
        <f t="shared" si="27"/>
        <v>0</v>
      </c>
      <c r="L128" s="28">
        <f t="shared" si="28"/>
        <v>0</v>
      </c>
      <c r="Q128" s="152"/>
      <c r="R128" s="152"/>
    </row>
    <row r="129" spans="1:18">
      <c r="A129" s="26">
        <v>9</v>
      </c>
      <c r="B129" s="26">
        <f>SUM('2021年销量数据'!$N$2:$N$73)</f>
        <v>0</v>
      </c>
      <c r="C129" s="26"/>
      <c r="D129" s="26"/>
      <c r="E129" s="28">
        <f t="shared" si="25"/>
        <v>0</v>
      </c>
      <c r="F129" s="28">
        <f t="shared" si="26"/>
        <v>0</v>
      </c>
      <c r="G129" s="27"/>
      <c r="H129" s="27"/>
      <c r="I129" s="27"/>
      <c r="J129" s="27"/>
      <c r="K129" s="28">
        <f t="shared" si="27"/>
        <v>0</v>
      </c>
      <c r="L129" s="28">
        <f t="shared" si="28"/>
        <v>0</v>
      </c>
      <c r="Q129" s="152"/>
      <c r="R129" s="152"/>
    </row>
    <row r="130" spans="1:18">
      <c r="A130" s="26">
        <v>10</v>
      </c>
      <c r="B130" s="26">
        <f>SUM('2021年销量数据'!$O$2:$O$73)</f>
        <v>0</v>
      </c>
      <c r="C130" s="26"/>
      <c r="D130" s="26"/>
      <c r="E130" s="28">
        <f t="shared" si="25"/>
        <v>0</v>
      </c>
      <c r="F130" s="28">
        <f t="shared" si="26"/>
        <v>0</v>
      </c>
      <c r="G130" s="27"/>
      <c r="H130" s="27"/>
      <c r="I130" s="27"/>
      <c r="J130" s="27"/>
      <c r="K130" s="28">
        <f t="shared" si="27"/>
        <v>0</v>
      </c>
      <c r="L130" s="28">
        <f t="shared" si="28"/>
        <v>0</v>
      </c>
      <c r="Q130" s="152"/>
      <c r="R130" s="152"/>
    </row>
    <row r="131" spans="1:18">
      <c r="A131" s="26">
        <v>11</v>
      </c>
      <c r="B131" s="26">
        <f>SUM('2021年销量数据'!$P$2:$P$73)</f>
        <v>0</v>
      </c>
      <c r="C131" s="26"/>
      <c r="D131" s="26"/>
      <c r="E131" s="28">
        <f t="shared" si="25"/>
        <v>0</v>
      </c>
      <c r="F131" s="28">
        <f t="shared" si="26"/>
        <v>0</v>
      </c>
      <c r="G131" s="27"/>
      <c r="H131" s="27"/>
      <c r="I131" s="27"/>
      <c r="J131" s="27"/>
      <c r="K131" s="28">
        <f t="shared" si="27"/>
        <v>0</v>
      </c>
      <c r="L131" s="28">
        <f t="shared" si="28"/>
        <v>0</v>
      </c>
      <c r="Q131" s="152"/>
      <c r="R131" s="152"/>
    </row>
    <row r="132" spans="1:18">
      <c r="A132" s="26">
        <v>12</v>
      </c>
      <c r="B132" s="26">
        <f>SUM('2021年销量数据'!$Q$2:$Q$73)</f>
        <v>0</v>
      </c>
      <c r="C132" s="26"/>
      <c r="D132" s="26"/>
      <c r="E132" s="28">
        <f t="shared" si="25"/>
        <v>0</v>
      </c>
      <c r="F132" s="28">
        <f t="shared" si="26"/>
        <v>0</v>
      </c>
      <c r="G132" s="27"/>
      <c r="H132" s="27"/>
      <c r="I132" s="27"/>
      <c r="J132" s="27"/>
      <c r="K132" s="28">
        <f t="shared" si="27"/>
        <v>0</v>
      </c>
      <c r="L132" s="28">
        <f t="shared" si="28"/>
        <v>0</v>
      </c>
      <c r="Q132" s="152"/>
      <c r="R132" s="152"/>
    </row>
    <row r="133" s="26" customFormat="1" spans="1:18">
      <c r="A133" s="42" t="s">
        <v>48</v>
      </c>
      <c r="B133" s="26">
        <f>SUM(B121:B132)</f>
        <v>0</v>
      </c>
      <c r="E133" s="28">
        <f t="shared" si="25"/>
        <v>0</v>
      </c>
      <c r="F133" s="28">
        <f t="shared" si="26"/>
        <v>0</v>
      </c>
      <c r="G133" s="27"/>
      <c r="H133" s="27"/>
      <c r="I133" s="27"/>
      <c r="J133" s="27"/>
      <c r="K133" s="28">
        <f>IFERROR(EXP(LN(J133/G133/4)-1),0)</f>
        <v>0</v>
      </c>
      <c r="L133" s="28">
        <f t="shared" si="28"/>
        <v>0</v>
      </c>
      <c r="M133" s="189"/>
      <c r="N133" s="189"/>
      <c r="O133" s="189"/>
      <c r="P133" s="189"/>
      <c r="Q133" s="189"/>
      <c r="R133" s="189"/>
    </row>
    <row r="136" spans="1:9">
      <c r="A136"/>
      <c r="B136"/>
      <c r="C136"/>
      <c r="D136"/>
      <c r="E136"/>
      <c r="F136"/>
      <c r="G136"/>
      <c r="H136"/>
      <c r="I136"/>
    </row>
    <row r="137" spans="1:9">
      <c r="A137"/>
      <c r="B137"/>
      <c r="C137"/>
      <c r="D137"/>
      <c r="E137"/>
      <c r="F137"/>
      <c r="G137"/>
      <c r="H137"/>
      <c r="I137"/>
    </row>
    <row r="138" spans="1:9">
      <c r="A138"/>
      <c r="B138"/>
      <c r="C138"/>
      <c r="D138"/>
      <c r="E138"/>
      <c r="F138"/>
      <c r="G138"/>
      <c r="H138"/>
      <c r="I138"/>
    </row>
    <row r="139" spans="1:9">
      <c r="A139"/>
      <c r="B139"/>
      <c r="C139"/>
      <c r="D139"/>
      <c r="E139"/>
      <c r="F139"/>
      <c r="G139"/>
      <c r="H139"/>
      <c r="I139"/>
    </row>
    <row r="140" spans="1:9">
      <c r="A140"/>
      <c r="B140"/>
      <c r="C140"/>
      <c r="D140"/>
      <c r="E140"/>
      <c r="F140"/>
      <c r="G140"/>
      <c r="H140"/>
      <c r="I140"/>
    </row>
    <row r="141" spans="1:9">
      <c r="A141"/>
      <c r="B141"/>
      <c r="C141"/>
      <c r="D141"/>
      <c r="E141"/>
      <c r="F141"/>
      <c r="G141"/>
      <c r="H141"/>
      <c r="I141"/>
    </row>
    <row r="142" spans="1:9">
      <c r="A142"/>
      <c r="B142"/>
      <c r="C142"/>
      <c r="D142"/>
      <c r="E142"/>
      <c r="F142"/>
      <c r="G142"/>
      <c r="H142"/>
      <c r="I142"/>
    </row>
    <row r="143" spans="1:9">
      <c r="A143"/>
      <c r="B143"/>
      <c r="C143"/>
      <c r="D143"/>
      <c r="E143"/>
      <c r="F143"/>
      <c r="G143"/>
      <c r="H143"/>
      <c r="I143"/>
    </row>
    <row r="144" spans="1:9">
      <c r="A144"/>
      <c r="B144"/>
      <c r="C144"/>
      <c r="D144"/>
      <c r="E144"/>
      <c r="F144"/>
      <c r="G144"/>
      <c r="H144"/>
      <c r="I144"/>
    </row>
    <row r="145" spans="1:9">
      <c r="A145"/>
      <c r="B145"/>
      <c r="C145"/>
      <c r="D145"/>
      <c r="E145"/>
      <c r="F145"/>
      <c r="G145"/>
      <c r="H145"/>
      <c r="I145"/>
    </row>
    <row r="146" spans="1:9">
      <c r="A146"/>
      <c r="B146"/>
      <c r="C146"/>
      <c r="D146"/>
      <c r="E146"/>
      <c r="F146"/>
      <c r="G146"/>
      <c r="H146"/>
      <c r="I146"/>
    </row>
    <row r="147" spans="1:9">
      <c r="A147"/>
      <c r="B147"/>
      <c r="C147"/>
      <c r="D147"/>
      <c r="E147"/>
      <c r="F147"/>
      <c r="G147"/>
      <c r="H147"/>
      <c r="I147"/>
    </row>
    <row r="148" spans="1:9">
      <c r="A148"/>
      <c r="B148"/>
      <c r="C148"/>
      <c r="D148"/>
      <c r="E148"/>
      <c r="F148"/>
      <c r="G148"/>
      <c r="H148"/>
      <c r="I148"/>
    </row>
    <row r="149" spans="1:9">
      <c r="A149"/>
      <c r="B149"/>
      <c r="C149"/>
      <c r="D149"/>
      <c r="E149"/>
      <c r="F149"/>
      <c r="G149"/>
      <c r="H149"/>
      <c r="I149"/>
    </row>
    <row r="150" spans="1:9">
      <c r="A150"/>
      <c r="B150"/>
      <c r="C150"/>
      <c r="D150"/>
      <c r="E150"/>
      <c r="F150"/>
      <c r="G150"/>
      <c r="H150"/>
      <c r="I150"/>
    </row>
    <row r="151" spans="1:9">
      <c r="A151"/>
      <c r="B151"/>
      <c r="C151"/>
      <c r="D151"/>
      <c r="E151"/>
      <c r="F151"/>
      <c r="G151"/>
      <c r="H151"/>
      <c r="I151"/>
    </row>
    <row r="152" spans="1:16">
      <c r="A152"/>
      <c r="B152"/>
      <c r="C152"/>
      <c r="D152"/>
      <c r="E152"/>
      <c r="F152"/>
      <c r="G152"/>
      <c r="H152"/>
      <c r="I152"/>
      <c r="J152" s="225"/>
      <c r="K152" s="115"/>
      <c r="L152" s="226"/>
      <c r="M152" s="227"/>
      <c r="N152" s="227"/>
      <c r="O152" s="187"/>
      <c r="P152" s="187"/>
    </row>
    <row r="153" spans="1:16">
      <c r="A153"/>
      <c r="B153"/>
      <c r="C153"/>
      <c r="D153"/>
      <c r="E153"/>
      <c r="F153"/>
      <c r="G153"/>
      <c r="H153"/>
      <c r="I153"/>
      <c r="J153" s="225"/>
      <c r="M153" s="227"/>
      <c r="N153" s="227"/>
      <c r="O153" s="187"/>
      <c r="P153" s="187"/>
    </row>
    <row r="154" spans="1:16">
      <c r="A154"/>
      <c r="B154"/>
      <c r="C154"/>
      <c r="D154"/>
      <c r="E154"/>
      <c r="F154"/>
      <c r="G154"/>
      <c r="H154"/>
      <c r="I154"/>
      <c r="M154" s="189"/>
      <c r="N154" s="189"/>
      <c r="O154" s="187"/>
      <c r="P154" s="187"/>
    </row>
    <row r="155" spans="1:19">
      <c r="A155"/>
      <c r="B155"/>
      <c r="C155"/>
      <c r="D155"/>
      <c r="E155"/>
      <c r="F155"/>
      <c r="G155"/>
      <c r="H155"/>
      <c r="I155"/>
      <c r="J155" s="115"/>
      <c r="L155" s="152"/>
      <c r="N155" s="189"/>
      <c r="O155" s="189"/>
      <c r="P155" s="187"/>
      <c r="Q155" s="187"/>
      <c r="S155" s="153"/>
    </row>
    <row r="156" spans="1:19">
      <c r="A156"/>
      <c r="B156"/>
      <c r="C156"/>
      <c r="D156"/>
      <c r="E156"/>
      <c r="F156"/>
      <c r="G156"/>
      <c r="H156"/>
      <c r="I156"/>
      <c r="J156" s="115"/>
      <c r="L156" s="152"/>
      <c r="N156" s="189"/>
      <c r="O156" s="189"/>
      <c r="P156" s="187"/>
      <c r="Q156" s="187"/>
      <c r="S156" s="153"/>
    </row>
    <row r="157" spans="1:19">
      <c r="A157"/>
      <c r="B157"/>
      <c r="C157"/>
      <c r="D157"/>
      <c r="E157"/>
      <c r="F157"/>
      <c r="G157"/>
      <c r="H157"/>
      <c r="I157"/>
      <c r="J157" s="115"/>
      <c r="L157" s="152"/>
      <c r="N157" s="189"/>
      <c r="O157" s="189"/>
      <c r="P157" s="189"/>
      <c r="Q157" s="189"/>
      <c r="S157" s="153"/>
    </row>
    <row r="158" spans="1:19">
      <c r="A158"/>
      <c r="B158"/>
      <c r="C158"/>
      <c r="D158"/>
      <c r="E158"/>
      <c r="F158"/>
      <c r="G158"/>
      <c r="H158"/>
      <c r="I158"/>
      <c r="J158" s="115"/>
      <c r="L158" s="152"/>
      <c r="N158" s="189"/>
      <c r="O158" s="189"/>
      <c r="P158" s="189"/>
      <c r="Q158" s="189"/>
      <c r="S158" s="153"/>
    </row>
    <row r="159" spans="1:19">
      <c r="A159"/>
      <c r="B159"/>
      <c r="C159"/>
      <c r="D159"/>
      <c r="E159"/>
      <c r="F159"/>
      <c r="G159"/>
      <c r="H159"/>
      <c r="I159"/>
      <c r="J159" s="115"/>
      <c r="L159" s="152"/>
      <c r="S159" s="153"/>
    </row>
    <row r="160" spans="1:19">
      <c r="A160"/>
      <c r="B160"/>
      <c r="C160"/>
      <c r="D160"/>
      <c r="E160"/>
      <c r="F160"/>
      <c r="G160"/>
      <c r="H160"/>
      <c r="I160"/>
      <c r="J160" s="115"/>
      <c r="L160" s="152"/>
      <c r="S160" s="153"/>
    </row>
    <row r="161" spans="1:19">
      <c r="A161"/>
      <c r="B161"/>
      <c r="C161"/>
      <c r="D161"/>
      <c r="E161"/>
      <c r="F161"/>
      <c r="G161"/>
      <c r="H161"/>
      <c r="I161"/>
      <c r="J161" s="115"/>
      <c r="L161" s="152"/>
      <c r="S161" s="153"/>
    </row>
    <row r="162" spans="1:19">
      <c r="A162"/>
      <c r="B162"/>
      <c r="C162"/>
      <c r="D162"/>
      <c r="E162"/>
      <c r="F162"/>
      <c r="G162"/>
      <c r="H162"/>
      <c r="I162"/>
      <c r="J162" s="115"/>
      <c r="L162" s="152"/>
      <c r="S162" s="153"/>
    </row>
    <row r="163" spans="1:19">
      <c r="A163"/>
      <c r="B163"/>
      <c r="C163"/>
      <c r="D163"/>
      <c r="E163"/>
      <c r="F163"/>
      <c r="G163"/>
      <c r="H163"/>
      <c r="I163"/>
      <c r="J163" s="115"/>
      <c r="L163" s="152"/>
      <c r="S163" s="153"/>
    </row>
    <row r="164" spans="1:19">
      <c r="A164"/>
      <c r="B164"/>
      <c r="C164"/>
      <c r="D164"/>
      <c r="E164"/>
      <c r="F164"/>
      <c r="G164"/>
      <c r="H164"/>
      <c r="I164"/>
      <c r="J164" s="115"/>
      <c r="L164" s="152"/>
      <c r="S164" s="153"/>
    </row>
    <row r="165" spans="1:19">
      <c r="A165"/>
      <c r="B165"/>
      <c r="C165"/>
      <c r="D165"/>
      <c r="E165"/>
      <c r="F165"/>
      <c r="G165"/>
      <c r="H165"/>
      <c r="I165"/>
      <c r="J165" s="115"/>
      <c r="L165" s="152"/>
      <c r="S165" s="153"/>
    </row>
    <row r="166" spans="1:19">
      <c r="A166"/>
      <c r="B166"/>
      <c r="C166"/>
      <c r="D166"/>
      <c r="E166"/>
      <c r="F166"/>
      <c r="G166"/>
      <c r="H166"/>
      <c r="I166"/>
      <c r="J166" s="115"/>
      <c r="L166" s="152"/>
      <c r="S166" s="153"/>
    </row>
    <row r="167" spans="1:19">
      <c r="A167"/>
      <c r="B167"/>
      <c r="C167"/>
      <c r="D167"/>
      <c r="E167"/>
      <c r="F167"/>
      <c r="G167"/>
      <c r="H167"/>
      <c r="I167"/>
      <c r="J167" s="115"/>
      <c r="L167" s="152"/>
      <c r="S167" s="153"/>
    </row>
    <row r="168" spans="1:19">
      <c r="A168"/>
      <c r="B168"/>
      <c r="C168"/>
      <c r="D168"/>
      <c r="E168"/>
      <c r="F168"/>
      <c r="G168"/>
      <c r="H168"/>
      <c r="I168"/>
      <c r="J168" s="115"/>
      <c r="L168" s="152"/>
      <c r="S168" s="153"/>
    </row>
  </sheetData>
  <mergeCells count="23">
    <mergeCell ref="A1:L1"/>
    <mergeCell ref="A6:K6"/>
    <mergeCell ref="A34:J34"/>
    <mergeCell ref="A61:H61"/>
    <mergeCell ref="A74:H74"/>
    <mergeCell ref="A102:G102"/>
    <mergeCell ref="H102:K102"/>
    <mergeCell ref="B103:E103"/>
    <mergeCell ref="H103:I103"/>
    <mergeCell ref="A118:F118"/>
    <mergeCell ref="G118:L118"/>
    <mergeCell ref="B119:D119"/>
    <mergeCell ref="G119:J119"/>
    <mergeCell ref="A103:A104"/>
    <mergeCell ref="A119:A120"/>
    <mergeCell ref="E119:E120"/>
    <mergeCell ref="F103:F104"/>
    <mergeCell ref="F119:F120"/>
    <mergeCell ref="G103:G104"/>
    <mergeCell ref="J103:J104"/>
    <mergeCell ref="K103:K104"/>
    <mergeCell ref="K119:K120"/>
    <mergeCell ref="L119:L120"/>
  </mergeCells>
  <pageMargins left="0.75" right="0.75" top="1" bottom="1" header="0.5" footer="0.5"/>
  <pageSetup paperSize="9" orientation="portrait"/>
  <headerFooter/>
  <ignoredErrors>
    <ignoredError sqref="B121:B128" formulaRange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S60"/>
  <sheetViews>
    <sheetView workbookViewId="0">
      <selection activeCell="S3" sqref="S3"/>
    </sheetView>
  </sheetViews>
  <sheetFormatPr defaultColWidth="9" defaultRowHeight="13.5"/>
  <cols>
    <col min="1" max="1" width="5.13333333333333" customWidth="1"/>
    <col min="2" max="2" width="14" customWidth="1"/>
    <col min="3" max="3" width="12.5" style="2" customWidth="1"/>
    <col min="4" max="4" width="11" style="127" customWidth="1"/>
    <col min="5" max="5" width="14.8833333333333" customWidth="1"/>
    <col min="6" max="6" width="9.13333333333333" style="2" customWidth="1"/>
    <col min="7" max="7" width="18.1333333333333" style="104" customWidth="1"/>
    <col min="8" max="8" width="11" style="62" customWidth="1"/>
    <col min="9" max="9" width="12.1333333333333" style="2" customWidth="1"/>
    <col min="10" max="10" width="14.1333333333333" style="2" customWidth="1"/>
    <col min="11" max="11" width="10" style="2" customWidth="1"/>
    <col min="12" max="12" width="10.25" style="128" customWidth="1"/>
    <col min="13" max="13" width="10.3833333333333" style="129" customWidth="1"/>
    <col min="14" max="14" width="13.75" style="105" customWidth="1"/>
    <col min="15" max="15" width="15" style="129" customWidth="1"/>
    <col min="16" max="16" width="9.5" style="129" customWidth="1"/>
    <col min="17" max="17" width="15.6333333333333" style="129" customWidth="1"/>
    <col min="18" max="18" width="13.75" style="105" customWidth="1"/>
    <col min="19" max="19" width="12.75" style="2" customWidth="1"/>
  </cols>
  <sheetData>
    <row r="1" ht="31" customHeight="1" spans="1:19">
      <c r="A1" s="130" t="s">
        <v>147</v>
      </c>
      <c r="B1" s="130"/>
      <c r="C1" s="130"/>
      <c r="D1" s="130"/>
      <c r="E1" s="130"/>
      <c r="F1" s="130"/>
      <c r="G1" s="130"/>
      <c r="H1" s="130"/>
      <c r="I1" s="130"/>
      <c r="J1" s="131"/>
      <c r="K1" s="130"/>
      <c r="L1" s="130"/>
      <c r="M1" s="130"/>
      <c r="N1" s="130"/>
      <c r="O1" s="130"/>
      <c r="P1" s="131"/>
      <c r="Q1" s="131"/>
      <c r="R1" s="133"/>
      <c r="S1" s="131"/>
    </row>
    <row r="2" ht="23.25" spans="1:19">
      <c r="A2" s="130" t="s">
        <v>148</v>
      </c>
      <c r="B2" s="130"/>
      <c r="C2" s="131"/>
      <c r="D2" s="132"/>
      <c r="E2" s="130"/>
      <c r="F2" s="131"/>
      <c r="G2" s="133"/>
      <c r="H2" s="134" t="s">
        <v>149</v>
      </c>
      <c r="I2" s="134"/>
      <c r="J2" s="142"/>
      <c r="K2" s="134"/>
      <c r="L2" s="134"/>
      <c r="M2" s="134"/>
      <c r="N2" s="134"/>
      <c r="O2" s="134"/>
      <c r="P2" s="142"/>
      <c r="Q2" s="142"/>
      <c r="R2" s="148"/>
      <c r="S2" s="142"/>
    </row>
    <row r="3" s="126" customFormat="1" ht="33" spans="1:19">
      <c r="A3" s="135" t="s">
        <v>150</v>
      </c>
      <c r="B3" s="135" t="s">
        <v>151</v>
      </c>
      <c r="C3" s="136" t="s">
        <v>152</v>
      </c>
      <c r="D3" s="137" t="s">
        <v>153</v>
      </c>
      <c r="E3" s="138" t="s">
        <v>154</v>
      </c>
      <c r="F3" s="136" t="s">
        <v>155</v>
      </c>
      <c r="G3" s="139" t="s">
        <v>156</v>
      </c>
      <c r="H3" s="140" t="s">
        <v>157</v>
      </c>
      <c r="I3" s="143" t="s">
        <v>158</v>
      </c>
      <c r="J3" s="136" t="s">
        <v>159</v>
      </c>
      <c r="K3" s="144" t="s">
        <v>160</v>
      </c>
      <c r="L3" s="145" t="s">
        <v>161</v>
      </c>
      <c r="M3" s="146" t="s">
        <v>46</v>
      </c>
      <c r="N3" s="147" t="s">
        <v>162</v>
      </c>
      <c r="O3" s="143" t="s">
        <v>154</v>
      </c>
      <c r="P3" s="136" t="s">
        <v>163</v>
      </c>
      <c r="Q3" s="143" t="s">
        <v>164</v>
      </c>
      <c r="R3" s="149" t="s">
        <v>165</v>
      </c>
      <c r="S3" s="146" t="s">
        <v>47</v>
      </c>
    </row>
    <row r="4" ht="24" customHeight="1" spans="1:19">
      <c r="A4" s="20">
        <v>1</v>
      </c>
      <c r="B4" s="20">
        <f>SUMIFS(市场概况!C:C,市场概况!A:A,"2022",市场概况!B:B,A:A)</f>
        <v>0</v>
      </c>
      <c r="C4" s="21">
        <v>0.176955532260924</v>
      </c>
      <c r="D4" s="39">
        <f>IFERROR(B4+B4*C4,0)</f>
        <v>0</v>
      </c>
      <c r="E4" s="38">
        <f>SUMIFS(市场概况!F:F,市场概况!A:A,"2022",市场概况!B:B,A:A)</f>
        <v>0</v>
      </c>
      <c r="F4" s="21">
        <v>0.290457239705392</v>
      </c>
      <c r="G4" s="38">
        <f>IFERROR(E4+E4*F4,0)</f>
        <v>0</v>
      </c>
      <c r="H4" s="141">
        <f>市场概况!C48</f>
        <v>0</v>
      </c>
      <c r="I4" s="21">
        <f>市场概况!D48</f>
        <v>0</v>
      </c>
      <c r="J4" s="21">
        <f>IFERROR((K4-I4)/I4,0)</f>
        <v>0</v>
      </c>
      <c r="K4" s="21">
        <f>IFERROR(L4/D4,0)</f>
        <v>0</v>
      </c>
      <c r="L4" s="39">
        <f>IFERROR(H4+H4*市场概况!E121,0)</f>
        <v>0</v>
      </c>
      <c r="M4" s="21">
        <f>IFERROR((L4-H4)/H4,0)</f>
        <v>0</v>
      </c>
      <c r="N4" s="38">
        <f>市场概况!G48</f>
        <v>0</v>
      </c>
      <c r="O4" s="21">
        <f>市场概况!H48</f>
        <v>0</v>
      </c>
      <c r="P4" s="21">
        <f>IFERROR((Q4-O4)/O4,0)</f>
        <v>0</v>
      </c>
      <c r="Q4" s="150">
        <f>IFERROR(R4/G4,0)</f>
        <v>0</v>
      </c>
      <c r="R4" s="151">
        <f>IFERROR(N4*(1+市场概况!L121),0)</f>
        <v>0</v>
      </c>
      <c r="S4" s="150">
        <f>IFERROR((R4-N4)/N4,0)</f>
        <v>0</v>
      </c>
    </row>
    <row r="5" ht="24" customHeight="1" spans="1:19">
      <c r="A5" s="20">
        <v>2</v>
      </c>
      <c r="B5" s="20">
        <f>SUMIFS(市场概况!C:C,市场概况!A:A,"2022",市场概况!B:B,A:A)</f>
        <v>0</v>
      </c>
      <c r="C5" s="21">
        <v>0.141023102198271</v>
      </c>
      <c r="D5" s="39">
        <f t="shared" ref="D5:D15" si="0">IFERROR(B5+B5*C5,0)</f>
        <v>0</v>
      </c>
      <c r="E5" s="38">
        <f>SUMIFS(市场概况!F:F,市场概况!A:A,"2022",市场概况!B:B,A:A)</f>
        <v>0</v>
      </c>
      <c r="F5" s="21">
        <v>0.140265685384523</v>
      </c>
      <c r="G5" s="38">
        <f t="shared" ref="G5:G15" si="1">IFERROR(E5+E5*F5,0)</f>
        <v>0</v>
      </c>
      <c r="H5" s="141">
        <f>市场概况!C49</f>
        <v>0</v>
      </c>
      <c r="I5" s="21">
        <f>市场概况!D49</f>
        <v>0</v>
      </c>
      <c r="J5" s="21">
        <f t="shared" ref="J5:J16" si="2">IFERROR((K5-I5)/I5,0)</f>
        <v>0</v>
      </c>
      <c r="K5" s="21">
        <f t="shared" ref="K5:K16" si="3">IFERROR(L5/D5,0)</f>
        <v>0</v>
      </c>
      <c r="L5" s="39">
        <f>IFERROR(H5+H5*市场概况!E122,0)</f>
        <v>0</v>
      </c>
      <c r="M5" s="21">
        <f t="shared" ref="M5:M16" si="4">IFERROR((L5-H5)/H5,0)</f>
        <v>0</v>
      </c>
      <c r="N5" s="38">
        <f>市场概况!G49</f>
        <v>0</v>
      </c>
      <c r="O5" s="21">
        <f>市场概况!H49</f>
        <v>0</v>
      </c>
      <c r="P5" s="21">
        <f t="shared" ref="P5:P16" si="5">IFERROR((Q5-O5)/O5,0)</f>
        <v>0</v>
      </c>
      <c r="Q5" s="150">
        <f t="shared" ref="Q5:Q16" si="6">IFERROR(R5/G5,0)</f>
        <v>0</v>
      </c>
      <c r="R5" s="151">
        <f>IFERROR(N5*(1+市场概况!L122),0)</f>
        <v>0</v>
      </c>
      <c r="S5" s="150">
        <f t="shared" ref="S5:S16" si="7">IFERROR((R5-N5)/N5,0)</f>
        <v>0</v>
      </c>
    </row>
    <row r="6" ht="24" customHeight="1" spans="1:19">
      <c r="A6" s="20">
        <v>3</v>
      </c>
      <c r="B6" s="20">
        <f>SUMIFS(市场概况!C:C,市场概况!A:A,"2022",市场概况!B:B,A:A)</f>
        <v>0</v>
      </c>
      <c r="C6" s="21">
        <v>0.061641990567044</v>
      </c>
      <c r="D6" s="39">
        <f t="shared" si="0"/>
        <v>0</v>
      </c>
      <c r="E6" s="38">
        <f>SUMIFS(市场概况!F:F,市场概况!A:A,"2022",市场概况!B:B,A:A)</f>
        <v>0</v>
      </c>
      <c r="F6" s="21">
        <v>0.501496364058724</v>
      </c>
      <c r="G6" s="38">
        <f t="shared" si="1"/>
        <v>0</v>
      </c>
      <c r="H6" s="141">
        <f>市场概况!C50</f>
        <v>0</v>
      </c>
      <c r="I6" s="21">
        <f>市场概况!D50</f>
        <v>0</v>
      </c>
      <c r="J6" s="21">
        <f t="shared" si="2"/>
        <v>0</v>
      </c>
      <c r="K6" s="21">
        <f t="shared" si="3"/>
        <v>0</v>
      </c>
      <c r="L6" s="39">
        <f>IFERROR(H6+H6*市场概况!E123,0)</f>
        <v>0</v>
      </c>
      <c r="M6" s="21">
        <f t="shared" si="4"/>
        <v>0</v>
      </c>
      <c r="N6" s="38">
        <f>市场概况!G50</f>
        <v>0</v>
      </c>
      <c r="O6" s="21">
        <f>市场概况!H50</f>
        <v>0</v>
      </c>
      <c r="P6" s="21">
        <f t="shared" si="5"/>
        <v>0</v>
      </c>
      <c r="Q6" s="150">
        <f t="shared" si="6"/>
        <v>0</v>
      </c>
      <c r="R6" s="151">
        <f>IFERROR(N6*(1+市场概况!L123),0)</f>
        <v>0</v>
      </c>
      <c r="S6" s="150">
        <f t="shared" si="7"/>
        <v>0</v>
      </c>
    </row>
    <row r="7" ht="24" customHeight="1" spans="1:19">
      <c r="A7" s="20">
        <v>4</v>
      </c>
      <c r="B7" s="20">
        <f>SUMIFS(市场概况!C:C,市场概况!A:A,"2022",市场概况!B:B,A:A)</f>
        <v>0</v>
      </c>
      <c r="C7" s="21">
        <v>0.0588095331268965</v>
      </c>
      <c r="D7" s="39">
        <f t="shared" si="0"/>
        <v>0</v>
      </c>
      <c r="E7" s="38">
        <f>SUMIFS(市场概况!F:F,市场概况!A:A,"2022",市场概况!B:B,A:A)</f>
        <v>0</v>
      </c>
      <c r="F7" s="21">
        <v>0.266012016032955</v>
      </c>
      <c r="G7" s="38">
        <f t="shared" si="1"/>
        <v>0</v>
      </c>
      <c r="H7" s="141">
        <f>市场概况!C51</f>
        <v>0</v>
      </c>
      <c r="I7" s="21">
        <f>市场概况!D51</f>
        <v>0</v>
      </c>
      <c r="J7" s="21">
        <f t="shared" si="2"/>
        <v>0</v>
      </c>
      <c r="K7" s="21">
        <f t="shared" si="3"/>
        <v>0</v>
      </c>
      <c r="L7" s="39">
        <f>IFERROR(H7+H7*市场概况!E124,0)</f>
        <v>0</v>
      </c>
      <c r="M7" s="21">
        <f t="shared" si="4"/>
        <v>0</v>
      </c>
      <c r="N7" s="38">
        <f>市场概况!G51</f>
        <v>0</v>
      </c>
      <c r="O7" s="21">
        <f>市场概况!H51</f>
        <v>0</v>
      </c>
      <c r="P7" s="21">
        <f t="shared" si="5"/>
        <v>0</v>
      </c>
      <c r="Q7" s="150">
        <f t="shared" si="6"/>
        <v>0</v>
      </c>
      <c r="R7" s="151">
        <f>IFERROR(N7*(1+市场概况!L124),0)</f>
        <v>0</v>
      </c>
      <c r="S7" s="150">
        <f t="shared" si="7"/>
        <v>0</v>
      </c>
    </row>
    <row r="8" ht="24" customHeight="1" spans="1:19">
      <c r="A8" s="20">
        <v>5</v>
      </c>
      <c r="B8" s="20">
        <f>SUMIFS(市场概况!C:C,市场概况!A:A,"2022",市场概况!B:B,A:A)</f>
        <v>0</v>
      </c>
      <c r="C8" s="21">
        <v>0.15930864793292</v>
      </c>
      <c r="D8" s="39">
        <f t="shared" si="0"/>
        <v>0</v>
      </c>
      <c r="E8" s="38">
        <f>SUMIFS(市场概况!F:F,市场概况!A:A,"2022",市场概况!B:B,A:A)</f>
        <v>0</v>
      </c>
      <c r="F8" s="21">
        <v>0.449306660726711</v>
      </c>
      <c r="G8" s="38">
        <f t="shared" si="1"/>
        <v>0</v>
      </c>
      <c r="H8" s="141">
        <f>市场概况!C52</f>
        <v>0</v>
      </c>
      <c r="I8" s="21">
        <f>市场概况!D52</f>
        <v>0</v>
      </c>
      <c r="J8" s="21">
        <f t="shared" si="2"/>
        <v>0</v>
      </c>
      <c r="K8" s="21">
        <f t="shared" si="3"/>
        <v>0</v>
      </c>
      <c r="L8" s="39">
        <f>IFERROR(H8+H8*市场概况!E125,0)</f>
        <v>0</v>
      </c>
      <c r="M8" s="21">
        <f t="shared" si="4"/>
        <v>0</v>
      </c>
      <c r="N8" s="38">
        <f>市场概况!G52</f>
        <v>0</v>
      </c>
      <c r="O8" s="21">
        <f>市场概况!H52</f>
        <v>0</v>
      </c>
      <c r="P8" s="21">
        <f t="shared" si="5"/>
        <v>0</v>
      </c>
      <c r="Q8" s="150">
        <f t="shared" si="6"/>
        <v>0</v>
      </c>
      <c r="R8" s="151">
        <f>IFERROR(N8*(1+市场概况!L125),0)</f>
        <v>0</v>
      </c>
      <c r="S8" s="150">
        <f t="shared" si="7"/>
        <v>0</v>
      </c>
    </row>
    <row r="9" ht="24" customHeight="1" spans="1:19">
      <c r="A9" s="20">
        <v>6</v>
      </c>
      <c r="B9" s="20">
        <f>SUMIFS(市场概况!C:C,市场概况!A:A,"2022",市场概况!B:B,A:A)</f>
        <v>0</v>
      </c>
      <c r="C9" s="21">
        <v>0.101326557664425</v>
      </c>
      <c r="D9" s="39">
        <f t="shared" si="0"/>
        <v>0</v>
      </c>
      <c r="E9" s="38">
        <f>SUMIFS(市场概况!F:F,市场概况!A:A,"2022",市场概况!B:B,A:A)</f>
        <v>0</v>
      </c>
      <c r="F9" s="21">
        <v>0.0540286078637295</v>
      </c>
      <c r="G9" s="38">
        <f t="shared" si="1"/>
        <v>0</v>
      </c>
      <c r="H9" s="141">
        <f>市场概况!C53</f>
        <v>0</v>
      </c>
      <c r="I9" s="21">
        <f>市场概况!D53</f>
        <v>0</v>
      </c>
      <c r="J9" s="21">
        <f t="shared" si="2"/>
        <v>0</v>
      </c>
      <c r="K9" s="21">
        <f t="shared" si="3"/>
        <v>0</v>
      </c>
      <c r="L9" s="39">
        <f>IFERROR(H9+H9*市场概况!E126,0)</f>
        <v>0</v>
      </c>
      <c r="M9" s="21">
        <f t="shared" si="4"/>
        <v>0</v>
      </c>
      <c r="N9" s="38">
        <f>市场概况!G53</f>
        <v>0</v>
      </c>
      <c r="O9" s="21">
        <f>市场概况!H53</f>
        <v>0</v>
      </c>
      <c r="P9" s="21">
        <f t="shared" si="5"/>
        <v>0</v>
      </c>
      <c r="Q9" s="150">
        <f t="shared" si="6"/>
        <v>0</v>
      </c>
      <c r="R9" s="151">
        <f>IFERROR(N9*(1+市场概况!L126),0)</f>
        <v>0</v>
      </c>
      <c r="S9" s="150">
        <f t="shared" si="7"/>
        <v>0</v>
      </c>
    </row>
    <row r="10" ht="24" customHeight="1" spans="1:19">
      <c r="A10" s="20">
        <v>7</v>
      </c>
      <c r="B10" s="20">
        <f>SUMIFS(市场概况!C:C,市场概况!A:A,"2022",市场概况!B:B,A:A)</f>
        <v>0</v>
      </c>
      <c r="C10" s="21">
        <v>0.142675487687379</v>
      </c>
      <c r="D10" s="39">
        <f t="shared" si="0"/>
        <v>0</v>
      </c>
      <c r="E10" s="38">
        <f>SUMIFS(市场概况!F:F,市场概况!A:A,"2022",市场概况!B:B,A:A)</f>
        <v>0</v>
      </c>
      <c r="F10" s="21">
        <v>0.35248223045392</v>
      </c>
      <c r="G10" s="38">
        <f t="shared" si="1"/>
        <v>0</v>
      </c>
      <c r="H10" s="141">
        <f>市场概况!C54</f>
        <v>0</v>
      </c>
      <c r="I10" s="21">
        <f>市场概况!D54</f>
        <v>0</v>
      </c>
      <c r="J10" s="21">
        <f t="shared" si="2"/>
        <v>0</v>
      </c>
      <c r="K10" s="21">
        <f t="shared" si="3"/>
        <v>0</v>
      </c>
      <c r="L10" s="39">
        <f>IFERROR(H10+H10*市场概况!E127,0)</f>
        <v>0</v>
      </c>
      <c r="M10" s="21">
        <f t="shared" si="4"/>
        <v>0</v>
      </c>
      <c r="N10" s="38">
        <f>市场概况!G54</f>
        <v>0</v>
      </c>
      <c r="O10" s="21">
        <f>市场概况!H54</f>
        <v>0</v>
      </c>
      <c r="P10" s="21">
        <f t="shared" si="5"/>
        <v>0</v>
      </c>
      <c r="Q10" s="150">
        <f t="shared" si="6"/>
        <v>0</v>
      </c>
      <c r="R10" s="151">
        <f>IFERROR(N10*(1+市场概况!L127),0)</f>
        <v>0</v>
      </c>
      <c r="S10" s="150">
        <f t="shared" si="7"/>
        <v>0</v>
      </c>
    </row>
    <row r="11" ht="24" customHeight="1" spans="1:19">
      <c r="A11" s="20">
        <v>8</v>
      </c>
      <c r="B11" s="20">
        <f>SUMIFS(市场概况!C:C,市场概况!A:A,"2022",市场概况!B:B,A:A)</f>
        <v>0</v>
      </c>
      <c r="C11" s="21">
        <v>0.0900788030595088</v>
      </c>
      <c r="D11" s="39">
        <f t="shared" si="0"/>
        <v>0</v>
      </c>
      <c r="E11" s="38">
        <f>SUMIFS(市场概况!F:F,市场概况!A:A,"2022",市场概况!B:B,A:A)</f>
        <v>0</v>
      </c>
      <c r="F11" s="21">
        <v>0.236798591263403</v>
      </c>
      <c r="G11" s="38">
        <f t="shared" si="1"/>
        <v>0</v>
      </c>
      <c r="H11" s="141">
        <f>市场概况!C55</f>
        <v>0</v>
      </c>
      <c r="I11" s="21">
        <f>市场概况!D55</f>
        <v>0</v>
      </c>
      <c r="J11" s="21">
        <f t="shared" si="2"/>
        <v>0</v>
      </c>
      <c r="K11" s="21">
        <f t="shared" si="3"/>
        <v>0</v>
      </c>
      <c r="L11" s="39">
        <f>IFERROR(H11+H11*市场概况!E128,0)</f>
        <v>0</v>
      </c>
      <c r="M11" s="21">
        <f t="shared" si="4"/>
        <v>0</v>
      </c>
      <c r="N11" s="38">
        <f>市场概况!G55</f>
        <v>0</v>
      </c>
      <c r="O11" s="21">
        <f>市场概况!H55</f>
        <v>0</v>
      </c>
      <c r="P11" s="21">
        <f t="shared" si="5"/>
        <v>0</v>
      </c>
      <c r="Q11" s="150">
        <f t="shared" si="6"/>
        <v>0</v>
      </c>
      <c r="R11" s="151">
        <f>IFERROR(N11*(1+市场概况!L128),0)</f>
        <v>0</v>
      </c>
      <c r="S11" s="150">
        <f t="shared" si="7"/>
        <v>0</v>
      </c>
    </row>
    <row r="12" ht="24" customHeight="1" spans="1:19">
      <c r="A12" s="20">
        <v>9</v>
      </c>
      <c r="B12" s="20">
        <f>SUMIFS(市场概况!C:C,市场概况!A:A,"2022",市场概况!B:B,A:A)</f>
        <v>0</v>
      </c>
      <c r="C12" s="21">
        <v>0.043828982112204</v>
      </c>
      <c r="D12" s="39">
        <f t="shared" si="0"/>
        <v>0</v>
      </c>
      <c r="E12" s="38">
        <f>SUMIFS(市场概况!F:F,市场概况!A:A,"2022",市场概况!B:B,A:A)</f>
        <v>0</v>
      </c>
      <c r="F12" s="21">
        <v>0.406888756624369</v>
      </c>
      <c r="G12" s="38">
        <f t="shared" si="1"/>
        <v>0</v>
      </c>
      <c r="H12" s="141">
        <f>市场概况!C56</f>
        <v>0</v>
      </c>
      <c r="I12" s="21">
        <f>市场概况!D56</f>
        <v>0</v>
      </c>
      <c r="J12" s="21">
        <f t="shared" si="2"/>
        <v>0</v>
      </c>
      <c r="K12" s="21">
        <f t="shared" si="3"/>
        <v>0</v>
      </c>
      <c r="L12" s="39">
        <f>IFERROR(H12+H12*市场概况!E129,0)</f>
        <v>0</v>
      </c>
      <c r="M12" s="21">
        <f t="shared" si="4"/>
        <v>0</v>
      </c>
      <c r="N12" s="38">
        <f>市场概况!G56</f>
        <v>0</v>
      </c>
      <c r="O12" s="21">
        <f>市场概况!H56</f>
        <v>0</v>
      </c>
      <c r="P12" s="21">
        <f t="shared" si="5"/>
        <v>0</v>
      </c>
      <c r="Q12" s="150">
        <f t="shared" si="6"/>
        <v>0</v>
      </c>
      <c r="R12" s="151">
        <f>IFERROR(N12*(1+市场概况!L129),0)</f>
        <v>0</v>
      </c>
      <c r="S12" s="150">
        <f t="shared" si="7"/>
        <v>0</v>
      </c>
    </row>
    <row r="13" ht="24" customHeight="1" spans="1:19">
      <c r="A13" s="20">
        <v>10</v>
      </c>
      <c r="B13" s="20">
        <f>SUMIFS(市场概况!C:C,市场概况!A:A,"2022",市场概况!B:B,A:A)</f>
        <v>0</v>
      </c>
      <c r="C13" s="21">
        <v>0.0517733496959711</v>
      </c>
      <c r="D13" s="39">
        <f t="shared" si="0"/>
        <v>0</v>
      </c>
      <c r="E13" s="38">
        <f>SUMIFS(市场概况!F:F,市场概况!A:A,"2022",市场概况!B:B,A:A)</f>
        <v>0</v>
      </c>
      <c r="F13" s="21">
        <v>0.695804861617784</v>
      </c>
      <c r="G13" s="38">
        <f t="shared" si="1"/>
        <v>0</v>
      </c>
      <c r="H13" s="141">
        <f>市场概况!C57</f>
        <v>0</v>
      </c>
      <c r="I13" s="21">
        <f>市场概况!D57</f>
        <v>0</v>
      </c>
      <c r="J13" s="21">
        <f t="shared" si="2"/>
        <v>0</v>
      </c>
      <c r="K13" s="21">
        <f t="shared" si="3"/>
        <v>0</v>
      </c>
      <c r="L13" s="39">
        <f>IFERROR(H13+H13*市场概况!E130,0)</f>
        <v>0</v>
      </c>
      <c r="M13" s="21">
        <f t="shared" si="4"/>
        <v>0</v>
      </c>
      <c r="N13" s="38">
        <f>市场概况!G57</f>
        <v>0</v>
      </c>
      <c r="O13" s="21">
        <f>市场概况!H57</f>
        <v>0</v>
      </c>
      <c r="P13" s="21">
        <f t="shared" si="5"/>
        <v>0</v>
      </c>
      <c r="Q13" s="150">
        <f t="shared" si="6"/>
        <v>0</v>
      </c>
      <c r="R13" s="151">
        <f>IFERROR(N13*(1+市场概况!L130),0)</f>
        <v>0</v>
      </c>
      <c r="S13" s="150">
        <f t="shared" si="7"/>
        <v>0</v>
      </c>
    </row>
    <row r="14" ht="24" customHeight="1" spans="1:19">
      <c r="A14" s="20">
        <v>11</v>
      </c>
      <c r="B14" s="20">
        <f>SUMIFS(市场概况!C:C,市场概况!A:A,"2022",市场概况!B:B,A:A)</f>
        <v>0</v>
      </c>
      <c r="C14" s="21">
        <v>0.0637870894295538</v>
      </c>
      <c r="D14" s="39">
        <f t="shared" si="0"/>
        <v>0</v>
      </c>
      <c r="E14" s="38">
        <f>SUMIFS(市场概况!F:F,市场概况!A:A,"2022",市场概况!B:B,A:A)</f>
        <v>0</v>
      </c>
      <c r="F14" s="21">
        <v>0.478398300842424</v>
      </c>
      <c r="G14" s="38">
        <f t="shared" si="1"/>
        <v>0</v>
      </c>
      <c r="H14" s="141">
        <f>市场概况!C58</f>
        <v>0</v>
      </c>
      <c r="I14" s="21">
        <f>市场概况!D58</f>
        <v>0</v>
      </c>
      <c r="J14" s="21">
        <f t="shared" si="2"/>
        <v>0</v>
      </c>
      <c r="K14" s="21">
        <f t="shared" si="3"/>
        <v>0</v>
      </c>
      <c r="L14" s="39">
        <f>IFERROR(H14+H14*市场概况!E131,0)</f>
        <v>0</v>
      </c>
      <c r="M14" s="21">
        <f t="shared" si="4"/>
        <v>0</v>
      </c>
      <c r="N14" s="38">
        <f>市场概况!G58</f>
        <v>0</v>
      </c>
      <c r="O14" s="21">
        <f>市场概况!H58</f>
        <v>0</v>
      </c>
      <c r="P14" s="21">
        <f t="shared" si="5"/>
        <v>0</v>
      </c>
      <c r="Q14" s="150">
        <f t="shared" si="6"/>
        <v>0</v>
      </c>
      <c r="R14" s="151">
        <f>IFERROR(N14*(1+市场概况!L131),0)</f>
        <v>0</v>
      </c>
      <c r="S14" s="150">
        <f t="shared" si="7"/>
        <v>0</v>
      </c>
    </row>
    <row r="15" ht="24" customHeight="1" spans="1:19">
      <c r="A15" s="20">
        <v>12</v>
      </c>
      <c r="B15" s="20">
        <f>SUMIFS(市场概况!C:C,市场概况!A:A,"2022",市场概况!B:B,A:A)</f>
        <v>0</v>
      </c>
      <c r="C15" s="21">
        <v>0.107887636450587</v>
      </c>
      <c r="D15" s="39">
        <f t="shared" si="0"/>
        <v>0</v>
      </c>
      <c r="E15" s="38">
        <f>SUMIFS(市场概况!F:F,市场概况!A:A,"2022",市场概况!B:B,A:A)</f>
        <v>0</v>
      </c>
      <c r="F15" s="21">
        <v>0.327598293362842</v>
      </c>
      <c r="G15" s="38">
        <f t="shared" si="1"/>
        <v>0</v>
      </c>
      <c r="H15" s="141">
        <f>市场概况!C59</f>
        <v>0</v>
      </c>
      <c r="I15" s="21">
        <f>市场概况!D59</f>
        <v>0</v>
      </c>
      <c r="J15" s="21">
        <f t="shared" si="2"/>
        <v>0</v>
      </c>
      <c r="K15" s="21">
        <f t="shared" si="3"/>
        <v>0</v>
      </c>
      <c r="L15" s="39">
        <f>IFERROR(H15+H15*市场概况!E132,0)</f>
        <v>0</v>
      </c>
      <c r="M15" s="21">
        <f t="shared" si="4"/>
        <v>0</v>
      </c>
      <c r="N15" s="38">
        <f>市场概况!G59</f>
        <v>0</v>
      </c>
      <c r="O15" s="21">
        <f>市场概况!H59</f>
        <v>0</v>
      </c>
      <c r="P15" s="21">
        <f t="shared" si="5"/>
        <v>0</v>
      </c>
      <c r="Q15" s="150">
        <f t="shared" si="6"/>
        <v>0</v>
      </c>
      <c r="R15" s="151">
        <f>IFERROR(N15*(1+市场概况!L132),0)</f>
        <v>0</v>
      </c>
      <c r="S15" s="150">
        <f t="shared" si="7"/>
        <v>0</v>
      </c>
    </row>
    <row r="16" ht="26" customHeight="1" spans="1:19">
      <c r="A16" s="121" t="s">
        <v>48</v>
      </c>
      <c r="B16" s="20">
        <f>SUM(B4:B15)</f>
        <v>0</v>
      </c>
      <c r="C16" s="21">
        <f>IFERROR(POWER(SUM(市场概况!E105:E116)/SUM(市场概况!B105:B116),1/4)-1,0)</f>
        <v>0</v>
      </c>
      <c r="D16" s="39">
        <f>SUM(D4:D15)</f>
        <v>0</v>
      </c>
      <c r="E16" s="38">
        <f>SUM(E4:E15)</f>
        <v>0</v>
      </c>
      <c r="F16" s="21">
        <f>IFERROR(POWER(SUM(市场概况!I105:I116)/SUM(市场概况!H105:H116),1/2)-1,0)</f>
        <v>0</v>
      </c>
      <c r="G16" s="38">
        <f>SUM(G4:G15)</f>
        <v>0</v>
      </c>
      <c r="H16" s="141">
        <f>SUM(H4:H15)</f>
        <v>0</v>
      </c>
      <c r="I16" s="21">
        <f>IFERROR(H16/B16,0)</f>
        <v>0</v>
      </c>
      <c r="J16" s="21">
        <f t="shared" si="2"/>
        <v>0</v>
      </c>
      <c r="K16" s="21">
        <f t="shared" si="3"/>
        <v>0</v>
      </c>
      <c r="L16" s="39">
        <f>SUM(L4:L15)</f>
        <v>0</v>
      </c>
      <c r="M16" s="21">
        <f t="shared" si="4"/>
        <v>0</v>
      </c>
      <c r="N16" s="38">
        <f>SUM(N4:N15)</f>
        <v>0</v>
      </c>
      <c r="O16" s="21">
        <f>AVERAGE(O4:O15)</f>
        <v>0</v>
      </c>
      <c r="P16" s="21">
        <f t="shared" si="5"/>
        <v>0</v>
      </c>
      <c r="Q16" s="150">
        <f t="shared" si="6"/>
        <v>0</v>
      </c>
      <c r="R16" s="151">
        <f>SUM(R4:R15)</f>
        <v>0</v>
      </c>
      <c r="S16" s="150">
        <f t="shared" si="7"/>
        <v>0</v>
      </c>
    </row>
    <row r="17" ht="20" customHeight="1"/>
    <row r="18" ht="24" customHeight="1" spans="3:19">
      <c r="C18"/>
      <c r="D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ht="26" customHeight="1" spans="3:19">
      <c r="C19"/>
      <c r="D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3:19">
      <c r="C20"/>
      <c r="D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3:19">
      <c r="C21"/>
      <c r="D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3:19">
      <c r="C22"/>
      <c r="D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3:19">
      <c r="C23"/>
      <c r="D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3:19">
      <c r="C24"/>
      <c r="D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3:19">
      <c r="C25"/>
      <c r="D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3:19">
      <c r="C26"/>
      <c r="D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3:19">
      <c r="C27"/>
      <c r="D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3:19">
      <c r="C28"/>
      <c r="D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3:19">
      <c r="C29"/>
      <c r="D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3:19">
      <c r="C30"/>
      <c r="D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3:19">
      <c r="C31"/>
      <c r="D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3:19">
      <c r="C32"/>
      <c r="D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3:19">
      <c r="C33"/>
      <c r="D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3:19">
      <c r="C34"/>
      <c r="D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3:19">
      <c r="C35"/>
      <c r="D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3:19">
      <c r="C36"/>
      <c r="D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3:19">
      <c r="C37"/>
      <c r="D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3:19">
      <c r="C38"/>
      <c r="D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3:19">
      <c r="C39"/>
      <c r="D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3:19">
      <c r="C40"/>
      <c r="D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3:19">
      <c r="C41"/>
      <c r="D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3:19">
      <c r="C42"/>
      <c r="D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3:19">
      <c r="C43"/>
      <c r="D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3:19">
      <c r="C44"/>
      <c r="D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3:19">
      <c r="C45"/>
      <c r="D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3:19">
      <c r="C46"/>
      <c r="D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3:19">
      <c r="C47"/>
      <c r="D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3:19">
      <c r="C48"/>
      <c r="D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3:19">
      <c r="C49"/>
      <c r="D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3:19">
      <c r="C50"/>
      <c r="D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3:19">
      <c r="C51"/>
      <c r="D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3:19">
      <c r="C52"/>
      <c r="D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3:19">
      <c r="C53"/>
      <c r="D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3:19">
      <c r="C54"/>
      <c r="D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3:19">
      <c r="C55"/>
      <c r="D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3:19">
      <c r="C56"/>
      <c r="D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3:19">
      <c r="C57"/>
      <c r="D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3:19">
      <c r="C58"/>
      <c r="D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3:19">
      <c r="C59"/>
      <c r="D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3:19">
      <c r="C60"/>
      <c r="D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</sheetData>
  <mergeCells count="3">
    <mergeCell ref="A1:S1"/>
    <mergeCell ref="A2:G2"/>
    <mergeCell ref="H2:S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F3" sqref="F3"/>
    </sheetView>
  </sheetViews>
  <sheetFormatPr defaultColWidth="9" defaultRowHeight="14.25"/>
  <cols>
    <col min="1" max="1" width="11.25" customWidth="1"/>
    <col min="2" max="2" width="17.1333333333333" customWidth="1"/>
    <col min="3" max="3" width="15.25" customWidth="1"/>
    <col min="4" max="4" width="17.1333333333333" customWidth="1"/>
    <col min="5" max="5" width="64.1333333333333" customWidth="1"/>
    <col min="6" max="6" width="8.38333333333333" style="105" customWidth="1"/>
    <col min="7" max="7" width="10.8833333333333" customWidth="1" outlineLevel="1"/>
    <col min="8" max="8" width="15" style="2" customWidth="1" outlineLevel="1"/>
    <col min="9" max="9" width="10.8833333333333" customWidth="1" outlineLevel="1"/>
    <col min="10" max="10" width="15" style="2" customWidth="1" outlineLevel="1"/>
    <col min="11" max="11" width="8.63333333333333" style="2" customWidth="1" outlineLevel="1"/>
    <col min="12" max="12" width="12.8833333333333" style="2" customWidth="1" outlineLevel="1"/>
    <col min="13" max="13" width="17.1333333333333" style="2" customWidth="1" outlineLevel="1"/>
    <col min="14" max="14" width="12.8833333333333" style="104" customWidth="1" outlineLevel="1"/>
    <col min="15" max="15" width="17.1333333333333" style="2" customWidth="1" outlineLevel="1"/>
    <col min="16" max="16" width="12.8833333333333" style="104" customWidth="1" outlineLevel="1"/>
    <col min="17" max="17" width="17.1333333333333" style="2" customWidth="1" outlineLevel="1"/>
    <col min="18" max="18" width="10.6333333333333" style="2" customWidth="1" outlineLevel="1"/>
    <col min="19" max="19" width="14.75" style="2" customWidth="1" outlineLevel="1"/>
    <col min="20" max="20" width="19.1333333333333" style="2" customWidth="1" outlineLevel="1"/>
    <col min="21" max="21" width="15" style="114" customWidth="1"/>
    <col min="22" max="22" width="12.8833333333333" style="115" customWidth="1"/>
    <col min="23" max="23" width="17.1333333333333" style="116" customWidth="1"/>
    <col min="24" max="24" width="21.25" style="115" customWidth="1"/>
  </cols>
  <sheetData>
    <row r="1" ht="38" customHeight="1" spans="1:24">
      <c r="A1" s="117" t="s">
        <v>166</v>
      </c>
      <c r="B1" s="118"/>
      <c r="C1" s="118"/>
      <c r="D1" s="118"/>
      <c r="E1" s="118"/>
      <c r="F1" s="119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24"/>
    </row>
    <row r="2" ht="31" customHeight="1" spans="1:24">
      <c r="A2" s="57" t="s">
        <v>167</v>
      </c>
      <c r="B2" s="57" t="s">
        <v>168</v>
      </c>
      <c r="C2" s="96" t="s">
        <v>169</v>
      </c>
      <c r="D2" s="96" t="s">
        <v>170</v>
      </c>
      <c r="E2" s="120" t="s">
        <v>171</v>
      </c>
      <c r="F2" s="34" t="s">
        <v>172</v>
      </c>
      <c r="G2" s="72" t="s">
        <v>173</v>
      </c>
      <c r="H2" s="76" t="s">
        <v>174</v>
      </c>
      <c r="I2" s="122" t="s">
        <v>175</v>
      </c>
      <c r="J2" s="122" t="s">
        <v>176</v>
      </c>
      <c r="K2" s="35" t="s">
        <v>46</v>
      </c>
      <c r="L2" s="35" t="s">
        <v>177</v>
      </c>
      <c r="M2" s="35" t="s">
        <v>178</v>
      </c>
      <c r="N2" s="123" t="s">
        <v>179</v>
      </c>
      <c r="O2" s="76" t="s">
        <v>180</v>
      </c>
      <c r="P2" s="46" t="s">
        <v>181</v>
      </c>
      <c r="Q2" s="122" t="s">
        <v>182</v>
      </c>
      <c r="R2" s="35" t="s">
        <v>47</v>
      </c>
      <c r="S2" s="35" t="s">
        <v>183</v>
      </c>
      <c r="T2" s="35" t="s">
        <v>184</v>
      </c>
      <c r="U2" s="39" t="s">
        <v>185</v>
      </c>
      <c r="V2" s="125" t="s">
        <v>186</v>
      </c>
      <c r="W2" s="38" t="s">
        <v>187</v>
      </c>
      <c r="X2" s="21" t="s">
        <v>188</v>
      </c>
    </row>
    <row r="3" ht="25" customHeight="1" spans="1:24">
      <c r="A3" s="20"/>
      <c r="B3" s="20"/>
      <c r="C3" s="21"/>
      <c r="D3" s="21"/>
      <c r="E3" s="110"/>
      <c r="F3" s="38"/>
      <c r="G3" s="20">
        <f>SUMIF('船长每月数据(2022年)'!E:E,C:C,'船长每月数据(2022年)'!P:P)</f>
        <v>0</v>
      </c>
      <c r="H3" s="21">
        <f>IFERROR(G3/SUM('船长每月数据(2022年)'!P2:P1077),0)</f>
        <v>0</v>
      </c>
      <c r="I3" s="20">
        <f>SUMIF('船长每月数据(2023年)'!E:E,C:C,'船长每月数据(2023年)'!P:P)</f>
        <v>0</v>
      </c>
      <c r="J3" s="21">
        <f>IFERROR(I3/SUM('船长每月数据(2023年)'!P2:P1002),0)</f>
        <v>0</v>
      </c>
      <c r="K3" s="21">
        <f t="shared" ref="K3:K19" si="0">IFERROR((I3-G3)/G3,0)</f>
        <v>0</v>
      </c>
      <c r="L3" s="21">
        <f t="shared" ref="L3:L19" si="1">IFERROR((J3-H3)/H3,0)</f>
        <v>0</v>
      </c>
      <c r="M3" s="21">
        <f t="shared" ref="M3:M19" si="2">IFERROR(EXP(LN(J3/H3/2)-1),0)</f>
        <v>0</v>
      </c>
      <c r="N3" s="38">
        <f>SUMIF('船长每月数据(2022年)'!E:E,C:C,'船长每月数据(2022年)'!R:R)</f>
        <v>0</v>
      </c>
      <c r="O3" s="21">
        <f>IFERROR(N3/SUM('船长每月数据(2022年)'!R2:R1077),0)</f>
        <v>0</v>
      </c>
      <c r="P3" s="38">
        <f>SUMIF('船长每月数据(2023年)'!E:E,C:C,'船长每月数据(2023年)'!R:R)</f>
        <v>0</v>
      </c>
      <c r="Q3" s="21">
        <f>IFERROR(P3/SUM('船长每月数据(2023年)'!R2:R1002),0)</f>
        <v>0</v>
      </c>
      <c r="R3" s="21">
        <f t="shared" ref="R3:R19" si="3">IFERROR((P3-N3)/N3,0)</f>
        <v>0</v>
      </c>
      <c r="S3" s="21">
        <f t="shared" ref="S3:S19" si="4">IFERROR((Q3-O3)/O3,0)</f>
        <v>0</v>
      </c>
      <c r="T3" s="21">
        <f t="shared" ref="T3:T19" si="5">IFERROR(EXP(LN(Q3/O3/2)-1),0)</f>
        <v>0</v>
      </c>
      <c r="U3" s="39">
        <f>IFERROR(市场预估!$L$16*(J3+J3*M3)/1.2,0)</f>
        <v>0</v>
      </c>
      <c r="V3" s="21">
        <f>IFERROR(U3/市场预估!$L$16,0)</f>
        <v>0</v>
      </c>
      <c r="W3" s="38">
        <f t="shared" ref="W3:W16" si="6">IFERROR(U3*F3,0)</f>
        <v>0</v>
      </c>
      <c r="X3" s="21">
        <f>IFERROR(W3/年目标!$E$15,0)</f>
        <v>0</v>
      </c>
    </row>
    <row r="4" ht="25" customHeight="1" spans="1:24">
      <c r="A4" s="20"/>
      <c r="B4" s="20"/>
      <c r="C4" s="21"/>
      <c r="D4" s="21"/>
      <c r="E4" s="111"/>
      <c r="F4" s="38"/>
      <c r="G4" s="20">
        <f>SUMIF('船长每月数据(2022年)'!E:E,C:C,'船长每月数据(2022年)'!P:P)</f>
        <v>0</v>
      </c>
      <c r="H4" s="21">
        <f>IFERROR(G4/SUM('船长每月数据(2022年)'!P3:P1078),0)</f>
        <v>0</v>
      </c>
      <c r="I4" s="20">
        <f>SUMIF('船长每月数据(2023年)'!E:E,C:C,'船长每月数据(2023年)'!P:P)</f>
        <v>0</v>
      </c>
      <c r="J4" s="21">
        <f>IFERROR(I4/SUM('船长每月数据(2023年)'!P3:P1003),0)</f>
        <v>0</v>
      </c>
      <c r="K4" s="21">
        <f t="shared" si="0"/>
        <v>0</v>
      </c>
      <c r="L4" s="21">
        <f t="shared" si="1"/>
        <v>0</v>
      </c>
      <c r="M4" s="21">
        <f t="shared" si="2"/>
        <v>0</v>
      </c>
      <c r="N4" s="38">
        <f>SUMIF('船长每月数据(2022年)'!E:E,C:C,'船长每月数据(2022年)'!R:R)</f>
        <v>0</v>
      </c>
      <c r="O4" s="21">
        <f>IFERROR(N4/SUM('船长每月数据(2022年)'!R3:R1078),0)</f>
        <v>0</v>
      </c>
      <c r="P4" s="38">
        <f>SUMIF('船长每月数据(2023年)'!E:E,C:C,'船长每月数据(2023年)'!R:R)</f>
        <v>0</v>
      </c>
      <c r="Q4" s="21">
        <f>IFERROR(P4/SUM('船长每月数据(2023年)'!R3:R1003),0)</f>
        <v>0</v>
      </c>
      <c r="R4" s="21">
        <f t="shared" si="3"/>
        <v>0</v>
      </c>
      <c r="S4" s="21">
        <f t="shared" si="4"/>
        <v>0</v>
      </c>
      <c r="T4" s="21">
        <f t="shared" si="5"/>
        <v>0</v>
      </c>
      <c r="U4" s="39">
        <f>IFERROR(市场预估!$L$16*(J4+J4*M4)/1.2,0)</f>
        <v>0</v>
      </c>
      <c r="V4" s="21">
        <f>IFERROR(U4/市场预估!$L$16,0)</f>
        <v>0</v>
      </c>
      <c r="W4" s="38">
        <f t="shared" si="6"/>
        <v>0</v>
      </c>
      <c r="X4" s="21">
        <f>IFERROR(W4/年目标!$E$15,0)</f>
        <v>0</v>
      </c>
    </row>
    <row r="5" ht="25" customHeight="1" spans="1:24">
      <c r="A5" s="20"/>
      <c r="B5" s="20"/>
      <c r="C5" s="21"/>
      <c r="D5" s="21"/>
      <c r="E5" s="110"/>
      <c r="F5" s="38"/>
      <c r="G5" s="20">
        <f>SUMIF('船长每月数据(2022年)'!E:E,C:C,'船长每月数据(2022年)'!P:P)</f>
        <v>0</v>
      </c>
      <c r="H5" s="21">
        <f>IFERROR(G5/SUM('船长每月数据(2022年)'!P4:P1079),0)</f>
        <v>0</v>
      </c>
      <c r="I5" s="20">
        <f>SUMIF('船长每月数据(2023年)'!E:E,C:C,'船长每月数据(2023年)'!P:P)</f>
        <v>0</v>
      </c>
      <c r="J5" s="21">
        <f>IFERROR(I5/SUM('船长每月数据(2023年)'!P4:P1004),0)</f>
        <v>0</v>
      </c>
      <c r="K5" s="21">
        <f t="shared" si="0"/>
        <v>0</v>
      </c>
      <c r="L5" s="21">
        <f t="shared" si="1"/>
        <v>0</v>
      </c>
      <c r="M5" s="21">
        <f t="shared" si="2"/>
        <v>0</v>
      </c>
      <c r="N5" s="38">
        <f>SUMIF('船长每月数据(2022年)'!E:E,C:C,'船长每月数据(2022年)'!R:R)</f>
        <v>0</v>
      </c>
      <c r="O5" s="21">
        <f>IFERROR(N5/SUM('船长每月数据(2022年)'!R4:R1079),0)</f>
        <v>0</v>
      </c>
      <c r="P5" s="38">
        <f>SUMIF('船长每月数据(2023年)'!E:E,C:C,'船长每月数据(2023年)'!R:R)</f>
        <v>0</v>
      </c>
      <c r="Q5" s="21">
        <f>IFERROR(P5/SUM('船长每月数据(2023年)'!R4:R1004),0)</f>
        <v>0</v>
      </c>
      <c r="R5" s="21">
        <f t="shared" si="3"/>
        <v>0</v>
      </c>
      <c r="S5" s="21">
        <f t="shared" si="4"/>
        <v>0</v>
      </c>
      <c r="T5" s="21">
        <f t="shared" si="5"/>
        <v>0</v>
      </c>
      <c r="U5" s="39">
        <f>IFERROR(市场预估!$L$16*(J5+J5*M5)/1.2,0)</f>
        <v>0</v>
      </c>
      <c r="V5" s="21">
        <f>IFERROR(U5/市场预估!$L$16,0)</f>
        <v>0</v>
      </c>
      <c r="W5" s="38">
        <f t="shared" si="6"/>
        <v>0</v>
      </c>
      <c r="X5" s="21">
        <f>IFERROR(W5/年目标!$E$15,0)</f>
        <v>0</v>
      </c>
    </row>
    <row r="6" ht="25" customHeight="1" spans="1:24">
      <c r="A6" s="20"/>
      <c r="B6" s="20"/>
      <c r="C6" s="21"/>
      <c r="D6" s="21"/>
      <c r="E6" s="111"/>
      <c r="F6" s="38"/>
      <c r="G6" s="20">
        <f>SUMIF('船长每月数据(2022年)'!E:E,C:C,'船长每月数据(2022年)'!P:P)</f>
        <v>0</v>
      </c>
      <c r="H6" s="21">
        <f>IFERROR(G6/SUM('船长每月数据(2022年)'!P5:P1080),0)</f>
        <v>0</v>
      </c>
      <c r="I6" s="20">
        <f>SUMIF('船长每月数据(2023年)'!E:E,C:C,'船长每月数据(2023年)'!P:P)</f>
        <v>0</v>
      </c>
      <c r="J6" s="21">
        <f>IFERROR(I6/SUM('船长每月数据(2023年)'!P5:P1005),0)</f>
        <v>0</v>
      </c>
      <c r="K6" s="21">
        <f t="shared" si="0"/>
        <v>0</v>
      </c>
      <c r="L6" s="21">
        <f t="shared" si="1"/>
        <v>0</v>
      </c>
      <c r="M6" s="21">
        <f t="shared" si="2"/>
        <v>0</v>
      </c>
      <c r="N6" s="38">
        <f>SUMIF('船长每月数据(2022年)'!E:E,C:C,'船长每月数据(2022年)'!R:R)</f>
        <v>0</v>
      </c>
      <c r="O6" s="21">
        <f>IFERROR(N6/SUM('船长每月数据(2022年)'!R5:R1080),0)</f>
        <v>0</v>
      </c>
      <c r="P6" s="38">
        <f>SUMIF('船长每月数据(2023年)'!E:E,C:C,'船长每月数据(2023年)'!R:R)</f>
        <v>0</v>
      </c>
      <c r="Q6" s="21">
        <f>IFERROR(P6/SUM('船长每月数据(2023年)'!R5:R1005),0)</f>
        <v>0</v>
      </c>
      <c r="R6" s="21">
        <f t="shared" si="3"/>
        <v>0</v>
      </c>
      <c r="S6" s="21">
        <f t="shared" si="4"/>
        <v>0</v>
      </c>
      <c r="T6" s="21">
        <f t="shared" si="5"/>
        <v>0</v>
      </c>
      <c r="U6" s="39">
        <f>IFERROR(市场预估!$L$16*(J6+J6*M6)/1.2,0)</f>
        <v>0</v>
      </c>
      <c r="V6" s="21">
        <f>IFERROR(U6/市场预估!$L$16,0)</f>
        <v>0</v>
      </c>
      <c r="W6" s="38">
        <f t="shared" si="6"/>
        <v>0</v>
      </c>
      <c r="X6" s="21">
        <f>IFERROR(W6/年目标!$E$15,0)</f>
        <v>0</v>
      </c>
    </row>
    <row r="7" ht="25" customHeight="1" spans="1:24">
      <c r="A7" s="20"/>
      <c r="B7" s="20"/>
      <c r="C7" s="21"/>
      <c r="D7" s="21"/>
      <c r="E7" s="111"/>
      <c r="F7" s="38"/>
      <c r="G7" s="20">
        <f>SUMIF('船长每月数据(2022年)'!E:E,C:C,'船长每月数据(2022年)'!P:P)</f>
        <v>0</v>
      </c>
      <c r="H7" s="21">
        <f>IFERROR(G7/SUM('船长每月数据(2022年)'!P6:P1081),0)</f>
        <v>0</v>
      </c>
      <c r="I7" s="20">
        <f>SUMIF('船长每月数据(2023年)'!E:E,C:C,'船长每月数据(2023年)'!P:P)</f>
        <v>0</v>
      </c>
      <c r="J7" s="21">
        <f>IFERROR(I7/SUM('船长每月数据(2023年)'!P6:P1006),0)</f>
        <v>0</v>
      </c>
      <c r="K7" s="21">
        <f t="shared" si="0"/>
        <v>0</v>
      </c>
      <c r="L7" s="21">
        <f t="shared" si="1"/>
        <v>0</v>
      </c>
      <c r="M7" s="21">
        <f t="shared" si="2"/>
        <v>0</v>
      </c>
      <c r="N7" s="38">
        <f>SUMIF('船长每月数据(2022年)'!E:E,C:C,'船长每月数据(2022年)'!R:R)</f>
        <v>0</v>
      </c>
      <c r="O7" s="21">
        <f>IFERROR(N7/SUM('船长每月数据(2022年)'!R6:R1081),0)</f>
        <v>0</v>
      </c>
      <c r="P7" s="38">
        <f>SUMIF('船长每月数据(2023年)'!E:E,C:C,'船长每月数据(2023年)'!R:R)</f>
        <v>0</v>
      </c>
      <c r="Q7" s="21">
        <f>IFERROR(P7/SUM('船长每月数据(2023年)'!R6:R1006),0)</f>
        <v>0</v>
      </c>
      <c r="R7" s="21">
        <f t="shared" si="3"/>
        <v>0</v>
      </c>
      <c r="S7" s="21">
        <f t="shared" si="4"/>
        <v>0</v>
      </c>
      <c r="T7" s="21">
        <f t="shared" si="5"/>
        <v>0</v>
      </c>
      <c r="U7" s="39">
        <f>IFERROR(市场预估!$L$16*(J7+J7*M7)/1.2,0)</f>
        <v>0</v>
      </c>
      <c r="V7" s="21">
        <f>IFERROR(U7/市场预估!$L$16,0)</f>
        <v>0</v>
      </c>
      <c r="W7" s="38">
        <f t="shared" si="6"/>
        <v>0</v>
      </c>
      <c r="X7" s="21">
        <f>IFERROR(W7/年目标!$E$15,0)</f>
        <v>0</v>
      </c>
    </row>
    <row r="8" ht="25" customHeight="1" spans="1:24">
      <c r="A8" s="20"/>
      <c r="B8" s="20"/>
      <c r="C8" s="21"/>
      <c r="D8" s="21"/>
      <c r="E8" s="110"/>
      <c r="F8" s="38"/>
      <c r="G8" s="20">
        <f>SUMIF('船长每月数据(2022年)'!E:E,C:C,'船长每月数据(2022年)'!P:P)</f>
        <v>0</v>
      </c>
      <c r="H8" s="21">
        <f>IFERROR(G8/SUM('船长每月数据(2022年)'!P7:P1082),0)</f>
        <v>0</v>
      </c>
      <c r="I8" s="20">
        <f>SUMIF('船长每月数据(2023年)'!E:E,C:C,'船长每月数据(2023年)'!P:P)</f>
        <v>0</v>
      </c>
      <c r="J8" s="21">
        <f>IFERROR(I8/SUM('船长每月数据(2023年)'!P7:P1007),0)</f>
        <v>0</v>
      </c>
      <c r="K8" s="21">
        <f t="shared" si="0"/>
        <v>0</v>
      </c>
      <c r="L8" s="21">
        <f t="shared" si="1"/>
        <v>0</v>
      </c>
      <c r="M8" s="21">
        <f t="shared" si="2"/>
        <v>0</v>
      </c>
      <c r="N8" s="38">
        <f>SUMIF('船长每月数据(2022年)'!E:E,C:C,'船长每月数据(2022年)'!R:R)</f>
        <v>0</v>
      </c>
      <c r="O8" s="21">
        <f>IFERROR(N8/SUM('船长每月数据(2022年)'!R7:R1082),0)</f>
        <v>0</v>
      </c>
      <c r="P8" s="38">
        <f>SUMIF('船长每月数据(2023年)'!E:E,C:C,'船长每月数据(2023年)'!R:R)</f>
        <v>0</v>
      </c>
      <c r="Q8" s="21">
        <f>IFERROR(P8/SUM('船长每月数据(2023年)'!R7:R1007),0)</f>
        <v>0</v>
      </c>
      <c r="R8" s="21">
        <f t="shared" si="3"/>
        <v>0</v>
      </c>
      <c r="S8" s="21">
        <f t="shared" si="4"/>
        <v>0</v>
      </c>
      <c r="T8" s="21">
        <f t="shared" si="5"/>
        <v>0</v>
      </c>
      <c r="U8" s="39">
        <f>IFERROR(市场预估!$L$16*(J8+J8*M8)/1.2,0)</f>
        <v>0</v>
      </c>
      <c r="V8" s="21">
        <f>IFERROR(U8/市场预估!$L$16,0)</f>
        <v>0</v>
      </c>
      <c r="W8" s="38">
        <f t="shared" si="6"/>
        <v>0</v>
      </c>
      <c r="X8" s="21">
        <f>IFERROR(W8/年目标!$E$15,0)</f>
        <v>0</v>
      </c>
    </row>
    <row r="9" ht="25" customHeight="1" spans="1:24">
      <c r="A9" s="20"/>
      <c r="B9" s="20"/>
      <c r="C9" s="21"/>
      <c r="D9" s="21"/>
      <c r="E9" s="111"/>
      <c r="F9" s="38"/>
      <c r="G9" s="20">
        <f>SUMIF('船长每月数据(2022年)'!E:E,C:C,'船长每月数据(2022年)'!P:P)</f>
        <v>0</v>
      </c>
      <c r="H9" s="21">
        <f>IFERROR(G9/SUM('船长每月数据(2022年)'!P8:P1083),0)</f>
        <v>0</v>
      </c>
      <c r="I9" s="20">
        <f>SUMIF('船长每月数据(2023年)'!E:E,C:C,'船长每月数据(2023年)'!P:P)</f>
        <v>0</v>
      </c>
      <c r="J9" s="21">
        <f>IFERROR(I9/SUM('船长每月数据(2023年)'!P8:P1008),0)</f>
        <v>0</v>
      </c>
      <c r="K9" s="21">
        <f t="shared" si="0"/>
        <v>0</v>
      </c>
      <c r="L9" s="21">
        <f t="shared" si="1"/>
        <v>0</v>
      </c>
      <c r="M9" s="21">
        <f t="shared" si="2"/>
        <v>0</v>
      </c>
      <c r="N9" s="38">
        <f>SUMIF('船长每月数据(2022年)'!E:E,C:C,'船长每月数据(2022年)'!R:R)</f>
        <v>0</v>
      </c>
      <c r="O9" s="21">
        <f>IFERROR(N9/SUM('船长每月数据(2022年)'!R8:R1083),0)</f>
        <v>0</v>
      </c>
      <c r="P9" s="38">
        <f>SUMIF('船长每月数据(2023年)'!E:E,C:C,'船长每月数据(2023年)'!R:R)</f>
        <v>0</v>
      </c>
      <c r="Q9" s="21">
        <f>IFERROR(P9/SUM('船长每月数据(2023年)'!R8:R1008),0)</f>
        <v>0</v>
      </c>
      <c r="R9" s="21">
        <f t="shared" si="3"/>
        <v>0</v>
      </c>
      <c r="S9" s="21">
        <f t="shared" si="4"/>
        <v>0</v>
      </c>
      <c r="T9" s="21">
        <f t="shared" si="5"/>
        <v>0</v>
      </c>
      <c r="U9" s="39">
        <f>IFERROR(市场预估!$L$16*(J9+J9*M9)/1.2,0)</f>
        <v>0</v>
      </c>
      <c r="V9" s="21">
        <f>IFERROR(U9/市场预估!$L$16,0)</f>
        <v>0</v>
      </c>
      <c r="W9" s="38">
        <f t="shared" si="6"/>
        <v>0</v>
      </c>
      <c r="X9" s="21">
        <f>IFERROR(W9/年目标!$E$15,0)</f>
        <v>0</v>
      </c>
    </row>
    <row r="10" ht="25" customHeight="1" spans="1:24">
      <c r="A10" s="20"/>
      <c r="B10" s="20"/>
      <c r="C10" s="21"/>
      <c r="D10" s="21"/>
      <c r="E10" s="111"/>
      <c r="F10" s="38"/>
      <c r="G10" s="20">
        <f>SUMIF('船长每月数据(2022年)'!E:E,C:C,'船长每月数据(2022年)'!P:P)</f>
        <v>0</v>
      </c>
      <c r="H10" s="21">
        <f>IFERROR(G10/SUM('船长每月数据(2022年)'!P9:P1084),0)</f>
        <v>0</v>
      </c>
      <c r="I10" s="20">
        <f>SUMIF('船长每月数据(2023年)'!E:E,C:C,'船长每月数据(2023年)'!P:P)</f>
        <v>0</v>
      </c>
      <c r="J10" s="21">
        <f>IFERROR(I10/SUM('船长每月数据(2023年)'!P9:P1009),0)</f>
        <v>0</v>
      </c>
      <c r="K10" s="21">
        <f t="shared" si="0"/>
        <v>0</v>
      </c>
      <c r="L10" s="21">
        <f t="shared" si="1"/>
        <v>0</v>
      </c>
      <c r="M10" s="21">
        <f t="shared" si="2"/>
        <v>0</v>
      </c>
      <c r="N10" s="38">
        <f>SUMIF('船长每月数据(2022年)'!E:E,C:C,'船长每月数据(2022年)'!R:R)</f>
        <v>0</v>
      </c>
      <c r="O10" s="21">
        <f>IFERROR(N10/SUM('船长每月数据(2022年)'!R9:R1084),0)</f>
        <v>0</v>
      </c>
      <c r="P10" s="38">
        <f>SUMIF('船长每月数据(2023年)'!E:E,C:C,'船长每月数据(2023年)'!R:R)</f>
        <v>0</v>
      </c>
      <c r="Q10" s="21">
        <f>IFERROR(P10/SUM('船长每月数据(2023年)'!R9:R1009),0)</f>
        <v>0</v>
      </c>
      <c r="R10" s="21">
        <f t="shared" si="3"/>
        <v>0</v>
      </c>
      <c r="S10" s="21">
        <f t="shared" si="4"/>
        <v>0</v>
      </c>
      <c r="T10" s="21">
        <f t="shared" si="5"/>
        <v>0</v>
      </c>
      <c r="U10" s="39">
        <f>IFERROR(市场预估!$L$16*(J10+J10*M10)/1.2,0)</f>
        <v>0</v>
      </c>
      <c r="V10" s="21">
        <f>IFERROR(U10/市场预估!$L$16,0)</f>
        <v>0</v>
      </c>
      <c r="W10" s="38">
        <f t="shared" si="6"/>
        <v>0</v>
      </c>
      <c r="X10" s="21">
        <f>IFERROR(W10/年目标!$E$15,0)</f>
        <v>0</v>
      </c>
    </row>
    <row r="11" ht="25" customHeight="1" spans="1:24">
      <c r="A11" s="20"/>
      <c r="B11" s="20"/>
      <c r="C11" s="21"/>
      <c r="D11" s="21"/>
      <c r="E11" s="111"/>
      <c r="F11" s="38"/>
      <c r="G11" s="20">
        <f>SUMIF('船长每月数据(2022年)'!E:E,C:C,'船长每月数据(2022年)'!P:P)</f>
        <v>0</v>
      </c>
      <c r="H11" s="21">
        <f>IFERROR(G11/SUM('船长每月数据(2022年)'!P10:P1085),0)</f>
        <v>0</v>
      </c>
      <c r="I11" s="20">
        <f>SUMIF('船长每月数据(2023年)'!E:E,C:C,'船长每月数据(2023年)'!P:P)</f>
        <v>0</v>
      </c>
      <c r="J11" s="21">
        <f>IFERROR(I11/SUM('船长每月数据(2023年)'!P10:P1010),0)</f>
        <v>0</v>
      </c>
      <c r="K11" s="21">
        <f t="shared" si="0"/>
        <v>0</v>
      </c>
      <c r="L11" s="21">
        <f t="shared" si="1"/>
        <v>0</v>
      </c>
      <c r="M11" s="21">
        <f t="shared" si="2"/>
        <v>0</v>
      </c>
      <c r="N11" s="38">
        <f>SUMIF('船长每月数据(2022年)'!E:E,C:C,'船长每月数据(2022年)'!R:R)</f>
        <v>0</v>
      </c>
      <c r="O11" s="21">
        <f>IFERROR(N11/SUM('船长每月数据(2022年)'!R10:R1085),0)</f>
        <v>0</v>
      </c>
      <c r="P11" s="38">
        <f>SUMIF('船长每月数据(2023年)'!E:E,C:C,'船长每月数据(2023年)'!R:R)</f>
        <v>0</v>
      </c>
      <c r="Q11" s="21">
        <f>IFERROR(P11/SUM('船长每月数据(2023年)'!R10:R1010),0)</f>
        <v>0</v>
      </c>
      <c r="R11" s="21">
        <f t="shared" si="3"/>
        <v>0</v>
      </c>
      <c r="S11" s="21">
        <f t="shared" si="4"/>
        <v>0</v>
      </c>
      <c r="T11" s="21">
        <f t="shared" si="5"/>
        <v>0</v>
      </c>
      <c r="U11" s="39">
        <f>IFERROR(市场预估!$L$16*(J11+J11*M11)/1.2,0)</f>
        <v>0</v>
      </c>
      <c r="V11" s="21">
        <f>IFERROR(U11/市场预估!$L$16,0)</f>
        <v>0</v>
      </c>
      <c r="W11" s="38">
        <f t="shared" si="6"/>
        <v>0</v>
      </c>
      <c r="X11" s="21">
        <f>IFERROR(W11/年目标!$E$15,0)</f>
        <v>0</v>
      </c>
    </row>
    <row r="12" ht="25" customHeight="1" spans="1:24">
      <c r="A12" s="20"/>
      <c r="B12" s="20"/>
      <c r="C12" s="21"/>
      <c r="D12" s="21"/>
      <c r="E12" s="110"/>
      <c r="F12" s="38"/>
      <c r="G12" s="20">
        <f>SUMIF('船长每月数据(2022年)'!E:E,C:C,'船长每月数据(2022年)'!P:P)</f>
        <v>0</v>
      </c>
      <c r="H12" s="21">
        <f>IFERROR(G12/SUM('船长每月数据(2022年)'!P11:P1086),0)</f>
        <v>0</v>
      </c>
      <c r="I12" s="20">
        <f>SUMIF('船长每月数据(2023年)'!E:E,C:C,'船长每月数据(2023年)'!P:P)</f>
        <v>0</v>
      </c>
      <c r="J12" s="21">
        <f>IFERROR(I12/SUM('船长每月数据(2023年)'!P11:P1011),0)</f>
        <v>0</v>
      </c>
      <c r="K12" s="21">
        <f t="shared" si="0"/>
        <v>0</v>
      </c>
      <c r="L12" s="21">
        <f t="shared" si="1"/>
        <v>0</v>
      </c>
      <c r="M12" s="21">
        <f t="shared" si="2"/>
        <v>0</v>
      </c>
      <c r="N12" s="38">
        <f>SUMIF('船长每月数据(2022年)'!E:E,C:C,'船长每月数据(2022年)'!R:R)</f>
        <v>0</v>
      </c>
      <c r="O12" s="21">
        <f>IFERROR(N12/SUM('船长每月数据(2022年)'!R11:R1086),0)</f>
        <v>0</v>
      </c>
      <c r="P12" s="38">
        <f>SUMIF('船长每月数据(2023年)'!E:E,C:C,'船长每月数据(2023年)'!R:R)</f>
        <v>0</v>
      </c>
      <c r="Q12" s="21">
        <f>IFERROR(P12/SUM('船长每月数据(2023年)'!R11:R1011),0)</f>
        <v>0</v>
      </c>
      <c r="R12" s="21">
        <f t="shared" si="3"/>
        <v>0</v>
      </c>
      <c r="S12" s="21">
        <f t="shared" si="4"/>
        <v>0</v>
      </c>
      <c r="T12" s="21">
        <f t="shared" si="5"/>
        <v>0</v>
      </c>
      <c r="U12" s="39">
        <f>IFERROR(市场预估!$L$16*(J12+J12*M12)/1.2,0)</f>
        <v>0</v>
      </c>
      <c r="V12" s="21">
        <f>IFERROR(U12/市场预估!$L$16,0)</f>
        <v>0</v>
      </c>
      <c r="W12" s="38">
        <f t="shared" si="6"/>
        <v>0</v>
      </c>
      <c r="X12" s="21">
        <f>IFERROR(W12/年目标!$E$15,0)</f>
        <v>0</v>
      </c>
    </row>
    <row r="13" ht="25" customHeight="1" spans="1:24">
      <c r="A13" s="121"/>
      <c r="B13" s="20"/>
      <c r="C13" s="21"/>
      <c r="D13" s="21"/>
      <c r="E13" s="110"/>
      <c r="F13" s="38"/>
      <c r="G13" s="20">
        <f>SUMIF('船长每月数据(2022年)'!E:E,C:C,'船长每月数据(2022年)'!P:P)</f>
        <v>0</v>
      </c>
      <c r="H13" s="21">
        <f>IFERROR(G13/SUM('船长每月数据(2022年)'!P12:P1087),0)</f>
        <v>0</v>
      </c>
      <c r="I13" s="20">
        <f>SUMIF('船长每月数据(2023年)'!E:E,C:C,'船长每月数据(2023年)'!P:P)</f>
        <v>0</v>
      </c>
      <c r="J13" s="21">
        <f>IFERROR(I13/SUM('船长每月数据(2023年)'!P12:P1012),0)</f>
        <v>0</v>
      </c>
      <c r="K13" s="21">
        <f t="shared" si="0"/>
        <v>0</v>
      </c>
      <c r="L13" s="21">
        <f t="shared" si="1"/>
        <v>0</v>
      </c>
      <c r="M13" s="21">
        <f t="shared" si="2"/>
        <v>0</v>
      </c>
      <c r="N13" s="38">
        <f>SUMIF('船长每月数据(2022年)'!E:E,C:C,'船长每月数据(2022年)'!R:R)</f>
        <v>0</v>
      </c>
      <c r="O13" s="21">
        <f>IFERROR(N13/SUM('船长每月数据(2022年)'!R12:R1087),0)</f>
        <v>0</v>
      </c>
      <c r="P13" s="38">
        <f>SUMIF('船长每月数据(2023年)'!E:E,C:C,'船长每月数据(2023年)'!R:R)</f>
        <v>0</v>
      </c>
      <c r="Q13" s="21">
        <f>IFERROR(P13/SUM('船长每月数据(2023年)'!R12:R1012),0)</f>
        <v>0</v>
      </c>
      <c r="R13" s="21">
        <f t="shared" si="3"/>
        <v>0</v>
      </c>
      <c r="S13" s="21">
        <f t="shared" si="4"/>
        <v>0</v>
      </c>
      <c r="T13" s="21">
        <f t="shared" si="5"/>
        <v>0</v>
      </c>
      <c r="U13" s="39">
        <f>IFERROR(市场预估!$L$16*(J13+J13*M13)/1.2,0)</f>
        <v>0</v>
      </c>
      <c r="V13" s="21">
        <f>IFERROR(U13/市场预估!$L$16,0)</f>
        <v>0</v>
      </c>
      <c r="W13" s="38">
        <f t="shared" si="6"/>
        <v>0</v>
      </c>
      <c r="X13" s="21">
        <f>IFERROR(W13/年目标!$E$15,0)</f>
        <v>0</v>
      </c>
    </row>
    <row r="14" ht="25" customHeight="1" spans="1:24">
      <c r="A14" s="20"/>
      <c r="B14" s="121"/>
      <c r="C14" s="21"/>
      <c r="D14" s="21"/>
      <c r="E14" s="74"/>
      <c r="F14" s="38"/>
      <c r="G14" s="20">
        <f>SUMIF('船长每月数据(2022年)'!E:E,C:C,'船长每月数据(2022年)'!P:P)</f>
        <v>0</v>
      </c>
      <c r="H14" s="21">
        <f>IFERROR(G14/SUM('船长每月数据(2022年)'!P13:P1088),0)</f>
        <v>0</v>
      </c>
      <c r="I14" s="20">
        <f>SUMIF('船长每月数据(2023年)'!E:E,C:C,'船长每月数据(2023年)'!P:P)</f>
        <v>0</v>
      </c>
      <c r="J14" s="21">
        <f>IFERROR(I14/SUM('船长每月数据(2023年)'!P13:P1013),0)</f>
        <v>0</v>
      </c>
      <c r="K14" s="21">
        <f t="shared" si="0"/>
        <v>0</v>
      </c>
      <c r="L14" s="21">
        <f t="shared" si="1"/>
        <v>0</v>
      </c>
      <c r="M14" s="21">
        <f t="shared" si="2"/>
        <v>0</v>
      </c>
      <c r="N14" s="38">
        <f>SUMIF('船长每月数据(2022年)'!E:E,C:C,'船长每月数据(2022年)'!R:R)</f>
        <v>0</v>
      </c>
      <c r="O14" s="21">
        <f>IFERROR(N14/SUM('船长每月数据(2022年)'!R13:R1088),0)</f>
        <v>0</v>
      </c>
      <c r="P14" s="38">
        <f>SUMIF('船长每月数据(2023年)'!E:E,C:C,'船长每月数据(2023年)'!R:R)</f>
        <v>0</v>
      </c>
      <c r="Q14" s="21">
        <f>IFERROR(P14/SUM('船长每月数据(2023年)'!R13:R1013),0)</f>
        <v>0</v>
      </c>
      <c r="R14" s="21">
        <f t="shared" si="3"/>
        <v>0</v>
      </c>
      <c r="S14" s="21">
        <f t="shared" si="4"/>
        <v>0</v>
      </c>
      <c r="T14" s="21">
        <f t="shared" si="5"/>
        <v>0</v>
      </c>
      <c r="U14" s="39">
        <f>IFERROR(市场预估!$L$16*(J14+J14*M14)/1.2,0)</f>
        <v>0</v>
      </c>
      <c r="V14" s="21">
        <f>IFERROR(J14*(1+M14),0)</f>
        <v>0</v>
      </c>
      <c r="W14" s="38">
        <f t="shared" si="6"/>
        <v>0</v>
      </c>
      <c r="X14" s="21">
        <f>IFERROR(W14/年目标!$E$15,0)</f>
        <v>0</v>
      </c>
    </row>
    <row r="15" ht="25" customHeight="1" spans="1:24">
      <c r="A15" s="20"/>
      <c r="B15" s="121"/>
      <c r="C15" s="21"/>
      <c r="D15" s="21"/>
      <c r="E15" s="74"/>
      <c r="F15" s="38"/>
      <c r="G15" s="20">
        <f>SUMIF('船长每月数据(2022年)'!E:E,C:C,'船长每月数据(2022年)'!P:P)</f>
        <v>0</v>
      </c>
      <c r="H15" s="21">
        <f>IFERROR(G15/SUM('船长每月数据(2022年)'!P14:P1089),0)</f>
        <v>0</v>
      </c>
      <c r="I15" s="20">
        <f>SUMIF('船长每月数据(2023年)'!E:E,C:C,'船长每月数据(2023年)'!P:P)</f>
        <v>0</v>
      </c>
      <c r="J15" s="21">
        <f>IFERROR(I15/SUM('船长每月数据(2023年)'!P14:P1014),0)</f>
        <v>0</v>
      </c>
      <c r="K15" s="21">
        <f t="shared" si="0"/>
        <v>0</v>
      </c>
      <c r="L15" s="21">
        <f t="shared" si="1"/>
        <v>0</v>
      </c>
      <c r="M15" s="21">
        <f t="shared" si="2"/>
        <v>0</v>
      </c>
      <c r="N15" s="38">
        <f>SUMIF('船长每月数据(2022年)'!E:E,C:C,'船长每月数据(2022年)'!R:R)</f>
        <v>0</v>
      </c>
      <c r="O15" s="21">
        <f>IFERROR(N15/SUM('船长每月数据(2022年)'!R14:R1089),0)</f>
        <v>0</v>
      </c>
      <c r="P15" s="38">
        <f>SUMIF('船长每月数据(2023年)'!E:E,C:C,'船长每月数据(2023年)'!R:R)</f>
        <v>0</v>
      </c>
      <c r="Q15" s="21">
        <f>IFERROR(P15/SUM('船长每月数据(2023年)'!R14:R1014),0)</f>
        <v>0</v>
      </c>
      <c r="R15" s="21">
        <f t="shared" si="3"/>
        <v>0</v>
      </c>
      <c r="S15" s="21">
        <f t="shared" si="4"/>
        <v>0</v>
      </c>
      <c r="T15" s="21">
        <f t="shared" si="5"/>
        <v>0</v>
      </c>
      <c r="U15" s="39">
        <f>IFERROR(市场预估!$L$16*(J15+J15*M15),0)</f>
        <v>0</v>
      </c>
      <c r="V15" s="21">
        <f>IFERROR(J15*(1+M15),0)</f>
        <v>0</v>
      </c>
      <c r="W15" s="38">
        <f t="shared" si="6"/>
        <v>0</v>
      </c>
      <c r="X15" s="21">
        <f>IFERROR(W15/年目标!$E$15,0)</f>
        <v>0</v>
      </c>
    </row>
    <row r="16" ht="25" customHeight="1" spans="1:24">
      <c r="A16" s="20"/>
      <c r="B16" s="121"/>
      <c r="C16" s="21"/>
      <c r="D16" s="21"/>
      <c r="E16" s="74"/>
      <c r="F16" s="38"/>
      <c r="G16" s="20">
        <f>SUMIF('船长每月数据(2022年)'!E:E,C:C,'船长每月数据(2022年)'!P:P)</f>
        <v>0</v>
      </c>
      <c r="H16" s="21">
        <f>IFERROR(G16/SUM('船长每月数据(2022年)'!P17:P1092),0)</f>
        <v>0</v>
      </c>
      <c r="I16" s="20">
        <f>SUMIF('船长每月数据(2023年)'!E:E,C:C,'船长每月数据(2023年)'!P:P)</f>
        <v>0</v>
      </c>
      <c r="J16" s="21">
        <f>IFERROR(I16/SUM('船长每月数据(2023年)'!P17:P1017),0)</f>
        <v>0</v>
      </c>
      <c r="K16" s="21">
        <f t="shared" si="0"/>
        <v>0</v>
      </c>
      <c r="L16" s="21">
        <f t="shared" si="1"/>
        <v>0</v>
      </c>
      <c r="M16" s="21">
        <f t="shared" si="2"/>
        <v>0</v>
      </c>
      <c r="N16" s="38">
        <f>SUMIF('船长每月数据(2022年)'!E:E,C:C,'船长每月数据(2022年)'!R:R)</f>
        <v>0</v>
      </c>
      <c r="O16" s="21">
        <f>IFERROR(N16/SUM('船长每月数据(2022年)'!R17:R1092),0)</f>
        <v>0</v>
      </c>
      <c r="P16" s="38">
        <f>SUMIF('船长每月数据(2023年)'!E:E,C:C,'船长每月数据(2023年)'!R:R)</f>
        <v>0</v>
      </c>
      <c r="Q16" s="21">
        <f>IFERROR(P16/SUM('船长每月数据(2023年)'!R17:R1017),0)</f>
        <v>0</v>
      </c>
      <c r="R16" s="21">
        <f t="shared" si="3"/>
        <v>0</v>
      </c>
      <c r="S16" s="21">
        <f t="shared" si="4"/>
        <v>0</v>
      </c>
      <c r="T16" s="21">
        <f t="shared" si="5"/>
        <v>0</v>
      </c>
      <c r="U16" s="39">
        <f>IFERROR(市场预估!$L$16*(J16+J16*M16),0)/1.2</f>
        <v>0</v>
      </c>
      <c r="V16" s="21">
        <f>IFERROR(J16*(1+M16),0)</f>
        <v>0</v>
      </c>
      <c r="W16" s="38">
        <f t="shared" si="6"/>
        <v>0</v>
      </c>
      <c r="X16" s="21">
        <f>IFERROR(W16/年目标!$E$15,0)</f>
        <v>0</v>
      </c>
    </row>
    <row r="17" ht="25" customHeight="1" spans="1:24">
      <c r="A17" s="20"/>
      <c r="B17" s="121"/>
      <c r="C17" s="21"/>
      <c r="D17" s="21"/>
      <c r="E17" s="74"/>
      <c r="F17" s="38"/>
      <c r="G17" s="20">
        <f>SUMIF('船长每月数据(2022年)'!E:E,C:C,'船长每月数据(2022年)'!P:P)</f>
        <v>0</v>
      </c>
      <c r="H17" s="21">
        <f>IFERROR(G17/SUM('船长每月数据(2022年)'!P22:P1097),0)</f>
        <v>0</v>
      </c>
      <c r="I17" s="20">
        <f>SUMIF('船长每月数据(2023年)'!E:E,C:C,'船长每月数据(2023年)'!P:P)</f>
        <v>0</v>
      </c>
      <c r="J17" s="21">
        <f>IFERROR(I17/SUM('船长每月数据(2023年)'!P22:P1022),0)</f>
        <v>0</v>
      </c>
      <c r="K17" s="21">
        <f t="shared" ref="K17:K37" si="7">IFERROR((I17-G17)/G17,0)</f>
        <v>0</v>
      </c>
      <c r="L17" s="21">
        <f t="shared" ref="L17:L37" si="8">IFERROR((J17-H17)/H17,0)</f>
        <v>0</v>
      </c>
      <c r="M17" s="21">
        <f t="shared" ref="M17:M32" si="9">IFERROR(EXP(LN(J17/H17/2)-1),0)</f>
        <v>0</v>
      </c>
      <c r="N17" s="38">
        <f>SUMIF('船长每月数据(2022年)'!E:E,C:C,'船长每月数据(2022年)'!R:R)</f>
        <v>0</v>
      </c>
      <c r="O17" s="21">
        <f>IFERROR(N17/SUM('船长每月数据(2022年)'!R22:R1097),0)</f>
        <v>0</v>
      </c>
      <c r="P17" s="38">
        <f>SUMIF('船长每月数据(2023年)'!E:E,C:C,'船长每月数据(2023年)'!R:R)</f>
        <v>0</v>
      </c>
      <c r="Q17" s="21">
        <f>IFERROR(P17/SUM('船长每月数据(2023年)'!R22:R1022),0)</f>
        <v>0</v>
      </c>
      <c r="R17" s="21">
        <f t="shared" ref="R17:R37" si="10">IFERROR((P17-N17)/N17,0)</f>
        <v>0</v>
      </c>
      <c r="S17" s="21">
        <f t="shared" ref="S17:S37" si="11">IFERROR((Q17-O17)/O17,0)</f>
        <v>0</v>
      </c>
      <c r="T17" s="21">
        <f t="shared" ref="T17:T32" si="12">IFERROR(EXP(LN(Q17/O17/2)-1),0)</f>
        <v>0</v>
      </c>
      <c r="U17" s="39">
        <f>IFERROR(市场预估!$L$16*(J17+J17*M17),0)/1.2</f>
        <v>0</v>
      </c>
      <c r="V17" s="21">
        <f t="shared" ref="V17:V32" si="13">IFERROR(J17*(1+M17),0)</f>
        <v>0</v>
      </c>
      <c r="W17" s="38">
        <f t="shared" ref="W17:W30" si="14">IFERROR(U17*F17,0)</f>
        <v>0</v>
      </c>
      <c r="X17" s="21">
        <f>IFERROR(W17/年目标!$E$15,0)</f>
        <v>0</v>
      </c>
    </row>
    <row r="18" ht="25" customHeight="1" spans="1:24">
      <c r="A18" s="20"/>
      <c r="B18" s="121"/>
      <c r="C18" s="21"/>
      <c r="D18" s="21"/>
      <c r="E18" s="74"/>
      <c r="F18" s="38"/>
      <c r="G18" s="20">
        <f>SUMIF('船长每月数据(2022年)'!E:E,C:C,'船长每月数据(2022年)'!P:P)</f>
        <v>0</v>
      </c>
      <c r="H18" s="21">
        <f>IFERROR(G18/SUM('船长每月数据(2022年)'!P23:P1098),0)</f>
        <v>0</v>
      </c>
      <c r="I18" s="20">
        <f>SUMIF('船长每月数据(2023年)'!E:E,C:C,'船长每月数据(2023年)'!P:P)</f>
        <v>0</v>
      </c>
      <c r="J18" s="21">
        <f>IFERROR(I18/SUM('船长每月数据(2023年)'!P23:P1023),0)</f>
        <v>0</v>
      </c>
      <c r="K18" s="21">
        <f t="shared" si="7"/>
        <v>0</v>
      </c>
      <c r="L18" s="21">
        <f t="shared" si="8"/>
        <v>0</v>
      </c>
      <c r="M18" s="21">
        <f t="shared" si="9"/>
        <v>0</v>
      </c>
      <c r="N18" s="38">
        <f>SUMIF('船长每月数据(2022年)'!E:E,C:C,'船长每月数据(2022年)'!R:R)</f>
        <v>0</v>
      </c>
      <c r="O18" s="21">
        <f>IFERROR(N18/SUM('船长每月数据(2022年)'!R23:R1098),0)</f>
        <v>0</v>
      </c>
      <c r="P18" s="38">
        <f>SUMIF('船长每月数据(2023年)'!E:E,C:C,'船长每月数据(2023年)'!R:R)</f>
        <v>0</v>
      </c>
      <c r="Q18" s="21">
        <f>IFERROR(P18/SUM('船长每月数据(2023年)'!R23:R1023),0)</f>
        <v>0</v>
      </c>
      <c r="R18" s="21">
        <f t="shared" si="10"/>
        <v>0</v>
      </c>
      <c r="S18" s="21">
        <f t="shared" si="11"/>
        <v>0</v>
      </c>
      <c r="T18" s="21">
        <f t="shared" si="12"/>
        <v>0</v>
      </c>
      <c r="U18" s="39">
        <f>IFERROR(市场预估!$L$16*(J18+J18*M18),0)</f>
        <v>0</v>
      </c>
      <c r="V18" s="21">
        <f t="shared" si="13"/>
        <v>0</v>
      </c>
      <c r="W18" s="38">
        <f t="shared" si="14"/>
        <v>0</v>
      </c>
      <c r="X18" s="21">
        <f>IFERROR(W18/年目标!$E$15,0)</f>
        <v>0</v>
      </c>
    </row>
    <row r="19" ht="25" customHeight="1" spans="1:24">
      <c r="A19" s="20"/>
      <c r="B19" s="121"/>
      <c r="C19" s="21"/>
      <c r="D19" s="21"/>
      <c r="E19" s="74"/>
      <c r="F19" s="38"/>
      <c r="G19" s="20">
        <f>SUMIF('船长每月数据(2022年)'!E:E,C:C,'船长每月数据(2022年)'!P:P)</f>
        <v>0</v>
      </c>
      <c r="H19" s="21">
        <f>IFERROR(G19/SUM('船长每月数据(2022年)'!P24:P1099),0)</f>
        <v>0</v>
      </c>
      <c r="I19" s="20">
        <f>SUMIF('船长每月数据(2023年)'!E:E,C:C,'船长每月数据(2023年)'!P:P)</f>
        <v>0</v>
      </c>
      <c r="J19" s="21">
        <f>IFERROR(I19/SUM('船长每月数据(2023年)'!P24:P1024),0)</f>
        <v>0</v>
      </c>
      <c r="K19" s="21">
        <f t="shared" si="7"/>
        <v>0</v>
      </c>
      <c r="L19" s="21">
        <f t="shared" si="8"/>
        <v>0</v>
      </c>
      <c r="M19" s="21">
        <f t="shared" si="9"/>
        <v>0</v>
      </c>
      <c r="N19" s="38">
        <f>SUMIF('船长每月数据(2022年)'!E:E,C:C,'船长每月数据(2022年)'!R:R)</f>
        <v>0</v>
      </c>
      <c r="O19" s="21">
        <f>IFERROR(N19/SUM('船长每月数据(2022年)'!R24:R1099),0)</f>
        <v>0</v>
      </c>
      <c r="P19" s="38">
        <f>SUMIF('船长每月数据(2023年)'!E:E,C:C,'船长每月数据(2023年)'!R:R)</f>
        <v>0</v>
      </c>
      <c r="Q19" s="21">
        <f>IFERROR(P19/SUM('船长每月数据(2023年)'!R24:R1024),0)</f>
        <v>0</v>
      </c>
      <c r="R19" s="21">
        <f t="shared" si="10"/>
        <v>0</v>
      </c>
      <c r="S19" s="21">
        <f t="shared" si="11"/>
        <v>0</v>
      </c>
      <c r="T19" s="21">
        <f t="shared" si="12"/>
        <v>0</v>
      </c>
      <c r="U19" s="39">
        <f>IFERROR(市场预估!$L$16*(J19+J19*M19),0)</f>
        <v>0</v>
      </c>
      <c r="V19" s="21">
        <f t="shared" si="13"/>
        <v>0</v>
      </c>
      <c r="W19" s="38">
        <f t="shared" si="14"/>
        <v>0</v>
      </c>
      <c r="X19" s="21">
        <f>IFERROR(W19/年目标!$E$15,0)</f>
        <v>0</v>
      </c>
    </row>
    <row r="20" ht="25" customHeight="1" spans="1:24">
      <c r="A20" s="20"/>
      <c r="B20" s="121"/>
      <c r="C20" s="21"/>
      <c r="D20" s="21"/>
      <c r="E20" s="74"/>
      <c r="F20" s="38"/>
      <c r="G20" s="20">
        <f>SUMIF('船长每月数据(2022年)'!E:E,C:C,'船长每月数据(2022年)'!P:P)</f>
        <v>0</v>
      </c>
      <c r="H20" s="21">
        <f>IFERROR(G20/SUM('船长每月数据(2022年)'!P25:P1100),0)</f>
        <v>0</v>
      </c>
      <c r="I20" s="20">
        <f>SUMIF('船长每月数据(2023年)'!E:E,C:C,'船长每月数据(2023年)'!P:P)</f>
        <v>0</v>
      </c>
      <c r="J20" s="21">
        <f>IFERROR(I20/SUM('船长每月数据(2023年)'!P25:P1025),0)</f>
        <v>0</v>
      </c>
      <c r="K20" s="21">
        <f t="shared" si="7"/>
        <v>0</v>
      </c>
      <c r="L20" s="21">
        <f t="shared" si="8"/>
        <v>0</v>
      </c>
      <c r="M20" s="21">
        <f t="shared" si="9"/>
        <v>0</v>
      </c>
      <c r="N20" s="38">
        <f>SUMIF('船长每月数据(2022年)'!E:E,C:C,'船长每月数据(2022年)'!R:R)</f>
        <v>0</v>
      </c>
      <c r="O20" s="21">
        <f>IFERROR(N20/SUM('船长每月数据(2022年)'!R25:R1100),0)</f>
        <v>0</v>
      </c>
      <c r="P20" s="38">
        <f>SUMIF('船长每月数据(2023年)'!E:E,C:C,'船长每月数据(2023年)'!R:R)</f>
        <v>0</v>
      </c>
      <c r="Q20" s="21">
        <f>IFERROR(P20/SUM('船长每月数据(2023年)'!R25:R1025),0)</f>
        <v>0</v>
      </c>
      <c r="R20" s="21">
        <f t="shared" si="10"/>
        <v>0</v>
      </c>
      <c r="S20" s="21">
        <f t="shared" si="11"/>
        <v>0</v>
      </c>
      <c r="T20" s="21">
        <f t="shared" si="12"/>
        <v>0</v>
      </c>
      <c r="U20" s="39">
        <f>IFERROR(市场预估!$L$16*(J20+J20*M20),0)</f>
        <v>0</v>
      </c>
      <c r="V20" s="21">
        <f t="shared" si="13"/>
        <v>0</v>
      </c>
      <c r="W20" s="38">
        <f t="shared" si="14"/>
        <v>0</v>
      </c>
      <c r="X20" s="21">
        <f>IFERROR(W20/年目标!$E$15,0)</f>
        <v>0</v>
      </c>
    </row>
    <row r="21" ht="25" customHeight="1" spans="1:24">
      <c r="A21" s="20"/>
      <c r="B21" s="121"/>
      <c r="C21" s="21"/>
      <c r="D21" s="21"/>
      <c r="E21" s="74"/>
      <c r="F21" s="38"/>
      <c r="G21" s="20">
        <f>SUMIF('船长每月数据(2022年)'!E:E,C:C,'船长每月数据(2022年)'!P:P)</f>
        <v>0</v>
      </c>
      <c r="H21" s="21">
        <f>IFERROR(G21/SUM('船长每月数据(2022年)'!P26:P1101),0)</f>
        <v>0</v>
      </c>
      <c r="I21" s="20">
        <f>SUMIF('船长每月数据(2023年)'!E:E,C:C,'船长每月数据(2023年)'!P:P)</f>
        <v>0</v>
      </c>
      <c r="J21" s="21">
        <f>IFERROR(I21/SUM('船长每月数据(2023年)'!P26:P1026),0)</f>
        <v>0</v>
      </c>
      <c r="K21" s="21">
        <f t="shared" si="7"/>
        <v>0</v>
      </c>
      <c r="L21" s="21">
        <f t="shared" si="8"/>
        <v>0</v>
      </c>
      <c r="M21" s="21">
        <f t="shared" si="9"/>
        <v>0</v>
      </c>
      <c r="N21" s="38">
        <f>SUMIF('船长每月数据(2022年)'!E:E,C:C,'船长每月数据(2022年)'!R:R)</f>
        <v>0</v>
      </c>
      <c r="O21" s="21">
        <f>IFERROR(N21/SUM('船长每月数据(2022年)'!R26:R1101),0)</f>
        <v>0</v>
      </c>
      <c r="P21" s="38">
        <f>SUMIF('船长每月数据(2023年)'!E:E,C:C,'船长每月数据(2023年)'!R:R)</f>
        <v>0</v>
      </c>
      <c r="Q21" s="21">
        <f>IFERROR(P21/SUM('船长每月数据(2023年)'!R26:R1026),0)</f>
        <v>0</v>
      </c>
      <c r="R21" s="21">
        <f t="shared" si="10"/>
        <v>0</v>
      </c>
      <c r="S21" s="21">
        <f t="shared" si="11"/>
        <v>0</v>
      </c>
      <c r="T21" s="21">
        <f t="shared" si="12"/>
        <v>0</v>
      </c>
      <c r="U21" s="39">
        <f>IFERROR(市场预估!$L$16*(J21+J21*M21),0)</f>
        <v>0</v>
      </c>
      <c r="V21" s="21">
        <f t="shared" si="13"/>
        <v>0</v>
      </c>
      <c r="W21" s="38">
        <f t="shared" si="14"/>
        <v>0</v>
      </c>
      <c r="X21" s="21">
        <f>IFERROR(W21/年目标!$E$15,0)</f>
        <v>0</v>
      </c>
    </row>
    <row r="22" ht="25" customHeight="1" spans="1:24">
      <c r="A22" s="20"/>
      <c r="B22" s="20"/>
      <c r="C22" s="21"/>
      <c r="D22" s="21"/>
      <c r="E22" s="74"/>
      <c r="F22" s="38"/>
      <c r="G22" s="20">
        <f>SUMIF('船长每月数据(2022年)'!E:E,C:C,'船长每月数据(2022年)'!P:P)</f>
        <v>0</v>
      </c>
      <c r="H22" s="21">
        <f>IFERROR(G22/SUM('船长每月数据(2022年)'!P29:P1104),0)</f>
        <v>0</v>
      </c>
      <c r="I22" s="20">
        <f>SUMIF('船长每月数据(2023年)'!E:E,C:C,'船长每月数据(2023年)'!P:P)</f>
        <v>0</v>
      </c>
      <c r="J22" s="21">
        <f>IFERROR(I22/SUM('船长每月数据(2023年)'!P29:P1029),0)</f>
        <v>0</v>
      </c>
      <c r="K22" s="21">
        <f t="shared" si="7"/>
        <v>0</v>
      </c>
      <c r="L22" s="21">
        <f t="shared" si="8"/>
        <v>0</v>
      </c>
      <c r="M22" s="21">
        <f t="shared" si="9"/>
        <v>0</v>
      </c>
      <c r="N22" s="38">
        <f>SUMIF('船长每月数据(2022年)'!E:E,C:C,'船长每月数据(2022年)'!R:R)</f>
        <v>0</v>
      </c>
      <c r="O22" s="21">
        <f>IFERROR(N22/SUM('船长每月数据(2022年)'!R29:R1104),0)</f>
        <v>0</v>
      </c>
      <c r="P22" s="38">
        <f>SUMIF('船长每月数据(2023年)'!E:E,C:C,'船长每月数据(2023年)'!R:R)</f>
        <v>0</v>
      </c>
      <c r="Q22" s="21">
        <f>IFERROR(P22/SUM('船长每月数据(2023年)'!R29:R1029),0)</f>
        <v>0</v>
      </c>
      <c r="R22" s="21">
        <f t="shared" si="10"/>
        <v>0</v>
      </c>
      <c r="S22" s="21">
        <f t="shared" si="11"/>
        <v>0</v>
      </c>
      <c r="T22" s="21">
        <f t="shared" si="12"/>
        <v>0</v>
      </c>
      <c r="U22" s="39">
        <f>IFERROR(市场预估!$L$16*(J22+J22*M22)/2,0)</f>
        <v>0</v>
      </c>
      <c r="V22" s="21">
        <f t="shared" si="13"/>
        <v>0</v>
      </c>
      <c r="W22" s="38">
        <f t="shared" si="14"/>
        <v>0</v>
      </c>
      <c r="X22" s="21">
        <f>IFERROR(W22/年目标!$E$15,0)</f>
        <v>0</v>
      </c>
    </row>
    <row r="23" ht="25" customHeight="1" spans="1:24">
      <c r="A23" s="20"/>
      <c r="B23" s="20"/>
      <c r="C23" s="21"/>
      <c r="D23" s="21"/>
      <c r="E23" s="74"/>
      <c r="F23" s="38"/>
      <c r="G23" s="20">
        <f>SUMIF('船长每月数据(2022年)'!E:E,C:C,'船长每月数据(2022年)'!P:P)</f>
        <v>0</v>
      </c>
      <c r="H23" s="21">
        <f>IFERROR(G23/SUM('船长每月数据(2022年)'!P30:P1105),0)</f>
        <v>0</v>
      </c>
      <c r="I23" s="20">
        <f>SUMIF('船长每月数据(2023年)'!E:E,C:C,'船长每月数据(2023年)'!P:P)</f>
        <v>0</v>
      </c>
      <c r="J23" s="21">
        <f>IFERROR(I23/SUM('船长每月数据(2023年)'!P30:P1030),0)</f>
        <v>0</v>
      </c>
      <c r="K23" s="21">
        <f t="shared" si="7"/>
        <v>0</v>
      </c>
      <c r="L23" s="21">
        <f t="shared" si="8"/>
        <v>0</v>
      </c>
      <c r="M23" s="21">
        <f t="shared" si="9"/>
        <v>0</v>
      </c>
      <c r="N23" s="38">
        <f>SUMIF('船长每月数据(2022年)'!E:E,C:C,'船长每月数据(2022年)'!R:R)</f>
        <v>0</v>
      </c>
      <c r="O23" s="21">
        <f>IFERROR(N23/SUM('船长每月数据(2022年)'!R30:R1105),0)</f>
        <v>0</v>
      </c>
      <c r="P23" s="38">
        <f>SUMIF('船长每月数据(2023年)'!E:E,C:C,'船长每月数据(2023年)'!R:R)</f>
        <v>0</v>
      </c>
      <c r="Q23" s="21">
        <f>IFERROR(P23/SUM('船长每月数据(2023年)'!R30:R1030),0)</f>
        <v>0</v>
      </c>
      <c r="R23" s="21">
        <f t="shared" si="10"/>
        <v>0</v>
      </c>
      <c r="S23" s="21">
        <f t="shared" si="11"/>
        <v>0</v>
      </c>
      <c r="T23" s="21">
        <f t="shared" si="12"/>
        <v>0</v>
      </c>
      <c r="U23" s="39">
        <f>IFERROR(市场预估!$L$16*(J23+J23*M23)/2,0)</f>
        <v>0</v>
      </c>
      <c r="V23" s="21">
        <f t="shared" si="13"/>
        <v>0</v>
      </c>
      <c r="W23" s="38">
        <f t="shared" si="14"/>
        <v>0</v>
      </c>
      <c r="X23" s="21">
        <f>IFERROR(W23/年目标!$E$15,0)</f>
        <v>0</v>
      </c>
    </row>
    <row r="24" ht="25" customHeight="1" spans="1:24">
      <c r="A24" s="20"/>
      <c r="B24" s="121"/>
      <c r="C24" s="21"/>
      <c r="D24" s="21"/>
      <c r="E24" s="74"/>
      <c r="F24" s="38"/>
      <c r="G24" s="20">
        <f>SUMIF('船长每月数据(2022年)'!E:E,C:C,'船长每月数据(2022年)'!P:P)</f>
        <v>0</v>
      </c>
      <c r="H24" s="21">
        <f>IFERROR(G24/SUM('船长每月数据(2022年)'!P32:P1107),0)</f>
        <v>0</v>
      </c>
      <c r="I24" s="20">
        <f>SUMIF('船长每月数据(2023年)'!E:E,C:C,'船长每月数据(2023年)'!P:P)</f>
        <v>0</v>
      </c>
      <c r="J24" s="21">
        <f>IFERROR(I24/SUM('船长每月数据(2023年)'!P32:P1032),0)</f>
        <v>0</v>
      </c>
      <c r="K24" s="21">
        <f t="shared" si="7"/>
        <v>0</v>
      </c>
      <c r="L24" s="21">
        <f t="shared" si="8"/>
        <v>0</v>
      </c>
      <c r="M24" s="21">
        <f t="shared" si="9"/>
        <v>0</v>
      </c>
      <c r="N24" s="38">
        <f>SUMIF('船长每月数据(2022年)'!E:E,C:C,'船长每月数据(2022年)'!R:R)</f>
        <v>0</v>
      </c>
      <c r="O24" s="21">
        <f>IFERROR(N24/SUM('船长每月数据(2022年)'!R32:R1107),0)</f>
        <v>0</v>
      </c>
      <c r="P24" s="38">
        <f>SUMIF('船长每月数据(2023年)'!E:E,C:C,'船长每月数据(2023年)'!R:R)</f>
        <v>0</v>
      </c>
      <c r="Q24" s="21">
        <f>IFERROR(P24/SUM('船长每月数据(2023年)'!R32:R1032),0)</f>
        <v>0</v>
      </c>
      <c r="R24" s="21">
        <f t="shared" si="10"/>
        <v>0</v>
      </c>
      <c r="S24" s="21">
        <f t="shared" si="11"/>
        <v>0</v>
      </c>
      <c r="T24" s="21">
        <f t="shared" si="12"/>
        <v>0</v>
      </c>
      <c r="U24" s="39">
        <f>IFERROR(市场预估!$L$16*(J24+J24*M24)/1.5,0)</f>
        <v>0</v>
      </c>
      <c r="V24" s="21">
        <f t="shared" si="13"/>
        <v>0</v>
      </c>
      <c r="W24" s="38">
        <f t="shared" si="14"/>
        <v>0</v>
      </c>
      <c r="X24" s="21">
        <f>IFERROR(W24/年目标!$E$15,0)</f>
        <v>0</v>
      </c>
    </row>
    <row r="25" ht="25" customHeight="1" spans="1:24">
      <c r="A25" s="20"/>
      <c r="B25" s="121"/>
      <c r="C25" s="21"/>
      <c r="D25" s="21"/>
      <c r="E25" s="74"/>
      <c r="F25" s="38"/>
      <c r="G25" s="20">
        <f>SUMIF('船长每月数据(2022年)'!E:E,C:C,'船长每月数据(2022年)'!P:P)</f>
        <v>0</v>
      </c>
      <c r="H25" s="21">
        <f>IFERROR(G25/SUM('船长每月数据(2022年)'!P33:P1108),0)</f>
        <v>0</v>
      </c>
      <c r="I25" s="20">
        <f>SUMIF('船长每月数据(2023年)'!E:E,C:C,'船长每月数据(2023年)'!P:P)</f>
        <v>0</v>
      </c>
      <c r="J25" s="21">
        <f>IFERROR(I25/SUM('船长每月数据(2023年)'!P33:P1033),0)</f>
        <v>0</v>
      </c>
      <c r="K25" s="21">
        <f t="shared" si="7"/>
        <v>0</v>
      </c>
      <c r="L25" s="21">
        <f t="shared" si="8"/>
        <v>0</v>
      </c>
      <c r="M25" s="21">
        <f t="shared" si="9"/>
        <v>0</v>
      </c>
      <c r="N25" s="38">
        <f>SUMIF('船长每月数据(2022年)'!E:E,C:C,'船长每月数据(2022年)'!R:R)</f>
        <v>0</v>
      </c>
      <c r="O25" s="21">
        <f>IFERROR(N25/SUM('船长每月数据(2022年)'!R33:R1108),0)</f>
        <v>0</v>
      </c>
      <c r="P25" s="38">
        <f>SUMIF('船长每月数据(2023年)'!E:E,C:C,'船长每月数据(2023年)'!R:R)</f>
        <v>0</v>
      </c>
      <c r="Q25" s="21">
        <f>IFERROR(P25/SUM('船长每月数据(2023年)'!R33:R1033),0)</f>
        <v>0</v>
      </c>
      <c r="R25" s="21">
        <f t="shared" si="10"/>
        <v>0</v>
      </c>
      <c r="S25" s="21">
        <f t="shared" si="11"/>
        <v>0</v>
      </c>
      <c r="T25" s="21">
        <f t="shared" si="12"/>
        <v>0</v>
      </c>
      <c r="U25" s="39">
        <f>IFERROR(市场预估!$L$16*(J25+J25*M25),0)</f>
        <v>0</v>
      </c>
      <c r="V25" s="21">
        <f t="shared" si="13"/>
        <v>0</v>
      </c>
      <c r="W25" s="38">
        <f t="shared" si="14"/>
        <v>0</v>
      </c>
      <c r="X25" s="21">
        <f>IFERROR(W25/年目标!$E$15,0)</f>
        <v>0</v>
      </c>
    </row>
    <row r="26" ht="25" customHeight="1" spans="1:24">
      <c r="A26" s="20"/>
      <c r="B26" s="121"/>
      <c r="C26" s="21"/>
      <c r="D26" s="21"/>
      <c r="E26" s="74"/>
      <c r="F26" s="38"/>
      <c r="G26" s="20">
        <f>SUMIF('船长每月数据(2022年)'!E:E,C:C,'船长每月数据(2022年)'!P:P)</f>
        <v>0</v>
      </c>
      <c r="H26" s="21">
        <f>IFERROR(G26/SUM('船长每月数据(2022年)'!P34:P1109),0)</f>
        <v>0</v>
      </c>
      <c r="I26" s="20">
        <f>SUMIF('船长每月数据(2023年)'!E:E,C:C,'船长每月数据(2023年)'!P:P)</f>
        <v>0</v>
      </c>
      <c r="J26" s="21">
        <f>IFERROR(I26/SUM('船长每月数据(2023年)'!P34:P1034),0)</f>
        <v>0</v>
      </c>
      <c r="K26" s="21">
        <f t="shared" si="7"/>
        <v>0</v>
      </c>
      <c r="L26" s="21">
        <f t="shared" si="8"/>
        <v>0</v>
      </c>
      <c r="M26" s="21">
        <f t="shared" si="9"/>
        <v>0</v>
      </c>
      <c r="N26" s="38">
        <f>SUMIF('船长每月数据(2022年)'!E:E,C:C,'船长每月数据(2022年)'!R:R)</f>
        <v>0</v>
      </c>
      <c r="O26" s="21">
        <f>IFERROR(N26/SUM('船长每月数据(2022年)'!R34:R1109),0)</f>
        <v>0</v>
      </c>
      <c r="P26" s="38">
        <f>SUMIF('船长每月数据(2023年)'!E:E,C:C,'船长每月数据(2023年)'!R:R)</f>
        <v>0</v>
      </c>
      <c r="Q26" s="21">
        <f>IFERROR(P26/SUM('船长每月数据(2023年)'!R34:R1034),0)</f>
        <v>0</v>
      </c>
      <c r="R26" s="21">
        <f t="shared" si="10"/>
        <v>0</v>
      </c>
      <c r="S26" s="21">
        <f t="shared" si="11"/>
        <v>0</v>
      </c>
      <c r="T26" s="21">
        <f t="shared" si="12"/>
        <v>0</v>
      </c>
      <c r="U26" s="39">
        <f>IFERROR(市场预估!$L$16*(J26+J26*M26),0)</f>
        <v>0</v>
      </c>
      <c r="V26" s="21">
        <f t="shared" si="13"/>
        <v>0</v>
      </c>
      <c r="W26" s="38">
        <f t="shared" si="14"/>
        <v>0</v>
      </c>
      <c r="X26" s="21">
        <f>IFERROR(W26/年目标!$E$15,0)</f>
        <v>0</v>
      </c>
    </row>
    <row r="27" ht="25" customHeight="1" spans="1:24">
      <c r="A27" s="20"/>
      <c r="B27" s="121"/>
      <c r="C27" s="21"/>
      <c r="D27" s="21"/>
      <c r="E27" s="74"/>
      <c r="F27" s="38"/>
      <c r="G27" s="20">
        <f>SUMIF('船长每月数据(2022年)'!E:E,C:C,'船长每月数据(2022年)'!P:P)</f>
        <v>0</v>
      </c>
      <c r="H27" s="21">
        <f>IFERROR(G27/SUM('船长每月数据(2022年)'!P35:P1110),0)</f>
        <v>0</v>
      </c>
      <c r="I27" s="20">
        <f>SUMIF('船长每月数据(2023年)'!E:E,C:C,'船长每月数据(2023年)'!P:P)</f>
        <v>0</v>
      </c>
      <c r="J27" s="21">
        <f>IFERROR(I27/SUM('船长每月数据(2023年)'!P35:P1035),0)</f>
        <v>0</v>
      </c>
      <c r="K27" s="21">
        <f t="shared" si="7"/>
        <v>0</v>
      </c>
      <c r="L27" s="21">
        <f t="shared" si="8"/>
        <v>0</v>
      </c>
      <c r="M27" s="21">
        <f t="shared" si="9"/>
        <v>0</v>
      </c>
      <c r="N27" s="38">
        <f>SUMIF('船长每月数据(2022年)'!E:E,C:C,'船长每月数据(2022年)'!R:R)</f>
        <v>0</v>
      </c>
      <c r="O27" s="21">
        <f>IFERROR(N27/SUM('船长每月数据(2022年)'!R35:R1110),0)</f>
        <v>0</v>
      </c>
      <c r="P27" s="38">
        <f>SUMIF('船长每月数据(2023年)'!E:E,C:C,'船长每月数据(2023年)'!R:R)</f>
        <v>0</v>
      </c>
      <c r="Q27" s="21">
        <f>IFERROR(P27/SUM('船长每月数据(2023年)'!R35:R1035),0)</f>
        <v>0</v>
      </c>
      <c r="R27" s="21">
        <f t="shared" si="10"/>
        <v>0</v>
      </c>
      <c r="S27" s="21">
        <f t="shared" si="11"/>
        <v>0</v>
      </c>
      <c r="T27" s="21">
        <f t="shared" si="12"/>
        <v>0</v>
      </c>
      <c r="U27" s="39">
        <f>IFERROR(市场预估!$L$16*(J27+J27*M27)/7,0)</f>
        <v>0</v>
      </c>
      <c r="V27" s="21">
        <f t="shared" si="13"/>
        <v>0</v>
      </c>
      <c r="W27" s="38">
        <f t="shared" si="14"/>
        <v>0</v>
      </c>
      <c r="X27" s="21">
        <f>IFERROR(W27/年目标!$E$15,0)</f>
        <v>0</v>
      </c>
    </row>
    <row r="28" ht="25" customHeight="1" spans="1:24">
      <c r="A28" s="20"/>
      <c r="B28" s="121"/>
      <c r="C28" s="21"/>
      <c r="D28" s="21"/>
      <c r="E28" s="74"/>
      <c r="F28" s="38"/>
      <c r="G28" s="20">
        <f>SUMIF('船长每月数据(2022年)'!E:E,C:C,'船长每月数据(2022年)'!P:P)</f>
        <v>0</v>
      </c>
      <c r="H28" s="21">
        <f>IFERROR(G28/SUM('船长每月数据(2022年)'!P36:P1111),0)</f>
        <v>0</v>
      </c>
      <c r="I28" s="20">
        <f>SUMIF('船长每月数据(2023年)'!E:E,C:C,'船长每月数据(2023年)'!P:P)</f>
        <v>0</v>
      </c>
      <c r="J28" s="21">
        <f>IFERROR(I28/SUM('船长每月数据(2023年)'!P36:P1036),0)</f>
        <v>0</v>
      </c>
      <c r="K28" s="21">
        <f t="shared" si="7"/>
        <v>0</v>
      </c>
      <c r="L28" s="21">
        <f t="shared" si="8"/>
        <v>0</v>
      </c>
      <c r="M28" s="21">
        <f t="shared" si="9"/>
        <v>0</v>
      </c>
      <c r="N28" s="38">
        <f>SUMIF('船长每月数据(2022年)'!E:E,C:C,'船长每月数据(2022年)'!R:R)</f>
        <v>0</v>
      </c>
      <c r="O28" s="21">
        <f>IFERROR(N28/SUM('船长每月数据(2022年)'!R36:R1111),0)</f>
        <v>0</v>
      </c>
      <c r="P28" s="38">
        <f>SUMIF('船长每月数据(2023年)'!E:E,C:C,'船长每月数据(2023年)'!R:R)</f>
        <v>0</v>
      </c>
      <c r="Q28" s="21">
        <f>IFERROR(P28/SUM('船长每月数据(2023年)'!R36:R1036),0)</f>
        <v>0</v>
      </c>
      <c r="R28" s="21">
        <f t="shared" si="10"/>
        <v>0</v>
      </c>
      <c r="S28" s="21">
        <f t="shared" si="11"/>
        <v>0</v>
      </c>
      <c r="T28" s="21">
        <f t="shared" si="12"/>
        <v>0</v>
      </c>
      <c r="U28" s="39">
        <f>IFERROR(市场预估!$L$16*(J28+J28*M28),0)</f>
        <v>0</v>
      </c>
      <c r="V28" s="21">
        <f t="shared" si="13"/>
        <v>0</v>
      </c>
      <c r="W28" s="38">
        <f t="shared" si="14"/>
        <v>0</v>
      </c>
      <c r="X28" s="21">
        <f>IFERROR(W28/年目标!$E$15,0)</f>
        <v>0</v>
      </c>
    </row>
    <row r="29" ht="25" customHeight="1" spans="1:24">
      <c r="A29" s="20"/>
      <c r="B29" s="20"/>
      <c r="C29" s="21"/>
      <c r="D29" s="21"/>
      <c r="E29" s="74"/>
      <c r="F29" s="38"/>
      <c r="G29" s="20">
        <f>SUMIF('船长每月数据(2022年)'!E:E,C:C,'船长每月数据(2022年)'!P:P)</f>
        <v>0</v>
      </c>
      <c r="H29" s="21">
        <f>IFERROR(G29/SUM('船长每月数据(2022年)'!P40:P1115),0)</f>
        <v>0</v>
      </c>
      <c r="I29" s="20">
        <f>SUMIF('船长每月数据(2023年)'!E:E,C:C,'船长每月数据(2023年)'!P:P)</f>
        <v>0</v>
      </c>
      <c r="J29" s="21">
        <f>IFERROR(I29/SUM('船长每月数据(2023年)'!P40:P1040),0)</f>
        <v>0</v>
      </c>
      <c r="K29" s="21">
        <f t="shared" si="7"/>
        <v>0</v>
      </c>
      <c r="L29" s="21">
        <f t="shared" si="8"/>
        <v>0</v>
      </c>
      <c r="M29" s="21">
        <f t="shared" si="9"/>
        <v>0</v>
      </c>
      <c r="N29" s="38">
        <f>SUMIF('船长每月数据(2022年)'!E:E,C:C,'船长每月数据(2022年)'!R:R)</f>
        <v>0</v>
      </c>
      <c r="O29" s="21">
        <f>IFERROR(N29/SUM('船长每月数据(2022年)'!R40:R1115),0)</f>
        <v>0</v>
      </c>
      <c r="P29" s="38">
        <f>SUMIF('船长每月数据(2023年)'!E:E,C:C,'船长每月数据(2023年)'!R:R)</f>
        <v>0</v>
      </c>
      <c r="Q29" s="21">
        <f>IFERROR(P29/SUM('船长每月数据(2023年)'!R40:R1040),0)</f>
        <v>0</v>
      </c>
      <c r="R29" s="21">
        <f t="shared" si="10"/>
        <v>0</v>
      </c>
      <c r="S29" s="21">
        <f t="shared" si="11"/>
        <v>0</v>
      </c>
      <c r="T29" s="21">
        <f t="shared" si="12"/>
        <v>0</v>
      </c>
      <c r="U29" s="39">
        <f>IFERROR(市场预估!$L$16*(J29+J29*M29),0)</f>
        <v>0</v>
      </c>
      <c r="V29" s="21">
        <f t="shared" si="13"/>
        <v>0</v>
      </c>
      <c r="W29" s="38">
        <f t="shared" si="14"/>
        <v>0</v>
      </c>
      <c r="X29" s="21">
        <f>IFERROR(W29/年目标!$E$15,0)</f>
        <v>0</v>
      </c>
    </row>
    <row r="30" ht="23" customHeight="1" spans="1:24">
      <c r="A30" s="20"/>
      <c r="B30" s="121"/>
      <c r="C30" s="21"/>
      <c r="D30" s="21"/>
      <c r="E30" s="74"/>
      <c r="F30" s="38"/>
      <c r="G30" s="20">
        <f>SUMIF('船长每月数据(2022年)'!E:E,C:C,'船长每月数据(2022年)'!P:P)</f>
        <v>0</v>
      </c>
      <c r="H30" s="21">
        <f>IFERROR(G30/SUM('船长每月数据(2022年)'!P42:P1117),0)</f>
        <v>0</v>
      </c>
      <c r="I30" s="20">
        <f>SUMIF('船长每月数据(2023年)'!E:E,C:C,'船长每月数据(2023年)'!P:P)</f>
        <v>0</v>
      </c>
      <c r="J30" s="21">
        <f>IFERROR(I30/SUM('船长每月数据(2023年)'!P42:P1042),0)</f>
        <v>0</v>
      </c>
      <c r="K30" s="21">
        <f t="shared" si="7"/>
        <v>0</v>
      </c>
      <c r="L30" s="21">
        <f t="shared" si="8"/>
        <v>0</v>
      </c>
      <c r="M30" s="21">
        <f t="shared" si="9"/>
        <v>0</v>
      </c>
      <c r="N30" s="38">
        <f>SUMIF('船长每月数据(2022年)'!E:E,C:C,'船长每月数据(2022年)'!R:R)</f>
        <v>0</v>
      </c>
      <c r="O30" s="21">
        <f>IFERROR(N30/SUM('船长每月数据(2022年)'!R42:R1117),0)</f>
        <v>0</v>
      </c>
      <c r="P30" s="38">
        <f>SUMIF('船长每月数据(2023年)'!E:E,C:C,'船长每月数据(2023年)'!R:R)</f>
        <v>0</v>
      </c>
      <c r="Q30" s="21">
        <f>IFERROR(P30/SUM('船长每月数据(2023年)'!R42:R1042),0)</f>
        <v>0</v>
      </c>
      <c r="R30" s="21">
        <f t="shared" si="10"/>
        <v>0</v>
      </c>
      <c r="S30" s="21">
        <f t="shared" si="11"/>
        <v>0</v>
      </c>
      <c r="T30" s="21">
        <f t="shared" si="12"/>
        <v>0</v>
      </c>
      <c r="U30" s="39">
        <f>IFERROR(市场预估!$L$16*(J30+J30*M30),0)</f>
        <v>0</v>
      </c>
      <c r="V30" s="21">
        <f t="shared" si="13"/>
        <v>0</v>
      </c>
      <c r="W30" s="38">
        <f t="shared" si="14"/>
        <v>0</v>
      </c>
      <c r="X30" s="21">
        <f>IFERROR(W30/年目标!$E$15,0)</f>
        <v>0</v>
      </c>
    </row>
    <row r="31" ht="23" customHeight="1" spans="1:24">
      <c r="A31" s="82"/>
      <c r="B31" s="84"/>
      <c r="C31" s="20"/>
      <c r="D31" s="121"/>
      <c r="E31" s="74"/>
      <c r="F31" s="38"/>
      <c r="G31" s="20">
        <f>SUMIF('船长每月数据(2022年)'!E:E,C:C,'船长每月数据(2022年)'!P:P)</f>
        <v>0</v>
      </c>
      <c r="H31" s="21">
        <f>IFERROR(G31/SUM('船长每月数据(2022年)'!P43:P1118),0)</f>
        <v>0</v>
      </c>
      <c r="I31" s="20">
        <f>SUMIF('船长每月数据(2023年)'!E:E,C:C,'船长每月数据(2023年)'!P:P)</f>
        <v>0</v>
      </c>
      <c r="J31" s="21">
        <f>IFERROR(I31/SUM('船长每月数据(2023年)'!P43:P1043),0)</f>
        <v>0</v>
      </c>
      <c r="K31" s="21">
        <f t="shared" ref="K31:K36" si="15">IFERROR((I31-G31)/G31,0)</f>
        <v>0</v>
      </c>
      <c r="L31" s="21">
        <f t="shared" ref="L31:L36" si="16">IFERROR((J31-H31)/H31,0)</f>
        <v>0</v>
      </c>
      <c r="M31" s="21">
        <f t="shared" ref="M31:M36" si="17">IFERROR(EXP(LN(J31/H31/2)-1),0)</f>
        <v>0</v>
      </c>
      <c r="N31" s="38">
        <f>SUMIF('船长每月数据(2022年)'!E:E,C:C,'船长每月数据(2022年)'!R:R)</f>
        <v>0</v>
      </c>
      <c r="O31" s="21">
        <f>IFERROR(N31/SUM('船长每月数据(2022年)'!R43:R1118),0)</f>
        <v>0</v>
      </c>
      <c r="P31" s="38">
        <f>SUMIF('船长每月数据(2023年)'!E:E,C:C,'船长每月数据(2023年)'!R:R)</f>
        <v>0</v>
      </c>
      <c r="Q31" s="21">
        <f>IFERROR(P31/SUM('船长每月数据(2023年)'!R43:R1043),0)</f>
        <v>0</v>
      </c>
      <c r="R31" s="21">
        <f t="shared" ref="R31:R36" si="18">IFERROR((P31-N31)/N31,0)</f>
        <v>0</v>
      </c>
      <c r="S31" s="21">
        <f t="shared" ref="S31:S36" si="19">IFERROR((Q31-O31)/O31,0)</f>
        <v>0</v>
      </c>
      <c r="T31" s="21">
        <f t="shared" ref="T31:T36" si="20">IFERROR(EXP(LN(Q31/O31/2)-1),0)</f>
        <v>0</v>
      </c>
      <c r="U31" s="39">
        <f>IFERROR(市场预估!$L$16*(J31+J31*M31),0)</f>
        <v>0</v>
      </c>
      <c r="V31" s="21">
        <f t="shared" ref="V31:V36" si="21">IFERROR(J31*(1+M31),0)</f>
        <v>0</v>
      </c>
      <c r="W31" s="38">
        <f t="shared" ref="W31:W36" si="22">IFERROR(U31*F31,0)</f>
        <v>0</v>
      </c>
      <c r="X31" s="21">
        <f>IFERROR(W31/年目标!$E$15,0)</f>
        <v>0</v>
      </c>
    </row>
    <row r="32" ht="23" customHeight="1" spans="1:24">
      <c r="A32" s="82"/>
      <c r="B32" s="84"/>
      <c r="C32" s="20"/>
      <c r="D32" s="20"/>
      <c r="E32" s="74"/>
      <c r="F32" s="38"/>
      <c r="G32" s="20">
        <f>SUMIF('船长每月数据(2022年)'!E:E,C:C,'船长每月数据(2022年)'!P:P)</f>
        <v>0</v>
      </c>
      <c r="H32" s="21">
        <f>IFERROR(G32/SUM('船长每月数据(2022年)'!P44:P1119),0)</f>
        <v>0</v>
      </c>
      <c r="I32" s="20">
        <f>SUMIF('船长每月数据(2023年)'!E:E,C:C,'船长每月数据(2023年)'!P:P)</f>
        <v>0</v>
      </c>
      <c r="J32" s="21">
        <f>IFERROR(I32/SUM('船长每月数据(2023年)'!P44:P1044),0)</f>
        <v>0</v>
      </c>
      <c r="K32" s="21">
        <f t="shared" si="15"/>
        <v>0</v>
      </c>
      <c r="L32" s="21">
        <f t="shared" si="16"/>
        <v>0</v>
      </c>
      <c r="M32" s="21">
        <f t="shared" si="17"/>
        <v>0</v>
      </c>
      <c r="N32" s="38">
        <f>SUMIF('船长每月数据(2022年)'!E:E,C:C,'船长每月数据(2022年)'!R:R)</f>
        <v>0</v>
      </c>
      <c r="O32" s="21">
        <f>IFERROR(N32/SUM('船长每月数据(2022年)'!R44:R1119),0)</f>
        <v>0</v>
      </c>
      <c r="P32" s="38">
        <f>SUMIF('船长每月数据(2023年)'!E:E,C:C,'船长每月数据(2023年)'!R:R)</f>
        <v>0</v>
      </c>
      <c r="Q32" s="21">
        <f>IFERROR(P32/SUM('船长每月数据(2023年)'!R44:R1044),0)</f>
        <v>0</v>
      </c>
      <c r="R32" s="21">
        <f t="shared" si="18"/>
        <v>0</v>
      </c>
      <c r="S32" s="21">
        <f t="shared" si="19"/>
        <v>0</v>
      </c>
      <c r="T32" s="21">
        <f t="shared" si="20"/>
        <v>0</v>
      </c>
      <c r="U32" s="39">
        <f>IFERROR(市场预估!$L$16*(J32+J32*M32),0)</f>
        <v>0</v>
      </c>
      <c r="V32" s="21">
        <f t="shared" si="21"/>
        <v>0</v>
      </c>
      <c r="W32" s="38">
        <f t="shared" si="22"/>
        <v>0</v>
      </c>
      <c r="X32" s="21">
        <f>IFERROR(W32/年目标!$E$15,0)</f>
        <v>0</v>
      </c>
    </row>
    <row r="33" ht="23" customHeight="1" spans="1:24">
      <c r="A33" s="82"/>
      <c r="B33" s="84"/>
      <c r="C33" s="20"/>
      <c r="D33" s="20"/>
      <c r="E33" s="74"/>
      <c r="F33" s="38"/>
      <c r="G33" s="20">
        <f>SUMIF('船长每月数据(2022年)'!E:E,C:C,'船长每月数据(2022年)'!P:P)</f>
        <v>0</v>
      </c>
      <c r="H33" s="21">
        <f>IFERROR(G33/SUM('船长每月数据(2022年)'!P45:P1120),0)</f>
        <v>0</v>
      </c>
      <c r="I33" s="20">
        <f>SUMIF('船长每月数据(2023年)'!E:E,C:C,'船长每月数据(2023年)'!P:P)</f>
        <v>0</v>
      </c>
      <c r="J33" s="21">
        <f>IFERROR(I33/SUM('船长每月数据(2023年)'!P45:P1045),0)</f>
        <v>0</v>
      </c>
      <c r="K33" s="21">
        <f t="shared" si="15"/>
        <v>0</v>
      </c>
      <c r="L33" s="21">
        <f t="shared" si="16"/>
        <v>0</v>
      </c>
      <c r="M33" s="21">
        <f t="shared" si="17"/>
        <v>0</v>
      </c>
      <c r="N33" s="38">
        <f>SUMIF('船长每月数据(2022年)'!E:E,C:C,'船长每月数据(2022年)'!R:R)</f>
        <v>0</v>
      </c>
      <c r="O33" s="21">
        <f>IFERROR(N33/SUM('船长每月数据(2022年)'!R45:R1120),0)</f>
        <v>0</v>
      </c>
      <c r="P33" s="38">
        <f>SUMIF('船长每月数据(2023年)'!E:E,C:C,'船长每月数据(2023年)'!R:R)</f>
        <v>0</v>
      </c>
      <c r="Q33" s="21">
        <f>IFERROR(P33/SUM('船长每月数据(2023年)'!R45:R1045),0)</f>
        <v>0</v>
      </c>
      <c r="R33" s="21">
        <f t="shared" si="18"/>
        <v>0</v>
      </c>
      <c r="S33" s="21">
        <f t="shared" si="19"/>
        <v>0</v>
      </c>
      <c r="T33" s="21">
        <f t="shared" si="20"/>
        <v>0</v>
      </c>
      <c r="U33" s="39">
        <f>IFERROR(市场预估!$L$16*(J33+J33*M33),0)</f>
        <v>0</v>
      </c>
      <c r="V33" s="21">
        <f t="shared" si="21"/>
        <v>0</v>
      </c>
      <c r="W33" s="38">
        <f t="shared" si="22"/>
        <v>0</v>
      </c>
      <c r="X33" s="21">
        <f>IFERROR(W33/年目标!$E$15,0)</f>
        <v>0</v>
      </c>
    </row>
    <row r="34" ht="23" customHeight="1" spans="1:24">
      <c r="A34" s="82"/>
      <c r="B34" s="84"/>
      <c r="C34" s="20"/>
      <c r="D34" s="20"/>
      <c r="E34" s="74"/>
      <c r="F34" s="38"/>
      <c r="G34" s="20">
        <f>SUMIF('船长每月数据(2022年)'!E:E,C:C,'船长每月数据(2022年)'!P:P)</f>
        <v>0</v>
      </c>
      <c r="H34" s="21">
        <f>IFERROR(G34/SUM('船长每月数据(2022年)'!P46:P1121),0)</f>
        <v>0</v>
      </c>
      <c r="I34" s="20">
        <f>SUMIF('船长每月数据(2023年)'!E:E,C:C,'船长每月数据(2023年)'!P:P)</f>
        <v>0</v>
      </c>
      <c r="J34" s="21">
        <f>IFERROR(I34/SUM('船长每月数据(2023年)'!P46:P1046),0)</f>
        <v>0</v>
      </c>
      <c r="K34" s="21">
        <f t="shared" si="15"/>
        <v>0</v>
      </c>
      <c r="L34" s="21">
        <f t="shared" si="16"/>
        <v>0</v>
      </c>
      <c r="M34" s="21">
        <f t="shared" si="17"/>
        <v>0</v>
      </c>
      <c r="N34" s="38">
        <f>SUMIF('船长每月数据(2022年)'!E:E,C:C,'船长每月数据(2022年)'!R:R)</f>
        <v>0</v>
      </c>
      <c r="O34" s="21">
        <f>IFERROR(N34/SUM('船长每月数据(2022年)'!R46:R1121),0)</f>
        <v>0</v>
      </c>
      <c r="P34" s="38">
        <f>SUMIF('船长每月数据(2023年)'!E:E,C:C,'船长每月数据(2023年)'!R:R)</f>
        <v>0</v>
      </c>
      <c r="Q34" s="21">
        <f>IFERROR(P34/SUM('船长每月数据(2023年)'!R46:R1046),0)</f>
        <v>0</v>
      </c>
      <c r="R34" s="21">
        <f t="shared" si="18"/>
        <v>0</v>
      </c>
      <c r="S34" s="21">
        <f t="shared" si="19"/>
        <v>0</v>
      </c>
      <c r="T34" s="21">
        <f t="shared" si="20"/>
        <v>0</v>
      </c>
      <c r="U34" s="39">
        <f>IFERROR(市场预估!$L$16*(J34+J34*M34)/3,0)</f>
        <v>0</v>
      </c>
      <c r="V34" s="21">
        <f>IFERROR(J34*(1+M34),0)/3</f>
        <v>0</v>
      </c>
      <c r="W34" s="38">
        <f t="shared" si="22"/>
        <v>0</v>
      </c>
      <c r="X34" s="21">
        <f>IFERROR(W34/年目标!$E$15,0)</f>
        <v>0</v>
      </c>
    </row>
    <row r="35" ht="23" customHeight="1" spans="1:24">
      <c r="A35" s="82"/>
      <c r="B35" s="84"/>
      <c r="C35" s="20"/>
      <c r="D35" s="20"/>
      <c r="E35" s="74"/>
      <c r="F35" s="38"/>
      <c r="G35" s="20">
        <f>SUMIF('船长每月数据(2022年)'!E:E,C:C,'船长每月数据(2022年)'!P:P)</f>
        <v>0</v>
      </c>
      <c r="H35" s="21">
        <f>IFERROR(G35/SUM('船长每月数据(2022年)'!P47:P1122),0)</f>
        <v>0</v>
      </c>
      <c r="I35" s="20">
        <f>SUMIF('船长每月数据(2023年)'!E:E,C:C,'船长每月数据(2023年)'!P:P)</f>
        <v>0</v>
      </c>
      <c r="J35" s="21">
        <f>IFERROR(I35/SUM('船长每月数据(2023年)'!P47:P1047),0)</f>
        <v>0</v>
      </c>
      <c r="K35" s="21">
        <f t="shared" si="15"/>
        <v>0</v>
      </c>
      <c r="L35" s="21">
        <f t="shared" si="16"/>
        <v>0</v>
      </c>
      <c r="M35" s="21">
        <f t="shared" si="17"/>
        <v>0</v>
      </c>
      <c r="N35" s="38">
        <f>SUMIF('船长每月数据(2022年)'!E:E,C:C,'船长每月数据(2022年)'!R:R)</f>
        <v>0</v>
      </c>
      <c r="O35" s="21">
        <f>IFERROR(N35/SUM('船长每月数据(2022年)'!R47:R1122),0)</f>
        <v>0</v>
      </c>
      <c r="P35" s="38">
        <f>SUMIF('船长每月数据(2023年)'!E:E,C:C,'船长每月数据(2023年)'!R:R)</f>
        <v>0</v>
      </c>
      <c r="Q35" s="21">
        <f>IFERROR(P35/SUM('船长每月数据(2023年)'!R47:R1047),0)</f>
        <v>0</v>
      </c>
      <c r="R35" s="21">
        <f t="shared" si="18"/>
        <v>0</v>
      </c>
      <c r="S35" s="21">
        <f t="shared" si="19"/>
        <v>0</v>
      </c>
      <c r="T35" s="21">
        <f t="shared" si="20"/>
        <v>0</v>
      </c>
      <c r="U35" s="39">
        <f>IFERROR(市场预估!$L$16*(J35+J35*M35),0)</f>
        <v>0</v>
      </c>
      <c r="V35" s="21">
        <f>IFERROR(J35*(1+M35)*10,0)</f>
        <v>0</v>
      </c>
      <c r="W35" s="38">
        <f t="shared" si="22"/>
        <v>0</v>
      </c>
      <c r="X35" s="21">
        <f>IFERROR(W35/年目标!$E$15,0)</f>
        <v>0</v>
      </c>
    </row>
    <row r="36" ht="23" customHeight="1" spans="1:24">
      <c r="A36" s="82"/>
      <c r="B36" s="84"/>
      <c r="C36" s="20"/>
      <c r="D36" s="121"/>
      <c r="E36" s="74"/>
      <c r="F36" s="38"/>
      <c r="G36" s="20">
        <f>SUMIF('船长每月数据(2022年)'!E:E,C:C,'船长每月数据(2022年)'!P:P)</f>
        <v>0</v>
      </c>
      <c r="H36" s="21">
        <f>IFERROR(G36/SUM('船长每月数据(2022年)'!P48:P1123),0)</f>
        <v>0</v>
      </c>
      <c r="I36" s="20">
        <f>SUMIF('船长每月数据(2023年)'!E:E,C:C,'船长每月数据(2023年)'!P:P)</f>
        <v>0</v>
      </c>
      <c r="J36" s="21">
        <f>IFERROR(I36/SUM('船长每月数据(2023年)'!P48:P1048),0)</f>
        <v>0</v>
      </c>
      <c r="K36" s="21">
        <f t="shared" si="15"/>
        <v>0</v>
      </c>
      <c r="L36" s="21">
        <f t="shared" si="16"/>
        <v>0</v>
      </c>
      <c r="M36" s="21">
        <f t="shared" si="17"/>
        <v>0</v>
      </c>
      <c r="N36" s="38">
        <f>SUMIF('船长每月数据(2022年)'!E:E,C:C,'船长每月数据(2022年)'!R:R)</f>
        <v>0</v>
      </c>
      <c r="O36" s="21">
        <f>IFERROR(N36/SUM('船长每月数据(2022年)'!R48:R1123),0)</f>
        <v>0</v>
      </c>
      <c r="P36" s="38">
        <f>SUMIF('船长每月数据(2023年)'!E:E,C:C,'船长每月数据(2023年)'!R:R)</f>
        <v>0</v>
      </c>
      <c r="Q36" s="21">
        <f>IFERROR(P36/SUM('船长每月数据(2023年)'!R48:R1048),0)</f>
        <v>0</v>
      </c>
      <c r="R36" s="21">
        <f t="shared" si="18"/>
        <v>0</v>
      </c>
      <c r="S36" s="21">
        <f t="shared" si="19"/>
        <v>0</v>
      </c>
      <c r="T36" s="21">
        <f t="shared" si="20"/>
        <v>0</v>
      </c>
      <c r="U36" s="39">
        <f>IFERROR(市场预估!$L$16*(J36+J36*M36)*5,0)</f>
        <v>0</v>
      </c>
      <c r="V36" s="21">
        <f>IFERROR(J36*(1+M36)*5,0)</f>
        <v>0</v>
      </c>
      <c r="W36" s="38">
        <f t="shared" si="22"/>
        <v>0</v>
      </c>
      <c r="X36" s="21">
        <f>IFERROR(W36/年目标!$E$15,0)</f>
        <v>0</v>
      </c>
    </row>
  </sheetData>
  <mergeCells count="1">
    <mergeCell ref="A1:X1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C00000"/>
  </sheetPr>
  <dimension ref="A1:T36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P10" sqref="P10"/>
    </sheetView>
  </sheetViews>
  <sheetFormatPr defaultColWidth="9" defaultRowHeight="14.25"/>
  <cols>
    <col min="1" max="1" width="11.1333333333333" customWidth="1"/>
    <col min="2" max="4" width="17.8833333333333" customWidth="1"/>
    <col min="5" max="5" width="65.1333333333333" customWidth="1"/>
    <col min="6" max="17" width="17.8833333333333" style="104" customWidth="1"/>
    <col min="18" max="18" width="12.6333333333333" style="105"/>
    <col min="19" max="19" width="12.1333333333333" style="2" customWidth="1"/>
    <col min="20" max="20" width="12.6333333333333" style="106"/>
  </cols>
  <sheetData>
    <row r="1" ht="27.75" spans="1:19">
      <c r="A1" s="107" t="s">
        <v>189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13"/>
    </row>
    <row r="2" ht="27" customHeight="1" spans="1:19">
      <c r="A2" s="81" t="s">
        <v>167</v>
      </c>
      <c r="B2" s="32" t="s">
        <v>56</v>
      </c>
      <c r="C2" s="32" t="s">
        <v>169</v>
      </c>
      <c r="D2" s="81" t="s">
        <v>170</v>
      </c>
      <c r="E2" s="81" t="s">
        <v>171</v>
      </c>
      <c r="F2" s="109" t="s">
        <v>190</v>
      </c>
      <c r="G2" s="109" t="s">
        <v>191</v>
      </c>
      <c r="H2" s="109" t="s">
        <v>192</v>
      </c>
      <c r="I2" s="109" t="s">
        <v>193</v>
      </c>
      <c r="J2" s="109" t="s">
        <v>194</v>
      </c>
      <c r="K2" s="109" t="s">
        <v>195</v>
      </c>
      <c r="L2" s="109" t="s">
        <v>196</v>
      </c>
      <c r="M2" s="109" t="s">
        <v>197</v>
      </c>
      <c r="N2" s="109" t="s">
        <v>198</v>
      </c>
      <c r="O2" s="109" t="s">
        <v>199</v>
      </c>
      <c r="P2" s="109" t="s">
        <v>200</v>
      </c>
      <c r="Q2" s="109" t="s">
        <v>201</v>
      </c>
      <c r="R2" s="33" t="s">
        <v>48</v>
      </c>
      <c r="S2" s="35" t="s">
        <v>202</v>
      </c>
    </row>
    <row r="3" ht="21" customHeight="1" spans="1:19">
      <c r="A3" s="36"/>
      <c r="B3" s="36"/>
      <c r="C3" s="37"/>
      <c r="D3" s="37"/>
      <c r="E3" s="110"/>
      <c r="F3" s="58">
        <v>0</v>
      </c>
      <c r="G3" s="58">
        <v>0</v>
      </c>
      <c r="H3" s="58">
        <v>0</v>
      </c>
      <c r="I3" s="58">
        <f>IFERROR(SUMIF(单品目标年销量!$E:$E,$E:$E,单品目标年销量!$W:$W)*'2024年销售情况'!$AR$75,0)</f>
        <v>0</v>
      </c>
      <c r="J3" s="58">
        <f>IFERROR(SUMIF(单品目标年销量!$E:$E,$E:$E,单品目标年销量!$W:$W)*'2024年销售情况'!$AV$75,0)</f>
        <v>0</v>
      </c>
      <c r="K3" s="58">
        <f>IFERROR(SUMIF(单品目标年销量!$E:$E,$E:$E,单品目标年销量!$W:$W)*'2024年销售情况'!$AZ$75,0)</f>
        <v>0</v>
      </c>
      <c r="L3" s="58">
        <f>IFERROR(SUMIF(单品目标年销量!$E:$E,$E:$E,单品目标年销量!$W:$W)*'2024年销售情况'!$BD$75,0)</f>
        <v>0</v>
      </c>
      <c r="M3" s="58">
        <f>IFERROR(SUMIF(单品目标年销量!$E:$E,$E:$E,单品目标年销量!$W:$W)*'2024年销售情况'!$BH$75,0)</f>
        <v>0</v>
      </c>
      <c r="N3" s="58">
        <f>IFERROR(SUMIF(单品目标年销量!$E:$E,$E:$E,单品目标年销量!$W:$W)*'2024年销售情况'!$BL$75,0)</f>
        <v>0</v>
      </c>
      <c r="O3" s="58">
        <f>IFERROR(SUMIF(单品目标年销量!$E:$E,$E:$E,单品目标年销量!$W:$W)*'2024年销售情况'!$BP$75,0)</f>
        <v>0</v>
      </c>
      <c r="P3" s="58">
        <f>IFERROR(SUMIF(单品目标年销量!$E:$E,$E:$E,单品目标年销量!$W:$W)*'2024年销售情况'!$BT$75,0)*2</f>
        <v>0</v>
      </c>
      <c r="Q3" s="58">
        <f>IFERROR(SUMIF(单品目标年销量!$E:$E,$E:$E,单品目标年销量!$W:$W)*'2024年销售情况'!$BX$75,0)*2</f>
        <v>0</v>
      </c>
      <c r="R3" s="38">
        <f t="shared" ref="R3:R36" si="0">SUM(F3:Q3)</f>
        <v>0</v>
      </c>
      <c r="S3" s="21">
        <f>IFERROR(R3/年目标!$E$15,0)</f>
        <v>0</v>
      </c>
    </row>
    <row r="4" ht="21" customHeight="1" spans="1:19">
      <c r="A4" s="36"/>
      <c r="B4" s="36"/>
      <c r="C4" s="37"/>
      <c r="D4" s="37"/>
      <c r="E4" s="111"/>
      <c r="F4" s="58">
        <v>0</v>
      </c>
      <c r="G4" s="58">
        <v>0</v>
      </c>
      <c r="H4" s="58">
        <v>0</v>
      </c>
      <c r="I4" s="58">
        <v>0</v>
      </c>
      <c r="J4" s="58">
        <v>0</v>
      </c>
      <c r="K4" s="58">
        <f>IFERROR(SUMIF(单品目标年销量!$E:$E,$E:$E,单品目标年销量!$W:$W)*'2024年销售情况'!$AZ$75,0)</f>
        <v>0</v>
      </c>
      <c r="L4" s="58">
        <f>IFERROR(SUMIF(单品目标年销量!$E:$E,$E:$E,单品目标年销量!$W:$W)*'2024年销售情况'!$BD$75,0)</f>
        <v>0</v>
      </c>
      <c r="M4" s="58">
        <f>IFERROR(SUMIF(单品目标年销量!$E:$E,$E:$E,单品目标年销量!$W:$W)*'2024年销售情况'!$BH$75,0)</f>
        <v>0</v>
      </c>
      <c r="N4" s="58">
        <f>IFERROR(SUMIF(单品目标年销量!$E:$E,$E:$E,单品目标年销量!$W:$W)*'2024年销售情况'!$BL$75,0)*2</f>
        <v>0</v>
      </c>
      <c r="O4" s="58">
        <f>IFERROR(SUMIF(单品目标年销量!$E:$E,$E:$E,单品目标年销量!$W:$W)*'2024年销售情况'!$BP$75,0)</f>
        <v>0</v>
      </c>
      <c r="P4" s="58">
        <f>IFERROR(SUMIF(单品目标年销量!$E:$E,$E:$E,单品目标年销量!$W:$W)*'2024年销售情况'!$BT$75,0)*3</f>
        <v>0</v>
      </c>
      <c r="Q4" s="58">
        <f>IFERROR(SUMIF(单品目标年销量!$E:$E,$E:$E,单品目标年销量!$W:$W)*'2024年销售情况'!$BX$75,0)*2</f>
        <v>0</v>
      </c>
      <c r="R4" s="38">
        <f t="shared" si="0"/>
        <v>0</v>
      </c>
      <c r="S4" s="21">
        <f>IFERROR(R4/年目标!$E$15,0)</f>
        <v>0</v>
      </c>
    </row>
    <row r="5" ht="21" customHeight="1" spans="1:19">
      <c r="A5" s="36"/>
      <c r="B5" s="36"/>
      <c r="C5" s="37"/>
      <c r="D5" s="37"/>
      <c r="E5" s="110"/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f>IFERROR(SUMIF(单品目标年销量!$E:$E,$E:$E,单品目标年销量!$W:$W)*'2024年销售情况'!$BD$75,0)</f>
        <v>0</v>
      </c>
      <c r="M5" s="58">
        <f>IFERROR(SUMIF(单品目标年销量!$E:$E,$E:$E,单品目标年销量!$W:$W)*'2024年销售情况'!$BH$75,0)</f>
        <v>0</v>
      </c>
      <c r="N5" s="58">
        <f>IFERROR(SUMIF(单品目标年销量!$E:$E,$E:$E,单品目标年销量!$W:$W)*'2024年销售情况'!$BL$75,0)</f>
        <v>0</v>
      </c>
      <c r="O5" s="58">
        <f>IFERROR(SUMIF(单品目标年销量!$E:$E,$E:$E,单品目标年销量!$W:$W)*'2024年销售情况'!$BP$75,0)</f>
        <v>0</v>
      </c>
      <c r="P5" s="58">
        <f>IFERROR(SUMIF(单品目标年销量!$E:$E,$E:$E,单品目标年销量!$W:$W)*'2024年销售情况'!$BT$75,0)*3</f>
        <v>0</v>
      </c>
      <c r="Q5" s="58">
        <f>IFERROR(SUMIF(单品目标年销量!$E:$E,$E:$E,单品目标年销量!$W:$W)*'2024年销售情况'!$BX$75,0)*3</f>
        <v>0</v>
      </c>
      <c r="R5" s="38">
        <f t="shared" si="0"/>
        <v>0</v>
      </c>
      <c r="S5" s="21">
        <f>IFERROR(R5/年目标!$E$15,0)</f>
        <v>0</v>
      </c>
    </row>
    <row r="6" ht="21" customHeight="1" spans="1:19">
      <c r="A6" s="36"/>
      <c r="B6" s="36"/>
      <c r="C6" s="37"/>
      <c r="D6" s="37"/>
      <c r="E6" s="111"/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f>IFERROR(SUMIF(单品目标年销量!$E:$E,$E:$E,单品目标年销量!$W:$W)*'2024年销售情况'!$BL$75,0)*3</f>
        <v>0</v>
      </c>
      <c r="O6" s="58">
        <f>IFERROR(SUMIF(单品目标年销量!$E:$E,$E:$E,单品目标年销量!$W:$W)*'2024年销售情况'!$BP$75,0)*3</f>
        <v>0</v>
      </c>
      <c r="P6" s="58">
        <f>IFERROR(SUMIF(单品目标年销量!$E:$E,$E:$E,单品目标年销量!$W:$W)*'2024年销售情况'!$BT$75,0)*4</f>
        <v>0</v>
      </c>
      <c r="Q6" s="58">
        <f>IFERROR(SUMIF(单品目标年销量!$E:$E,$E:$E,单品目标年销量!$W:$W)*'2024年销售情况'!$BX$75,0)*3</f>
        <v>0</v>
      </c>
      <c r="R6" s="38">
        <f t="shared" si="0"/>
        <v>0</v>
      </c>
      <c r="S6" s="21">
        <f>IFERROR(R6/年目标!$E$15,0)</f>
        <v>0</v>
      </c>
    </row>
    <row r="7" ht="21" customHeight="1" spans="1:19">
      <c r="A7" s="36"/>
      <c r="B7" s="36"/>
      <c r="C7" s="37"/>
      <c r="D7" s="37"/>
      <c r="E7" s="111"/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f>IFERROR(SUMIF(单品目标年销量!$E:$E,$E:$E,单品目标年销量!$W:$W)*'2024年销售情况'!$AZ$75,0)</f>
        <v>0</v>
      </c>
      <c r="L7" s="58">
        <f>IFERROR(SUMIF(单品目标年销量!$E:$E,$E:$E,单品目标年销量!$W:$W)*'2024年销售情况'!$BD$75,0)</f>
        <v>0</v>
      </c>
      <c r="M7" s="58">
        <f>IFERROR(SUMIF(单品目标年销量!$E:$E,$E:$E,单品目标年销量!$W:$W)*'2024年销售情况'!$BH$75,0)</f>
        <v>0</v>
      </c>
      <c r="N7" s="58">
        <f>IFERROR(SUMIF(单品目标年销量!$E:$E,$E:$E,单品目标年销量!$W:$W)*'2024年销售情况'!$BL$75,0)</f>
        <v>0</v>
      </c>
      <c r="O7" s="58">
        <f>IFERROR(SUMIF(单品目标年销量!$E:$E,$E:$E,单品目标年销量!$W:$W)*'2024年销售情况'!$BP$75,0)</f>
        <v>0</v>
      </c>
      <c r="P7" s="58">
        <f>IFERROR(SUMIF(单品目标年销量!$E:$E,$E:$E,单品目标年销量!$W:$W)*'2024年销售情况'!$BT$75,0)*3</f>
        <v>0</v>
      </c>
      <c r="Q7" s="58">
        <f>IFERROR(SUMIF(单品目标年销量!$E:$E,$E:$E,单品目标年销量!$W:$W)*'2024年销售情况'!$BX$75,0)*2</f>
        <v>0</v>
      </c>
      <c r="R7" s="38">
        <f t="shared" si="0"/>
        <v>0</v>
      </c>
      <c r="S7" s="21">
        <f>IFERROR(R7/年目标!$E$15,0)</f>
        <v>0</v>
      </c>
    </row>
    <row r="8" ht="21" customHeight="1" spans="1:19">
      <c r="A8" s="36"/>
      <c r="B8" s="36"/>
      <c r="C8" s="37"/>
      <c r="D8" s="37"/>
      <c r="E8" s="110"/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f>IFERROR(SUMIF(单品目标年销量!$E:$E,$E:$E,单品目标年销量!$W:$W)*'2024年销售情况'!$AZ$75,0)</f>
        <v>0</v>
      </c>
      <c r="L8" s="58">
        <f>IFERROR(SUMIF(单品目标年销量!$E:$E,$E:$E,单品目标年销量!$W:$W)*'2024年销售情况'!$BD$75,0)</f>
        <v>0</v>
      </c>
      <c r="M8" s="58">
        <f>IFERROR(SUMIF(单品目标年销量!$E:$E,$E:$E,单品目标年销量!$W:$W)*'2024年销售情况'!$BH$75,0)</f>
        <v>0</v>
      </c>
      <c r="N8" s="58">
        <f>IFERROR(SUMIF(单品目标年销量!$E:$E,$E:$E,单品目标年销量!$W:$W)*'2024年销售情况'!$BL$75,0)*3</f>
        <v>0</v>
      </c>
      <c r="O8" s="58">
        <f>IFERROR(SUMIF(单品目标年销量!$E:$E,$E:$E,单品目标年销量!$W:$W)*'2024年销售情况'!$BP$75,0)*3</f>
        <v>0</v>
      </c>
      <c r="P8" s="58">
        <f>IFERROR(SUMIF(单品目标年销量!$E:$E,$E:$E,单品目标年销量!$W:$W)*'2024年销售情况'!$BT$75,0)*3</f>
        <v>0</v>
      </c>
      <c r="Q8" s="58">
        <f>IFERROR(SUMIF(单品目标年销量!$E:$E,$E:$E,单品目标年销量!$W:$W)*'2024年销售情况'!$BX$75,0)*2</f>
        <v>0</v>
      </c>
      <c r="R8" s="38">
        <f t="shared" si="0"/>
        <v>0</v>
      </c>
      <c r="S8" s="21">
        <f>IFERROR(R8/年目标!$E$15,0)</f>
        <v>0</v>
      </c>
    </row>
    <row r="9" ht="21" customHeight="1" spans="1:19">
      <c r="A9" s="36"/>
      <c r="B9" s="36"/>
      <c r="C9" s="37"/>
      <c r="D9" s="37"/>
      <c r="E9" s="111"/>
      <c r="F9" s="58">
        <v>0</v>
      </c>
      <c r="G9" s="58">
        <v>0</v>
      </c>
      <c r="H9" s="58">
        <v>0</v>
      </c>
      <c r="I9" s="58">
        <f>IFERROR(SUMIF(单品目标年销量!$E:$E,$E:$E,单品目标年销量!$W:$W)*'2024年销售情况'!$AR$75,0)</f>
        <v>0</v>
      </c>
      <c r="J9" s="58">
        <f>IFERROR(SUMIF(单品目标年销量!$E:$E,$E:$E,单品目标年销量!$W:$W)*'2024年销售情况'!$AV$75,0)</f>
        <v>0</v>
      </c>
      <c r="K9" s="58">
        <f>IFERROR(SUMIF(单品目标年销量!$E:$E,$E:$E,单品目标年销量!$W:$W)*'2024年销售情况'!$AZ$75,0)</f>
        <v>0</v>
      </c>
      <c r="L9" s="58">
        <f>IFERROR(SUMIF(单品目标年销量!$E:$E,$E:$E,单品目标年销量!$W:$W)*'2024年销售情况'!$BD$75,0)</f>
        <v>0</v>
      </c>
      <c r="M9" s="58">
        <f>IFERROR(SUMIF(单品目标年销量!$E:$E,$E:$E,单品目标年销量!$W:$W)*'2024年销售情况'!$BH$75,0)</f>
        <v>0</v>
      </c>
      <c r="N9" s="58">
        <f>IFERROR(SUMIF(单品目标年销量!$E:$E,$E:$E,单品目标年销量!$W:$W)*'2024年销售情况'!$BL$75,0)</f>
        <v>0</v>
      </c>
      <c r="O9" s="58">
        <f>IFERROR(SUMIF(单品目标年销量!$E:$E,$E:$E,单品目标年销量!$W:$W)*'2024年销售情况'!$BP$75,0)</f>
        <v>0</v>
      </c>
      <c r="P9" s="58">
        <f>IFERROR(SUMIF(单品目标年销量!$E:$E,$E:$E,单品目标年销量!$W:$W)*'2024年销售情况'!$BT$75,0)*2</f>
        <v>0</v>
      </c>
      <c r="Q9" s="58">
        <f>IFERROR(SUMIF(单品目标年销量!$E:$E,$E:$E,单品目标年销量!$W:$W)*'2024年销售情况'!$BX$75,0)*2</f>
        <v>0</v>
      </c>
      <c r="R9" s="38">
        <f t="shared" si="0"/>
        <v>0</v>
      </c>
      <c r="S9" s="21">
        <f>IFERROR(R9/年目标!$E$15,0)</f>
        <v>0</v>
      </c>
    </row>
    <row r="10" ht="21" customHeight="1" spans="1:19">
      <c r="A10" s="36"/>
      <c r="B10" s="36"/>
      <c r="C10" s="37"/>
      <c r="D10" s="37"/>
      <c r="E10" s="111"/>
      <c r="F10" s="58">
        <v>0</v>
      </c>
      <c r="G10" s="58">
        <v>0</v>
      </c>
      <c r="H10" s="58">
        <v>0</v>
      </c>
      <c r="I10" s="58">
        <f>IFERROR(SUMIF(单品目标年销量!$E:$E,$E:$E,单品目标年销量!$W:$W)*'2024年销售情况'!$AR$75,0)</f>
        <v>0</v>
      </c>
      <c r="J10" s="58">
        <f>IFERROR(SUMIF(单品目标年销量!$E:$E,$E:$E,单品目标年销量!$W:$W)*'2024年销售情况'!$AV$75,0)</f>
        <v>0</v>
      </c>
      <c r="K10" s="58">
        <f>IFERROR(SUMIF(单品目标年销量!$E:$E,$E:$E,单品目标年销量!$W:$W)*'2024年销售情况'!$AZ$75,0)</f>
        <v>0</v>
      </c>
      <c r="L10" s="58">
        <f>IFERROR(SUMIF(单品目标年销量!$E:$E,$E:$E,单品目标年销量!$W:$W)*'2024年销售情况'!$BD$75,0)</f>
        <v>0</v>
      </c>
      <c r="M10" s="58">
        <f>IFERROR(SUMIF(单品目标年销量!$E:$E,$E:$E,单品目标年销量!$W:$W)*'2024年销售情况'!$BH$75,0)</f>
        <v>0</v>
      </c>
      <c r="N10" s="58">
        <f>IFERROR(SUMIF(单品目标年销量!$E:$E,$E:$E,单品目标年销量!$W:$W)*'2024年销售情况'!$BL$75,0)</f>
        <v>0</v>
      </c>
      <c r="O10" s="58">
        <f>IFERROR(SUMIF(单品目标年销量!$E:$E,$E:$E,单品目标年销量!$W:$W)*'2024年销售情况'!$BP$75,0)</f>
        <v>0</v>
      </c>
      <c r="P10" s="58">
        <f>IFERROR(SUMIF(单品目标年销量!$E:$E,$E:$E,单品目标年销量!$W:$W)*'2024年销售情况'!$BT$75,0)*2</f>
        <v>0</v>
      </c>
      <c r="Q10" s="58">
        <f>IFERROR(SUMIF(单品目标年销量!$E:$E,$E:$E,单品目标年销量!$W:$W)*'2024年销售情况'!$BX$75,0)*2</f>
        <v>0</v>
      </c>
      <c r="R10" s="38">
        <f t="shared" si="0"/>
        <v>0</v>
      </c>
      <c r="S10" s="21">
        <f>IFERROR(R10/年目标!$E$15,0)</f>
        <v>0</v>
      </c>
    </row>
    <row r="11" ht="21" customHeight="1" spans="1:19">
      <c r="A11" s="36"/>
      <c r="B11" s="36"/>
      <c r="C11" s="37"/>
      <c r="D11" s="37"/>
      <c r="E11" s="111"/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f>IFERROR(SUMIF(单品目标年销量!$E:$E,$E:$E,单品目标年销量!$W:$W)*'2024年销售情况'!$AZ$75,0)</f>
        <v>0</v>
      </c>
      <c r="L11" s="58">
        <f>IFERROR(SUMIF(单品目标年销量!$E:$E,$E:$E,单品目标年销量!$W:$W)*'2024年销售情况'!$BD$75,0)</f>
        <v>0</v>
      </c>
      <c r="M11" s="58">
        <f>IFERROR(SUMIF(单品目标年销量!$E:$E,$E:$E,单品目标年销量!$W:$W)*'2024年销售情况'!$BH$75,0)</f>
        <v>0</v>
      </c>
      <c r="N11" s="58">
        <f>IFERROR(SUMIF(单品目标年销量!$E:$E,$E:$E,单品目标年销量!$W:$W)*'2024年销售情况'!$BL$75,0)</f>
        <v>0</v>
      </c>
      <c r="O11" s="58">
        <f>IFERROR(SUMIF(单品目标年销量!$E:$E,$E:$E,单品目标年销量!$W:$W)*'2024年销售情况'!$BP$75,0)*3</f>
        <v>0</v>
      </c>
      <c r="P11" s="58">
        <f>IFERROR(SUMIF(单品目标年销量!$E:$E,$E:$E,单品目标年销量!$W:$W)*'2024年销售情况'!$BT$75,0)*3</f>
        <v>0</v>
      </c>
      <c r="Q11" s="58">
        <f>IFERROR(SUMIF(单品目标年销量!$E:$E,$E:$E,单品目标年销量!$W:$W)*'2024年销售情况'!$BX$75,0)*2</f>
        <v>0</v>
      </c>
      <c r="R11" s="38">
        <f t="shared" si="0"/>
        <v>0</v>
      </c>
      <c r="S11" s="21">
        <f>IFERROR(R11/年目标!$E$15,0)</f>
        <v>0</v>
      </c>
    </row>
    <row r="12" ht="21" customHeight="1" spans="1:19">
      <c r="A12" s="36"/>
      <c r="B12" s="36"/>
      <c r="C12" s="37"/>
      <c r="D12" s="37"/>
      <c r="E12" s="110"/>
      <c r="F12" s="58">
        <v>0</v>
      </c>
      <c r="G12" s="58">
        <v>0</v>
      </c>
      <c r="H12" s="58">
        <v>0</v>
      </c>
      <c r="I12" s="58">
        <f>IFERROR(SUMIF(单品目标年销量!$E:$E,$E:$E,单品目标年销量!$W:$W)*'2024年销售情况'!$AR$75,0)</f>
        <v>0</v>
      </c>
      <c r="J12" s="58">
        <f>IFERROR(SUMIF(单品目标年销量!$E:$E,$E:$E,单品目标年销量!$W:$W)*'2024年销售情况'!$AV$75,0)</f>
        <v>0</v>
      </c>
      <c r="K12" s="58">
        <f>IFERROR(SUMIF(单品目标年销量!$E:$E,$E:$E,单品目标年销量!$W:$W)*'2024年销售情况'!$AZ$75,0)</f>
        <v>0</v>
      </c>
      <c r="L12" s="58">
        <f>IFERROR(SUMIF(单品目标年销量!$E:$E,$E:$E,单品目标年销量!$W:$W)*'2024年销售情况'!$BD$75,0)</f>
        <v>0</v>
      </c>
      <c r="M12" s="58">
        <f>IFERROR(SUMIF(单品目标年销量!$E:$E,$E:$E,单品目标年销量!$W:$W)*'2024年销售情况'!$BH$75,0)</f>
        <v>0</v>
      </c>
      <c r="N12" s="58">
        <f>IFERROR(SUMIF(单品目标年销量!$E:$E,$E:$E,单品目标年销量!$W:$W)*'2024年销售情况'!$BL$75,0)</f>
        <v>0</v>
      </c>
      <c r="O12" s="58">
        <f>IFERROR(SUMIF(单品目标年销量!$E:$E,$E:$E,单品目标年销量!$W:$W)*'2024年销售情况'!$BP$75,0)</f>
        <v>0</v>
      </c>
      <c r="P12" s="58">
        <f>IFERROR(SUMIF(单品目标年销量!$E:$E,$E:$E,单品目标年销量!$W:$W)*'2024年销售情况'!$BT$75,0)*2</f>
        <v>0</v>
      </c>
      <c r="Q12" s="58">
        <f>IFERROR(SUMIF(单品目标年销量!$E:$E,$E:$E,单品目标年销量!$W:$W)*'2024年销售情况'!$BX$75,0)*2</f>
        <v>0</v>
      </c>
      <c r="R12" s="38">
        <f t="shared" si="0"/>
        <v>0</v>
      </c>
      <c r="S12" s="21">
        <f>IFERROR(R12/年目标!$E$15,0)</f>
        <v>0</v>
      </c>
    </row>
    <row r="13" ht="21" customHeight="1" spans="1:19">
      <c r="A13" s="36"/>
      <c r="B13" s="36"/>
      <c r="C13" s="37"/>
      <c r="D13" s="37"/>
      <c r="E13" s="110"/>
      <c r="F13" s="58">
        <v>0</v>
      </c>
      <c r="G13" s="58">
        <v>0</v>
      </c>
      <c r="H13" s="58">
        <v>0</v>
      </c>
      <c r="I13" s="58">
        <f>IFERROR(SUMIF(单品目标年销量!$E:$E,$E:$E,单品目标年销量!$W:$W)*'2024年销售情况'!$AR$75,0)</f>
        <v>0</v>
      </c>
      <c r="J13" s="58">
        <f>IFERROR(SUMIF(单品目标年销量!$E:$E,$E:$E,单品目标年销量!$W:$W)*'2024年销售情况'!$AV$75,0)</f>
        <v>0</v>
      </c>
      <c r="K13" s="58">
        <f>IFERROR(SUMIF(单品目标年销量!$E:$E,$E:$E,单品目标年销量!$W:$W)*'2024年销售情况'!$AZ$75,0)</f>
        <v>0</v>
      </c>
      <c r="L13" s="58">
        <f>IFERROR(SUMIF(单品目标年销量!$E:$E,$E:$E,单品目标年销量!$W:$W)*'2024年销售情况'!$BD$75,0)</f>
        <v>0</v>
      </c>
      <c r="M13" s="58">
        <f>IFERROR(SUMIF(单品目标年销量!$E:$E,$E:$E,单品目标年销量!$W:$W)*'2024年销售情况'!$BH$75,0)</f>
        <v>0</v>
      </c>
      <c r="N13" s="58">
        <f>IFERROR(SUMIF(单品目标年销量!$E:$E,$E:$E,单品目标年销量!$W:$W)*'2024年销售情况'!$BL$75,0)</f>
        <v>0</v>
      </c>
      <c r="O13" s="58">
        <f>IFERROR(SUMIF(单品目标年销量!$E:$E,$E:$E,单品目标年销量!$W:$W)*'2024年销售情况'!$BP$75,0)</f>
        <v>0</v>
      </c>
      <c r="P13" s="58">
        <f>IFERROR(SUMIF(单品目标年销量!$E:$E,$E:$E,单品目标年销量!$W:$W)*'2024年销售情况'!$BT$75,0)*2</f>
        <v>0</v>
      </c>
      <c r="Q13" s="58">
        <f>IFERROR(SUMIF(单品目标年销量!$E:$E,$E:$E,单品目标年销量!$W:$W)*'2024年销售情况'!$BX$75,0)*2</f>
        <v>0</v>
      </c>
      <c r="R13" s="38">
        <f t="shared" si="0"/>
        <v>0</v>
      </c>
      <c r="S13" s="21">
        <f>IFERROR(R13/年目标!$E$15,0)</f>
        <v>0</v>
      </c>
    </row>
    <row r="14" ht="21" customHeight="1" spans="1:20">
      <c r="A14" s="36"/>
      <c r="B14" s="40"/>
      <c r="C14" s="41"/>
      <c r="D14" s="41"/>
      <c r="E14" s="74"/>
      <c r="F14" s="38">
        <f>SUMIF(单品目标年销量!C:C,C:C,单品目标年销量!W:W)*SUMIF('2024年销售情况'!C:C,C:C,'2024年销售情况'!AF:AF)</f>
        <v>0</v>
      </c>
      <c r="G14" s="38">
        <f>SUMIF(单品目标年销量!$C:$C,$C:$C,单品目标年销量!$W:$W)*SUMIF('2024年销售情况'!$C:$C,$C:$C,'2024年销售情况'!AJ:AJ)</f>
        <v>0</v>
      </c>
      <c r="H14" s="38">
        <f>SUMIF(单品目标年销量!$C:$C,$C:$C,单品目标年销量!$W:$W)*SUMIF('2024年销售情况'!$C:$C,$C:$C,'2024年销售情况'!AN:AN)</f>
        <v>0</v>
      </c>
      <c r="I14" s="38">
        <f>SUMIF(单品目标年销量!$C:$C,$C:$C,单品目标年销量!$W:$W)*SUMIF('2024年销售情况'!$C:$C,$C:$C,'2024年销售情况'!AR:AR)</f>
        <v>0</v>
      </c>
      <c r="J14" s="38">
        <f>SUMIF(单品目标年销量!$C:$C,$C:$C,单品目标年销量!$W:$W)*SUMIF('2024年销售情况'!$C:$C,$C:$C,'2024年销售情况'!AV:AV)</f>
        <v>0</v>
      </c>
      <c r="K14" s="38">
        <f>SUMIF(单品目标年销量!$C:$C,$C:$C,单品目标年销量!$W:$W)*SUMIF('2024年销售情况'!$C:$C,$C:$C,'2024年销售情况'!AZ:AZ)</f>
        <v>0</v>
      </c>
      <c r="L14" s="38">
        <f>SUMIF(单品目标年销量!$C:$C,$C:$C,单品目标年销量!$W:$W)*SUMIF('2024年销售情况'!$C:$C,$C:$C,'2024年销售情况'!BD:BD)</f>
        <v>0</v>
      </c>
      <c r="M14" s="38">
        <f>SUMIF(单品目标年销量!$C:$C,$C:$C,单品目标年销量!$W:$W)*SUMIF('2024年销售情况'!$C:$C,$C:$C,'2024年销售情况'!BH:BH)</f>
        <v>0</v>
      </c>
      <c r="N14" s="38">
        <f>SUMIF(单品目标年销量!$C:$C,$C:$C,单品目标年销量!$W:$W)*SUMIF('2024年销售情况'!$C:$C,$C:$C,'2024年销售情况'!BL:BL)</f>
        <v>0</v>
      </c>
      <c r="O14" s="38">
        <f>SUMIF(单品目标年销量!$C:$C,$C:$C,单品目标年销量!$W:$W)*SUMIF('2024年销售情况'!$C:$C,$C:$C,'2024年销售情况'!BP:BP)</f>
        <v>0</v>
      </c>
      <c r="P14" s="38">
        <f>SUMIF(单品目标年销量!$C:$C,$C:$C,单品目标年销量!$W:$W)*SUMIF('2024年销售情况'!$C:$C,$C:$C,'2024年销售情况'!BT:BT)</f>
        <v>0</v>
      </c>
      <c r="Q14" s="38">
        <f>SUMIF(单品目标年销量!$C:$C,$C:$C,单品目标年销量!$W:$W)*SUMIF('2024年销售情况'!$C:$C,$C:$C,'2024年销售情况'!BX:BX)</f>
        <v>0</v>
      </c>
      <c r="R14" s="38">
        <f t="shared" si="0"/>
        <v>0</v>
      </c>
      <c r="S14" s="21">
        <f>IFERROR(R14/年目标!$E$15,0)</f>
        <v>0</v>
      </c>
      <c r="T14" s="106">
        <f>SUMIF('船长每月数据(2023年)'!E:E,C:C,'船长每月数据(2023年)'!R:R)</f>
        <v>0</v>
      </c>
    </row>
    <row r="15" ht="21" customHeight="1" spans="1:20">
      <c r="A15" s="36"/>
      <c r="B15" s="40"/>
      <c r="C15" s="41"/>
      <c r="D15" s="41"/>
      <c r="E15" s="74"/>
      <c r="F15" s="38">
        <f>SUMIF(单品目标年销量!C:C,C:C,单品目标年销量!W:W)*SUMIF('2024年销售情况'!C:C,单品目标年销量!C:C,'2024年销售情况'!AF:AF)</f>
        <v>0</v>
      </c>
      <c r="G15" s="38">
        <f>SUMIF(单品目标年销量!$C:$C,$C:$C,单品目标年销量!$W:$W)*SUMIF('2024年销售情况'!$C:$C,$C:$C,'2024年销售情况'!AJ:AJ)</f>
        <v>0</v>
      </c>
      <c r="H15" s="38">
        <f>SUMIF(单品目标年销量!$C:$C,$C:$C,单品目标年销量!$W:$W)*SUMIF('2024年销售情况'!$C:$C,$C:$C,'2024年销售情况'!AN:AN)</f>
        <v>0</v>
      </c>
      <c r="I15" s="38">
        <f>SUMIF(单品目标年销量!$C:$C,$C:$C,单品目标年销量!$W:$W)*SUMIF('2024年销售情况'!$C:$C,$C:$C,'2024年销售情况'!AR:AR)</f>
        <v>0</v>
      </c>
      <c r="J15" s="38">
        <f>SUMIF(单品目标年销量!$C:$C,$C:$C,单品目标年销量!$W:$W)*SUMIF('2024年销售情况'!$C:$C,$C:$C,'2024年销售情况'!AV:AV)</f>
        <v>0</v>
      </c>
      <c r="K15" s="38">
        <f>SUMIF(单品目标年销量!$C:$C,$C:$C,单品目标年销量!$W:$W)*SUMIF('2024年销售情况'!$C:$C,$C:$C,'2024年销售情况'!AZ:AZ)</f>
        <v>0</v>
      </c>
      <c r="L15" s="38">
        <f>SUMIF(单品目标年销量!$C:$C,$C:$C,单品目标年销量!$W:$W)*SUMIF('2024年销售情况'!$C:$C,$C:$C,'2024年销售情况'!BD:BD)</f>
        <v>0</v>
      </c>
      <c r="M15" s="38">
        <f>SUMIF(单品目标年销量!$C:$C,$C:$C,单品目标年销量!$W:$W)*SUMIF('2024年销售情况'!$C:$C,$C:$C,'2024年销售情况'!BH:BH)</f>
        <v>0</v>
      </c>
      <c r="N15" s="38">
        <f>SUMIF(单品目标年销量!$C:$C,$C:$C,单品目标年销量!$W:$W)*SUMIF('2024年销售情况'!$C:$C,$C:$C,'2024年销售情况'!BL:BL)</f>
        <v>0</v>
      </c>
      <c r="O15" s="38">
        <f>SUMIF(单品目标年销量!$C:$C,$C:$C,单品目标年销量!$W:$W)*SUMIF('2024年销售情况'!$C:$C,$C:$C,'2024年销售情况'!BP:BP)</f>
        <v>0</v>
      </c>
      <c r="P15" s="38">
        <f>SUMIF(单品目标年销量!$C:$C,$C:$C,单品目标年销量!$W:$W)*SUMIF('2024年销售情况'!$C:$C,$C:$C,'2024年销售情况'!BT:BT)</f>
        <v>0</v>
      </c>
      <c r="Q15" s="38">
        <f>SUMIF(单品目标年销量!$C:$C,$C:$C,单品目标年销量!$W:$W)*SUMIF('2024年销售情况'!$C:$C,$C:$C,'2024年销售情况'!BX:BX)</f>
        <v>0</v>
      </c>
      <c r="R15" s="38">
        <f t="shared" si="0"/>
        <v>0</v>
      </c>
      <c r="S15" s="21">
        <f>IFERROR(R15/年目标!$E$15,0)</f>
        <v>0</v>
      </c>
      <c r="T15" s="106">
        <f>SUMIF('船长每月数据(2023年)'!E:E,C:C,'船长每月数据(2023年)'!R:R)</f>
        <v>0</v>
      </c>
    </row>
    <row r="16" ht="21" customHeight="1" spans="1:20">
      <c r="A16" s="36"/>
      <c r="B16" s="36"/>
      <c r="C16" s="41"/>
      <c r="D16" s="41"/>
      <c r="E16" s="74"/>
      <c r="F16" s="38">
        <f>SUMIF(单品目标年销量!C:C,C:C,单品目标年销量!W:W)*SUMIF('2024年销售情况'!C:C,单品目标年销量!C:C,'2024年销售情况'!AF:AF)</f>
        <v>0</v>
      </c>
      <c r="G16" s="38">
        <f>SUMIF(单品目标年销量!$C:$C,$C:$C,单品目标年销量!$W:$W)*SUMIF('2024年销售情况'!$C:$C,$C:$C,'2024年销售情况'!AJ:AJ)</f>
        <v>0</v>
      </c>
      <c r="H16" s="38">
        <f>SUMIF(单品目标年销量!$C:$C,$C:$C,单品目标年销量!$W:$W)*SUMIF('2024年销售情况'!$C:$C,$C:$C,'2024年销售情况'!AN:AN)</f>
        <v>0</v>
      </c>
      <c r="I16" s="38">
        <f>SUMIF(单品目标年销量!$C:$C,$C:$C,单品目标年销量!$W:$W)*SUMIF('2024年销售情况'!$C:$C,$C:$C,'2024年销售情况'!AR:AR)</f>
        <v>0</v>
      </c>
      <c r="J16" s="38">
        <f>SUMIF(单品目标年销量!$C:$C,$C:$C,单品目标年销量!$W:$W)*SUMIF('2024年销售情况'!$C:$C,$C:$C,'2024年销售情况'!AV:AV)</f>
        <v>0</v>
      </c>
      <c r="K16" s="38">
        <f>SUMIF(单品目标年销量!$C:$C,$C:$C,单品目标年销量!$W:$W)*SUMIF('2024年销售情况'!$C:$C,$C:$C,'2024年销售情况'!AZ:AZ)</f>
        <v>0</v>
      </c>
      <c r="L16" s="38">
        <f>SUMIF(单品目标年销量!$C:$C,$C:$C,单品目标年销量!$W:$W)*SUMIF('2024年销售情况'!$C:$C,$C:$C,'2024年销售情况'!BD:BD)</f>
        <v>0</v>
      </c>
      <c r="M16" s="38">
        <f>SUMIF(单品目标年销量!$C:$C,$C:$C,单品目标年销量!$W:$W)*SUMIF('2024年销售情况'!$C:$C,$C:$C,'2024年销售情况'!BH:BH)</f>
        <v>0</v>
      </c>
      <c r="N16" s="38">
        <f>SUMIF(单品目标年销量!$C:$C,$C:$C,单品目标年销量!$W:$W)*SUMIF('2024年销售情况'!$C:$C,$C:$C,'2024年销售情况'!BL:BL)</f>
        <v>0</v>
      </c>
      <c r="O16" s="38">
        <f>SUMIF(单品目标年销量!$C:$C,$C:$C,单品目标年销量!$W:$W)*SUMIF('2024年销售情况'!$C:$C,$C:$C,'2024年销售情况'!BP:BP)</f>
        <v>0</v>
      </c>
      <c r="P16" s="38">
        <f>SUMIF(单品目标年销量!$C:$C,$C:$C,单品目标年销量!$W:$W)*SUMIF('2024年销售情况'!$C:$C,$C:$C,'2024年销售情况'!BT:BT)</f>
        <v>0</v>
      </c>
      <c r="Q16" s="38">
        <f>SUMIF(单品目标年销量!$C:$C,$C:$C,单品目标年销量!$W:$W)*SUMIF('2024年销售情况'!$C:$C,$C:$C,'2024年销售情况'!BX:BX)</f>
        <v>0</v>
      </c>
      <c r="R16" s="38">
        <f t="shared" si="0"/>
        <v>0</v>
      </c>
      <c r="S16" s="21">
        <f>IFERROR(R16/年目标!$E$15,0)</f>
        <v>0</v>
      </c>
      <c r="T16" s="106">
        <f>SUMIF('船长每月数据(2023年)'!E:E,C:C,'船长每月数据(2023年)'!R:R)</f>
        <v>0</v>
      </c>
    </row>
    <row r="17" ht="21" customHeight="1" spans="1:20">
      <c r="A17" s="36"/>
      <c r="B17" s="36"/>
      <c r="C17" s="41"/>
      <c r="D17" s="41"/>
      <c r="E17" s="74"/>
      <c r="F17" s="38">
        <f>SUMIF(单品目标年销量!C:C,C:C,单品目标年销量!W:W)*SUMIF('2024年销售情况'!C:C,单品目标年销量!C:C,'2024年销售情况'!AF:AF)</f>
        <v>0</v>
      </c>
      <c r="G17" s="38">
        <f>SUMIF(单品目标年销量!$C:$C,$C:$C,单品目标年销量!$W:$W)*SUMIF('2024年销售情况'!$C:$C,$C:$C,'2024年销售情况'!AJ:AJ)</f>
        <v>0</v>
      </c>
      <c r="H17" s="38">
        <f>SUMIF(单品目标年销量!$C:$C,$C:$C,单品目标年销量!$W:$W)*SUMIF('2024年销售情况'!$C:$C,$C:$C,'2024年销售情况'!AN:AN)</f>
        <v>0</v>
      </c>
      <c r="I17" s="38">
        <f>SUMIF(单品目标年销量!$C:$C,$C:$C,单品目标年销量!$W:$W)*SUMIF('2024年销售情况'!$C:$C,$C:$C,'2024年销售情况'!AR:AR)</f>
        <v>0</v>
      </c>
      <c r="J17" s="38">
        <f>SUMIF(单品目标年销量!$C:$C,$C:$C,单品目标年销量!$W:$W)*SUMIF('2024年销售情况'!$C:$C,$C:$C,'2024年销售情况'!AV:AV)</f>
        <v>0</v>
      </c>
      <c r="K17" s="38">
        <f>SUMIF(单品目标年销量!$C:$C,$C:$C,单品目标年销量!$W:$W)*SUMIF('2024年销售情况'!$C:$C,$C:$C,'2024年销售情况'!AZ:AZ)</f>
        <v>0</v>
      </c>
      <c r="L17" s="38">
        <f>SUMIF(单品目标年销量!$C:$C,$C:$C,单品目标年销量!$W:$W)*SUMIF('2024年销售情况'!$C:$C,$C:$C,'2024年销售情况'!BD:BD)</f>
        <v>0</v>
      </c>
      <c r="M17" s="38">
        <f>SUMIF(单品目标年销量!$C:$C,$C:$C,单品目标年销量!$W:$W)*SUMIF('2024年销售情况'!$C:$C,$C:$C,'2024年销售情况'!BH:BH)</f>
        <v>0</v>
      </c>
      <c r="N17" s="38">
        <f>SUMIF(单品目标年销量!$C:$C,$C:$C,单品目标年销量!$W:$W)*SUMIF('2024年销售情况'!$C:$C,$C:$C,'2024年销售情况'!BL:BL)</f>
        <v>0</v>
      </c>
      <c r="O17" s="38">
        <f>SUMIF(单品目标年销量!$C:$C,$C:$C,单品目标年销量!$W:$W)*SUMIF('2024年销售情况'!$C:$C,$C:$C,'2024年销售情况'!BP:BP)</f>
        <v>0</v>
      </c>
      <c r="P17" s="38">
        <f>SUMIF(单品目标年销量!$C:$C,$C:$C,单品目标年销量!$W:$W)*SUMIF('2024年销售情况'!$C:$C,$C:$C,'2024年销售情况'!BT:BT)</f>
        <v>0</v>
      </c>
      <c r="Q17" s="38">
        <f>SUMIF(单品目标年销量!$C:$C,$C:$C,单品目标年销量!$W:$W)*SUMIF('2024年销售情况'!$C:$C,$C:$C,'2024年销售情况'!BX:BX)</f>
        <v>0</v>
      </c>
      <c r="R17" s="38">
        <f t="shared" si="0"/>
        <v>0</v>
      </c>
      <c r="S17" s="21">
        <f>IFERROR(R17/年目标!$E$15,0)</f>
        <v>0</v>
      </c>
      <c r="T17" s="106">
        <f>SUMIF('船长每月数据(2023年)'!E:E,C:C,'船长每月数据(2023年)'!R:R)</f>
        <v>0</v>
      </c>
    </row>
    <row r="18" ht="21" customHeight="1" spans="1:20">
      <c r="A18" s="36"/>
      <c r="B18" s="36"/>
      <c r="C18" s="41"/>
      <c r="D18" s="41"/>
      <c r="E18" s="74"/>
      <c r="F18" s="38">
        <f>SUMIF(单品目标年销量!C:C,C:C,单品目标年销量!W:W)*SUMIF('2024年销售情况'!C:C,单品目标年销量!C:C,'2024年销售情况'!AF:AF)</f>
        <v>0</v>
      </c>
      <c r="G18" s="38">
        <f>SUMIF(单品目标年销量!$C:$C,$C:$C,单品目标年销量!$W:$W)*SUMIF('2024年销售情况'!$C:$C,$C:$C,'2024年销售情况'!AJ:AJ)</f>
        <v>0</v>
      </c>
      <c r="H18" s="38">
        <f>SUMIF(单品目标年销量!$C:$C,$C:$C,单品目标年销量!$W:$W)*SUMIF('2024年销售情况'!$C:$C,$C:$C,'2024年销售情况'!AN:AN)</f>
        <v>0</v>
      </c>
      <c r="I18" s="38">
        <f>SUMIF(单品目标年销量!$C:$C,$C:$C,单品目标年销量!$W:$W)*SUMIF('2024年销售情况'!$C:$C,$C:$C,'2024年销售情况'!AR:AR)</f>
        <v>0</v>
      </c>
      <c r="J18" s="38">
        <f>SUMIF(单品目标年销量!$C:$C,$C:$C,单品目标年销量!$W:$W)*SUMIF('2024年销售情况'!$C:$C,$C:$C,'2024年销售情况'!AV:AV)</f>
        <v>0</v>
      </c>
      <c r="K18" s="38">
        <f>SUMIF(单品目标年销量!$C:$C,$C:$C,单品目标年销量!$W:$W)*SUMIF('2024年销售情况'!$C:$C,$C:$C,'2024年销售情况'!AZ:AZ)</f>
        <v>0</v>
      </c>
      <c r="L18" s="38">
        <f>SUMIF(单品目标年销量!$C:$C,$C:$C,单品目标年销量!$W:$W)*SUMIF('2024年销售情况'!$C:$C,$C:$C,'2024年销售情况'!BD:BD)</f>
        <v>0</v>
      </c>
      <c r="M18" s="38">
        <f>SUMIF(单品目标年销量!$C:$C,$C:$C,单品目标年销量!$W:$W)*SUMIF('2024年销售情况'!$C:$C,$C:$C,'2024年销售情况'!BH:BH)</f>
        <v>0</v>
      </c>
      <c r="N18" s="38">
        <f>SUMIF(单品目标年销量!$C:$C,$C:$C,单品目标年销量!$W:$W)*SUMIF('2024年销售情况'!$C:$C,$C:$C,'2024年销售情况'!BL:BL)</f>
        <v>0</v>
      </c>
      <c r="O18" s="38">
        <f>SUMIF(单品目标年销量!$C:$C,$C:$C,单品目标年销量!$W:$W)*SUMIF('2024年销售情况'!$C:$C,$C:$C,'2024年销售情况'!BP:BP)</f>
        <v>0</v>
      </c>
      <c r="P18" s="38">
        <f>SUMIF(单品目标年销量!$C:$C,$C:$C,单品目标年销量!$W:$W)*SUMIF('2024年销售情况'!$C:$C,$C:$C,'2024年销售情况'!BT:BT)</f>
        <v>0</v>
      </c>
      <c r="Q18" s="38">
        <f>SUMIF(单品目标年销量!$C:$C,$C:$C,单品目标年销量!$W:$W)*SUMIF('2024年销售情况'!$C:$C,$C:$C,'2024年销售情况'!BX:BX)</f>
        <v>0</v>
      </c>
      <c r="R18" s="38">
        <f t="shared" si="0"/>
        <v>0</v>
      </c>
      <c r="S18" s="21">
        <f>IFERROR(R18/年目标!$E$15,0)</f>
        <v>0</v>
      </c>
      <c r="T18" s="106">
        <f>SUMIF('船长每月数据(2023年)'!E:E,C:C,'船长每月数据(2023年)'!R:R)</f>
        <v>0</v>
      </c>
    </row>
    <row r="19" ht="21" customHeight="1" spans="1:20">
      <c r="A19" s="36"/>
      <c r="B19" s="36"/>
      <c r="C19" s="20"/>
      <c r="D19" s="20"/>
      <c r="E19" s="74"/>
      <c r="F19" s="38">
        <f>SUMIF(单品目标年销量!C:C,C:C,单品目标年销量!W:W)*SUMIF('2024年销售情况'!C:C,单品目标年销量!C:C,'2024年销售情况'!AF:AF)</f>
        <v>0</v>
      </c>
      <c r="G19" s="38">
        <f>SUMIF(单品目标年销量!$C:$C,$C:$C,单品目标年销量!$W:$W)*SUMIF('2024年销售情况'!$C:$C,$C:$C,'2024年销售情况'!AJ:AJ)</f>
        <v>0</v>
      </c>
      <c r="H19" s="38">
        <f>SUMIF(单品目标年销量!$C:$C,$C:$C,单品目标年销量!$W:$W)*SUMIF('2024年销售情况'!$C:$C,$C:$C,'2024年销售情况'!AN:AN)</f>
        <v>0</v>
      </c>
      <c r="I19" s="38">
        <f>SUMIF(单品目标年销量!$C:$C,$C:$C,单品目标年销量!$W:$W)*SUMIF('2024年销售情况'!$C:$C,$C:$C,'2024年销售情况'!AR:AR)</f>
        <v>0</v>
      </c>
      <c r="J19" s="38">
        <f>SUMIF(单品目标年销量!$C:$C,$C:$C,单品目标年销量!$W:$W)*SUMIF('2024年销售情况'!$C:$C,$C:$C,'2024年销售情况'!AV:AV)</f>
        <v>0</v>
      </c>
      <c r="K19" s="38">
        <f>SUMIF(单品目标年销量!$C:$C,$C:$C,单品目标年销量!$W:$W)*SUMIF('2024年销售情况'!$C:$C,$C:$C,'2024年销售情况'!AZ:AZ)</f>
        <v>0</v>
      </c>
      <c r="L19" s="38">
        <f>SUMIF(单品目标年销量!$C:$C,$C:$C,单品目标年销量!$W:$W)*SUMIF('2024年销售情况'!$C:$C,$C:$C,'2024年销售情况'!BD:BD)</f>
        <v>0</v>
      </c>
      <c r="M19" s="38">
        <f>SUMIF(单品目标年销量!$C:$C,$C:$C,单品目标年销量!$W:$W)*SUMIF('2024年销售情况'!$C:$C,$C:$C,'2024年销售情况'!BH:BH)</f>
        <v>0</v>
      </c>
      <c r="N19" s="38">
        <f>SUMIF(单品目标年销量!$C:$C,$C:$C,单品目标年销量!$W:$W)*SUMIF('2024年销售情况'!$C:$C,$C:$C,'2024年销售情况'!BL:BL)</f>
        <v>0</v>
      </c>
      <c r="O19" s="38">
        <f>SUMIF(单品目标年销量!$C:$C,$C:$C,单品目标年销量!$W:$W)*SUMIF('2024年销售情况'!$C:$C,$C:$C,'2024年销售情况'!BP:BP)</f>
        <v>0</v>
      </c>
      <c r="P19" s="38">
        <f>SUMIF(单品目标年销量!$C:$C,$C:$C,单品目标年销量!$W:$W)*SUMIF('2024年销售情况'!$C:$C,$C:$C,'2024年销售情况'!BT:BT)</f>
        <v>0</v>
      </c>
      <c r="Q19" s="38">
        <f>SUMIF(单品目标年销量!$C:$C,$C:$C,单品目标年销量!$W:$W)*SUMIF('2024年销售情况'!$C:$C,$C:$C,'2024年销售情况'!BX:BX)</f>
        <v>0</v>
      </c>
      <c r="R19" s="38">
        <f t="shared" si="0"/>
        <v>0</v>
      </c>
      <c r="S19" s="21">
        <f>IFERROR(R19/年目标!$E$15,0)</f>
        <v>0</v>
      </c>
      <c r="T19" s="106">
        <f>SUMIF('船长每月数据(2023年)'!E:E,C:C,'船长每月数据(2023年)'!R:R)</f>
        <v>0</v>
      </c>
    </row>
    <row r="20" ht="21" customHeight="1" spans="1:20">
      <c r="A20" s="36"/>
      <c r="B20" s="36"/>
      <c r="C20" s="20"/>
      <c r="D20" s="20"/>
      <c r="E20" s="112"/>
      <c r="F20" s="38">
        <f>SUMIF(单品目标年销量!C:C,C:C,单品目标年销量!W:W)*SUMIF('2024年销售情况'!C:C,单品目标年销量!C:C,'2024年销售情况'!AF:AF)</f>
        <v>0</v>
      </c>
      <c r="G20" s="38">
        <f>SUMIF(单品目标年销量!$C:$C,$C:$C,单品目标年销量!$W:$W)*SUMIF('2024年销售情况'!$C:$C,$C:$C,'2024年销售情况'!AJ:AJ)</f>
        <v>0</v>
      </c>
      <c r="H20" s="38">
        <f>SUMIF(单品目标年销量!$C:$C,$C:$C,单品目标年销量!$W:$W)*SUMIF('2024年销售情况'!$C:$C,$C:$C,'2024年销售情况'!AN:AN)</f>
        <v>0</v>
      </c>
      <c r="I20" s="38">
        <f>SUMIF(单品目标年销量!$C:$C,$C:$C,单品目标年销量!$W:$W)*SUMIF('2024年销售情况'!$C:$C,$C:$C,'2024年销售情况'!AR:AR)</f>
        <v>0</v>
      </c>
      <c r="J20" s="38">
        <f>SUMIF(单品目标年销量!$C:$C,$C:$C,单品目标年销量!$W:$W)*SUMIF('2024年销售情况'!$C:$C,$C:$C,'2024年销售情况'!AV:AV)</f>
        <v>0</v>
      </c>
      <c r="K20" s="38">
        <f>SUMIF(单品目标年销量!$C:$C,$C:$C,单品目标年销量!$W:$W)*SUMIF('2024年销售情况'!$C:$C,$C:$C,'2024年销售情况'!AZ:AZ)</f>
        <v>0</v>
      </c>
      <c r="L20" s="38">
        <f>SUMIF(单品目标年销量!$C:$C,$C:$C,单品目标年销量!$W:$W)*SUMIF('2024年销售情况'!$C:$C,$C:$C,'2024年销售情况'!BD:BD)</f>
        <v>0</v>
      </c>
      <c r="M20" s="38">
        <f>SUMIF(单品目标年销量!$C:$C,$C:$C,单品目标年销量!$W:$W)*SUMIF('2024年销售情况'!$C:$C,$C:$C,'2024年销售情况'!BH:BH)</f>
        <v>0</v>
      </c>
      <c r="N20" s="38">
        <f>SUMIF(单品目标年销量!$C:$C,$C:$C,单品目标年销量!$W:$W)*SUMIF('2024年销售情况'!$C:$C,$C:$C,'2024年销售情况'!BL:BL)</f>
        <v>0</v>
      </c>
      <c r="O20" s="38">
        <f>SUMIF(单品目标年销量!$C:$C,$C:$C,单品目标年销量!$W:$W)*SUMIF('2024年销售情况'!$C:$C,$C:$C,'2024年销售情况'!BP:BP)</f>
        <v>0</v>
      </c>
      <c r="P20" s="38">
        <f>SUMIF(单品目标年销量!$C:$C,$C:$C,单品目标年销量!$W:$W)*SUMIF('2024年销售情况'!$C:$C,$C:$C,'2024年销售情况'!BT:BT)</f>
        <v>0</v>
      </c>
      <c r="Q20" s="38">
        <f>SUMIF(单品目标年销量!$C:$C,$C:$C,单品目标年销量!$W:$W)*SUMIF('2024年销售情况'!$C:$C,$C:$C,'2024年销售情况'!BX:BX)</f>
        <v>0</v>
      </c>
      <c r="R20" s="38">
        <f t="shared" si="0"/>
        <v>0</v>
      </c>
      <c r="S20" s="21">
        <f>IFERROR(R20/年目标!$E$15,0)</f>
        <v>0</v>
      </c>
      <c r="T20" s="106">
        <f>SUMIF('船长每月数据(2023年)'!E:E,C:C,'船长每月数据(2023年)'!R:R)</f>
        <v>0</v>
      </c>
    </row>
    <row r="21" ht="21" customHeight="1" spans="1:20">
      <c r="A21" s="36"/>
      <c r="B21" s="36"/>
      <c r="C21" s="20"/>
      <c r="D21" s="20"/>
      <c r="E21" s="74"/>
      <c r="F21" s="38">
        <f>SUMIF(单品目标年销量!C:C,C:C,单品目标年销量!W:W)*SUMIF('2024年销售情况'!C:C,单品目标年销量!C:C,'2024年销售情况'!AF:AF)</f>
        <v>0</v>
      </c>
      <c r="G21" s="38">
        <f>SUMIF(单品目标年销量!$C:$C,$C:$C,单品目标年销量!$W:$W)*SUMIF('2024年销售情况'!$C:$C,$C:$C,'2024年销售情况'!AJ:AJ)</f>
        <v>0</v>
      </c>
      <c r="H21" s="38">
        <f>SUMIF(单品目标年销量!$C:$C,$C:$C,单品目标年销量!$W:$W)*SUMIF('2024年销售情况'!$C:$C,$C:$C,'2024年销售情况'!AN:AN)</f>
        <v>0</v>
      </c>
      <c r="I21" s="38">
        <f>SUMIF(单品目标年销量!$C:$C,$C:$C,单品目标年销量!$W:$W)*SUMIF('2024年销售情况'!$C:$C,$C:$C,'2024年销售情况'!AR:AR)</f>
        <v>0</v>
      </c>
      <c r="J21" s="38">
        <f>SUMIF(单品目标年销量!$C:$C,$C:$C,单品目标年销量!$W:$W)*SUMIF('2024年销售情况'!$C:$C,$C:$C,'2024年销售情况'!AV:AV)</f>
        <v>0</v>
      </c>
      <c r="K21" s="38">
        <f>SUMIF(单品目标年销量!$C:$C,$C:$C,单品目标年销量!$W:$W)*SUMIF('2024年销售情况'!$C:$C,$C:$C,'2024年销售情况'!AZ:AZ)</f>
        <v>0</v>
      </c>
      <c r="L21" s="38">
        <f>SUMIF(单品目标年销量!$C:$C,$C:$C,单品目标年销量!$W:$W)*SUMIF('2024年销售情况'!$C:$C,$C:$C,'2024年销售情况'!BD:BD)</f>
        <v>0</v>
      </c>
      <c r="M21" s="38">
        <f>SUMIF(单品目标年销量!$C:$C,$C:$C,单品目标年销量!$W:$W)*SUMIF('2024年销售情况'!$C:$C,$C:$C,'2024年销售情况'!BH:BH)</f>
        <v>0</v>
      </c>
      <c r="N21" s="38">
        <f>SUMIF(单品目标年销量!$C:$C,$C:$C,单品目标年销量!$W:$W)*SUMIF('2024年销售情况'!$C:$C,$C:$C,'2024年销售情况'!BL:BL)</f>
        <v>0</v>
      </c>
      <c r="O21" s="38">
        <f>SUMIF(单品目标年销量!$C:$C,$C:$C,单品目标年销量!$W:$W)*SUMIF('2024年销售情况'!$C:$C,$C:$C,'2024年销售情况'!BP:BP)</f>
        <v>0</v>
      </c>
      <c r="P21" s="38">
        <f>SUMIF(单品目标年销量!$C:$C,$C:$C,单品目标年销量!$W:$W)*SUMIF('2024年销售情况'!$C:$C,$C:$C,'2024年销售情况'!BT:BT)</f>
        <v>0</v>
      </c>
      <c r="Q21" s="38">
        <f>SUMIF(单品目标年销量!$C:$C,$C:$C,单品目标年销量!$W:$W)*SUMIF('2024年销售情况'!$C:$C,$C:$C,'2024年销售情况'!BX:BX)</f>
        <v>0</v>
      </c>
      <c r="R21" s="38">
        <f t="shared" si="0"/>
        <v>0</v>
      </c>
      <c r="S21" s="21">
        <f>IFERROR(R21/年目标!$E$15,0)</f>
        <v>0</v>
      </c>
      <c r="T21" s="106">
        <f>SUMIF('船长每月数据(2023年)'!E:E,C:C,'船长每月数据(2023年)'!R:R)</f>
        <v>0</v>
      </c>
    </row>
    <row r="22" ht="21" customHeight="1" spans="1:20">
      <c r="A22" s="36"/>
      <c r="B22" s="36"/>
      <c r="C22" s="20"/>
      <c r="D22" s="20"/>
      <c r="E22" s="74"/>
      <c r="F22" s="38">
        <f>SUMIF(单品目标年销量!C:C,C:C,单品目标年销量!W:W)*SUMIF('2024年销售情况'!C:C,单品目标年销量!C:C,'2024年销售情况'!AF:AF)</f>
        <v>0</v>
      </c>
      <c r="G22" s="38">
        <f>SUMIF(单品目标年销量!$C:$C,$C:$C,单品目标年销量!$W:$W)*SUMIF('2024年销售情况'!$C:$C,$C:$C,'2024年销售情况'!AJ:AJ)</f>
        <v>0</v>
      </c>
      <c r="H22" s="38">
        <f>SUMIF(单品目标年销量!$C:$C,$C:$C,单品目标年销量!$W:$W)*SUMIF('2024年销售情况'!$C:$C,$C:$C,'2024年销售情况'!AN:AN)</f>
        <v>0</v>
      </c>
      <c r="I22" s="38">
        <f>SUMIF(单品目标年销量!$C:$C,$C:$C,单品目标年销量!$W:$W)*SUMIF('2024年销售情况'!$C:$C,$C:$C,'2024年销售情况'!AR:AR)</f>
        <v>0</v>
      </c>
      <c r="J22" s="38">
        <f>SUMIF(单品目标年销量!$C:$C,$C:$C,单品目标年销量!$W:$W)*SUMIF('2024年销售情况'!$C:$C,$C:$C,'2024年销售情况'!AV:AV)</f>
        <v>0</v>
      </c>
      <c r="K22" s="38">
        <f>SUMIF(单品目标年销量!$C:$C,$C:$C,单品目标年销量!$W:$W)*SUMIF('2024年销售情况'!$C:$C,$C:$C,'2024年销售情况'!AZ:AZ)</f>
        <v>0</v>
      </c>
      <c r="L22" s="38">
        <f>SUMIF(单品目标年销量!$C:$C,$C:$C,单品目标年销量!$W:$W)*SUMIF('2024年销售情况'!$C:$C,$C:$C,'2024年销售情况'!BD:BD)</f>
        <v>0</v>
      </c>
      <c r="M22" s="38">
        <f>SUMIF(单品目标年销量!$C:$C,$C:$C,单品目标年销量!$W:$W)*SUMIF('2024年销售情况'!$C:$C,$C:$C,'2024年销售情况'!BH:BH)</f>
        <v>0</v>
      </c>
      <c r="N22" s="38">
        <f>SUMIF(单品目标年销量!$C:$C,$C:$C,单品目标年销量!$W:$W)*SUMIF('2024年销售情况'!$C:$C,$C:$C,'2024年销售情况'!BL:BL)</f>
        <v>0</v>
      </c>
      <c r="O22" s="38">
        <f>SUMIF(单品目标年销量!$C:$C,$C:$C,单品目标年销量!$W:$W)*SUMIF('2024年销售情况'!$C:$C,$C:$C,'2024年销售情况'!BP:BP)</f>
        <v>0</v>
      </c>
      <c r="P22" s="38">
        <f>SUMIF(单品目标年销量!$C:$C,$C:$C,单品目标年销量!$W:$W)*SUMIF('2024年销售情况'!$C:$C,$C:$C,'2024年销售情况'!BT:BT)</f>
        <v>0</v>
      </c>
      <c r="Q22" s="38">
        <f>SUMIF(单品目标年销量!$C:$C,$C:$C,单品目标年销量!$W:$W)*SUMIF('2024年销售情况'!$C:$C,$C:$C,'2024年销售情况'!BX:BX)</f>
        <v>0</v>
      </c>
      <c r="R22" s="38">
        <f t="shared" si="0"/>
        <v>0</v>
      </c>
      <c r="S22" s="21">
        <f>IFERROR(R22/年目标!$E$15,0)</f>
        <v>0</v>
      </c>
      <c r="T22" s="106">
        <f>SUMIF('船长每月数据(2023年)'!E:E,C:C,'船长每月数据(2023年)'!R:R)</f>
        <v>0</v>
      </c>
    </row>
    <row r="23" ht="21" customHeight="1" spans="1:20">
      <c r="A23" s="36"/>
      <c r="B23" s="36"/>
      <c r="C23" s="20"/>
      <c r="D23" s="20"/>
      <c r="E23" s="74"/>
      <c r="F23" s="38">
        <f>SUMIF(单品目标年销量!C:C,C:C,单品目标年销量!W:W)*SUMIF('2024年销售情况'!C:C,单品目标年销量!C:C,'2024年销售情况'!AF:AF)</f>
        <v>0</v>
      </c>
      <c r="G23" s="38">
        <f>SUMIF(单品目标年销量!$C:$C,$C:$C,单品目标年销量!$W:$W)*SUMIF('2024年销售情况'!$C:$C,$C:$C,'2024年销售情况'!AJ:AJ)</f>
        <v>0</v>
      </c>
      <c r="H23" s="38">
        <f>SUMIF(单品目标年销量!$C:$C,$C:$C,单品目标年销量!$W:$W)*SUMIF('2024年销售情况'!$C:$C,$C:$C,'2024年销售情况'!AN:AN)</f>
        <v>0</v>
      </c>
      <c r="I23" s="38">
        <f>SUMIF(单品目标年销量!$C:$C,$C:$C,单品目标年销量!$W:$W)*SUMIF('2024年销售情况'!$C:$C,$C:$C,'2024年销售情况'!AR:AR)</f>
        <v>0</v>
      </c>
      <c r="J23" s="38">
        <f>SUMIF(单品目标年销量!$C:$C,$C:$C,单品目标年销量!$W:$W)*SUMIF('2024年销售情况'!$C:$C,$C:$C,'2024年销售情况'!AV:AV)</f>
        <v>0</v>
      </c>
      <c r="K23" s="38">
        <f>SUMIF(单品目标年销量!$C:$C,$C:$C,单品目标年销量!$W:$W)*SUMIF('2024年销售情况'!$C:$C,$C:$C,'2024年销售情况'!AZ:AZ)</f>
        <v>0</v>
      </c>
      <c r="L23" s="38">
        <f>SUMIF(单品目标年销量!$C:$C,$C:$C,单品目标年销量!$W:$W)*SUMIF('2024年销售情况'!$C:$C,$C:$C,'2024年销售情况'!BD:BD)</f>
        <v>0</v>
      </c>
      <c r="M23" s="38">
        <f>SUMIF(单品目标年销量!$C:$C,$C:$C,单品目标年销量!$W:$W)*SUMIF('2024年销售情况'!$C:$C,$C:$C,'2024年销售情况'!BH:BH)</f>
        <v>0</v>
      </c>
      <c r="N23" s="38">
        <f>SUMIF(单品目标年销量!$C:$C,$C:$C,单品目标年销量!$W:$W)*SUMIF('2024年销售情况'!$C:$C,$C:$C,'2024年销售情况'!BL:BL)</f>
        <v>0</v>
      </c>
      <c r="O23" s="38">
        <f>SUMIF(单品目标年销量!$C:$C,$C:$C,单品目标年销量!$W:$W)*SUMIF('2024年销售情况'!$C:$C,$C:$C,'2024年销售情况'!BP:BP)</f>
        <v>0</v>
      </c>
      <c r="P23" s="38">
        <f>SUMIF(单品目标年销量!$C:$C,$C:$C,单品目标年销量!$W:$W)*SUMIF('2024年销售情况'!$C:$C,$C:$C,'2024年销售情况'!BT:BT)</f>
        <v>0</v>
      </c>
      <c r="Q23" s="38">
        <f>SUMIF(单品目标年销量!$C:$C,$C:$C,单品目标年销量!$W:$W)*SUMIF('2024年销售情况'!$C:$C,$C:$C,'2024年销售情况'!BX:BX)</f>
        <v>0</v>
      </c>
      <c r="R23" s="38">
        <f t="shared" si="0"/>
        <v>0</v>
      </c>
      <c r="S23" s="21">
        <f>IFERROR(R23/年目标!$E$15,0)</f>
        <v>0</v>
      </c>
      <c r="T23" s="106">
        <f>SUMIF('船长每月数据(2023年)'!E:E,C:C,'船长每月数据(2023年)'!R:R)</f>
        <v>0</v>
      </c>
    </row>
    <row r="24" ht="21" customHeight="1" spans="1:20">
      <c r="A24" s="36"/>
      <c r="B24" s="36"/>
      <c r="C24" s="20"/>
      <c r="D24" s="20"/>
      <c r="E24" s="74"/>
      <c r="F24" s="38">
        <f>SUMIF(单品目标年销量!C:C,C:C,单品目标年销量!W:W)*SUMIF('2024年销售情况'!C:C,单品目标年销量!C:C,'2024年销售情况'!AF:AF)</f>
        <v>0</v>
      </c>
      <c r="G24" s="38">
        <f>SUMIF(单品目标年销量!$C:$C,$C:$C,单品目标年销量!$W:$W)*SUMIF('2024年销售情况'!$C:$C,$C:$C,'2024年销售情况'!AJ:AJ)</f>
        <v>0</v>
      </c>
      <c r="H24" s="38">
        <f>SUMIF(单品目标年销量!$C:$C,$C:$C,单品目标年销量!$W:$W)*SUMIF('2024年销售情况'!$C:$C,$C:$C,'2024年销售情况'!AN:AN)</f>
        <v>0</v>
      </c>
      <c r="I24" s="38">
        <f>SUMIF(单品目标年销量!$C:$C,$C:$C,单品目标年销量!$W:$W)*SUMIF('2024年销售情况'!$C:$C,$C:$C,'2024年销售情况'!AR:AR)</f>
        <v>0</v>
      </c>
      <c r="J24" s="38">
        <f>SUMIF(单品目标年销量!$C:$C,$C:$C,单品目标年销量!$W:$W)*SUMIF('2024年销售情况'!$C:$C,$C:$C,'2024年销售情况'!AV:AV)</f>
        <v>0</v>
      </c>
      <c r="K24" s="38">
        <f>SUMIF(单品目标年销量!$C:$C,$C:$C,单品目标年销量!$W:$W)*SUMIF('2024年销售情况'!$C:$C,$C:$C,'2024年销售情况'!AZ:AZ)</f>
        <v>0</v>
      </c>
      <c r="L24" s="38">
        <f>SUMIF(单品目标年销量!$C:$C,$C:$C,单品目标年销量!$W:$W)*SUMIF('2024年销售情况'!$C:$C,$C:$C,'2024年销售情况'!BD:BD)</f>
        <v>0</v>
      </c>
      <c r="M24" s="38">
        <f>SUMIF(单品目标年销量!$C:$C,$C:$C,单品目标年销量!$W:$W)*SUMIF('2024年销售情况'!$C:$C,$C:$C,'2024年销售情况'!BH:BH)</f>
        <v>0</v>
      </c>
      <c r="N24" s="38">
        <f>SUMIF(单品目标年销量!$C:$C,$C:$C,单品目标年销量!$W:$W)*SUMIF('2024年销售情况'!$C:$C,$C:$C,'2024年销售情况'!BL:BL)</f>
        <v>0</v>
      </c>
      <c r="O24" s="38">
        <f>SUMIF(单品目标年销量!$C:$C,$C:$C,单品目标年销量!$W:$W)*SUMIF('2024年销售情况'!$C:$C,$C:$C,'2024年销售情况'!BP:BP)</f>
        <v>0</v>
      </c>
      <c r="P24" s="38">
        <f>SUMIF(单品目标年销量!$C:$C,$C:$C,单品目标年销量!$W:$W)*SUMIF('2024年销售情况'!$C:$C,$C:$C,'2024年销售情况'!BT:BT)</f>
        <v>0</v>
      </c>
      <c r="Q24" s="38">
        <f>SUMIF(单品目标年销量!$C:$C,$C:$C,单品目标年销量!$W:$W)*SUMIF('2024年销售情况'!$C:$C,$C:$C,'2024年销售情况'!BX:BX)</f>
        <v>0</v>
      </c>
      <c r="R24" s="38">
        <f t="shared" si="0"/>
        <v>0</v>
      </c>
      <c r="S24" s="21">
        <f>IFERROR(R24/年目标!$E$15,0)</f>
        <v>0</v>
      </c>
      <c r="T24" s="106">
        <f>SUMIF('船长每月数据(2023年)'!E:E,C:C,'船长每月数据(2023年)'!R:R)</f>
        <v>0</v>
      </c>
    </row>
    <row r="25" ht="21" customHeight="1" spans="1:20">
      <c r="A25" s="36"/>
      <c r="B25" s="36"/>
      <c r="C25" s="41"/>
      <c r="D25" s="41"/>
      <c r="E25" s="74"/>
      <c r="F25" s="38">
        <f>SUMIF(单品目标年销量!C:C,C:C,单品目标年销量!W:W)*SUMIF('2024年销售情况'!C:C,C:C,'2024年销售情况'!AF:AF)</f>
        <v>0</v>
      </c>
      <c r="G25" s="38">
        <f>SUMIF(单品目标年销量!$C:$C,$C:$C,单品目标年销量!$W:$W)*SUMIF('2024年销售情况'!$C:$C,$C:$C,'2024年销售情况'!AJ:AJ)</f>
        <v>0</v>
      </c>
      <c r="H25" s="38">
        <f>SUMIF(单品目标年销量!$C:$C,$C:$C,单品目标年销量!$W:$W)*SUMIF('2024年销售情况'!$C:$C,$C:$C,'2024年销售情况'!AN:AN)</f>
        <v>0</v>
      </c>
      <c r="I25" s="38">
        <f>SUMIF(单品目标年销量!$C:$C,$C:$C,单品目标年销量!$W:$W)*SUMIF('2024年销售情况'!$C:$C,$C:$C,'2024年销售情况'!AR:AR)</f>
        <v>0</v>
      </c>
      <c r="J25" s="38">
        <f>SUMIF(单品目标年销量!$C:$C,$C:$C,单品目标年销量!$W:$W)*SUMIF('2024年销售情况'!$C:$C,$C:$C,'2024年销售情况'!AV:AV)</f>
        <v>0</v>
      </c>
      <c r="K25" s="38">
        <f>SUMIF(单品目标年销量!$C:$C,$C:$C,单品目标年销量!$W:$W)*SUMIF('2024年销售情况'!$C:$C,$C:$C,'2024年销售情况'!AZ:AZ)</f>
        <v>0</v>
      </c>
      <c r="L25" s="38">
        <f>SUMIF(单品目标年销量!$C:$C,$C:$C,单品目标年销量!$W:$W)*SUMIF('2024年销售情况'!$C:$C,$C:$C,'2024年销售情况'!BD:BD)</f>
        <v>0</v>
      </c>
      <c r="M25" s="38">
        <f>SUMIF(单品目标年销量!$C:$C,$C:$C,单品目标年销量!$W:$W)*SUMIF('2024年销售情况'!$C:$C,$C:$C,'2024年销售情况'!BH:BH)</f>
        <v>0</v>
      </c>
      <c r="N25" s="38">
        <f>SUMIF(单品目标年销量!$C:$C,$C:$C,单品目标年销量!$W:$W)*SUMIF('2024年销售情况'!$C:$C,$C:$C,'2024年销售情况'!BL:BL)</f>
        <v>0</v>
      </c>
      <c r="O25" s="38">
        <f>SUMIF(单品目标年销量!$C:$C,$C:$C,单品目标年销量!$W:$W)*SUMIF('2024年销售情况'!$C:$C,$C:$C,'2024年销售情况'!BP:BP)</f>
        <v>0</v>
      </c>
      <c r="P25" s="38">
        <f>SUMIF(单品目标年销量!$C:$C,$C:$C,单品目标年销量!$W:$W)*SUMIF('2024年销售情况'!$C:$C,$C:$C,'2024年销售情况'!BT:BT)</f>
        <v>0</v>
      </c>
      <c r="Q25" s="38">
        <f>SUMIF(单品目标年销量!$C:$C,$C:$C,单品目标年销量!$W:$W)*SUMIF('2024年销售情况'!$C:$C,$C:$C,'2024年销售情况'!BX:BX)</f>
        <v>0</v>
      </c>
      <c r="R25" s="38">
        <f t="shared" si="0"/>
        <v>0</v>
      </c>
      <c r="S25" s="21">
        <f>IFERROR(R25/年目标!$E$15,0)</f>
        <v>0</v>
      </c>
      <c r="T25" s="106">
        <f>SUMIF('船长每月数据(2023年)'!E:E,C:C,'船长每月数据(2023年)'!R:R)</f>
        <v>0</v>
      </c>
    </row>
    <row r="26" ht="21" customHeight="1" spans="1:20">
      <c r="A26" s="36"/>
      <c r="B26" s="36"/>
      <c r="C26" s="41"/>
      <c r="D26" s="41"/>
      <c r="E26" s="74"/>
      <c r="F26" s="38">
        <f>SUMIF(单品目标年销量!C:C,C:C,单品目标年销量!W:W)*SUMIF('2024年销售情况'!C:C,C:C,'2024年销售情况'!AF:AF)</f>
        <v>0</v>
      </c>
      <c r="G26" s="38">
        <f>SUMIF(单品目标年销量!$C:$C,$C:$C,单品目标年销量!$W:$W)*SUMIF('2024年销售情况'!$C:$C,$C:$C,'2024年销售情况'!AJ:AJ)</f>
        <v>0</v>
      </c>
      <c r="H26" s="38">
        <f>SUMIF(单品目标年销量!$C:$C,$C:$C,单品目标年销量!$W:$W)*SUMIF('2024年销售情况'!$C:$C,$C:$C,'2024年销售情况'!AN:AN)</f>
        <v>0</v>
      </c>
      <c r="I26" s="38">
        <f>SUMIF(单品目标年销量!$C:$C,$C:$C,单品目标年销量!$W:$W)*SUMIF('2024年销售情况'!$C:$C,$C:$C,'2024年销售情况'!AR:AR)</f>
        <v>0</v>
      </c>
      <c r="J26" s="38">
        <f>SUMIF(单品目标年销量!$C:$C,$C:$C,单品目标年销量!$W:$W)*SUMIF('2024年销售情况'!$C:$C,$C:$C,'2024年销售情况'!AV:AV)</f>
        <v>0</v>
      </c>
      <c r="K26" s="38">
        <f>SUMIF(单品目标年销量!$C:$C,$C:$C,单品目标年销量!$W:$W)*SUMIF('2024年销售情况'!$C:$C,$C:$C,'2024年销售情况'!AZ:AZ)</f>
        <v>0</v>
      </c>
      <c r="L26" s="38">
        <f>SUMIF(单品目标年销量!$C:$C,$C:$C,单品目标年销量!$W:$W)*SUMIF('2024年销售情况'!$C:$C,$C:$C,'2024年销售情况'!BD:BD)</f>
        <v>0</v>
      </c>
      <c r="M26" s="38">
        <f>SUMIF(单品目标年销量!$C:$C,$C:$C,单品目标年销量!$W:$W)*SUMIF('2024年销售情况'!$C:$C,$C:$C,'2024年销售情况'!BH:BH)</f>
        <v>0</v>
      </c>
      <c r="N26" s="38">
        <f>SUMIF(单品目标年销量!$C:$C,$C:$C,单品目标年销量!$W:$W)*SUMIF('2024年销售情况'!$C:$C,$C:$C,'2024年销售情况'!BL:BL)</f>
        <v>0</v>
      </c>
      <c r="O26" s="38">
        <f>SUMIF(单品目标年销量!$C:$C,$C:$C,单品目标年销量!$W:$W)*SUMIF('2024年销售情况'!$C:$C,$C:$C,'2024年销售情况'!BP:BP)</f>
        <v>0</v>
      </c>
      <c r="P26" s="38">
        <f>SUMIF(单品目标年销量!$C:$C,$C:$C,单品目标年销量!$W:$W)*SUMIF('2024年销售情况'!$C:$C,$C:$C,'2024年销售情况'!BT:BT)</f>
        <v>0</v>
      </c>
      <c r="Q26" s="38">
        <f>SUMIF(单品目标年销量!$C:$C,$C:$C,单品目标年销量!$W:$W)*SUMIF('2024年销售情况'!$C:$C,$C:$C,'2024年销售情况'!BX:BX)</f>
        <v>0</v>
      </c>
      <c r="R26" s="38">
        <f t="shared" si="0"/>
        <v>0</v>
      </c>
      <c r="S26" s="21">
        <f>IFERROR(R26/年目标!$E$15,0)</f>
        <v>0</v>
      </c>
      <c r="T26" s="106">
        <f>SUMIF('船长每月数据(2023年)'!E:E,C:C,'船长每月数据(2023年)'!R:R)</f>
        <v>0</v>
      </c>
    </row>
    <row r="27" ht="21" customHeight="1" spans="1:20">
      <c r="A27" s="36"/>
      <c r="B27" s="36"/>
      <c r="C27" s="20"/>
      <c r="D27" s="20"/>
      <c r="E27" s="74"/>
      <c r="F27" s="38">
        <f>SUMIF(单品目标年销量!C:C,C:C,单品目标年销量!W:W)*SUMIF('2024年销售情况'!C:C,C:C,'2024年销售情况'!AF:AF)</f>
        <v>0</v>
      </c>
      <c r="G27" s="38">
        <f>SUMIF(单品目标年销量!$C:$C,$C:$C,单品目标年销量!$W:$W)*SUMIF('2024年销售情况'!$C:$C,$C:$C,'2024年销售情况'!AJ:AJ)</f>
        <v>0</v>
      </c>
      <c r="H27" s="38">
        <f>SUMIF(单品目标年销量!$C:$C,$C:$C,单品目标年销量!$W:$W)*SUMIF('2024年销售情况'!$C:$C,$C:$C,'2024年销售情况'!AN:AN)</f>
        <v>0</v>
      </c>
      <c r="I27" s="38">
        <f>SUMIF(单品目标年销量!$C:$C,$C:$C,单品目标年销量!$W:$W)*SUMIF('2024年销售情况'!$C:$C,$C:$C,'2024年销售情况'!AR:AR)</f>
        <v>0</v>
      </c>
      <c r="J27" s="38">
        <f>SUMIF(单品目标年销量!$C:$C,$C:$C,单品目标年销量!$W:$W)*SUMIF('2024年销售情况'!$C:$C,$C:$C,'2024年销售情况'!AV:AV)</f>
        <v>0</v>
      </c>
      <c r="K27" s="38">
        <f>SUMIF(单品目标年销量!$C:$C,$C:$C,单品目标年销量!$W:$W)*SUMIF('2024年销售情况'!$C:$C,$C:$C,'2024年销售情况'!AZ:AZ)</f>
        <v>0</v>
      </c>
      <c r="L27" s="38">
        <f>SUMIF(单品目标年销量!$C:$C,$C:$C,单品目标年销量!$W:$W)*SUMIF('2024年销售情况'!$C:$C,$C:$C,'2024年销售情况'!BD:BD)</f>
        <v>0</v>
      </c>
      <c r="M27" s="38">
        <f>SUMIF(单品目标年销量!$C:$C,$C:$C,单品目标年销量!$W:$W)*SUMIF('2024年销售情况'!$C:$C,$C:$C,'2024年销售情况'!BH:BH)</f>
        <v>0</v>
      </c>
      <c r="N27" s="38">
        <f>SUMIF(单品目标年销量!$C:$C,$C:$C,单品目标年销量!$W:$W)*SUMIF('2024年销售情况'!$C:$C,$C:$C,'2024年销售情况'!BL:BL)</f>
        <v>0</v>
      </c>
      <c r="O27" s="38">
        <f>SUMIF(单品目标年销量!$C:$C,$C:$C,单品目标年销量!$W:$W)*SUMIF('2024年销售情况'!$C:$C,$C:$C,'2024年销售情况'!BP:BP)</f>
        <v>0</v>
      </c>
      <c r="P27" s="38">
        <f>SUMIF(单品目标年销量!$C:$C,$C:$C,单品目标年销量!$W:$W)*SUMIF('2024年销售情况'!$C:$C,$C:$C,'2024年销售情况'!BT:BT)</f>
        <v>0</v>
      </c>
      <c r="Q27" s="38">
        <f>SUMIF(单品目标年销量!$C:$C,$C:$C,单品目标年销量!$W:$W)*SUMIF('2024年销售情况'!$C:$C,$C:$C,'2024年销售情况'!BX:BX)</f>
        <v>0</v>
      </c>
      <c r="R27" s="38">
        <f t="shared" si="0"/>
        <v>0</v>
      </c>
      <c r="S27" s="21">
        <f>IFERROR(R27/年目标!$E$15,0)</f>
        <v>0</v>
      </c>
      <c r="T27" s="106">
        <f>SUMIF('船长每月数据(2023年)'!E:E,C:C,'船长每月数据(2023年)'!R:R)</f>
        <v>0</v>
      </c>
    </row>
    <row r="28" ht="21" customHeight="1" spans="1:20">
      <c r="A28" s="36"/>
      <c r="B28" s="36"/>
      <c r="C28" s="20"/>
      <c r="D28" s="20"/>
      <c r="E28" s="74"/>
      <c r="F28" s="38">
        <f>SUMIF(单品目标年销量!C:C,C:C,单品目标年销量!W:W)*SUMIF('2024年销售情况'!C:C,C:C,'2024年销售情况'!AF:AF)</f>
        <v>0</v>
      </c>
      <c r="G28" s="38">
        <f>SUMIF(单品目标年销量!$C:$C,$C:$C,单品目标年销量!$W:$W)*SUMIF('2024年销售情况'!$C:$C,$C:$C,'2024年销售情况'!AJ:AJ)</f>
        <v>0</v>
      </c>
      <c r="H28" s="38">
        <f>SUMIF(单品目标年销量!$C:$C,$C:$C,单品目标年销量!$W:$W)*SUMIF('2024年销售情况'!$C:$C,$C:$C,'2024年销售情况'!AN:AN)</f>
        <v>0</v>
      </c>
      <c r="I28" s="38">
        <f>SUMIF(单品目标年销量!$C:$C,$C:$C,单品目标年销量!$W:$W)*SUMIF('2024年销售情况'!$C:$C,$C:$C,'2024年销售情况'!AR:AR)</f>
        <v>0</v>
      </c>
      <c r="J28" s="38">
        <f>SUMIF(单品目标年销量!$C:$C,$C:$C,单品目标年销量!$W:$W)*SUMIF('2024年销售情况'!$C:$C,$C:$C,'2024年销售情况'!AV:AV)</f>
        <v>0</v>
      </c>
      <c r="K28" s="38">
        <f>SUMIF(单品目标年销量!$C:$C,$C:$C,单品目标年销量!$W:$W)*SUMIF('2024年销售情况'!$C:$C,$C:$C,'2024年销售情况'!AZ:AZ)</f>
        <v>0</v>
      </c>
      <c r="L28" s="38">
        <f>SUMIF(单品目标年销量!$C:$C,$C:$C,单品目标年销量!$W:$W)*SUMIF('2024年销售情况'!$C:$C,$C:$C,'2024年销售情况'!BD:BD)</f>
        <v>0</v>
      </c>
      <c r="M28" s="38">
        <f>SUMIF(单品目标年销量!$C:$C,$C:$C,单品目标年销量!$W:$W)*SUMIF('2024年销售情况'!$C:$C,$C:$C,'2024年销售情况'!BH:BH)</f>
        <v>0</v>
      </c>
      <c r="N28" s="38">
        <f>SUMIF(单品目标年销量!$C:$C,$C:$C,单品目标年销量!$W:$W)*SUMIF('2024年销售情况'!$C:$C,$C:$C,'2024年销售情况'!BL:BL)</f>
        <v>0</v>
      </c>
      <c r="O28" s="38">
        <f>SUMIF(单品目标年销量!$C:$C,$C:$C,单品目标年销量!$W:$W)*SUMIF('2024年销售情况'!$C:$C,$C:$C,'2024年销售情况'!BP:BP)</f>
        <v>0</v>
      </c>
      <c r="P28" s="38">
        <f>SUMIF(单品目标年销量!$C:$C,$C:$C,单品目标年销量!$W:$W)*SUMIF('2024年销售情况'!$C:$C,$C:$C,'2024年销售情况'!BT:BT)</f>
        <v>0</v>
      </c>
      <c r="Q28" s="38">
        <f>SUMIF(单品目标年销量!$C:$C,$C:$C,单品目标年销量!$W:$W)*SUMIF('2024年销售情况'!$C:$C,$C:$C,'2024年销售情况'!BX:BX)</f>
        <v>0</v>
      </c>
      <c r="R28" s="38">
        <f t="shared" si="0"/>
        <v>0</v>
      </c>
      <c r="S28" s="21">
        <f>IFERROR(R28/年目标!$E$15,0)</f>
        <v>0</v>
      </c>
      <c r="T28" s="106">
        <f>SUMIF('船长每月数据(2023年)'!E:E,C:C,'船长每月数据(2023年)'!R:R)</f>
        <v>0</v>
      </c>
    </row>
    <row r="29" ht="21" customHeight="1" spans="1:20">
      <c r="A29" s="36"/>
      <c r="B29" s="36"/>
      <c r="C29" s="20"/>
      <c r="D29" s="20"/>
      <c r="E29" s="74"/>
      <c r="F29" s="38">
        <f>SUMIF(单品目标年销量!C:C,C:C,单品目标年销量!W:W)*SUMIF('2024年销售情况'!C:C,C:C,'2024年销售情况'!AF:AF)</f>
        <v>0</v>
      </c>
      <c r="G29" s="38">
        <f>SUMIF(单品目标年销量!$C:$C,$C:$C,单品目标年销量!$W:$W)*SUMIF('2024年销售情况'!$C:$C,$C:$C,'2024年销售情况'!AJ:AJ)</f>
        <v>0</v>
      </c>
      <c r="H29" s="38">
        <f>SUMIF(单品目标年销量!$C:$C,$C:$C,单品目标年销量!$W:$W)*SUMIF('2024年销售情况'!$C:$C,$C:$C,'2024年销售情况'!AN:AN)</f>
        <v>0</v>
      </c>
      <c r="I29" s="38">
        <f>SUMIF(单品目标年销量!$C:$C,$C:$C,单品目标年销量!$W:$W)*SUMIF('2024年销售情况'!$C:$C,$C:$C,'2024年销售情况'!AR:AR)</f>
        <v>0</v>
      </c>
      <c r="J29" s="38">
        <f>SUMIF(单品目标年销量!$C:$C,$C:$C,单品目标年销量!$W:$W)*SUMIF('2024年销售情况'!$C:$C,$C:$C,'2024年销售情况'!AV:AV)</f>
        <v>0</v>
      </c>
      <c r="K29" s="38">
        <f>SUMIF(单品目标年销量!$C:$C,$C:$C,单品目标年销量!$W:$W)*SUMIF('2024年销售情况'!$C:$C,$C:$C,'2024年销售情况'!AZ:AZ)</f>
        <v>0</v>
      </c>
      <c r="L29" s="38">
        <f>SUMIF(单品目标年销量!$C:$C,$C:$C,单品目标年销量!$W:$W)*SUMIF('2024年销售情况'!$C:$C,$C:$C,'2024年销售情况'!BD:BD)</f>
        <v>0</v>
      </c>
      <c r="M29" s="38">
        <f>SUMIF(单品目标年销量!$C:$C,$C:$C,单品目标年销量!$W:$W)*SUMIF('2024年销售情况'!$C:$C,$C:$C,'2024年销售情况'!BH:BH)</f>
        <v>0</v>
      </c>
      <c r="N29" s="38">
        <f>SUMIF(单品目标年销量!$C:$C,$C:$C,单品目标年销量!$W:$W)*SUMIF('2024年销售情况'!$C:$C,$C:$C,'2024年销售情况'!BL:BL)</f>
        <v>0</v>
      </c>
      <c r="O29" s="38">
        <f>SUMIF(单品目标年销量!$C:$C,$C:$C,单品目标年销量!$W:$W)*SUMIF('2024年销售情况'!$C:$C,$C:$C,'2024年销售情况'!BP:BP)</f>
        <v>0</v>
      </c>
      <c r="P29" s="38">
        <f>SUMIF(单品目标年销量!$C:$C,$C:$C,单品目标年销量!$W:$W)*SUMIF('2024年销售情况'!$C:$C,$C:$C,'2024年销售情况'!BT:BT)</f>
        <v>0</v>
      </c>
      <c r="Q29" s="38">
        <f>SUMIF(单品目标年销量!$C:$C,$C:$C,单品目标年销量!$W:$W)*SUMIF('2024年销售情况'!$C:$C,$C:$C,'2024年销售情况'!BX:BX)</f>
        <v>0</v>
      </c>
      <c r="R29" s="38">
        <f t="shared" si="0"/>
        <v>0</v>
      </c>
      <c r="S29" s="21">
        <f>IFERROR(R29/年目标!$E$15,0)</f>
        <v>0</v>
      </c>
      <c r="T29" s="106">
        <f>SUMIF('船长每月数据(2023年)'!E:E,C:C,'船长每月数据(2023年)'!R:R)</f>
        <v>0</v>
      </c>
    </row>
    <row r="30" ht="21" customHeight="1" spans="1:20">
      <c r="A30" s="82"/>
      <c r="B30" s="36"/>
      <c r="C30" s="41"/>
      <c r="D30" s="41"/>
      <c r="E30" s="74"/>
      <c r="F30" s="38">
        <f>SUMIF(单品目标年销量!C:C,C:C,单品目标年销量!W:W)*SUMIF('2024年销售情况'!C:C,C:C,'2024年销售情况'!AF:AF)</f>
        <v>0</v>
      </c>
      <c r="G30" s="38">
        <f>SUMIF(单品目标年销量!$C:$C,$C:$C,单品目标年销量!$W:$W)*SUMIF('2024年销售情况'!$C:$C,$C:$C,'2024年销售情况'!AJ:AJ)</f>
        <v>0</v>
      </c>
      <c r="H30" s="38">
        <f>SUMIF(单品目标年销量!$C:$C,$C:$C,单品目标年销量!$W:$W)*SUMIF('2024年销售情况'!$C:$C,$C:$C,'2024年销售情况'!AN:AN)</f>
        <v>0</v>
      </c>
      <c r="I30" s="38">
        <f>SUMIF(单品目标年销量!$C:$C,$C:$C,单品目标年销量!$W:$W)*SUMIF('2024年销售情况'!$C:$C,$C:$C,'2024年销售情况'!AR:AR)</f>
        <v>0</v>
      </c>
      <c r="J30" s="38">
        <f>SUMIF(单品目标年销量!$C:$C,$C:$C,单品目标年销量!$W:$W)*SUMIF('2024年销售情况'!$C:$C,$C:$C,'2024年销售情况'!AV:AV)</f>
        <v>0</v>
      </c>
      <c r="K30" s="38">
        <f>SUMIF(单品目标年销量!$C:$C,$C:$C,单品目标年销量!$W:$W)*SUMIF('2024年销售情况'!$C:$C,$C:$C,'2024年销售情况'!AZ:AZ)</f>
        <v>0</v>
      </c>
      <c r="L30" s="38">
        <f>SUMIF(单品目标年销量!$C:$C,$C:$C,单品目标年销量!$W:$W)*SUMIF('2024年销售情况'!$C:$C,$C:$C,'2024年销售情况'!BD:BD)</f>
        <v>0</v>
      </c>
      <c r="M30" s="38">
        <f>SUMIF(单品目标年销量!$C:$C,$C:$C,单品目标年销量!$W:$W)*SUMIF('2024年销售情况'!$C:$C,$C:$C,'2024年销售情况'!BH:BH)</f>
        <v>0</v>
      </c>
      <c r="N30" s="38">
        <f>SUMIF(单品目标年销量!$C:$C,$C:$C,单品目标年销量!$W:$W)*SUMIF('2024年销售情况'!$C:$C,$C:$C,'2024年销售情况'!BL:BL)</f>
        <v>0</v>
      </c>
      <c r="O30" s="38">
        <f>SUMIF(单品目标年销量!$C:$C,$C:$C,单品目标年销量!$W:$W)*SUMIF('2024年销售情况'!$C:$C,$C:$C,'2024年销售情况'!BP:BP)</f>
        <v>0</v>
      </c>
      <c r="P30" s="38">
        <f>SUMIF(单品目标年销量!$C:$C,$C:$C,单品目标年销量!$W:$W)*SUMIF('2024年销售情况'!$C:$C,$C:$C,'2024年销售情况'!BT:BT)</f>
        <v>0</v>
      </c>
      <c r="Q30" s="38">
        <f>SUMIF(单品目标年销量!$C:$C,$C:$C,单品目标年销量!$W:$W)*SUMIF('2024年销售情况'!$C:$C,$C:$C,'2024年销售情况'!BX:BX)</f>
        <v>0</v>
      </c>
      <c r="R30" s="38">
        <f t="shared" si="0"/>
        <v>0</v>
      </c>
      <c r="S30" s="21">
        <f>IFERROR(R30/年目标!$E$15,0)</f>
        <v>0</v>
      </c>
      <c r="T30" s="106">
        <f>SUMIF('船长每月数据(2023年)'!E:E,C:C,'船长每月数据(2023年)'!R:R)</f>
        <v>0</v>
      </c>
    </row>
    <row r="31" ht="21" customHeight="1" spans="1:20">
      <c r="A31" s="82"/>
      <c r="B31" s="36"/>
      <c r="C31" s="41"/>
      <c r="D31" s="41"/>
      <c r="E31" s="74"/>
      <c r="F31" s="38">
        <f>SUMIF(单品目标年销量!C:C,C:C,单品目标年销量!W:W)*SUMIF('2024年销售情况'!C:C,C:C,'2024年销售情况'!AF:AF)</f>
        <v>0</v>
      </c>
      <c r="G31" s="38">
        <f>SUMIF(单品目标年销量!$C:$C,$C:$C,单品目标年销量!$W:$W)*SUMIF('2024年销售情况'!$C:$C,$C:$C,'2024年销售情况'!AJ:AJ)</f>
        <v>0</v>
      </c>
      <c r="H31" s="38">
        <f>SUMIF(单品目标年销量!$C:$C,$C:$C,单品目标年销量!$W:$W)*SUMIF('2024年销售情况'!$C:$C,$C:$C,'2024年销售情况'!AN:AN)</f>
        <v>0</v>
      </c>
      <c r="I31" s="38">
        <f>SUMIF(单品目标年销量!$C:$C,$C:$C,单品目标年销量!$W:$W)*SUMIF('2024年销售情况'!$C:$C,$C:$C,'2024年销售情况'!AR:AR)</f>
        <v>0</v>
      </c>
      <c r="J31" s="38">
        <f>SUMIF(单品目标年销量!$C:$C,$C:$C,单品目标年销量!$W:$W)*SUMIF('2024年销售情况'!$C:$C,$C:$C,'2024年销售情况'!AV:AV)</f>
        <v>0</v>
      </c>
      <c r="K31" s="38">
        <f>SUMIF(单品目标年销量!$C:$C,$C:$C,单品目标年销量!$W:$W)*SUMIF('2024年销售情况'!$C:$C,$C:$C,'2024年销售情况'!AZ:AZ)</f>
        <v>0</v>
      </c>
      <c r="L31" s="38">
        <f>SUMIF(单品目标年销量!$C:$C,$C:$C,单品目标年销量!$W:$W)*SUMIF('2024年销售情况'!$C:$C,$C:$C,'2024年销售情况'!BD:BD)</f>
        <v>0</v>
      </c>
      <c r="M31" s="38">
        <f>SUMIF(单品目标年销量!$C:$C,$C:$C,单品目标年销量!$W:$W)*SUMIF('2024年销售情况'!$C:$C,$C:$C,'2024年销售情况'!BH:BH)</f>
        <v>0</v>
      </c>
      <c r="N31" s="38">
        <f>SUMIF(单品目标年销量!$C:$C,$C:$C,单品目标年销量!$W:$W)*SUMIF('2024年销售情况'!$C:$C,$C:$C,'2024年销售情况'!BL:BL)</f>
        <v>0</v>
      </c>
      <c r="O31" s="38">
        <f>SUMIF(单品目标年销量!$C:$C,$C:$C,单品目标年销量!$W:$W)*SUMIF('2024年销售情况'!$C:$C,$C:$C,'2024年销售情况'!BP:BP)</f>
        <v>0</v>
      </c>
      <c r="P31" s="38">
        <f>SUMIF(单品目标年销量!$C:$C,$C:$C,单品目标年销量!$W:$W)*SUMIF('2024年销售情况'!$C:$C,$C:$C,'2024年销售情况'!BT:BT)</f>
        <v>0</v>
      </c>
      <c r="Q31" s="38">
        <f>SUMIF(单品目标年销量!$C:$C,$C:$C,单品目标年销量!$W:$W)*SUMIF('2024年销售情况'!$C:$C,$C:$C,'2024年销售情况'!BX:BX)</f>
        <v>0</v>
      </c>
      <c r="R31" s="38">
        <f t="shared" si="0"/>
        <v>0</v>
      </c>
      <c r="S31" s="21">
        <f>IFERROR(R31/年目标!$E$15,0)</f>
        <v>0</v>
      </c>
      <c r="T31" s="106">
        <f>SUMIF('船长每月数据(2023年)'!E:E,C:C,'船长每月数据(2023年)'!R:R)</f>
        <v>0</v>
      </c>
    </row>
    <row r="32" ht="21" customHeight="1" spans="1:20">
      <c r="A32" s="82"/>
      <c r="B32" s="36"/>
      <c r="C32" s="41"/>
      <c r="D32" s="41"/>
      <c r="E32" s="74"/>
      <c r="F32" s="38">
        <f>SUMIF(单品目标年销量!C:C,C:C,单品目标年销量!W:W)*SUMIF('2024年销售情况'!C:C,C:C,'2024年销售情况'!AF:AF)</f>
        <v>0</v>
      </c>
      <c r="G32" s="38">
        <f>SUMIF(单品目标年销量!$C:$C,$C:$C,单品目标年销量!$W:$W)*SUMIF('2024年销售情况'!$C:$C,$C:$C,'2024年销售情况'!AJ:AJ)</f>
        <v>0</v>
      </c>
      <c r="H32" s="38">
        <f>SUMIF(单品目标年销量!$C:$C,$C:$C,单品目标年销量!$W:$W)*SUMIF('2024年销售情况'!$C:$C,$C:$C,'2024年销售情况'!AN:AN)</f>
        <v>0</v>
      </c>
      <c r="I32" s="38">
        <f>SUMIF(单品目标年销量!$C:$C,$C:$C,单品目标年销量!$W:$W)*SUMIF('2024年销售情况'!$C:$C,$C:$C,'2024年销售情况'!AR:AR)</f>
        <v>0</v>
      </c>
      <c r="J32" s="38">
        <f>SUMIF(单品目标年销量!$C:$C,$C:$C,单品目标年销量!$W:$W)*SUMIF('2024年销售情况'!$C:$C,$C:$C,'2024年销售情况'!AV:AV)</f>
        <v>0</v>
      </c>
      <c r="K32" s="38">
        <f>SUMIF(单品目标年销量!$C:$C,$C:$C,单品目标年销量!$W:$W)*SUMIF('2024年销售情况'!$C:$C,$C:$C,'2024年销售情况'!AZ:AZ)</f>
        <v>0</v>
      </c>
      <c r="L32" s="38">
        <f>SUMIF(单品目标年销量!$C:$C,$C:$C,单品目标年销量!$W:$W)*SUMIF('2024年销售情况'!$C:$C,$C:$C,'2024年销售情况'!BD:BD)</f>
        <v>0</v>
      </c>
      <c r="M32" s="38">
        <f>SUMIF(单品目标年销量!$C:$C,$C:$C,单品目标年销量!$W:$W)*SUMIF('2024年销售情况'!$C:$C,$C:$C,'2024年销售情况'!BH:BH)</f>
        <v>0</v>
      </c>
      <c r="N32" s="38">
        <f>SUMIF(单品目标年销量!$C:$C,$C:$C,单品目标年销量!$W:$W)*SUMIF('2024年销售情况'!$C:$C,$C:$C,'2024年销售情况'!BL:BL)</f>
        <v>0</v>
      </c>
      <c r="O32" s="38">
        <f>SUMIF(单品目标年销量!$C:$C,$C:$C,单品目标年销量!$W:$W)*SUMIF('2024年销售情况'!$C:$C,$C:$C,'2024年销售情况'!BP:BP)</f>
        <v>0</v>
      </c>
      <c r="P32" s="38">
        <f>SUMIF(单品目标年销量!$C:$C,$C:$C,单品目标年销量!$W:$W)*SUMIF('2024年销售情况'!$C:$C,$C:$C,'2024年销售情况'!BT:BT)</f>
        <v>0</v>
      </c>
      <c r="Q32" s="38">
        <f>SUMIF(单品目标年销量!$C:$C,$C:$C,单品目标年销量!$W:$W)*SUMIF('2024年销售情况'!$C:$C,$C:$C,'2024年销售情况'!BX:BX)</f>
        <v>0</v>
      </c>
      <c r="R32" s="38">
        <f t="shared" si="0"/>
        <v>0</v>
      </c>
      <c r="S32" s="21">
        <f>IFERROR(R32/年目标!$E$15,0)</f>
        <v>0</v>
      </c>
      <c r="T32" s="106">
        <f>SUMIF('船长每月数据(2023年)'!E:E,C:C,'船长每月数据(2023年)'!R:R)</f>
        <v>0</v>
      </c>
    </row>
    <row r="33" ht="21" customHeight="1" spans="1:20">
      <c r="A33" s="82"/>
      <c r="B33" s="36"/>
      <c r="C33" s="41"/>
      <c r="D33" s="41"/>
      <c r="E33" s="74"/>
      <c r="F33" s="38">
        <f>SUMIF(单品目标年销量!C:C,C:C,单品目标年销量!W:W)*SUMIF('2024年销售情况'!C:C,C:C,'2024年销售情况'!AF:AF)</f>
        <v>0</v>
      </c>
      <c r="G33" s="38">
        <f>SUMIF(单品目标年销量!$C:$C,$C:$C,单品目标年销量!$W:$W)*SUMIF('2024年销售情况'!$C:$C,$C:$C,'2024年销售情况'!AJ:AJ)</f>
        <v>0</v>
      </c>
      <c r="H33" s="38">
        <f>SUMIF(单品目标年销量!$C:$C,$C:$C,单品目标年销量!$W:$W)*SUMIF('2024年销售情况'!$C:$C,$C:$C,'2024年销售情况'!AN:AN)</f>
        <v>0</v>
      </c>
      <c r="I33" s="38">
        <f>SUMIF(单品目标年销量!$C:$C,$C:$C,单品目标年销量!$W:$W)*SUMIF('2024年销售情况'!$C:$C,$C:$C,'2024年销售情况'!AR:AR)</f>
        <v>0</v>
      </c>
      <c r="J33" s="38">
        <f>SUMIF(单品目标年销量!$C:$C,$C:$C,单品目标年销量!$W:$W)*SUMIF('2024年销售情况'!$C:$C,$C:$C,'2024年销售情况'!AV:AV)</f>
        <v>0</v>
      </c>
      <c r="K33" s="38">
        <f>SUMIF(单品目标年销量!$C:$C,$C:$C,单品目标年销量!$W:$W)*SUMIF('2024年销售情况'!$C:$C,$C:$C,'2024年销售情况'!AZ:AZ)</f>
        <v>0</v>
      </c>
      <c r="L33" s="38">
        <f>SUMIF(单品目标年销量!$C:$C,$C:$C,单品目标年销量!$W:$W)*SUMIF('2024年销售情况'!$C:$C,$C:$C,'2024年销售情况'!BD:BD)</f>
        <v>0</v>
      </c>
      <c r="M33" s="38">
        <f>SUMIF(单品目标年销量!$C:$C,$C:$C,单品目标年销量!$W:$W)*SUMIF('2024年销售情况'!$C:$C,$C:$C,'2024年销售情况'!BH:BH)</f>
        <v>0</v>
      </c>
      <c r="N33" s="38">
        <f>SUMIF(单品目标年销量!$C:$C,$C:$C,单品目标年销量!$W:$W)*SUMIF('2024年销售情况'!$C:$C,$C:$C,'2024年销售情况'!BL:BL)</f>
        <v>0</v>
      </c>
      <c r="O33" s="38">
        <f>SUMIF(单品目标年销量!$C:$C,$C:$C,单品目标年销量!$W:$W)*SUMIF('2024年销售情况'!$C:$C,$C:$C,'2024年销售情况'!BP:BP)</f>
        <v>0</v>
      </c>
      <c r="P33" s="38">
        <f>SUMIF(单品目标年销量!$C:$C,$C:$C,单品目标年销量!$W:$W)*SUMIF('2024年销售情况'!$C:$C,$C:$C,'2024年销售情况'!BT:BT)</f>
        <v>0</v>
      </c>
      <c r="Q33" s="38">
        <f>SUMIF(单品目标年销量!$C:$C,$C:$C,单品目标年销量!$W:$W)*SUMIF('2024年销售情况'!$C:$C,$C:$C,'2024年销售情况'!BX:BX)</f>
        <v>0</v>
      </c>
      <c r="R33" s="38">
        <f t="shared" si="0"/>
        <v>0</v>
      </c>
      <c r="S33" s="21">
        <f>IFERROR(R33/年目标!$E$15,0)</f>
        <v>0</v>
      </c>
      <c r="T33" s="106">
        <f>SUMIF('船长每月数据(2023年)'!E:E,C:C,'船长每月数据(2023年)'!R:R)</f>
        <v>0</v>
      </c>
    </row>
    <row r="34" ht="21" customHeight="1" spans="1:20">
      <c r="A34" s="40"/>
      <c r="B34" s="36"/>
      <c r="C34" s="41"/>
      <c r="D34" s="41"/>
      <c r="E34" s="74"/>
      <c r="F34" s="38">
        <f>SUMIF(单品目标年销量!C:C,C:C,单品目标年销量!W:W)*SUMIF('2024年销售情况'!C:C,C:C,'2024年销售情况'!AF:AF)</f>
        <v>0</v>
      </c>
      <c r="G34" s="38">
        <f>SUMIF(单品目标年销量!$C:$C,$C:$C,单品目标年销量!$W:$W)*SUMIF('2024年销售情况'!$C:$C,$C:$C,'2024年销售情况'!AJ:AJ)</f>
        <v>0</v>
      </c>
      <c r="H34" s="38">
        <f>SUMIF(单品目标年销量!$C:$C,$C:$C,单品目标年销量!$W:$W)*SUMIF('2024年销售情况'!$C:$C,$C:$C,'2024年销售情况'!AN:AN)</f>
        <v>0</v>
      </c>
      <c r="I34" s="38">
        <f>SUMIF(单品目标年销量!$C:$C,$C:$C,单品目标年销量!$W:$W)*SUMIF('2024年销售情况'!$C:$C,$C:$C,'2024年销售情况'!AR:AR)</f>
        <v>0</v>
      </c>
      <c r="J34" s="38">
        <f>SUMIF(单品目标年销量!$C:$C,$C:$C,单品目标年销量!$W:$W)*SUMIF('2024年销售情况'!$C:$C,$C:$C,'2024年销售情况'!AV:AV)</f>
        <v>0</v>
      </c>
      <c r="K34" s="38">
        <f>SUMIF(单品目标年销量!$C:$C,$C:$C,单品目标年销量!$W:$W)*SUMIF('2024年销售情况'!$C:$C,$C:$C,'2024年销售情况'!AZ:AZ)</f>
        <v>0</v>
      </c>
      <c r="L34" s="38">
        <f>SUMIF(单品目标年销量!$C:$C,$C:$C,单品目标年销量!$W:$W)*SUMIF('2024年销售情况'!$C:$C,$C:$C,'2024年销售情况'!BD:BD)</f>
        <v>0</v>
      </c>
      <c r="M34" s="38">
        <f>SUMIF(单品目标年销量!$C:$C,$C:$C,单品目标年销量!$W:$W)*SUMIF('2024年销售情况'!$C:$C,$C:$C,'2024年销售情况'!BH:BH)</f>
        <v>0</v>
      </c>
      <c r="N34" s="38">
        <f>SUMIF(单品目标年销量!$C:$C,$C:$C,单品目标年销量!$W:$W)*SUMIF('2024年销售情况'!$C:$C,$C:$C,'2024年销售情况'!BL:BL)</f>
        <v>0</v>
      </c>
      <c r="O34" s="38">
        <f>SUMIF(单品目标年销量!$C:$C,$C:$C,单品目标年销量!$W:$W)*SUMIF('2024年销售情况'!$C:$C,$C:$C,'2024年销售情况'!BP:BP)</f>
        <v>0</v>
      </c>
      <c r="P34" s="38">
        <f>SUMIF(单品目标年销量!$C:$C,$C:$C,单品目标年销量!$W:$W)*SUMIF('2024年销售情况'!$C:$C,$C:$C,'2024年销售情况'!BT:BT)</f>
        <v>0</v>
      </c>
      <c r="Q34" s="38">
        <f>SUMIF(单品目标年销量!$C:$C,$C:$C,单品目标年销量!$W:$W)*SUMIF('2024年销售情况'!$C:$C,$C:$C,'2024年销售情况'!BX:BX)</f>
        <v>0</v>
      </c>
      <c r="R34" s="38">
        <f t="shared" si="0"/>
        <v>0</v>
      </c>
      <c r="S34" s="21">
        <f>IFERROR(R34/年目标!$E$15,0)</f>
        <v>0</v>
      </c>
      <c r="T34" s="106">
        <f>SUMIF('船长每月数据(2023年)'!E:E,C:C,'船长每月数据(2023年)'!R:R)</f>
        <v>0</v>
      </c>
    </row>
    <row r="35" ht="21" customHeight="1" spans="1:20">
      <c r="A35" s="82"/>
      <c r="B35" s="36"/>
      <c r="C35" s="20"/>
      <c r="D35" s="20"/>
      <c r="E35" s="74"/>
      <c r="F35" s="38">
        <f>SUMIF(单品目标年销量!C:C,C:C,单品目标年销量!W:W)*SUMIF('2024年销售情况'!C:C,C:C,'2024年销售情况'!AF:AF)</f>
        <v>0</v>
      </c>
      <c r="G35" s="38">
        <f>SUMIF(单品目标年销量!$C:$C,$C:$C,单品目标年销量!$W:$W)*SUMIF('2024年销售情况'!$C:$C,$C:$C,'2024年销售情况'!AJ:AJ)</f>
        <v>0</v>
      </c>
      <c r="H35" s="38">
        <f>SUMIF(单品目标年销量!$C:$C,$C:$C,单品目标年销量!$W:$W)*SUMIF('2024年销售情况'!$C:$C,$C:$C,'2024年销售情况'!AN:AN)</f>
        <v>0</v>
      </c>
      <c r="I35" s="38">
        <f>SUMIF(单品目标年销量!$C:$C,$C:$C,单品目标年销量!$W:$W)*SUMIF('2024年销售情况'!$C:$C,$C:$C,'2024年销售情况'!AR:AR)</f>
        <v>0</v>
      </c>
      <c r="J35" s="38">
        <f>SUMIF(单品目标年销量!$C:$C,$C:$C,单品目标年销量!$W:$W)*SUMIF('2024年销售情况'!$C:$C,$C:$C,'2024年销售情况'!AV:AV)</f>
        <v>0</v>
      </c>
      <c r="K35" s="38">
        <f>SUMIF(单品目标年销量!$C:$C,$C:$C,单品目标年销量!$W:$W)*SUMIF('2024年销售情况'!$C:$C,$C:$C,'2024年销售情况'!AZ:AZ)</f>
        <v>0</v>
      </c>
      <c r="L35" s="38">
        <f>SUMIF(单品目标年销量!$C:$C,$C:$C,单品目标年销量!$W:$W)*SUMIF('2024年销售情况'!$C:$C,$C:$C,'2024年销售情况'!BD:BD)</f>
        <v>0</v>
      </c>
      <c r="M35" s="38">
        <f>SUMIF(单品目标年销量!$C:$C,$C:$C,单品目标年销量!$W:$W)*SUMIF('2024年销售情况'!$C:$C,$C:$C,'2024年销售情况'!BH:BH)</f>
        <v>0</v>
      </c>
      <c r="N35" s="38">
        <f>SUMIF(单品目标年销量!$C:$C,$C:$C,单品目标年销量!$W:$W)*SUMIF('2024年销售情况'!$C:$C,$C:$C,'2024年销售情况'!BL:BL)</f>
        <v>0</v>
      </c>
      <c r="O35" s="38">
        <f>SUMIF(单品目标年销量!$C:$C,$C:$C,单品目标年销量!$W:$W)*SUMIF('2024年销售情况'!$C:$C,$C:$C,'2024年销售情况'!BP:BP)</f>
        <v>0</v>
      </c>
      <c r="P35" s="38">
        <f>SUMIF(单品目标年销量!$C:$C,$C:$C,单品目标年销量!$W:$W)*SUMIF('2024年销售情况'!$C:$C,$C:$C,'2024年销售情况'!BT:BT)</f>
        <v>0</v>
      </c>
      <c r="Q35" s="38">
        <f>SUMIF(单品目标年销量!$C:$C,$C:$C,单品目标年销量!$W:$W)*SUMIF('2024年销售情况'!$C:$C,$C:$C,'2024年销售情况'!BX:BX)</f>
        <v>0</v>
      </c>
      <c r="R35" s="38">
        <f t="shared" si="0"/>
        <v>0</v>
      </c>
      <c r="S35" s="21">
        <f>IFERROR(R35/年目标!$E$15,0)</f>
        <v>0</v>
      </c>
      <c r="T35" s="106">
        <f>SUMIF('船长每月数据(2023年)'!E:E,C:C,'船长每月数据(2023年)'!R:R)</f>
        <v>0</v>
      </c>
    </row>
    <row r="36" ht="21" customHeight="1" spans="1:20">
      <c r="A36" s="82"/>
      <c r="B36" s="36"/>
      <c r="C36" s="20"/>
      <c r="D36" s="20"/>
      <c r="E36" s="74"/>
      <c r="F36" s="38">
        <f>SUMIF(单品目标年销量!C:C,C:C,单品目标年销量!W:W)*SUMIF('2024年销售情况'!C:C,C:C,'2024年销售情况'!AF:AF)</f>
        <v>0</v>
      </c>
      <c r="G36" s="38">
        <f>SUMIF(单品目标年销量!$C:$C,$C:$C,单品目标年销量!$W:$W)*SUMIF('2024年销售情况'!$C:$C,$C:$C,'2024年销售情况'!AJ:AJ)</f>
        <v>0</v>
      </c>
      <c r="H36" s="38">
        <f>SUMIF(单品目标年销量!$C:$C,$C:$C,单品目标年销量!$W:$W)*SUMIF('2024年销售情况'!$C:$C,$C:$C,'2024年销售情况'!AN:AN)</f>
        <v>0</v>
      </c>
      <c r="I36" s="38">
        <f>SUMIF(单品目标年销量!$C:$C,$C:$C,单品目标年销量!$W:$W)*SUMIF('2024年销售情况'!$C:$C,$C:$C,'2024年销售情况'!AR:AR)</f>
        <v>0</v>
      </c>
      <c r="J36" s="38">
        <f>SUMIF(单品目标年销量!$C:$C,$C:$C,单品目标年销量!$W:$W)*SUMIF('2024年销售情况'!$C:$C,$C:$C,'2024年销售情况'!AV:AV)</f>
        <v>0</v>
      </c>
      <c r="K36" s="38">
        <f>SUMIF(单品目标年销量!$C:$C,$C:$C,单品目标年销量!$W:$W)*SUMIF('2024年销售情况'!$C:$C,$C:$C,'2024年销售情况'!AZ:AZ)</f>
        <v>0</v>
      </c>
      <c r="L36" s="38">
        <f>SUMIF(单品目标年销量!$C:$C,$C:$C,单品目标年销量!$W:$W)*SUMIF('2024年销售情况'!$C:$C,$C:$C,'2024年销售情况'!BD:BD)</f>
        <v>0</v>
      </c>
      <c r="M36" s="38">
        <f>SUMIF(单品目标年销量!$C:$C,$C:$C,单品目标年销量!$W:$W)*SUMIF('2024年销售情况'!$C:$C,$C:$C,'2024年销售情况'!BH:BH)</f>
        <v>0</v>
      </c>
      <c r="N36" s="38">
        <f>SUMIF(单品目标年销量!$C:$C,$C:$C,单品目标年销量!$W:$W)*SUMIF('2024年销售情况'!$C:$C,$C:$C,'2024年销售情况'!BL:BL)</f>
        <v>0</v>
      </c>
      <c r="O36" s="38">
        <f>SUMIF(单品目标年销量!$C:$C,$C:$C,单品目标年销量!$W:$W)*SUMIF('2024年销售情况'!$C:$C,$C:$C,'2024年销售情况'!BP:BP)</f>
        <v>0</v>
      </c>
      <c r="P36" s="38">
        <f>SUMIF(单品目标年销量!$C:$C,$C:$C,单品目标年销量!$W:$W)*SUMIF('2024年销售情况'!$C:$C,$C:$C,'2024年销售情况'!BT:BT)</f>
        <v>0</v>
      </c>
      <c r="Q36" s="38">
        <f>SUMIF(单品目标年销量!$C:$C,$C:$C,单品目标年销量!$W:$W)*SUMIF('2024年销售情况'!$C:$C,$C:$C,'2024年销售情况'!BX:BX)</f>
        <v>0</v>
      </c>
      <c r="R36" s="38">
        <f t="shared" si="0"/>
        <v>0</v>
      </c>
      <c r="S36" s="21">
        <f>IFERROR(R36/年目标!$E$15,0)</f>
        <v>0</v>
      </c>
      <c r="T36" s="106">
        <f>SUMIF('船长每月数据(2023年)'!E:E,C:C,'船长每月数据(2023年)'!R:R)</f>
        <v>0</v>
      </c>
    </row>
  </sheetData>
  <sortState ref="A3:V40">
    <sortCondition ref="S3" descending="1"/>
  </sortState>
  <mergeCells count="1">
    <mergeCell ref="A1:S1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9" tint="-0.25"/>
  </sheetPr>
  <dimension ref="A1:BX75"/>
  <sheetViews>
    <sheetView workbookViewId="0">
      <pane xSplit="28" ySplit="2" topLeftCell="AL3" activePane="bottomRight" state="frozen"/>
      <selection/>
      <selection pane="topRight"/>
      <selection pane="bottomLeft"/>
      <selection pane="bottomRight" activeCell="D10" sqref="D10"/>
    </sheetView>
  </sheetViews>
  <sheetFormatPr defaultColWidth="9" defaultRowHeight="16.5"/>
  <cols>
    <col min="1" max="2" width="15.8833333333333" style="98" customWidth="1"/>
    <col min="3" max="3" width="17.6333333333333" style="20" customWidth="1"/>
    <col min="4" max="4" width="65.1333333333333" style="74" customWidth="1"/>
    <col min="5" max="16" width="11.25" style="20" hidden="1" customWidth="1" outlineLevel="1"/>
    <col min="17" max="17" width="10.3833333333333" style="85" hidden="1" customWidth="1" outlineLevel="1"/>
    <col min="18" max="25" width="10.3833333333333" style="20" hidden="1" customWidth="1" outlineLevel="1"/>
    <col min="26" max="28" width="11.25" style="20" hidden="1" customWidth="1" outlineLevel="1"/>
    <col min="29" max="29" width="11.25" style="20" customWidth="1" collapsed="1"/>
    <col min="30" max="30" width="12.75" style="21" customWidth="1"/>
    <col min="31" max="31" width="11.25" style="38" customWidth="1"/>
    <col min="32" max="32" width="11.25" style="21" customWidth="1"/>
    <col min="33" max="34" width="11.25" style="20" customWidth="1"/>
    <col min="35" max="35" width="11.25" style="38" customWidth="1"/>
    <col min="36" max="38" width="11.25" style="20" customWidth="1"/>
    <col min="39" max="39" width="11.25" style="38" customWidth="1"/>
    <col min="40" max="42" width="11.25" style="20" customWidth="1"/>
    <col min="43" max="43" width="11.25" style="38" customWidth="1"/>
    <col min="44" max="46" width="11.25" style="20" customWidth="1"/>
    <col min="47" max="47" width="11.25" style="38" customWidth="1"/>
    <col min="48" max="50" width="11.25" style="20" customWidth="1"/>
    <col min="51" max="51" width="11.25" style="38" customWidth="1"/>
    <col min="52" max="52" width="11.25" style="20" customWidth="1"/>
    <col min="53" max="54" width="10.3833333333333" style="85" customWidth="1"/>
    <col min="55" max="55" width="12.1333333333333" style="38" customWidth="1"/>
    <col min="56" max="58" width="10.3833333333333" style="20" customWidth="1"/>
    <col min="59" max="59" width="12.1333333333333" style="38" customWidth="1"/>
    <col min="60" max="62" width="10.3833333333333" style="20" customWidth="1"/>
    <col min="63" max="63" width="12.1333333333333" style="38" customWidth="1"/>
    <col min="64" max="66" width="10.3833333333333" style="20" customWidth="1"/>
    <col min="67" max="67" width="12.1333333333333" style="38" customWidth="1"/>
    <col min="68" max="70" width="10.3833333333333" style="20" customWidth="1"/>
    <col min="71" max="71" width="11.25" style="38" customWidth="1"/>
    <col min="72" max="74" width="11.25" style="20" customWidth="1"/>
    <col min="75" max="75" width="11.25" style="38" customWidth="1"/>
    <col min="76" max="76" width="11.25" style="20" customWidth="1"/>
    <col min="77" max="16384" width="9" style="20"/>
  </cols>
  <sheetData>
    <row r="1" ht="29.25" spans="1:76">
      <c r="A1" s="99" t="s">
        <v>203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1"/>
      <c r="AE1" s="102"/>
      <c r="AF1" s="101"/>
      <c r="AG1" s="100"/>
      <c r="AH1" s="100"/>
      <c r="AI1" s="102"/>
      <c r="AJ1" s="100"/>
      <c r="AK1" s="100"/>
      <c r="AL1" s="100"/>
      <c r="AM1" s="102"/>
      <c r="AN1" s="100"/>
      <c r="AO1" s="100"/>
      <c r="AP1" s="100"/>
      <c r="AQ1" s="102"/>
      <c r="AR1" s="100"/>
      <c r="AS1" s="100"/>
      <c r="AT1" s="100"/>
      <c r="AU1" s="102"/>
      <c r="AV1" s="100"/>
      <c r="AW1" s="100"/>
      <c r="AX1" s="100"/>
      <c r="AY1" s="102"/>
      <c r="AZ1" s="100"/>
      <c r="BA1" s="100"/>
      <c r="BB1" s="100"/>
      <c r="BC1" s="102"/>
      <c r="BD1" s="100"/>
      <c r="BE1" s="100"/>
      <c r="BF1" s="100"/>
      <c r="BG1" s="102"/>
      <c r="BH1" s="100"/>
      <c r="BI1" s="100"/>
      <c r="BJ1" s="100"/>
      <c r="BK1" s="102"/>
      <c r="BL1" s="100"/>
      <c r="BM1" s="100"/>
      <c r="BN1" s="100"/>
      <c r="BO1" s="102"/>
      <c r="BP1" s="100"/>
      <c r="BQ1" s="100"/>
      <c r="BR1" s="100"/>
      <c r="BS1" s="102"/>
      <c r="BT1" s="100"/>
      <c r="BU1" s="100"/>
      <c r="BV1" s="100"/>
      <c r="BW1" s="102"/>
      <c r="BX1" s="100"/>
    </row>
    <row r="2" ht="30" customHeight="1" spans="1:76">
      <c r="A2" s="81" t="s">
        <v>167</v>
      </c>
      <c r="B2" s="81" t="s">
        <v>168</v>
      </c>
      <c r="C2" s="32" t="s">
        <v>118</v>
      </c>
      <c r="D2" s="81" t="s">
        <v>171</v>
      </c>
      <c r="E2" s="91">
        <v>44197</v>
      </c>
      <c r="F2" s="79">
        <v>44197</v>
      </c>
      <c r="G2" s="91">
        <v>44228</v>
      </c>
      <c r="H2" s="79">
        <v>44228</v>
      </c>
      <c r="I2" s="91">
        <v>44256</v>
      </c>
      <c r="J2" s="79">
        <v>44256</v>
      </c>
      <c r="K2" s="91">
        <v>44287</v>
      </c>
      <c r="L2" s="79">
        <v>44287</v>
      </c>
      <c r="M2" s="91">
        <v>44317</v>
      </c>
      <c r="N2" s="79">
        <v>44317</v>
      </c>
      <c r="O2" s="91">
        <v>44348</v>
      </c>
      <c r="P2" s="79">
        <v>44348</v>
      </c>
      <c r="Q2" s="91">
        <v>44378</v>
      </c>
      <c r="R2" s="79">
        <v>44378</v>
      </c>
      <c r="S2" s="91">
        <v>44409</v>
      </c>
      <c r="T2" s="79">
        <v>44409</v>
      </c>
      <c r="U2" s="91">
        <v>44440</v>
      </c>
      <c r="V2" s="79">
        <v>44440</v>
      </c>
      <c r="W2" s="91">
        <v>44470</v>
      </c>
      <c r="X2" s="79">
        <v>44470</v>
      </c>
      <c r="Y2" s="91">
        <v>44501</v>
      </c>
      <c r="Z2" s="79">
        <v>44501</v>
      </c>
      <c r="AA2" s="91">
        <v>44531</v>
      </c>
      <c r="AB2" s="79">
        <v>44531</v>
      </c>
      <c r="AC2" s="91">
        <v>44562</v>
      </c>
      <c r="AD2" s="35" t="s">
        <v>204</v>
      </c>
      <c r="AE2" s="79">
        <v>44562</v>
      </c>
      <c r="AF2" s="103" t="s">
        <v>202</v>
      </c>
      <c r="AG2" s="91">
        <v>44593</v>
      </c>
      <c r="AH2" s="35" t="s">
        <v>204</v>
      </c>
      <c r="AI2" s="79">
        <v>44593</v>
      </c>
      <c r="AJ2" s="103" t="s">
        <v>202</v>
      </c>
      <c r="AK2" s="91">
        <v>44621</v>
      </c>
      <c r="AL2" s="35" t="s">
        <v>204</v>
      </c>
      <c r="AM2" s="79">
        <v>44621</v>
      </c>
      <c r="AN2" s="103" t="s">
        <v>202</v>
      </c>
      <c r="AO2" s="91">
        <v>44652</v>
      </c>
      <c r="AP2" s="35" t="s">
        <v>204</v>
      </c>
      <c r="AQ2" s="79">
        <v>44652</v>
      </c>
      <c r="AR2" s="103" t="s">
        <v>202</v>
      </c>
      <c r="AS2" s="91">
        <v>44682</v>
      </c>
      <c r="AT2" s="35" t="s">
        <v>204</v>
      </c>
      <c r="AU2" s="79">
        <v>44682</v>
      </c>
      <c r="AV2" s="103" t="s">
        <v>202</v>
      </c>
      <c r="AW2" s="91">
        <v>44713</v>
      </c>
      <c r="AX2" s="35" t="s">
        <v>204</v>
      </c>
      <c r="AY2" s="79">
        <v>44713</v>
      </c>
      <c r="AZ2" s="103" t="s">
        <v>202</v>
      </c>
      <c r="BA2" s="91">
        <v>44743</v>
      </c>
      <c r="BB2" s="35" t="s">
        <v>204</v>
      </c>
      <c r="BC2" s="79">
        <v>44743</v>
      </c>
      <c r="BD2" s="103" t="s">
        <v>202</v>
      </c>
      <c r="BE2" s="91">
        <v>44774</v>
      </c>
      <c r="BF2" s="35" t="s">
        <v>204</v>
      </c>
      <c r="BG2" s="79">
        <v>44774</v>
      </c>
      <c r="BH2" s="103" t="s">
        <v>202</v>
      </c>
      <c r="BI2" s="91">
        <v>44805</v>
      </c>
      <c r="BJ2" s="35" t="s">
        <v>204</v>
      </c>
      <c r="BK2" s="79">
        <v>44805</v>
      </c>
      <c r="BL2" s="103" t="s">
        <v>202</v>
      </c>
      <c r="BM2" s="91">
        <v>44835</v>
      </c>
      <c r="BN2" s="35" t="s">
        <v>204</v>
      </c>
      <c r="BO2" s="79">
        <v>44835</v>
      </c>
      <c r="BP2" s="103" t="s">
        <v>202</v>
      </c>
      <c r="BQ2" s="91">
        <v>44866</v>
      </c>
      <c r="BR2" s="35" t="s">
        <v>204</v>
      </c>
      <c r="BS2" s="79">
        <v>44866</v>
      </c>
      <c r="BT2" s="103" t="s">
        <v>202</v>
      </c>
      <c r="BU2" s="91">
        <v>44896</v>
      </c>
      <c r="BV2" s="35" t="s">
        <v>204</v>
      </c>
      <c r="BW2" s="79">
        <v>44896</v>
      </c>
      <c r="BX2" s="103" t="s">
        <v>202</v>
      </c>
    </row>
    <row r="3" ht="23" customHeight="1" spans="1:76">
      <c r="A3" s="36"/>
      <c r="B3" s="36"/>
      <c r="C3" s="20"/>
      <c r="D3" s="74"/>
      <c r="E3" s="20">
        <f>SUMIFS('船长每月数据(2022年)'!$P:$P,'船长每月数据(2022年)'!$F:$F,$E$2,'船长每月数据(2022年)'!$E:$E,$C:$C)</f>
        <v>0</v>
      </c>
      <c r="F3" s="85">
        <f>SUMIFS('船长每月数据(2022年)'!$R:$R,'船长每月数据(2022年)'!$F:$F,$F$2,'船长每月数据(2022年)'!$E:$E,$C:$C)</f>
        <v>0</v>
      </c>
      <c r="G3" s="20">
        <f>SUMIFS('船长每月数据(2022年)'!$P:$P,'船长每月数据(2022年)'!$F:$F,$G$2,'船长每月数据(2022年)'!$E:$E,$C:$C)</f>
        <v>0</v>
      </c>
      <c r="H3" s="85">
        <f>SUMIFS('船长每月数据(2022年)'!$R:$R,'船长每月数据(2022年)'!$F:$F,$H$2,'船长每月数据(2022年)'!$E:$E,$C:$C)</f>
        <v>0</v>
      </c>
      <c r="I3" s="20">
        <f>SUMIFS('船长每月数据(2022年)'!$P:$P,'船长每月数据(2022年)'!$F:$F,$I$2,'船长每月数据(2022年)'!$E:$E,$C:$C)</f>
        <v>0</v>
      </c>
      <c r="J3" s="85">
        <f>SUMIFS('船长每月数据(2022年)'!$R:$R,'船长每月数据(2022年)'!$F:$F,$J$2,'船长每月数据(2022年)'!$E:$E,$C:$C)</f>
        <v>0</v>
      </c>
      <c r="K3" s="20">
        <f>SUMIFS('船长每月数据(2022年)'!$P:$P,'船长每月数据(2022年)'!$F:$F,$K$2,'船长每月数据(2022年)'!$E:$E,$C:$C)</f>
        <v>0</v>
      </c>
      <c r="L3" s="85">
        <f>SUMIFS('船长每月数据(2022年)'!$R:$R,'船长每月数据(2022年)'!$F:$F,$L$2,'船长每月数据(2022年)'!$E:$E,$C:$C)</f>
        <v>0</v>
      </c>
      <c r="M3" s="20">
        <f>SUMIFS('船长每月数据(2022年)'!$P:$P,'船长每月数据(2022年)'!$F:$F,$M$2,'船长每月数据(2022年)'!$E:$E,$C:$C)</f>
        <v>0</v>
      </c>
      <c r="N3" s="85">
        <f>SUMIFS('船长每月数据(2022年)'!$R:$R,'船长每月数据(2022年)'!$F:$F,$N$2,'船长每月数据(2022年)'!$E:$E,$C:$C)</f>
        <v>0</v>
      </c>
      <c r="O3" s="20">
        <f>SUMIFS('船长每月数据(2022年)'!$P:$P,'船长每月数据(2022年)'!$F:$F,$O$2,'船长每月数据(2022年)'!$E:$E,$C:$C)</f>
        <v>0</v>
      </c>
      <c r="P3" s="85">
        <f>SUMIFS('船长每月数据(2022年)'!$R:$R,'船长每月数据(2022年)'!$F:$F,$P$2,'船长每月数据(2022年)'!$E:$E,$C:$C)</f>
        <v>0</v>
      </c>
      <c r="Q3" s="20">
        <f>SUMIFS('船长每月数据(2022年)'!$P:$P,'船长每月数据(2022年)'!$F:$F,$Q$2,'船长每月数据(2022年)'!$E:$E,$C:$C)</f>
        <v>0</v>
      </c>
      <c r="R3" s="85">
        <f>SUMIFS('船长每月数据(2022年)'!$R:$R,'船长每月数据(2022年)'!$F:$F,$R$2,'船长每月数据(2022年)'!$E:$E,$C:$C)</f>
        <v>0</v>
      </c>
      <c r="S3" s="20">
        <f>SUMIFS('船长每月数据(2022年)'!$P:$P,'船长每月数据(2022年)'!$F:$F,$S$2,'船长每月数据(2022年)'!$E:$E,$C:$C)</f>
        <v>0</v>
      </c>
      <c r="T3" s="85">
        <f>SUMIFS('船长每月数据(2022年)'!$R:$R,'船长每月数据(2022年)'!$F:$F,$T$2,'船长每月数据(2022年)'!$E:$E,$C:$C)</f>
        <v>0</v>
      </c>
      <c r="U3" s="20">
        <f>SUMIFS('船长每月数据(2022年)'!$P:$P,'船长每月数据(2022年)'!$F:$F,$U$2,'船长每月数据(2022年)'!$E:$E,$C:$C)</f>
        <v>0</v>
      </c>
      <c r="V3" s="85">
        <f>SUMIFS('船长每月数据(2022年)'!$R:$R,'船长每月数据(2022年)'!$F:$F,$V$2,'船长每月数据(2022年)'!$E:$E,$C:$C)</f>
        <v>0</v>
      </c>
      <c r="W3" s="20">
        <f>SUMIFS('船长每月数据(2022年)'!$P:$P,'船长每月数据(2022年)'!$F:$F,$W$2,'船长每月数据(2022年)'!$E:$E,$C:$C)</f>
        <v>0</v>
      </c>
      <c r="X3" s="85">
        <f>SUMIFS('船长每月数据(2022年)'!$R:$R,'船长每月数据(2022年)'!$F:$F,$X$2,'船长每月数据(2022年)'!$E:$E,$C:$C)</f>
        <v>0</v>
      </c>
      <c r="Y3" s="20">
        <f>SUMIFS('船长每月数据(2022年)'!$P:$P,'船长每月数据(2022年)'!$F:$F,$Y$2,'船长每月数据(2022年)'!$E:$E,$C:$C)</f>
        <v>0</v>
      </c>
      <c r="Z3" s="85">
        <f>SUMIFS('船长每月数据(2022年)'!$R:$R,'船长每月数据(2022年)'!$F:$F,$Z$2,'船长每月数据(2022年)'!$E:$E,$C:$C)</f>
        <v>0</v>
      </c>
      <c r="AA3" s="20">
        <f>SUMIFS('船长每月数据(2022年)'!$P:$P,'船长每月数据(2022年)'!$F:$F,$AA$2,'船长每月数据(2022年)'!$E:$E,$C:$C)</f>
        <v>0</v>
      </c>
      <c r="AB3" s="85">
        <f>SUMIFS('船长每月数据(2022年)'!$R:$R,'船长每月数据(2022年)'!$F:$F,$AB$2,'船长每月数据(2022年)'!$E:$E,$C:$C)</f>
        <v>0</v>
      </c>
      <c r="AC3" s="20">
        <f>SUMIFS('船长每月数据(2023年)'!P:P,'船长每月数据(2023年)'!F:F,$AC$2,'船长每月数据(2023年)'!E:E,C:C)</f>
        <v>0</v>
      </c>
      <c r="AD3" s="21">
        <f>IFERROR(AC3/SUMIF('船长每月数据(2023年)'!$E:$E,$C:$C,'船长每月数据(2023年)'!$P:$P),0)</f>
        <v>0</v>
      </c>
      <c r="AE3" s="38">
        <f>SUMIFS('船长每月数据(2023年)'!$R:$R,'船长每月数据(2023年)'!$F:$F,$AE$2,'船长每月数据(2023年)'!$E:$E,$C:$C)</f>
        <v>0</v>
      </c>
      <c r="AF3" s="21">
        <f>IFERROR(AE3/SUMIF('船长每月数据(2023年)'!$E:$E,$C:$C,'船长每月数据(2023年)'!$R:$R),0)</f>
        <v>0</v>
      </c>
      <c r="AG3" s="20">
        <f>SUMIFS('船长每月数据(2023年)'!P:P,'船长每月数据(2023年)'!F:F,$AG$2,'船长每月数据(2023年)'!E:E,C:C)</f>
        <v>0</v>
      </c>
      <c r="AH3" s="21">
        <f>IFERROR(AG3/SUMIF('船长每月数据(2023年)'!$E:$E,$C:$C,'船长每月数据(2023年)'!$P:$P),0)</f>
        <v>0</v>
      </c>
      <c r="AI3" s="38">
        <f>SUMIFS('船长每月数据(2023年)'!$R:$R,'船长每月数据(2023年)'!$F:$F,$AI$2,'船长每月数据(2023年)'!$E:$E,$C:$C)</f>
        <v>0</v>
      </c>
      <c r="AJ3" s="21">
        <f>IFERROR(AI3/SUMIF('船长每月数据(2023年)'!$E:$E,$C:$C,'船长每月数据(2023年)'!$R:$R),0)</f>
        <v>0</v>
      </c>
      <c r="AK3" s="20">
        <f>SUMIFS('船长每月数据(2023年)'!P:P,'船长每月数据(2023年)'!F:F,$AK$2,'船长每月数据(2023年)'!E:E,C:C)</f>
        <v>0</v>
      </c>
      <c r="AL3" s="21">
        <f>IFERROR(AK3/SUMIF('船长每月数据(2023年)'!$E:$E,$C:$C,'船长每月数据(2023年)'!$P:$P),0)</f>
        <v>0</v>
      </c>
      <c r="AM3" s="38">
        <f>SUMIFS('船长每月数据(2023年)'!$R:$R,'船长每月数据(2023年)'!$F:$F,$AM$2,'船长每月数据(2023年)'!$E:$E,$C:$C)</f>
        <v>0</v>
      </c>
      <c r="AN3" s="21">
        <f>IFERROR(AM3/SUMIF('船长每月数据(2023年)'!$E:$E,$C:$C,'船长每月数据(2023年)'!$R:$R),0)</f>
        <v>0</v>
      </c>
      <c r="AO3" s="20">
        <f>SUMIFS('船长每月数据(2023年)'!$P:$P,'船长每月数据(2023年)'!$F:$F,$AO$2,'船长每月数据(2023年)'!$E:$E,$C:$C)</f>
        <v>0</v>
      </c>
      <c r="AP3" s="21">
        <f>IFERROR(AO3/SUMIF('船长每月数据(2023年)'!$E:$E,$C:$C,'船长每月数据(2023年)'!$P:$P),0)</f>
        <v>0</v>
      </c>
      <c r="AQ3" s="38">
        <f>SUMIFS('船长每月数据(2023年)'!$R:$R,'船长每月数据(2023年)'!$F:$F,$AQ$2,'船长每月数据(2023年)'!$E:$E,$C:$C)</f>
        <v>0</v>
      </c>
      <c r="AR3" s="21">
        <f>IFERROR(AQ3/SUMIF('船长每月数据(2023年)'!$E:$E,$C:$C,'船长每月数据(2023年)'!$R:$R),0)</f>
        <v>0</v>
      </c>
      <c r="AS3" s="20">
        <f>SUMIFS('船长每月数据(2023年)'!$P:$P,'船长每月数据(2023年)'!$F:$F,$AS$2,'船长每月数据(2023年)'!$E:$E,$C:$C)</f>
        <v>0</v>
      </c>
      <c r="AT3" s="21">
        <f>IFERROR(AS3/SUMIF('船长每月数据(2023年)'!$E:$E,$C:$C,'船长每月数据(2023年)'!$P:$P),0)</f>
        <v>0</v>
      </c>
      <c r="AU3" s="38">
        <f>SUMIFS('船长每月数据(2023年)'!$R:$R,'船长每月数据(2023年)'!$F:$F,$AU$2,'船长每月数据(2023年)'!$E:$E,$C:$C)</f>
        <v>0</v>
      </c>
      <c r="AV3" s="21">
        <f>IFERROR(AU3/SUMIF('船长每月数据(2023年)'!$E:$E,$C:$C,'船长每月数据(2023年)'!$R:$R),0)</f>
        <v>0</v>
      </c>
      <c r="AW3" s="20">
        <f>SUMIFS('船长每月数据(2023年)'!$P:$P,'船长每月数据(2023年)'!$F:$F,$AW$2,'船长每月数据(2023年)'!$E:$E,$C:$C)</f>
        <v>0</v>
      </c>
      <c r="AX3" s="21">
        <f>IFERROR(AW3/SUMIF('船长每月数据(2023年)'!$E:$E,$C:$C,'船长每月数据(2023年)'!$P:$P),0)</f>
        <v>0</v>
      </c>
      <c r="AY3" s="38">
        <f>SUMIFS('船长每月数据(2023年)'!$R:$R,'船长每月数据(2023年)'!$F:$F,$AY$2,'船长每月数据(2023年)'!$E:$E,$C:$C)</f>
        <v>0</v>
      </c>
      <c r="AZ3" s="21">
        <f>IFERROR(AY3/SUMIF('船长每月数据(2023年)'!$E:$E,$C:$C,'船长每月数据(2023年)'!$R:$R),0)</f>
        <v>0</v>
      </c>
      <c r="BA3" s="20">
        <f>SUMIFS('船长每月数据(2023年)'!$P:$P,'船长每月数据(2023年)'!$F:$F,$BA$2,'船长每月数据(2023年)'!$E:$E,$C:$C)</f>
        <v>0</v>
      </c>
      <c r="BB3" s="21">
        <f>IFERROR(BA3/SUMIF('船长每月数据(2023年)'!$E:$E,$C:$C,'船长每月数据(2023年)'!$P:$P),0)</f>
        <v>0</v>
      </c>
      <c r="BC3" s="38">
        <f>SUMIFS('船长每月数据(2023年)'!$R:$R,'船长每月数据(2023年)'!$F:$F,$BC$2,'船长每月数据(2023年)'!$E:$E,$C:$C)</f>
        <v>0</v>
      </c>
      <c r="BD3" s="21">
        <f>IFERROR(BC3/SUMIF('船长每月数据(2023年)'!$E:$E,$C:$C,'船长每月数据(2023年)'!$R:$R),0)</f>
        <v>0</v>
      </c>
      <c r="BE3" s="20">
        <f>SUMIFS('船长每月数据(2023年)'!$P:$P,'船长每月数据(2023年)'!$F:$F,$BE$2,'船长每月数据(2023年)'!$E:$E,$C:$C)</f>
        <v>0</v>
      </c>
      <c r="BF3" s="21">
        <f>IFERROR(BE3/SUMIF('船长每月数据(2023年)'!$E:$E,$C:$C,'船长每月数据(2023年)'!$P:$P),0)</f>
        <v>0</v>
      </c>
      <c r="BG3" s="38">
        <f>SUMIFS('船长每月数据(2023年)'!$R:$R,'船长每月数据(2023年)'!$F:$F,$BG$2,'船长每月数据(2023年)'!$E:$E,$C:$C)</f>
        <v>0</v>
      </c>
      <c r="BH3" s="21">
        <f>IFERROR(BG3/SUMIF('船长每月数据(2023年)'!$E:$E,$C:$C,'船长每月数据(2023年)'!$R:$R),0)</f>
        <v>0</v>
      </c>
      <c r="BI3" s="20">
        <f>SUMIFS('船长每月数据(2023年)'!$P:$P,'船长每月数据(2023年)'!$F:$F,$BI$2,'船长每月数据(2023年)'!$E:$E,$C:$C)</f>
        <v>0</v>
      </c>
      <c r="BJ3" s="21">
        <f>IFERROR(BI3/SUMIF('船长每月数据(2023年)'!$E:$E,$C:$C,'船长每月数据(2023年)'!$P:$P),0)</f>
        <v>0</v>
      </c>
      <c r="BK3" s="38">
        <f>SUMIFS('船长每月数据(2023年)'!$R:$R,'船长每月数据(2023年)'!$F:$F,$BK$2,'船长每月数据(2023年)'!$E:$E,$C:$C)</f>
        <v>0</v>
      </c>
      <c r="BL3" s="21">
        <f>IFERROR(BK3/SUMIF('船长每月数据(2023年)'!$E:$E,$C:$C,'船长每月数据(2023年)'!$R:$R),0)</f>
        <v>0</v>
      </c>
      <c r="BM3" s="20">
        <f>SUMIFS('船长每月数据(2023年)'!$P:$P,'船长每月数据(2023年)'!$F:$F,$BM$2,'船长每月数据(2023年)'!$E:$E,$C:$C)</f>
        <v>0</v>
      </c>
      <c r="BN3" s="21">
        <f>IFERROR(BM3/SUMIF('船长每月数据(2023年)'!$E:$E,$C:$C,'船长每月数据(2023年)'!$P:$P),0)</f>
        <v>0</v>
      </c>
      <c r="BO3" s="38">
        <f>SUMIFS('船长每月数据(2023年)'!$R:$R,'船长每月数据(2023年)'!$F:$F,$BO$2,'船长每月数据(2023年)'!$E:$E,$C:$C)</f>
        <v>0</v>
      </c>
      <c r="BP3" s="21">
        <f>IFERROR(BO3/SUMIF('船长每月数据(2023年)'!$E:$E,$C:$C,'船长每月数据(2023年)'!$R:$R),0)</f>
        <v>0</v>
      </c>
      <c r="BQ3" s="20">
        <f>SUMIFS('船长每月数据(2023年)'!$P:$P,'船长每月数据(2023年)'!$F:$F,$BQ$2,'船长每月数据(2023年)'!$E:$E,$C:$C)</f>
        <v>0</v>
      </c>
      <c r="BR3" s="21">
        <f>IFERROR(BQ3/SUMIF('船长每月数据(2023年)'!$E:$E,$C:$C,'船长每月数据(2023年)'!$P:$P),0)</f>
        <v>0</v>
      </c>
      <c r="BS3" s="38">
        <f>SUMIFS('船长每月数据(2023年)'!$R:$R,'船长每月数据(2023年)'!$F:$F,$BS$2,'船长每月数据(2023年)'!$E:$E,$C:$C)</f>
        <v>0</v>
      </c>
      <c r="BT3" s="21">
        <f>IFERROR(BS3/SUMIF('船长每月数据(2023年)'!$E:$E,$C:$C,'船长每月数据(2023年)'!$R:$R),0)</f>
        <v>0</v>
      </c>
      <c r="BU3" s="20">
        <f>SUMIFS('船长每月数据(2023年)'!$P:$P,'船长每月数据(2023年)'!$F:$F,$BU$2,'船长每月数据(2023年)'!$E:$E,$C:$C)</f>
        <v>0</v>
      </c>
      <c r="BV3" s="21">
        <f>IFERROR(BU3/SUMIF('船长每月数据(2023年)'!$E:$E,$C:$C,'船长每月数据(2023年)'!$P:$P),0)</f>
        <v>0</v>
      </c>
      <c r="BW3" s="38">
        <f>SUMIFS('船长每月数据(2023年)'!$R:$R,'船长每月数据(2023年)'!$F:$F,$BW$2,'船长每月数据(2023年)'!$E:$E,$C:$C)</f>
        <v>0</v>
      </c>
      <c r="BX3" s="21">
        <f>IFERROR(BW3/SUMIF('船长每月数据(2023年)'!$E:$E,$C:$C,'船长每月数据(2023年)'!$R:$R),0)</f>
        <v>0</v>
      </c>
    </row>
    <row r="4" ht="23" customHeight="1" spans="1:76">
      <c r="A4" s="36"/>
      <c r="B4" s="36"/>
      <c r="C4" s="20"/>
      <c r="D4" s="74"/>
      <c r="E4" s="20">
        <f>SUMIFS('船长每月数据(2022年)'!$P:$P,'船长每月数据(2022年)'!$F:$F,$E$2,'船长每月数据(2022年)'!E:E,C:C)</f>
        <v>0</v>
      </c>
      <c r="F4" s="85">
        <f>SUMIFS('船长每月数据(2022年)'!$R:$R,'船长每月数据(2022年)'!$F:$F,$F$2,'船长每月数据(2022年)'!E:E,C:C)</f>
        <v>0</v>
      </c>
      <c r="G4" s="20">
        <f>SUMIFS('船长每月数据(2022年)'!$P:$P,'船长每月数据(2022年)'!$F:$F,$G$2,'船长每月数据(2022年)'!$E:$E,$C:$C)</f>
        <v>0</v>
      </c>
      <c r="H4" s="85">
        <f>SUMIFS('船长每月数据(2022年)'!$R:$R,'船长每月数据(2022年)'!$F:$F,$H$2,'船长每月数据(2022年)'!$E:$E,$C:$C)</f>
        <v>0</v>
      </c>
      <c r="I4" s="20">
        <f>SUMIFS('船长每月数据(2022年)'!$P:$P,'船长每月数据(2022年)'!$F:$F,$I$2,'船长每月数据(2022年)'!$E:$E,$C:$C)</f>
        <v>0</v>
      </c>
      <c r="J4" s="85">
        <f>SUMIFS('船长每月数据(2022年)'!$R:$R,'船长每月数据(2022年)'!$F:$F,$J$2,'船长每月数据(2022年)'!$E:$E,$C:$C)</f>
        <v>0</v>
      </c>
      <c r="K4" s="20">
        <f>SUMIFS('船长每月数据(2022年)'!$P:$P,'船长每月数据(2022年)'!$F:$F,$K$2,'船长每月数据(2022年)'!$E:$E,$C:$C)</f>
        <v>0</v>
      </c>
      <c r="L4" s="85">
        <f>SUMIFS('船长每月数据(2022年)'!$R:$R,'船长每月数据(2022年)'!$F:$F,$L$2,'船长每月数据(2022年)'!$E:$E,$C:$C)</f>
        <v>0</v>
      </c>
      <c r="M4" s="20">
        <f>SUMIFS('船长每月数据(2022年)'!$P:$P,'船长每月数据(2022年)'!$F:$F,$M$2,'船长每月数据(2022年)'!$E:$E,$C:$C)</f>
        <v>0</v>
      </c>
      <c r="N4" s="85">
        <f>SUMIFS('船长每月数据(2022年)'!$R:$R,'船长每月数据(2022年)'!$F:$F,$N$2,'船长每月数据(2022年)'!$E:$E,$C:$C)</f>
        <v>0</v>
      </c>
      <c r="O4" s="20">
        <f>SUMIFS('船长每月数据(2022年)'!$P:$P,'船长每月数据(2022年)'!$F:$F,$O$2,'船长每月数据(2022年)'!$E:$E,$C:$C)</f>
        <v>0</v>
      </c>
      <c r="P4" s="85">
        <f>SUMIFS('船长每月数据(2022年)'!$R:$R,'船长每月数据(2022年)'!$F:$F,$P$2,'船长每月数据(2022年)'!$E:$E,$C:$C)</f>
        <v>0</v>
      </c>
      <c r="Q4" s="20">
        <f>SUMIFS('船长每月数据(2022年)'!$P:$P,'船长每月数据(2022年)'!$F:$F,$Q$2,'船长每月数据(2022年)'!$E:$E,$C:$C)</f>
        <v>0</v>
      </c>
      <c r="R4" s="85">
        <f>SUMIFS('船长每月数据(2022年)'!$R:$R,'船长每月数据(2022年)'!$F:$F,$R$2,'船长每月数据(2022年)'!$E:$E,$C:$C)</f>
        <v>0</v>
      </c>
      <c r="S4" s="20">
        <f>SUMIFS('船长每月数据(2022年)'!$P:$P,'船长每月数据(2022年)'!$F:$F,$S$2,'船长每月数据(2022年)'!$E:$E,$C:$C)</f>
        <v>0</v>
      </c>
      <c r="T4" s="85">
        <f>SUMIFS('船长每月数据(2022年)'!$R:$R,'船长每月数据(2022年)'!$F:$F,$T$2,'船长每月数据(2022年)'!$E:$E,$C:$C)</f>
        <v>0</v>
      </c>
      <c r="U4" s="20">
        <f>SUMIFS('船长每月数据(2022年)'!$P:$P,'船长每月数据(2022年)'!$F:$F,$U$2,'船长每月数据(2022年)'!$E:$E,$C:$C)</f>
        <v>0</v>
      </c>
      <c r="V4" s="85">
        <f>SUMIFS('船长每月数据(2022年)'!$R:$R,'船长每月数据(2022年)'!$F:$F,$V$2,'船长每月数据(2022年)'!$E:$E,$C:$C)</f>
        <v>0</v>
      </c>
      <c r="W4" s="20">
        <f>SUMIFS('船长每月数据(2022年)'!$P:$P,'船长每月数据(2022年)'!$F:$F,$W$2,'船长每月数据(2022年)'!$E:$E,$C:$C)</f>
        <v>0</v>
      </c>
      <c r="X4" s="85">
        <f>SUMIFS('船长每月数据(2022年)'!$R:$R,'船长每月数据(2022年)'!$F:$F,$X$2,'船长每月数据(2022年)'!$E:$E,$C:$C)</f>
        <v>0</v>
      </c>
      <c r="Y4" s="20">
        <f>SUMIFS('船长每月数据(2022年)'!$P:$P,'船长每月数据(2022年)'!$F:$F,$Y$2,'船长每月数据(2022年)'!$E:$E,$C:$C)</f>
        <v>0</v>
      </c>
      <c r="Z4" s="85">
        <f>SUMIFS('船长每月数据(2022年)'!$R:$R,'船长每月数据(2022年)'!$F:$F,$Z$2,'船长每月数据(2022年)'!$E:$E,$C:$C)</f>
        <v>0</v>
      </c>
      <c r="AA4" s="20">
        <f>SUMIFS('船长每月数据(2022年)'!$P:$P,'船长每月数据(2022年)'!$F:$F,$AA$2,'船长每月数据(2022年)'!$E:$E,$C:$C)</f>
        <v>0</v>
      </c>
      <c r="AB4" s="85">
        <f>SUMIFS('船长每月数据(2022年)'!$R:$R,'船长每月数据(2022年)'!$F:$F,$AB$2,'船长每月数据(2022年)'!$E:$E,$C:$C)</f>
        <v>0</v>
      </c>
      <c r="AC4" s="20">
        <f>SUMIFS('船长每月数据(2023年)'!P:P,'船长每月数据(2023年)'!F:F,$AC$2,'船长每月数据(2023年)'!E:E,C:C)</f>
        <v>0</v>
      </c>
      <c r="AD4" s="21">
        <f>IFERROR(AC4/SUMIF('船长每月数据(2023年)'!$E:$E,C:C,'船长每月数据(2023年)'!P:P),0)</f>
        <v>0</v>
      </c>
      <c r="AE4" s="38">
        <f>SUMIFS('船长每月数据(2023年)'!$R:$R,'船长每月数据(2023年)'!$F:$F,$AE$2,'船长每月数据(2023年)'!$E:$E,$C:$C)</f>
        <v>0</v>
      </c>
      <c r="AF4" s="21">
        <f>IFERROR(AE4/SUMIF('船长每月数据(2023年)'!E:E,C:C,'船长每月数据(2023年)'!R:R),0)</f>
        <v>0</v>
      </c>
      <c r="AG4" s="20">
        <f>SUMIFS('船长每月数据(2023年)'!P:P,'船长每月数据(2023年)'!F:F,$AG$2,'船长每月数据(2023年)'!E:E,C:C)</f>
        <v>0</v>
      </c>
      <c r="AH4" s="21">
        <f>IFERROR(AG4/SUMIF('船长每月数据(2023年)'!$E:$E,$C:$C,'船长每月数据(2023年)'!$P:$P),0)</f>
        <v>0</v>
      </c>
      <c r="AI4" s="38">
        <f>SUMIFS('船长每月数据(2023年)'!$R:$R,'船长每月数据(2023年)'!$F:$F,$AI$2,'船长每月数据(2023年)'!$E:$E,$C:$C)</f>
        <v>0</v>
      </c>
      <c r="AJ4" s="21">
        <f>IFERROR(AI4/SUMIF('船长每月数据(2023年)'!$E:$E,$C:$C,'船长每月数据(2023年)'!$R:$R),0)</f>
        <v>0</v>
      </c>
      <c r="AK4" s="20">
        <f>SUMIFS('船长每月数据(2023年)'!P:P,'船长每月数据(2023年)'!F:F,$AK$2,'船长每月数据(2023年)'!E:E,C:C)</f>
        <v>0</v>
      </c>
      <c r="AL4" s="21">
        <f>IFERROR(AK4/SUMIF('船长每月数据(2023年)'!$E:$E,$C:$C,'船长每月数据(2023年)'!$P:$P),0)</f>
        <v>0</v>
      </c>
      <c r="AM4" s="38">
        <f>SUMIFS('船长每月数据(2023年)'!$R:$R,'船长每月数据(2023年)'!$F:$F,$AM$2,'船长每月数据(2023年)'!$E:$E,$C:$C)</f>
        <v>0</v>
      </c>
      <c r="AN4" s="21">
        <f>IFERROR(AM4/SUMIF('船长每月数据(2023年)'!$E:$E,$C:$C,'船长每月数据(2023年)'!$R:$R),0)</f>
        <v>0</v>
      </c>
      <c r="AO4" s="20">
        <f>SUMIFS('船长每月数据(2023年)'!P:P,'船长每月数据(2023年)'!F:F,$AO$2,'船长每月数据(2023年)'!E:E,C:C)</f>
        <v>0</v>
      </c>
      <c r="AP4" s="21">
        <f>IFERROR(AO4/SUMIF('船长每月数据(2023年)'!$E:$E,$C:$C,'船长每月数据(2023年)'!$P:$P),0)</f>
        <v>0</v>
      </c>
      <c r="AQ4" s="38">
        <f>SUMIFS('船长每月数据(2023年)'!$R:$R,'船长每月数据(2023年)'!$F:$F,$AQ$2,'船长每月数据(2023年)'!$E:$E,$C:$C)</f>
        <v>0</v>
      </c>
      <c r="AR4" s="21">
        <f>IFERROR(AQ4/SUMIF('船长每月数据(2023年)'!$E:$E,$C:$C,'船长每月数据(2023年)'!$R:$R),0)</f>
        <v>0</v>
      </c>
      <c r="AS4" s="20">
        <f>SUMIFS('船长每月数据(2023年)'!$P:$P,'船长每月数据(2023年)'!$F:$F,$AS$2,'船长每月数据(2023年)'!$E:$E,$C:$C)</f>
        <v>0</v>
      </c>
      <c r="AT4" s="21">
        <f>IFERROR(AS4/SUMIF('船长每月数据(2023年)'!$E:$E,$C:$C,'船长每月数据(2023年)'!$P:$P),0)</f>
        <v>0</v>
      </c>
      <c r="AU4" s="38">
        <f>SUMIFS('船长每月数据(2023年)'!$R:$R,'船长每月数据(2023年)'!$F:$F,$AU$2,'船长每月数据(2023年)'!$E:$E,$C:$C)</f>
        <v>0</v>
      </c>
      <c r="AV4" s="21">
        <f>IFERROR(AU4/SUMIF('船长每月数据(2023年)'!$E:$E,$C:$C,'船长每月数据(2023年)'!$R:$R),0)</f>
        <v>0</v>
      </c>
      <c r="AW4" s="20">
        <f>SUMIFS('船长每月数据(2023年)'!$P:$P,'船长每月数据(2023年)'!$F:$F,$AW$2,'船长每月数据(2023年)'!$E:$E,$C:$C)</f>
        <v>0</v>
      </c>
      <c r="AX4" s="21">
        <f>IFERROR(AW4/SUMIF('船长每月数据(2023年)'!$E:$E,$C:$C,'船长每月数据(2023年)'!$P:$P),0)</f>
        <v>0</v>
      </c>
      <c r="AY4" s="38">
        <f>SUMIFS('船长每月数据(2023年)'!$R:$R,'船长每月数据(2023年)'!$F:$F,$AY$2,'船长每月数据(2023年)'!$E:$E,$C:$C)</f>
        <v>0</v>
      </c>
      <c r="AZ4" s="21">
        <f>IFERROR(AY4/SUMIF('船长每月数据(2023年)'!$E:$E,$C:$C,'船长每月数据(2023年)'!$R:$R),0)</f>
        <v>0</v>
      </c>
      <c r="BA4" s="20">
        <f>SUMIFS('船长每月数据(2023年)'!$P:$P,'船长每月数据(2023年)'!$F:$F,$BA$2,'船长每月数据(2023年)'!$E:$E,$C:$C)</f>
        <v>0</v>
      </c>
      <c r="BB4" s="21">
        <f>IFERROR(BA4/SUMIF('船长每月数据(2023年)'!$E:$E,$C:$C,'船长每月数据(2023年)'!$P:$P),0)</f>
        <v>0</v>
      </c>
      <c r="BC4" s="38">
        <f>SUMIFS('船长每月数据(2023年)'!$R:$R,'船长每月数据(2023年)'!$F:$F,$BC$2,'船长每月数据(2023年)'!$E:$E,$C:$C)</f>
        <v>0</v>
      </c>
      <c r="BD4" s="21">
        <f>IFERROR(BC4/SUMIF('船长每月数据(2023年)'!$E:$E,$C:$C,'船长每月数据(2023年)'!$R:$R),0)</f>
        <v>0</v>
      </c>
      <c r="BE4" s="20">
        <f>SUMIFS('船长每月数据(2023年)'!$P:$P,'船长每月数据(2023年)'!$F:$F,$BE$2,'船长每月数据(2023年)'!$E:$E,$C:$C)</f>
        <v>0</v>
      </c>
      <c r="BF4" s="21">
        <f>IFERROR(BE4/SUMIF('船长每月数据(2023年)'!$E:$E,$C:$C,'船长每月数据(2023年)'!$P:$P),0)</f>
        <v>0</v>
      </c>
      <c r="BG4" s="38">
        <f>SUMIFS('船长每月数据(2023年)'!$R:$R,'船长每月数据(2023年)'!$F:$F,$BG$2,'船长每月数据(2023年)'!$E:$E,$C:$C)</f>
        <v>0</v>
      </c>
      <c r="BH4" s="21">
        <f>IFERROR(BG4/SUMIF('船长每月数据(2023年)'!$E:$E,$C:$C,'船长每月数据(2023年)'!$R:$R),0)</f>
        <v>0</v>
      </c>
      <c r="BI4" s="20">
        <f>SUMIFS('船长每月数据(2023年)'!$P:$P,'船长每月数据(2023年)'!$F:$F,$BI$2,'船长每月数据(2023年)'!$E:$E,$C:$C)</f>
        <v>0</v>
      </c>
      <c r="BJ4" s="21">
        <f>IFERROR(BI4/SUMIF('船长每月数据(2023年)'!$E:$E,$C:$C,'船长每月数据(2023年)'!$P:$P),0)</f>
        <v>0</v>
      </c>
      <c r="BK4" s="38">
        <f>SUMIFS('船长每月数据(2023年)'!$R:$R,'船长每月数据(2023年)'!$F:$F,$BK$2,'船长每月数据(2023年)'!$E:$E,$C:$C)</f>
        <v>0</v>
      </c>
      <c r="BL4" s="21">
        <f>IFERROR(BK4/SUMIF('船长每月数据(2023年)'!$E:$E,$C:$C,'船长每月数据(2023年)'!$R:$R),0)</f>
        <v>0</v>
      </c>
      <c r="BM4" s="20">
        <f>SUMIFS('船长每月数据(2023年)'!$P:$P,'船长每月数据(2023年)'!$F:$F,$BM$2,'船长每月数据(2023年)'!$E:$E,$C:$C)</f>
        <v>0</v>
      </c>
      <c r="BN4" s="21">
        <f>IFERROR(BM4/SUMIF('船长每月数据(2023年)'!$E:$E,$C:$C,'船长每月数据(2023年)'!$P:$P),0)</f>
        <v>0</v>
      </c>
      <c r="BO4" s="38">
        <f>SUMIFS('船长每月数据(2023年)'!$R:$R,'船长每月数据(2023年)'!$F:$F,$BO$2,'船长每月数据(2023年)'!$E:$E,$C:$C)</f>
        <v>0</v>
      </c>
      <c r="BP4" s="21">
        <f>IFERROR(BO4/SUMIF('船长每月数据(2023年)'!$E:$E,$C:$C,'船长每月数据(2023年)'!$R:$R),0)</f>
        <v>0</v>
      </c>
      <c r="BQ4" s="20">
        <f>SUMIFS('船长每月数据(2023年)'!$P:$P,'船长每月数据(2023年)'!$F:$F,$BQ$2,'船长每月数据(2023年)'!$E:$E,$C:$C)</f>
        <v>0</v>
      </c>
      <c r="BR4" s="21">
        <f>IFERROR(BQ4/SUMIF('船长每月数据(2023年)'!$E:$E,$C:$C,'船长每月数据(2023年)'!$P:$P),0)</f>
        <v>0</v>
      </c>
      <c r="BS4" s="38">
        <f>SUMIFS('船长每月数据(2023年)'!$R:$R,'船长每月数据(2023年)'!$F:$F,$BS$2,'船长每月数据(2023年)'!$E:$E,$C:$C)</f>
        <v>0</v>
      </c>
      <c r="BT4" s="21">
        <f>IFERROR(BS4/SUMIF('船长每月数据(2023年)'!$E:$E,$C:$C,'船长每月数据(2023年)'!$R:$R),0)</f>
        <v>0</v>
      </c>
      <c r="BU4" s="20">
        <f>SUMIFS('船长每月数据(2023年)'!$P:$P,'船长每月数据(2023年)'!$F:$F,$BU$2,'船长每月数据(2023年)'!$E:$E,$C:$C)</f>
        <v>0</v>
      </c>
      <c r="BV4" s="21">
        <f>IFERROR(BU4/SUMIF('船长每月数据(2023年)'!$E:$E,$C:$C,'船长每月数据(2023年)'!$P:$P),0)</f>
        <v>0</v>
      </c>
      <c r="BW4" s="38">
        <f>SUMIFS('船长每月数据(2023年)'!$R:$R,'船长每月数据(2023年)'!$F:$F,$BW$2,'船长每月数据(2023年)'!$E:$E,$C:$C)</f>
        <v>0</v>
      </c>
      <c r="BX4" s="21">
        <f>IFERROR(BW4/SUMIF('船长每月数据(2023年)'!$E:$E,$C:$C,'船长每月数据(2023年)'!$R:$R),0)</f>
        <v>0</v>
      </c>
    </row>
    <row r="5" ht="23" customHeight="1" spans="1:76">
      <c r="A5" s="36"/>
      <c r="B5" s="36"/>
      <c r="C5" s="20"/>
      <c r="D5" s="74"/>
      <c r="E5" s="20">
        <f>SUMIFS('船长每月数据(2022年)'!$P:$P,'船长每月数据(2022年)'!$F:$F,$E$2,'船长每月数据(2022年)'!E:E,C:C)</f>
        <v>0</v>
      </c>
      <c r="F5" s="85">
        <f>SUMIFS('船长每月数据(2022年)'!$R:$R,'船长每月数据(2022年)'!$F:$F,$F$2,'船长每月数据(2022年)'!E:E,C:C)</f>
        <v>0</v>
      </c>
      <c r="G5" s="20">
        <f>SUMIFS('船长每月数据(2022年)'!$P:$P,'船长每月数据(2022年)'!$F:$F,$G$2,'船长每月数据(2022年)'!$E:$E,$C:$C)</f>
        <v>0</v>
      </c>
      <c r="H5" s="85">
        <f>SUMIFS('船长每月数据(2022年)'!$R:$R,'船长每月数据(2022年)'!$F:$F,$H$2,'船长每月数据(2022年)'!$E:$E,$C:$C)</f>
        <v>0</v>
      </c>
      <c r="I5" s="20">
        <f>SUMIFS('船长每月数据(2022年)'!$P:$P,'船长每月数据(2022年)'!$F:$F,$I$2,'船长每月数据(2022年)'!$E:$E,$C:$C)</f>
        <v>0</v>
      </c>
      <c r="J5" s="85">
        <f>SUMIFS('船长每月数据(2022年)'!$R:$R,'船长每月数据(2022年)'!$F:$F,$J$2,'船长每月数据(2022年)'!$E:$E,$C:$C)</f>
        <v>0</v>
      </c>
      <c r="K5" s="20">
        <f>SUMIFS('船长每月数据(2022年)'!$P:$P,'船长每月数据(2022年)'!$F:$F,$K$2,'船长每月数据(2022年)'!$E:$E,$C:$C)</f>
        <v>0</v>
      </c>
      <c r="L5" s="85">
        <f>SUMIFS('船长每月数据(2022年)'!$R:$R,'船长每月数据(2022年)'!$F:$F,$L$2,'船长每月数据(2022年)'!$E:$E,$C:$C)</f>
        <v>0</v>
      </c>
      <c r="M5" s="20">
        <f>SUMIFS('船长每月数据(2022年)'!$P:$P,'船长每月数据(2022年)'!$F:$F,$M$2,'船长每月数据(2022年)'!$E:$E,$C:$C)</f>
        <v>0</v>
      </c>
      <c r="N5" s="85">
        <f>SUMIFS('船长每月数据(2022年)'!$R:$R,'船长每月数据(2022年)'!$F:$F,$N$2,'船长每月数据(2022年)'!$E:$E,$C:$C)</f>
        <v>0</v>
      </c>
      <c r="O5" s="20">
        <f>SUMIFS('船长每月数据(2022年)'!$P:$P,'船长每月数据(2022年)'!$F:$F,$O$2,'船长每月数据(2022年)'!$E:$E,$C:$C)</f>
        <v>0</v>
      </c>
      <c r="P5" s="85">
        <f>SUMIFS('船长每月数据(2022年)'!$R:$R,'船长每月数据(2022年)'!$F:$F,$P$2,'船长每月数据(2022年)'!$E:$E,$C:$C)</f>
        <v>0</v>
      </c>
      <c r="Q5" s="20">
        <f>SUMIFS('船长每月数据(2022年)'!$P:$P,'船长每月数据(2022年)'!$F:$F,$Q$2,'船长每月数据(2022年)'!$E:$E,$C:$C)</f>
        <v>0</v>
      </c>
      <c r="R5" s="85">
        <f>SUMIFS('船长每月数据(2022年)'!$R:$R,'船长每月数据(2022年)'!$F:$F,$R$2,'船长每月数据(2022年)'!$E:$E,$C:$C)</f>
        <v>0</v>
      </c>
      <c r="S5" s="20">
        <f>SUMIFS('船长每月数据(2022年)'!$P:$P,'船长每月数据(2022年)'!$F:$F,$S$2,'船长每月数据(2022年)'!$E:$E,$C:$C)</f>
        <v>0</v>
      </c>
      <c r="T5" s="85">
        <f>SUMIFS('船长每月数据(2022年)'!$R:$R,'船长每月数据(2022年)'!$F:$F,$T$2,'船长每月数据(2022年)'!$E:$E,$C:$C)</f>
        <v>0</v>
      </c>
      <c r="U5" s="20">
        <f>SUMIFS('船长每月数据(2022年)'!$P:$P,'船长每月数据(2022年)'!$F:$F,$U$2,'船长每月数据(2022年)'!$E:$E,$C:$C)</f>
        <v>0</v>
      </c>
      <c r="V5" s="85">
        <f>SUMIFS('船长每月数据(2022年)'!$R:$R,'船长每月数据(2022年)'!$F:$F,$V$2,'船长每月数据(2022年)'!$E:$E,$C:$C)</f>
        <v>0</v>
      </c>
      <c r="W5" s="20">
        <f>SUMIFS('船长每月数据(2022年)'!$P:$P,'船长每月数据(2022年)'!$F:$F,$W$2,'船长每月数据(2022年)'!$E:$E,$C:$C)</f>
        <v>0</v>
      </c>
      <c r="X5" s="85">
        <f>SUMIFS('船长每月数据(2022年)'!$R:$R,'船长每月数据(2022年)'!$F:$F,$X$2,'船长每月数据(2022年)'!$E:$E,$C:$C)</f>
        <v>0</v>
      </c>
      <c r="Y5" s="20">
        <f>SUMIFS('船长每月数据(2022年)'!$P:$P,'船长每月数据(2022年)'!$F:$F,$Y$2,'船长每月数据(2022年)'!$E:$E,$C:$C)</f>
        <v>0</v>
      </c>
      <c r="Z5" s="85">
        <f>SUMIFS('船长每月数据(2022年)'!$R:$R,'船长每月数据(2022年)'!$F:$F,$Z$2,'船长每月数据(2022年)'!$E:$E,$C:$C)</f>
        <v>0</v>
      </c>
      <c r="AA5" s="20">
        <f>SUMIFS('船长每月数据(2022年)'!$P:$P,'船长每月数据(2022年)'!$F:$F,$AA$2,'船长每月数据(2022年)'!$E:$E,$C:$C)</f>
        <v>0</v>
      </c>
      <c r="AB5" s="85">
        <f>SUMIFS('船长每月数据(2022年)'!$R:$R,'船长每月数据(2022年)'!$F:$F,$AB$2,'船长每月数据(2022年)'!$E:$E,$C:$C)</f>
        <v>0</v>
      </c>
      <c r="AC5" s="20">
        <f>SUMIFS('船长每月数据(2023年)'!P:P,'船长每月数据(2023年)'!F:F,$AC$2,'船长每月数据(2023年)'!E:E,C:C)</f>
        <v>0</v>
      </c>
      <c r="AD5" s="21">
        <f>IFERROR(AC5/SUMIF('船长每月数据(2023年)'!$E:$E,C:C,'船长每月数据(2023年)'!P:P),0)</f>
        <v>0</v>
      </c>
      <c r="AE5" s="38">
        <f>SUMIFS('船长每月数据(2023年)'!$R:$R,'船长每月数据(2023年)'!$F:$F,$AE$2,'船长每月数据(2023年)'!$E:$E,$C:$C)</f>
        <v>0</v>
      </c>
      <c r="AF5" s="21">
        <f>IFERROR(AE5/SUMIF('船长每月数据(2023年)'!E:E,C:C,'船长每月数据(2023年)'!R:R),0)</f>
        <v>0</v>
      </c>
      <c r="AG5" s="20">
        <f>SUMIFS('船长每月数据(2023年)'!P:P,'船长每月数据(2023年)'!F:F,$AG$2,'船长每月数据(2023年)'!E:E,C:C)</f>
        <v>0</v>
      </c>
      <c r="AH5" s="21">
        <f>IFERROR(AG5/SUMIF('船长每月数据(2023年)'!$E:$E,$C:$C,'船长每月数据(2023年)'!$P:$P),0)</f>
        <v>0</v>
      </c>
      <c r="AI5" s="38">
        <f>SUMIFS('船长每月数据(2023年)'!$R:$R,'船长每月数据(2023年)'!$F:$F,$AI$2,'船长每月数据(2023年)'!$E:$E,$C:$C)</f>
        <v>0</v>
      </c>
      <c r="AJ5" s="21">
        <f>IFERROR(AI5/SUMIF('船长每月数据(2023年)'!$E:$E,$C:$C,'船长每月数据(2023年)'!$R:$R),0)</f>
        <v>0</v>
      </c>
      <c r="AK5" s="20">
        <f>SUMIFS('船长每月数据(2023年)'!P:P,'船长每月数据(2023年)'!F:F,$AK$2,'船长每月数据(2023年)'!E:E,C:C)</f>
        <v>0</v>
      </c>
      <c r="AL5" s="21">
        <f>IFERROR(AK5/SUMIF('船长每月数据(2023年)'!$E:$E,$C:$C,'船长每月数据(2023年)'!$P:$P),0)</f>
        <v>0</v>
      </c>
      <c r="AM5" s="38">
        <f>SUMIFS('船长每月数据(2023年)'!$R:$R,'船长每月数据(2023年)'!$F:$F,$AM$2,'船长每月数据(2023年)'!$E:$E,$C:$C)</f>
        <v>0</v>
      </c>
      <c r="AN5" s="21">
        <f>IFERROR(AM5/SUMIF('船长每月数据(2023年)'!$E:$E,$C:$C,'船长每月数据(2023年)'!$R:$R),0)</f>
        <v>0</v>
      </c>
      <c r="AO5" s="20">
        <f>SUMIFS('船长每月数据(2023年)'!P:P,'船长每月数据(2023年)'!F:F,$AO$2,'船长每月数据(2023年)'!E:E,C:C)</f>
        <v>0</v>
      </c>
      <c r="AP5" s="21">
        <f>IFERROR(AO5/SUMIF('船长每月数据(2023年)'!$E:$E,$C:$C,'船长每月数据(2023年)'!$P:$P),0)</f>
        <v>0</v>
      </c>
      <c r="AQ5" s="38">
        <f>SUMIFS('船长每月数据(2023年)'!$R:$R,'船长每月数据(2023年)'!$F:$F,$AQ$2,'船长每月数据(2023年)'!$E:$E,$C:$C)</f>
        <v>0</v>
      </c>
      <c r="AR5" s="21">
        <f>IFERROR(AQ5/SUMIF('船长每月数据(2023年)'!$E:$E,$C:$C,'船长每月数据(2023年)'!$R:$R),0)</f>
        <v>0</v>
      </c>
      <c r="AS5" s="20">
        <f>SUMIFS('船长每月数据(2023年)'!$P:$P,'船长每月数据(2023年)'!$F:$F,$AS$2,'船长每月数据(2023年)'!$E:$E,$C:$C)</f>
        <v>0</v>
      </c>
      <c r="AT5" s="21">
        <f>IFERROR(AS5/SUMIF('船长每月数据(2023年)'!$E:$E,$C:$C,'船长每月数据(2023年)'!$P:$P),0)</f>
        <v>0</v>
      </c>
      <c r="AU5" s="38">
        <f>SUMIFS('船长每月数据(2023年)'!$R:$R,'船长每月数据(2023年)'!$F:$F,$AU$2,'船长每月数据(2023年)'!$E:$E,$C:$C)</f>
        <v>0</v>
      </c>
      <c r="AV5" s="21">
        <f>IFERROR(AU5/SUMIF('船长每月数据(2023年)'!$E:$E,$C:$C,'船长每月数据(2023年)'!$R:$R),0)</f>
        <v>0</v>
      </c>
      <c r="AW5" s="20">
        <f>SUMIFS('船长每月数据(2023年)'!$P:$P,'船长每月数据(2023年)'!$F:$F,$AW$2,'船长每月数据(2023年)'!$E:$E,$C:$C)</f>
        <v>0</v>
      </c>
      <c r="AX5" s="21">
        <f>IFERROR(AW5/SUMIF('船长每月数据(2023年)'!$E:$E,$C:$C,'船长每月数据(2023年)'!$P:$P),0)</f>
        <v>0</v>
      </c>
      <c r="AY5" s="38">
        <f>SUMIFS('船长每月数据(2023年)'!$R:$R,'船长每月数据(2023年)'!$F:$F,$AY$2,'船长每月数据(2023年)'!$E:$E,$C:$C)</f>
        <v>0</v>
      </c>
      <c r="AZ5" s="21">
        <f>IFERROR(AY5/SUMIF('船长每月数据(2023年)'!$E:$E,$C:$C,'船长每月数据(2023年)'!$R:$R),0)</f>
        <v>0</v>
      </c>
      <c r="BA5" s="20">
        <f>SUMIFS('船长每月数据(2023年)'!$P:$P,'船长每月数据(2023年)'!$F:$F,$BA$2,'船长每月数据(2023年)'!$E:$E,$C:$C)</f>
        <v>0</v>
      </c>
      <c r="BB5" s="21">
        <f>IFERROR(BA5/SUMIF('船长每月数据(2023年)'!$E:$E,$C:$C,'船长每月数据(2023年)'!$P:$P),0)</f>
        <v>0</v>
      </c>
      <c r="BC5" s="38">
        <f>SUMIFS('船长每月数据(2023年)'!$R:$R,'船长每月数据(2023年)'!$F:$F,$BC$2,'船长每月数据(2023年)'!$E:$E,$C:$C)</f>
        <v>0</v>
      </c>
      <c r="BD5" s="21">
        <f>IFERROR(BC5/SUMIF('船长每月数据(2023年)'!$E:$E,$C:$C,'船长每月数据(2023年)'!$R:$R),0)</f>
        <v>0</v>
      </c>
      <c r="BE5" s="20">
        <f>SUMIFS('船长每月数据(2023年)'!$P:$P,'船长每月数据(2023年)'!$F:$F,$BE$2,'船长每月数据(2023年)'!$E:$E,$C:$C)</f>
        <v>0</v>
      </c>
      <c r="BF5" s="21">
        <f>IFERROR(BE5/SUMIF('船长每月数据(2023年)'!$E:$E,$C:$C,'船长每月数据(2023年)'!$P:$P),0)</f>
        <v>0</v>
      </c>
      <c r="BG5" s="38">
        <f>SUMIFS('船长每月数据(2023年)'!$R:$R,'船长每月数据(2023年)'!$F:$F,$BG$2,'船长每月数据(2023年)'!$E:$E,$C:$C)</f>
        <v>0</v>
      </c>
      <c r="BH5" s="21">
        <f>IFERROR(BG5/SUMIF('船长每月数据(2023年)'!$E:$E,$C:$C,'船长每月数据(2023年)'!$R:$R),0)</f>
        <v>0</v>
      </c>
      <c r="BI5" s="20">
        <f>SUMIFS('船长每月数据(2023年)'!$P:$P,'船长每月数据(2023年)'!$F:$F,$BI$2,'船长每月数据(2023年)'!$E:$E,$C:$C)</f>
        <v>0</v>
      </c>
      <c r="BJ5" s="21">
        <f>IFERROR(BI5/SUMIF('船长每月数据(2023年)'!$E:$E,$C:$C,'船长每月数据(2023年)'!$P:$P),0)</f>
        <v>0</v>
      </c>
      <c r="BK5" s="38">
        <f>SUMIFS('船长每月数据(2023年)'!$R:$R,'船长每月数据(2023年)'!$F:$F,$BK$2,'船长每月数据(2023年)'!$E:$E,$C:$C)</f>
        <v>0</v>
      </c>
      <c r="BL5" s="21">
        <f>IFERROR(BK5/SUMIF('船长每月数据(2023年)'!$E:$E,$C:$C,'船长每月数据(2023年)'!$R:$R),0)</f>
        <v>0</v>
      </c>
      <c r="BM5" s="20">
        <f>SUMIFS('船长每月数据(2023年)'!$P:$P,'船长每月数据(2023年)'!$F:$F,$BM$2,'船长每月数据(2023年)'!$E:$E,$C:$C)</f>
        <v>0</v>
      </c>
      <c r="BN5" s="21">
        <f>IFERROR(BM5/SUMIF('船长每月数据(2023年)'!$E:$E,$C:$C,'船长每月数据(2023年)'!$P:$P),0)</f>
        <v>0</v>
      </c>
      <c r="BO5" s="38">
        <f>SUMIFS('船长每月数据(2023年)'!$R:$R,'船长每月数据(2023年)'!$F:$F,$BO$2,'船长每月数据(2023年)'!$E:$E,$C:$C)</f>
        <v>0</v>
      </c>
      <c r="BP5" s="21">
        <f>IFERROR(BO5/SUMIF('船长每月数据(2023年)'!$E:$E,$C:$C,'船长每月数据(2023年)'!$R:$R),0)</f>
        <v>0</v>
      </c>
      <c r="BQ5" s="20">
        <f>SUMIFS('船长每月数据(2023年)'!$P:$P,'船长每月数据(2023年)'!$F:$F,$BQ$2,'船长每月数据(2023年)'!$E:$E,$C:$C)</f>
        <v>0</v>
      </c>
      <c r="BR5" s="21">
        <f>IFERROR(BQ5/SUMIF('船长每月数据(2023年)'!$E:$E,$C:$C,'船长每月数据(2023年)'!$P:$P),0)</f>
        <v>0</v>
      </c>
      <c r="BS5" s="38">
        <f>SUMIFS('船长每月数据(2023年)'!$R:$R,'船长每月数据(2023年)'!$F:$F,$BS$2,'船长每月数据(2023年)'!$E:$E,$C:$C)</f>
        <v>0</v>
      </c>
      <c r="BT5" s="21">
        <f>IFERROR(BS5/SUMIF('船长每月数据(2023年)'!$E:$E,$C:$C,'船长每月数据(2023年)'!$R:$R),0)</f>
        <v>0</v>
      </c>
      <c r="BU5" s="20">
        <f>SUMIFS('船长每月数据(2023年)'!$P:$P,'船长每月数据(2023年)'!$F:$F,$BU$2,'船长每月数据(2023年)'!$E:$E,$C:$C)</f>
        <v>0</v>
      </c>
      <c r="BV5" s="21">
        <f>IFERROR(BU5/SUMIF('船长每月数据(2023年)'!$E:$E,$C:$C,'船长每月数据(2023年)'!$P:$P),0)</f>
        <v>0</v>
      </c>
      <c r="BW5" s="38">
        <f>SUMIFS('船长每月数据(2023年)'!$R:$R,'船长每月数据(2023年)'!$F:$F,$BW$2,'船长每月数据(2023年)'!$E:$E,$C:$C)</f>
        <v>0</v>
      </c>
      <c r="BX5" s="21">
        <f>IFERROR(BW5/SUMIF('船长每月数据(2023年)'!$E:$E,$C:$C,'船长每月数据(2023年)'!$R:$R),0)</f>
        <v>0</v>
      </c>
    </row>
    <row r="6" ht="23" customHeight="1" spans="1:76">
      <c r="A6" s="36"/>
      <c r="B6" s="36"/>
      <c r="C6" s="20"/>
      <c r="D6" s="74"/>
      <c r="E6" s="20">
        <f>SUMIFS('船长每月数据(2022年)'!$P:$P,'船长每月数据(2022年)'!$F:$F,$E$2,'船长每月数据(2022年)'!E:E,C:C)</f>
        <v>0</v>
      </c>
      <c r="F6" s="85">
        <f>SUMIFS('船长每月数据(2022年)'!$R:$R,'船长每月数据(2022年)'!$F:$F,$F$2,'船长每月数据(2022年)'!E:E,C:C)</f>
        <v>0</v>
      </c>
      <c r="G6" s="20">
        <f>SUMIFS('船长每月数据(2022年)'!$P:$P,'船长每月数据(2022年)'!$F:$F,$G$2,'船长每月数据(2022年)'!$E:$E,$C:$C)</f>
        <v>0</v>
      </c>
      <c r="H6" s="85">
        <f>SUMIFS('船长每月数据(2022年)'!$R:$R,'船长每月数据(2022年)'!$F:$F,$H$2,'船长每月数据(2022年)'!$E:$E,$C:$C)</f>
        <v>0</v>
      </c>
      <c r="I6" s="20">
        <f>SUMIFS('船长每月数据(2022年)'!$P:$P,'船长每月数据(2022年)'!$F:$F,$I$2,'船长每月数据(2022年)'!$E:$E,$C:$C)</f>
        <v>0</v>
      </c>
      <c r="J6" s="85">
        <f>SUMIFS('船长每月数据(2022年)'!$R:$R,'船长每月数据(2022年)'!$F:$F,$J$2,'船长每月数据(2022年)'!$E:$E,$C:$C)</f>
        <v>0</v>
      </c>
      <c r="K6" s="20">
        <f>SUMIFS('船长每月数据(2022年)'!$P:$P,'船长每月数据(2022年)'!$F:$F,$K$2,'船长每月数据(2022年)'!$E:$E,$C:$C)</f>
        <v>0</v>
      </c>
      <c r="L6" s="85">
        <f>SUMIFS('船长每月数据(2022年)'!$R:$R,'船长每月数据(2022年)'!$F:$F,$L$2,'船长每月数据(2022年)'!$E:$E,$C:$C)</f>
        <v>0</v>
      </c>
      <c r="M6" s="20">
        <f>SUMIFS('船长每月数据(2022年)'!$P:$P,'船长每月数据(2022年)'!$F:$F,$M$2,'船长每月数据(2022年)'!$E:$E,$C:$C)</f>
        <v>0</v>
      </c>
      <c r="N6" s="85">
        <f>SUMIFS('船长每月数据(2022年)'!$R:$R,'船长每月数据(2022年)'!$F:$F,$N$2,'船长每月数据(2022年)'!$E:$E,$C:$C)</f>
        <v>0</v>
      </c>
      <c r="O6" s="20">
        <f>SUMIFS('船长每月数据(2022年)'!$P:$P,'船长每月数据(2022年)'!$F:$F,$O$2,'船长每月数据(2022年)'!$E:$E,$C:$C)</f>
        <v>0</v>
      </c>
      <c r="P6" s="85">
        <f>SUMIFS('船长每月数据(2022年)'!$R:$R,'船长每月数据(2022年)'!$F:$F,$P$2,'船长每月数据(2022年)'!$E:$E,$C:$C)</f>
        <v>0</v>
      </c>
      <c r="Q6" s="20">
        <f>SUMIFS('船长每月数据(2022年)'!$P:$P,'船长每月数据(2022年)'!$F:$F,$Q$2,'船长每月数据(2022年)'!$E:$E,$C:$C)</f>
        <v>0</v>
      </c>
      <c r="R6" s="85">
        <f>SUMIFS('船长每月数据(2022年)'!$R:$R,'船长每月数据(2022年)'!$F:$F,$R$2,'船长每月数据(2022年)'!$E:$E,$C:$C)</f>
        <v>0</v>
      </c>
      <c r="S6" s="20">
        <f>SUMIFS('船长每月数据(2022年)'!$P:$P,'船长每月数据(2022年)'!$F:$F,$S$2,'船长每月数据(2022年)'!$E:$E,$C:$C)</f>
        <v>0</v>
      </c>
      <c r="T6" s="85">
        <f>SUMIFS('船长每月数据(2022年)'!$R:$R,'船长每月数据(2022年)'!$F:$F,$T$2,'船长每月数据(2022年)'!$E:$E,$C:$C)</f>
        <v>0</v>
      </c>
      <c r="U6" s="20">
        <f>SUMIFS('船长每月数据(2022年)'!$P:$P,'船长每月数据(2022年)'!$F:$F,$U$2,'船长每月数据(2022年)'!$E:$E,$C:$C)</f>
        <v>0</v>
      </c>
      <c r="V6" s="85">
        <f>SUMIFS('船长每月数据(2022年)'!$R:$R,'船长每月数据(2022年)'!$F:$F,$V$2,'船长每月数据(2022年)'!$E:$E,$C:$C)</f>
        <v>0</v>
      </c>
      <c r="W6" s="20">
        <f>SUMIFS('船长每月数据(2022年)'!$P:$P,'船长每月数据(2022年)'!$F:$F,$W$2,'船长每月数据(2022年)'!$E:$E,$C:$C)</f>
        <v>0</v>
      </c>
      <c r="X6" s="85">
        <f>SUMIFS('船长每月数据(2022年)'!$R:$R,'船长每月数据(2022年)'!$F:$F,$X$2,'船长每月数据(2022年)'!$E:$E,$C:$C)</f>
        <v>0</v>
      </c>
      <c r="Y6" s="20">
        <f>SUMIFS('船长每月数据(2022年)'!$P:$P,'船长每月数据(2022年)'!$F:$F,$Y$2,'船长每月数据(2022年)'!$E:$E,$C:$C)</f>
        <v>0</v>
      </c>
      <c r="Z6" s="85">
        <f>SUMIFS('船长每月数据(2022年)'!$R:$R,'船长每月数据(2022年)'!$F:$F,$Z$2,'船长每月数据(2022年)'!$E:$E,$C:$C)</f>
        <v>0</v>
      </c>
      <c r="AA6" s="20">
        <f>SUMIFS('船长每月数据(2022年)'!$P:$P,'船长每月数据(2022年)'!$F:$F,$AA$2,'船长每月数据(2022年)'!$E:$E,$C:$C)</f>
        <v>0</v>
      </c>
      <c r="AB6" s="85">
        <f>SUMIFS('船长每月数据(2022年)'!$R:$R,'船长每月数据(2022年)'!$F:$F,$AB$2,'船长每月数据(2022年)'!$E:$E,$C:$C)</f>
        <v>0</v>
      </c>
      <c r="AC6" s="20">
        <f>SUMIFS('船长每月数据(2023年)'!P:P,'船长每月数据(2023年)'!F:F,$AC$2,'船长每月数据(2023年)'!E:E,C:C)</f>
        <v>0</v>
      </c>
      <c r="AD6" s="21">
        <f>IFERROR(AC6/SUMIF('船长每月数据(2023年)'!$E:$E,C:C,'船长每月数据(2023年)'!P:P),0)</f>
        <v>0</v>
      </c>
      <c r="AE6" s="38">
        <f>SUMIFS('船长每月数据(2023年)'!$R:$R,'船长每月数据(2023年)'!$F:$F,$AE$2,'船长每月数据(2023年)'!$E:$E,$C:$C)</f>
        <v>0</v>
      </c>
      <c r="AF6" s="21">
        <f>IFERROR(AE6/SUMIF('船长每月数据(2023年)'!E:E,C:C,'船长每月数据(2023年)'!R:R),0)</f>
        <v>0</v>
      </c>
      <c r="AG6" s="20">
        <f>SUMIFS('船长每月数据(2023年)'!P:P,'船长每月数据(2023年)'!F:F,$AG$2,'船长每月数据(2023年)'!E:E,C:C)</f>
        <v>0</v>
      </c>
      <c r="AH6" s="21">
        <f>IFERROR(AG6/SUMIF('船长每月数据(2023年)'!$E:$E,$C:$C,'船长每月数据(2023年)'!$P:$P),0)</f>
        <v>0</v>
      </c>
      <c r="AI6" s="38">
        <f>SUMIFS('船长每月数据(2023年)'!$R:$R,'船长每月数据(2023年)'!$F:$F,$AI$2,'船长每月数据(2023年)'!$E:$E,$C:$C)</f>
        <v>0</v>
      </c>
      <c r="AJ6" s="21">
        <f>IFERROR(AI6/SUMIF('船长每月数据(2023年)'!$E:$E,$C:$C,'船长每月数据(2023年)'!$R:$R),0)</f>
        <v>0</v>
      </c>
      <c r="AK6" s="20">
        <f>SUMIFS('船长每月数据(2023年)'!P:P,'船长每月数据(2023年)'!F:F,$AK$2,'船长每月数据(2023年)'!E:E,C:C)</f>
        <v>0</v>
      </c>
      <c r="AL6" s="21">
        <f>IFERROR(AK6/SUMIF('船长每月数据(2023年)'!$E:$E,$C:$C,'船长每月数据(2023年)'!$P:$P),0)</f>
        <v>0</v>
      </c>
      <c r="AM6" s="38">
        <f>SUMIFS('船长每月数据(2023年)'!$R:$R,'船长每月数据(2023年)'!$F:$F,$AM$2,'船长每月数据(2023年)'!$E:$E,$C:$C)</f>
        <v>0</v>
      </c>
      <c r="AN6" s="21">
        <f>IFERROR(AM6/SUMIF('船长每月数据(2023年)'!$E:$E,$C:$C,'船长每月数据(2023年)'!$R:$R),0)</f>
        <v>0</v>
      </c>
      <c r="AO6" s="20">
        <f>SUMIFS('船长每月数据(2023年)'!P:P,'船长每月数据(2023年)'!F:F,$AO$2,'船长每月数据(2023年)'!E:E,C:C)</f>
        <v>0</v>
      </c>
      <c r="AP6" s="21">
        <f>IFERROR(AO6/SUMIF('船长每月数据(2023年)'!$E:$E,$C:$C,'船长每月数据(2023年)'!$P:$P),0)</f>
        <v>0</v>
      </c>
      <c r="AQ6" s="38">
        <f>SUMIFS('船长每月数据(2023年)'!$R:$R,'船长每月数据(2023年)'!$F:$F,$AQ$2,'船长每月数据(2023年)'!$E:$E,$C:$C)</f>
        <v>0</v>
      </c>
      <c r="AR6" s="21">
        <f>IFERROR(AQ6/SUMIF('船长每月数据(2023年)'!$E:$E,$C:$C,'船长每月数据(2023年)'!$R:$R),0)</f>
        <v>0</v>
      </c>
      <c r="AS6" s="20">
        <f>SUMIFS('船长每月数据(2023年)'!$P:$P,'船长每月数据(2023年)'!$F:$F,$AS$2,'船长每月数据(2023年)'!$E:$E,$C:$C)</f>
        <v>0</v>
      </c>
      <c r="AT6" s="21">
        <f>IFERROR(AS6/SUMIF('船长每月数据(2023年)'!$E:$E,$C:$C,'船长每月数据(2023年)'!$P:$P),0)</f>
        <v>0</v>
      </c>
      <c r="AU6" s="38">
        <f>SUMIFS('船长每月数据(2023年)'!$R:$R,'船长每月数据(2023年)'!$F:$F,$AU$2,'船长每月数据(2023年)'!$E:$E,$C:$C)</f>
        <v>0</v>
      </c>
      <c r="AV6" s="21">
        <f>IFERROR(AU6/SUMIF('船长每月数据(2023年)'!$E:$E,$C:$C,'船长每月数据(2023年)'!$R:$R),0)</f>
        <v>0</v>
      </c>
      <c r="AW6" s="20">
        <f>SUMIFS('船长每月数据(2023年)'!$P:$P,'船长每月数据(2023年)'!$F:$F,$AW$2,'船长每月数据(2023年)'!$E:$E,$C:$C)</f>
        <v>0</v>
      </c>
      <c r="AX6" s="21">
        <f>IFERROR(AW6/SUMIF('船长每月数据(2023年)'!$E:$E,$C:$C,'船长每月数据(2023年)'!$P:$P),0)</f>
        <v>0</v>
      </c>
      <c r="AY6" s="38">
        <f>SUMIFS('船长每月数据(2023年)'!$R:$R,'船长每月数据(2023年)'!$F:$F,$AY$2,'船长每月数据(2023年)'!$E:$E,$C:$C)</f>
        <v>0</v>
      </c>
      <c r="AZ6" s="21">
        <f>IFERROR(AY6/SUMIF('船长每月数据(2023年)'!$E:$E,$C:$C,'船长每月数据(2023年)'!$R:$R),0)</f>
        <v>0</v>
      </c>
      <c r="BA6" s="20">
        <f>SUMIFS('船长每月数据(2023年)'!$P:$P,'船长每月数据(2023年)'!$F:$F,$BA$2,'船长每月数据(2023年)'!$E:$E,$C:$C)</f>
        <v>0</v>
      </c>
      <c r="BB6" s="21">
        <f>IFERROR(BA6/SUMIF('船长每月数据(2023年)'!$E:$E,$C:$C,'船长每月数据(2023年)'!$P:$P),0)</f>
        <v>0</v>
      </c>
      <c r="BC6" s="38">
        <f>SUMIFS('船长每月数据(2023年)'!$R:$R,'船长每月数据(2023年)'!$F:$F,$BC$2,'船长每月数据(2023年)'!$E:$E,$C:$C)</f>
        <v>0</v>
      </c>
      <c r="BD6" s="21">
        <f>IFERROR(BC6/SUMIF('船长每月数据(2023年)'!$E:$E,$C:$C,'船长每月数据(2023年)'!$R:$R),0)</f>
        <v>0</v>
      </c>
      <c r="BE6" s="20">
        <f>SUMIFS('船长每月数据(2023年)'!$P:$P,'船长每月数据(2023年)'!$F:$F,$BE$2,'船长每月数据(2023年)'!$E:$E,$C:$C)</f>
        <v>0</v>
      </c>
      <c r="BF6" s="21">
        <f>IFERROR(BE6/SUMIF('船长每月数据(2023年)'!$E:$E,$C:$C,'船长每月数据(2023年)'!$P:$P),0)</f>
        <v>0</v>
      </c>
      <c r="BG6" s="38">
        <f>SUMIFS('船长每月数据(2023年)'!$R:$R,'船长每月数据(2023年)'!$F:$F,$BG$2,'船长每月数据(2023年)'!$E:$E,$C:$C)</f>
        <v>0</v>
      </c>
      <c r="BH6" s="21">
        <f>IFERROR(BG6/SUMIF('船长每月数据(2023年)'!$E:$E,$C:$C,'船长每月数据(2023年)'!$R:$R),0)</f>
        <v>0</v>
      </c>
      <c r="BI6" s="20">
        <f>SUMIFS('船长每月数据(2023年)'!$P:$P,'船长每月数据(2023年)'!$F:$F,$BI$2,'船长每月数据(2023年)'!$E:$E,$C:$C)</f>
        <v>0</v>
      </c>
      <c r="BJ6" s="21">
        <f>IFERROR(BI6/SUMIF('船长每月数据(2023年)'!$E:$E,$C:$C,'船长每月数据(2023年)'!$P:$P),0)</f>
        <v>0</v>
      </c>
      <c r="BK6" s="38">
        <f>SUMIFS('船长每月数据(2023年)'!$R:$R,'船长每月数据(2023年)'!$F:$F,$BK$2,'船长每月数据(2023年)'!$E:$E,$C:$C)</f>
        <v>0</v>
      </c>
      <c r="BL6" s="21">
        <f>IFERROR(BK6/SUMIF('船长每月数据(2023年)'!$E:$E,$C:$C,'船长每月数据(2023年)'!$R:$R),0)</f>
        <v>0</v>
      </c>
      <c r="BM6" s="20">
        <f>SUMIFS('船长每月数据(2023年)'!$P:$P,'船长每月数据(2023年)'!$F:$F,$BM$2,'船长每月数据(2023年)'!$E:$E,$C:$C)</f>
        <v>0</v>
      </c>
      <c r="BN6" s="21">
        <f>IFERROR(BM6/SUMIF('船长每月数据(2023年)'!$E:$E,$C:$C,'船长每月数据(2023年)'!$P:$P),0)</f>
        <v>0</v>
      </c>
      <c r="BO6" s="38">
        <f>SUMIFS('船长每月数据(2023年)'!$R:$R,'船长每月数据(2023年)'!$F:$F,$BO$2,'船长每月数据(2023年)'!$E:$E,$C:$C)</f>
        <v>0</v>
      </c>
      <c r="BP6" s="21">
        <f>IFERROR(BO6/SUMIF('船长每月数据(2023年)'!$E:$E,$C:$C,'船长每月数据(2023年)'!$R:$R),0)</f>
        <v>0</v>
      </c>
      <c r="BQ6" s="20">
        <f>SUMIFS('船长每月数据(2023年)'!$P:$P,'船长每月数据(2023年)'!$F:$F,$BQ$2,'船长每月数据(2023年)'!$E:$E,$C:$C)</f>
        <v>0</v>
      </c>
      <c r="BR6" s="21">
        <f>IFERROR(BQ6/SUMIF('船长每月数据(2023年)'!$E:$E,$C:$C,'船长每月数据(2023年)'!$P:$P),0)</f>
        <v>0</v>
      </c>
      <c r="BS6" s="38">
        <f>SUMIFS('船长每月数据(2023年)'!$R:$R,'船长每月数据(2023年)'!$F:$F,$BS$2,'船长每月数据(2023年)'!$E:$E,$C:$C)</f>
        <v>0</v>
      </c>
      <c r="BT6" s="21">
        <f>IFERROR(BS6/SUMIF('船长每月数据(2023年)'!$E:$E,$C:$C,'船长每月数据(2023年)'!$R:$R),0)</f>
        <v>0</v>
      </c>
      <c r="BU6" s="20">
        <f>SUMIFS('船长每月数据(2023年)'!$P:$P,'船长每月数据(2023年)'!$F:$F,$BU$2,'船长每月数据(2023年)'!$E:$E,$C:$C)</f>
        <v>0</v>
      </c>
      <c r="BV6" s="21">
        <f>IFERROR(BU6/SUMIF('船长每月数据(2023年)'!$E:$E,$C:$C,'船长每月数据(2023年)'!$P:$P),0)</f>
        <v>0</v>
      </c>
      <c r="BW6" s="38">
        <f>SUMIFS('船长每月数据(2023年)'!$R:$R,'船长每月数据(2023年)'!$F:$F,$BW$2,'船长每月数据(2023年)'!$E:$E,$C:$C)</f>
        <v>0</v>
      </c>
      <c r="BX6" s="21">
        <f>IFERROR(BW6/SUMIF('船长每月数据(2023年)'!$E:$E,$C:$C,'船长每月数据(2023年)'!$R:$R),0)</f>
        <v>0</v>
      </c>
    </row>
    <row r="7" ht="23" customHeight="1" spans="1:76">
      <c r="A7" s="36"/>
      <c r="B7" s="36"/>
      <c r="C7" s="20"/>
      <c r="D7" s="74"/>
      <c r="E7" s="20">
        <f>SUMIFS('船长每月数据(2022年)'!$P:$P,'船长每月数据(2022年)'!$F:$F,$E$2,'船长每月数据(2022年)'!E:E,C:C)</f>
        <v>0</v>
      </c>
      <c r="F7" s="85">
        <f>SUMIFS('船长每月数据(2022年)'!$R:$R,'船长每月数据(2022年)'!$F:$F,$F$2,'船长每月数据(2022年)'!E:E,C:C)</f>
        <v>0</v>
      </c>
      <c r="G7" s="20">
        <f>SUMIFS('船长每月数据(2022年)'!$P:$P,'船长每月数据(2022年)'!$F:$F,$G$2,'船长每月数据(2022年)'!$E:$E,$C:$C)</f>
        <v>0</v>
      </c>
      <c r="H7" s="85">
        <f>SUMIFS('船长每月数据(2022年)'!$R:$R,'船长每月数据(2022年)'!$F:$F,$H$2,'船长每月数据(2022年)'!$E:$E,$C:$C)</f>
        <v>0</v>
      </c>
      <c r="I7" s="20">
        <f>SUMIFS('船长每月数据(2022年)'!$P:$P,'船长每月数据(2022年)'!$F:$F,$I$2,'船长每月数据(2022年)'!$E:$E,$C:$C)</f>
        <v>0</v>
      </c>
      <c r="J7" s="85">
        <f>SUMIFS('船长每月数据(2022年)'!$R:$R,'船长每月数据(2022年)'!$F:$F,$J$2,'船长每月数据(2022年)'!$E:$E,$C:$C)</f>
        <v>0</v>
      </c>
      <c r="K7" s="20">
        <f>SUMIFS('船长每月数据(2022年)'!$P:$P,'船长每月数据(2022年)'!$F:$F,$K$2,'船长每月数据(2022年)'!$E:$E,$C:$C)</f>
        <v>0</v>
      </c>
      <c r="L7" s="85">
        <f>SUMIFS('船长每月数据(2022年)'!$R:$R,'船长每月数据(2022年)'!$F:$F,$L$2,'船长每月数据(2022年)'!$E:$E,$C:$C)</f>
        <v>0</v>
      </c>
      <c r="M7" s="20">
        <f>SUMIFS('船长每月数据(2022年)'!$P:$P,'船长每月数据(2022年)'!$F:$F,$M$2,'船长每月数据(2022年)'!$E:$E,$C:$C)</f>
        <v>0</v>
      </c>
      <c r="N7" s="85">
        <f>SUMIFS('船长每月数据(2022年)'!$R:$R,'船长每月数据(2022年)'!$F:$F,$N$2,'船长每月数据(2022年)'!$E:$E,$C:$C)</f>
        <v>0</v>
      </c>
      <c r="O7" s="20">
        <f>SUMIFS('船长每月数据(2022年)'!$P:$P,'船长每月数据(2022年)'!$F:$F,$O$2,'船长每月数据(2022年)'!$E:$E,$C:$C)</f>
        <v>0</v>
      </c>
      <c r="P7" s="85">
        <f>SUMIFS('船长每月数据(2022年)'!$R:$R,'船长每月数据(2022年)'!$F:$F,$P$2,'船长每月数据(2022年)'!$E:$E,$C:$C)</f>
        <v>0</v>
      </c>
      <c r="Q7" s="20">
        <f>SUMIFS('船长每月数据(2022年)'!$P:$P,'船长每月数据(2022年)'!$F:$F,$Q$2,'船长每月数据(2022年)'!$E:$E,$C:$C)</f>
        <v>0</v>
      </c>
      <c r="R7" s="85">
        <f>SUMIFS('船长每月数据(2022年)'!$R:$R,'船长每月数据(2022年)'!$F:$F,$R$2,'船长每月数据(2022年)'!$E:$E,$C:$C)</f>
        <v>0</v>
      </c>
      <c r="S7" s="20">
        <f>SUMIFS('船长每月数据(2022年)'!$P:$P,'船长每月数据(2022年)'!$F:$F,$S$2,'船长每月数据(2022年)'!$E:$E,$C:$C)</f>
        <v>0</v>
      </c>
      <c r="T7" s="85">
        <f>SUMIFS('船长每月数据(2022年)'!$R:$R,'船长每月数据(2022年)'!$F:$F,$T$2,'船长每月数据(2022年)'!$E:$E,$C:$C)</f>
        <v>0</v>
      </c>
      <c r="U7" s="20">
        <f>SUMIFS('船长每月数据(2022年)'!$P:$P,'船长每月数据(2022年)'!$F:$F,$U$2,'船长每月数据(2022年)'!$E:$E,$C:$C)</f>
        <v>0</v>
      </c>
      <c r="V7" s="85">
        <f>SUMIFS('船长每月数据(2022年)'!$R:$R,'船长每月数据(2022年)'!$F:$F,$V$2,'船长每月数据(2022年)'!$E:$E,$C:$C)</f>
        <v>0</v>
      </c>
      <c r="W7" s="20">
        <f>SUMIFS('船长每月数据(2022年)'!$P:$P,'船长每月数据(2022年)'!$F:$F,$W$2,'船长每月数据(2022年)'!$E:$E,$C:$C)</f>
        <v>0</v>
      </c>
      <c r="X7" s="85">
        <f>SUMIFS('船长每月数据(2022年)'!$R:$R,'船长每月数据(2022年)'!$F:$F,$X$2,'船长每月数据(2022年)'!$E:$E,$C:$C)</f>
        <v>0</v>
      </c>
      <c r="Y7" s="20">
        <f>SUMIFS('船长每月数据(2022年)'!$P:$P,'船长每月数据(2022年)'!$F:$F,$Y$2,'船长每月数据(2022年)'!$E:$E,$C:$C)</f>
        <v>0</v>
      </c>
      <c r="Z7" s="85">
        <f>SUMIFS('船长每月数据(2022年)'!$R:$R,'船长每月数据(2022年)'!$F:$F,$Z$2,'船长每月数据(2022年)'!$E:$E,$C:$C)</f>
        <v>0</v>
      </c>
      <c r="AA7" s="20">
        <f>SUMIFS('船长每月数据(2022年)'!$P:$P,'船长每月数据(2022年)'!$F:$F,$AA$2,'船长每月数据(2022年)'!$E:$E,$C:$C)</f>
        <v>0</v>
      </c>
      <c r="AB7" s="85">
        <f>SUMIFS('船长每月数据(2022年)'!$R:$R,'船长每月数据(2022年)'!$F:$F,$AB$2,'船长每月数据(2022年)'!$E:$E,$C:$C)</f>
        <v>0</v>
      </c>
      <c r="AC7" s="20">
        <f>SUMIFS('船长每月数据(2023年)'!P:P,'船长每月数据(2023年)'!F:F,$AC$2,'船长每月数据(2023年)'!E:E,C:C)</f>
        <v>0</v>
      </c>
      <c r="AD7" s="21">
        <f>IFERROR(AC7/SUMIF('船长每月数据(2023年)'!$E:$E,C:C,'船长每月数据(2023年)'!P:P),0)</f>
        <v>0</v>
      </c>
      <c r="AE7" s="38">
        <f>SUMIFS('船长每月数据(2023年)'!$R:$R,'船长每月数据(2023年)'!$F:$F,$AE$2,'船长每月数据(2023年)'!$E:$E,$C:$C)</f>
        <v>0</v>
      </c>
      <c r="AF7" s="21">
        <f>IFERROR(AE7/SUMIF('船长每月数据(2023年)'!E:E,C:C,'船长每月数据(2023年)'!R:R),0)</f>
        <v>0</v>
      </c>
      <c r="AG7" s="20">
        <f>SUMIFS('船长每月数据(2023年)'!P:P,'船长每月数据(2023年)'!F:F,$AG$2,'船长每月数据(2023年)'!E:E,C:C)</f>
        <v>0</v>
      </c>
      <c r="AH7" s="21">
        <f>IFERROR(AG7/SUMIF('船长每月数据(2023年)'!$E:$E,$C:$C,'船长每月数据(2023年)'!$P:$P),0)</f>
        <v>0</v>
      </c>
      <c r="AI7" s="38">
        <f>SUMIFS('船长每月数据(2023年)'!$R:$R,'船长每月数据(2023年)'!$F:$F,$AI$2,'船长每月数据(2023年)'!$E:$E,$C:$C)</f>
        <v>0</v>
      </c>
      <c r="AJ7" s="21">
        <f>IFERROR(AI7/SUMIF('船长每月数据(2023年)'!$E:$E,$C:$C,'船长每月数据(2023年)'!$R:$R),0)</f>
        <v>0</v>
      </c>
      <c r="AK7" s="20">
        <f>SUMIFS('船长每月数据(2023年)'!P:P,'船长每月数据(2023年)'!F:F,$AK$2,'船长每月数据(2023年)'!E:E,C:C)</f>
        <v>0</v>
      </c>
      <c r="AL7" s="21">
        <f>IFERROR(AK7/SUMIF('船长每月数据(2023年)'!$E:$E,$C:$C,'船长每月数据(2023年)'!$P:$P),0)</f>
        <v>0</v>
      </c>
      <c r="AM7" s="38">
        <f>SUMIFS('船长每月数据(2023年)'!$R:$R,'船长每月数据(2023年)'!$F:$F,$AM$2,'船长每月数据(2023年)'!$E:$E,$C:$C)</f>
        <v>0</v>
      </c>
      <c r="AN7" s="21">
        <f>IFERROR(AM7/SUMIF('船长每月数据(2023年)'!$E:$E,$C:$C,'船长每月数据(2023年)'!$R:$R),0)</f>
        <v>0</v>
      </c>
      <c r="AO7" s="20">
        <f>SUMIFS('船长每月数据(2023年)'!P:P,'船长每月数据(2023年)'!F:F,$AO$2,'船长每月数据(2023年)'!E:E,C:C)</f>
        <v>0</v>
      </c>
      <c r="AP7" s="21">
        <f>IFERROR(AO7/SUMIF('船长每月数据(2023年)'!$E:$E,$C:$C,'船长每月数据(2023年)'!$P:$P),0)</f>
        <v>0</v>
      </c>
      <c r="AQ7" s="38">
        <f>SUMIFS('船长每月数据(2023年)'!$R:$R,'船长每月数据(2023年)'!$F:$F,$AQ$2,'船长每月数据(2023年)'!$E:$E,$C:$C)</f>
        <v>0</v>
      </c>
      <c r="AR7" s="21">
        <f>IFERROR(AQ7/SUMIF('船长每月数据(2023年)'!$E:$E,$C:$C,'船长每月数据(2023年)'!$R:$R),0)</f>
        <v>0</v>
      </c>
      <c r="AS7" s="20">
        <f>SUMIFS('船长每月数据(2023年)'!$P:$P,'船长每月数据(2023年)'!$F:$F,$AS$2,'船长每月数据(2023年)'!$E:$E,$C:$C)</f>
        <v>0</v>
      </c>
      <c r="AT7" s="21">
        <f>IFERROR(AS7/SUMIF('船长每月数据(2023年)'!$E:$E,$C:$C,'船长每月数据(2023年)'!$P:$P),0)</f>
        <v>0</v>
      </c>
      <c r="AU7" s="38">
        <f>SUMIFS('船长每月数据(2023年)'!$R:$R,'船长每月数据(2023年)'!$F:$F,$AU$2,'船长每月数据(2023年)'!$E:$E,$C:$C)</f>
        <v>0</v>
      </c>
      <c r="AV7" s="21">
        <f>IFERROR(AU7/SUMIF('船长每月数据(2023年)'!$E:$E,$C:$C,'船长每月数据(2023年)'!$R:$R),0)</f>
        <v>0</v>
      </c>
      <c r="AW7" s="20">
        <f>SUMIFS('船长每月数据(2023年)'!$P:$P,'船长每月数据(2023年)'!$F:$F,$AW$2,'船长每月数据(2023年)'!$E:$E,$C:$C)</f>
        <v>0</v>
      </c>
      <c r="AX7" s="21">
        <f>IFERROR(AW7/SUMIF('船长每月数据(2023年)'!$E:$E,$C:$C,'船长每月数据(2023年)'!$P:$P),0)</f>
        <v>0</v>
      </c>
      <c r="AY7" s="38">
        <f>SUMIFS('船长每月数据(2023年)'!$R:$R,'船长每月数据(2023年)'!$F:$F,$AY$2,'船长每月数据(2023年)'!$E:$E,$C:$C)</f>
        <v>0</v>
      </c>
      <c r="AZ7" s="21">
        <f>IFERROR(AY7/SUMIF('船长每月数据(2023年)'!$E:$E,$C:$C,'船长每月数据(2023年)'!$R:$R),0)</f>
        <v>0</v>
      </c>
      <c r="BA7" s="20">
        <f>SUMIFS('船长每月数据(2023年)'!$P:$P,'船长每月数据(2023年)'!$F:$F,$BA$2,'船长每月数据(2023年)'!$E:$E,$C:$C)</f>
        <v>0</v>
      </c>
      <c r="BB7" s="21">
        <f>IFERROR(BA7/SUMIF('船长每月数据(2023年)'!$E:$E,$C:$C,'船长每月数据(2023年)'!$P:$P),0)</f>
        <v>0</v>
      </c>
      <c r="BC7" s="38">
        <f>SUMIFS('船长每月数据(2023年)'!$R:$R,'船长每月数据(2023年)'!$F:$F,$BC$2,'船长每月数据(2023年)'!$E:$E,$C:$C)</f>
        <v>0</v>
      </c>
      <c r="BD7" s="21">
        <f>IFERROR(BC7/SUMIF('船长每月数据(2023年)'!$E:$E,$C:$C,'船长每月数据(2023年)'!$R:$R),0)</f>
        <v>0</v>
      </c>
      <c r="BE7" s="20">
        <f>SUMIFS('船长每月数据(2023年)'!$P:$P,'船长每月数据(2023年)'!$F:$F,$BE$2,'船长每月数据(2023年)'!$E:$E,$C:$C)</f>
        <v>0</v>
      </c>
      <c r="BF7" s="21">
        <f>IFERROR(BE7/SUMIF('船长每月数据(2023年)'!$E:$E,$C:$C,'船长每月数据(2023年)'!$P:$P),0)</f>
        <v>0</v>
      </c>
      <c r="BG7" s="38">
        <f>SUMIFS('船长每月数据(2023年)'!$R:$R,'船长每月数据(2023年)'!$F:$F,$BG$2,'船长每月数据(2023年)'!$E:$E,$C:$C)</f>
        <v>0</v>
      </c>
      <c r="BH7" s="21">
        <f>IFERROR(BG7/SUMIF('船长每月数据(2023年)'!$E:$E,$C:$C,'船长每月数据(2023年)'!$R:$R),0)</f>
        <v>0</v>
      </c>
      <c r="BI7" s="20">
        <f>SUMIFS('船长每月数据(2023年)'!$P:$P,'船长每月数据(2023年)'!$F:$F,$BI$2,'船长每月数据(2023年)'!$E:$E,$C:$C)</f>
        <v>0</v>
      </c>
      <c r="BJ7" s="21">
        <f>IFERROR(BI7/SUMIF('船长每月数据(2023年)'!$E:$E,$C:$C,'船长每月数据(2023年)'!$P:$P),0)</f>
        <v>0</v>
      </c>
      <c r="BK7" s="38">
        <f>SUMIFS('船长每月数据(2023年)'!$R:$R,'船长每月数据(2023年)'!$F:$F,$BK$2,'船长每月数据(2023年)'!$E:$E,$C:$C)</f>
        <v>0</v>
      </c>
      <c r="BL7" s="21">
        <f>IFERROR(BK7/SUMIF('船长每月数据(2023年)'!$E:$E,$C:$C,'船长每月数据(2023年)'!$R:$R),0)</f>
        <v>0</v>
      </c>
      <c r="BM7" s="20">
        <f>SUMIFS('船长每月数据(2023年)'!$P:$P,'船长每月数据(2023年)'!$F:$F,$BM$2,'船长每月数据(2023年)'!$E:$E,$C:$C)</f>
        <v>0</v>
      </c>
      <c r="BN7" s="21">
        <f>IFERROR(BM7/SUMIF('船长每月数据(2023年)'!$E:$E,$C:$C,'船长每月数据(2023年)'!$P:$P),0)</f>
        <v>0</v>
      </c>
      <c r="BO7" s="38">
        <f>SUMIFS('船长每月数据(2023年)'!$R:$R,'船长每月数据(2023年)'!$F:$F,$BO$2,'船长每月数据(2023年)'!$E:$E,$C:$C)</f>
        <v>0</v>
      </c>
      <c r="BP7" s="21">
        <f>IFERROR(BO7/SUMIF('船长每月数据(2023年)'!$E:$E,$C:$C,'船长每月数据(2023年)'!$R:$R),0)</f>
        <v>0</v>
      </c>
      <c r="BQ7" s="20">
        <f>SUMIFS('船长每月数据(2023年)'!$P:$P,'船长每月数据(2023年)'!$F:$F,$BQ$2,'船长每月数据(2023年)'!$E:$E,$C:$C)</f>
        <v>0</v>
      </c>
      <c r="BR7" s="21">
        <f>IFERROR(BQ7/SUMIF('船长每月数据(2023年)'!$E:$E,$C:$C,'船长每月数据(2023年)'!$P:$P),0)</f>
        <v>0</v>
      </c>
      <c r="BS7" s="38">
        <f>SUMIFS('船长每月数据(2023年)'!$R:$R,'船长每月数据(2023年)'!$F:$F,$BS$2,'船长每月数据(2023年)'!$E:$E,$C:$C)</f>
        <v>0</v>
      </c>
      <c r="BT7" s="21">
        <f>IFERROR(BS7/SUMIF('船长每月数据(2023年)'!$E:$E,$C:$C,'船长每月数据(2023年)'!$R:$R),0)</f>
        <v>0</v>
      </c>
      <c r="BU7" s="20">
        <f>SUMIFS('船长每月数据(2023年)'!$P:$P,'船长每月数据(2023年)'!$F:$F,$BU$2,'船长每月数据(2023年)'!$E:$E,$C:$C)</f>
        <v>0</v>
      </c>
      <c r="BV7" s="21">
        <f>IFERROR(BU7/SUMIF('船长每月数据(2023年)'!$E:$E,$C:$C,'船长每月数据(2023年)'!$P:$P),0)</f>
        <v>0</v>
      </c>
      <c r="BW7" s="38">
        <f>SUMIFS('船长每月数据(2023年)'!$R:$R,'船长每月数据(2023年)'!$F:$F,$BW$2,'船长每月数据(2023年)'!$E:$E,$C:$C)</f>
        <v>0</v>
      </c>
      <c r="BX7" s="21">
        <f>IFERROR(BW7/SUMIF('船长每月数据(2023年)'!$E:$E,$C:$C,'船长每月数据(2023年)'!$R:$R),0)</f>
        <v>0</v>
      </c>
    </row>
    <row r="8" ht="23" customHeight="1" spans="1:76">
      <c r="A8" s="36"/>
      <c r="B8" s="36"/>
      <c r="C8" s="20"/>
      <c r="D8" s="74"/>
      <c r="E8" s="20">
        <f>SUMIFS('船长每月数据(2022年)'!$P:$P,'船长每月数据(2022年)'!$F:$F,$E$2,'船长每月数据(2022年)'!E:E,C:C)</f>
        <v>0</v>
      </c>
      <c r="F8" s="85">
        <f>SUMIFS('船长每月数据(2022年)'!$R:$R,'船长每月数据(2022年)'!$F:$F,$F$2,'船长每月数据(2022年)'!E:E,C:C)</f>
        <v>0</v>
      </c>
      <c r="G8" s="20">
        <f>SUMIFS('船长每月数据(2022年)'!$P:$P,'船长每月数据(2022年)'!$F:$F,$G$2,'船长每月数据(2022年)'!$E:$E,$C:$C)</f>
        <v>0</v>
      </c>
      <c r="H8" s="85">
        <f>SUMIFS('船长每月数据(2022年)'!$R:$R,'船长每月数据(2022年)'!$F:$F,$H$2,'船长每月数据(2022年)'!$E:$E,$C:$C)</f>
        <v>0</v>
      </c>
      <c r="I8" s="20">
        <f>SUMIFS('船长每月数据(2022年)'!$P:$P,'船长每月数据(2022年)'!$F:$F,$I$2,'船长每月数据(2022年)'!$E:$E,$C:$C)</f>
        <v>0</v>
      </c>
      <c r="J8" s="85">
        <f>SUMIFS('船长每月数据(2022年)'!$R:$R,'船长每月数据(2022年)'!$F:$F,$J$2,'船长每月数据(2022年)'!$E:$E,$C:$C)</f>
        <v>0</v>
      </c>
      <c r="K8" s="20">
        <f>SUMIFS('船长每月数据(2022年)'!$P:$P,'船长每月数据(2022年)'!$F:$F,$K$2,'船长每月数据(2022年)'!$E:$E,$C:$C)</f>
        <v>0</v>
      </c>
      <c r="L8" s="85">
        <f>SUMIFS('船长每月数据(2022年)'!$R:$R,'船长每月数据(2022年)'!$F:$F,$L$2,'船长每月数据(2022年)'!$E:$E,$C:$C)</f>
        <v>0</v>
      </c>
      <c r="M8" s="20">
        <f>SUMIFS('船长每月数据(2022年)'!$P:$P,'船长每月数据(2022年)'!$F:$F,$M$2,'船长每月数据(2022年)'!$E:$E,$C:$C)</f>
        <v>0</v>
      </c>
      <c r="N8" s="85">
        <f>SUMIFS('船长每月数据(2022年)'!$R:$R,'船长每月数据(2022年)'!$F:$F,$N$2,'船长每月数据(2022年)'!$E:$E,$C:$C)</f>
        <v>0</v>
      </c>
      <c r="O8" s="20">
        <f>SUMIFS('船长每月数据(2022年)'!$P:$P,'船长每月数据(2022年)'!$F:$F,$O$2,'船长每月数据(2022年)'!$E:$E,$C:$C)</f>
        <v>0</v>
      </c>
      <c r="P8" s="85">
        <f>SUMIFS('船长每月数据(2022年)'!$R:$R,'船长每月数据(2022年)'!$F:$F,$P$2,'船长每月数据(2022年)'!$E:$E,$C:$C)</f>
        <v>0</v>
      </c>
      <c r="Q8" s="20">
        <f>SUMIFS('船长每月数据(2022年)'!$P:$P,'船长每月数据(2022年)'!$F:$F,$Q$2,'船长每月数据(2022年)'!$E:$E,$C:$C)</f>
        <v>0</v>
      </c>
      <c r="R8" s="85">
        <f>SUMIFS('船长每月数据(2022年)'!$R:$R,'船长每月数据(2022年)'!$F:$F,$R$2,'船长每月数据(2022年)'!$E:$E,$C:$C)</f>
        <v>0</v>
      </c>
      <c r="S8" s="20">
        <f>SUMIFS('船长每月数据(2022年)'!$P:$P,'船长每月数据(2022年)'!$F:$F,$S$2,'船长每月数据(2022年)'!$E:$E,$C:$C)</f>
        <v>0</v>
      </c>
      <c r="T8" s="85">
        <f>SUMIFS('船长每月数据(2022年)'!$R:$R,'船长每月数据(2022年)'!$F:$F,$T$2,'船长每月数据(2022年)'!$E:$E,$C:$C)</f>
        <v>0</v>
      </c>
      <c r="U8" s="20">
        <f>SUMIFS('船长每月数据(2022年)'!$P:$P,'船长每月数据(2022年)'!$F:$F,$U$2,'船长每月数据(2022年)'!$E:$E,$C:$C)</f>
        <v>0</v>
      </c>
      <c r="V8" s="85">
        <f>SUMIFS('船长每月数据(2022年)'!$R:$R,'船长每月数据(2022年)'!$F:$F,$V$2,'船长每月数据(2022年)'!$E:$E,$C:$C)</f>
        <v>0</v>
      </c>
      <c r="W8" s="20">
        <f>SUMIFS('船长每月数据(2022年)'!$P:$P,'船长每月数据(2022年)'!$F:$F,$W$2,'船长每月数据(2022年)'!$E:$E,$C:$C)</f>
        <v>0</v>
      </c>
      <c r="X8" s="85">
        <f>SUMIFS('船长每月数据(2022年)'!$R:$R,'船长每月数据(2022年)'!$F:$F,$X$2,'船长每月数据(2022年)'!$E:$E,$C:$C)</f>
        <v>0</v>
      </c>
      <c r="Y8" s="20">
        <f>SUMIFS('船长每月数据(2022年)'!$P:$P,'船长每月数据(2022年)'!$F:$F,$Y$2,'船长每月数据(2022年)'!$E:$E,$C:$C)</f>
        <v>0</v>
      </c>
      <c r="Z8" s="85">
        <f>SUMIFS('船长每月数据(2022年)'!$R:$R,'船长每月数据(2022年)'!$F:$F,$Z$2,'船长每月数据(2022年)'!$E:$E,$C:$C)</f>
        <v>0</v>
      </c>
      <c r="AA8" s="20">
        <f>SUMIFS('船长每月数据(2022年)'!$P:$P,'船长每月数据(2022年)'!$F:$F,$AA$2,'船长每月数据(2022年)'!$E:$E,$C:$C)</f>
        <v>0</v>
      </c>
      <c r="AB8" s="85">
        <f>SUMIFS('船长每月数据(2022年)'!$R:$R,'船长每月数据(2022年)'!$F:$F,$AB$2,'船长每月数据(2022年)'!$E:$E,$C:$C)</f>
        <v>0</v>
      </c>
      <c r="AC8" s="20">
        <f>SUMIFS('船长每月数据(2023年)'!P:P,'船长每月数据(2023年)'!F:F,$AC$2,'船长每月数据(2023年)'!E:E,C:C)</f>
        <v>0</v>
      </c>
      <c r="AD8" s="21">
        <f>IFERROR(AC8/SUMIF('船长每月数据(2023年)'!$E:$E,C:C,'船长每月数据(2023年)'!P:P),0)</f>
        <v>0</v>
      </c>
      <c r="AE8" s="38">
        <f>SUMIFS('船长每月数据(2023年)'!$R:$R,'船长每月数据(2023年)'!$F:$F,$AE$2,'船长每月数据(2023年)'!$E:$E,$C:$C)</f>
        <v>0</v>
      </c>
      <c r="AF8" s="21">
        <f>IFERROR(AE8/SUMIF('船长每月数据(2023年)'!E:E,C:C,'船长每月数据(2023年)'!R:R),0)</f>
        <v>0</v>
      </c>
      <c r="AG8" s="20">
        <f>SUMIFS('船长每月数据(2023年)'!P:P,'船长每月数据(2023年)'!F:F,$AG$2,'船长每月数据(2023年)'!E:E,C:C)</f>
        <v>0</v>
      </c>
      <c r="AH8" s="21">
        <f>IFERROR(AG8/SUMIF('船长每月数据(2023年)'!$E:$E,$C:$C,'船长每月数据(2023年)'!$P:$P),0)</f>
        <v>0</v>
      </c>
      <c r="AI8" s="38">
        <f>SUMIFS('船长每月数据(2023年)'!$R:$R,'船长每月数据(2023年)'!$F:$F,$AI$2,'船长每月数据(2023年)'!$E:$E,$C:$C)</f>
        <v>0</v>
      </c>
      <c r="AJ8" s="21">
        <f>IFERROR(AI8/SUMIF('船长每月数据(2023年)'!$E:$E,$C:$C,'船长每月数据(2023年)'!$R:$R),0)</f>
        <v>0</v>
      </c>
      <c r="AK8" s="20">
        <f>SUMIFS('船长每月数据(2023年)'!P:P,'船长每月数据(2023年)'!F:F,$AK$2,'船长每月数据(2023年)'!E:E,C:C)</f>
        <v>0</v>
      </c>
      <c r="AL8" s="21">
        <f>IFERROR(AK8/SUMIF('船长每月数据(2023年)'!$E:$E,$C:$C,'船长每月数据(2023年)'!$P:$P),0)</f>
        <v>0</v>
      </c>
      <c r="AM8" s="38">
        <f>SUMIFS('船长每月数据(2023年)'!$R:$R,'船长每月数据(2023年)'!$F:$F,$AM$2,'船长每月数据(2023年)'!$E:$E,$C:$C)</f>
        <v>0</v>
      </c>
      <c r="AN8" s="21">
        <f>IFERROR(AM8/SUMIF('船长每月数据(2023年)'!$E:$E,$C:$C,'船长每月数据(2023年)'!$R:$R),0)</f>
        <v>0</v>
      </c>
      <c r="AO8" s="20">
        <f>SUMIFS('船长每月数据(2023年)'!P:P,'船长每月数据(2023年)'!F:F,$AO$2,'船长每月数据(2023年)'!E:E,C:C)</f>
        <v>0</v>
      </c>
      <c r="AP8" s="21">
        <f>IFERROR(AO8/SUMIF('船长每月数据(2023年)'!$E:$E,$C:$C,'船长每月数据(2023年)'!$P:$P),0)</f>
        <v>0</v>
      </c>
      <c r="AQ8" s="38">
        <f>SUMIFS('船长每月数据(2023年)'!$R:$R,'船长每月数据(2023年)'!$F:$F,$AQ$2,'船长每月数据(2023年)'!$E:$E,$C:$C)</f>
        <v>0</v>
      </c>
      <c r="AR8" s="21">
        <f>IFERROR(AQ8/SUMIF('船长每月数据(2023年)'!$E:$E,$C:$C,'船长每月数据(2023年)'!$R:$R),0)</f>
        <v>0</v>
      </c>
      <c r="AS8" s="20">
        <f>SUMIFS('船长每月数据(2023年)'!$P:$P,'船长每月数据(2023年)'!$F:$F,$AS$2,'船长每月数据(2023年)'!$E:$E,$C:$C)</f>
        <v>0</v>
      </c>
      <c r="AT8" s="21">
        <f>IFERROR(AS8/SUMIF('船长每月数据(2023年)'!$E:$E,$C:$C,'船长每月数据(2023年)'!$P:$P),0)</f>
        <v>0</v>
      </c>
      <c r="AU8" s="38">
        <f>SUMIFS('船长每月数据(2023年)'!$R:$R,'船长每月数据(2023年)'!$F:$F,$AU$2,'船长每月数据(2023年)'!$E:$E,$C:$C)</f>
        <v>0</v>
      </c>
      <c r="AV8" s="21">
        <f>IFERROR(AU8/SUMIF('船长每月数据(2023年)'!$E:$E,$C:$C,'船长每月数据(2023年)'!$R:$R),0)</f>
        <v>0</v>
      </c>
      <c r="AW8" s="20">
        <f>SUMIFS('船长每月数据(2023年)'!$P:$P,'船长每月数据(2023年)'!$F:$F,$AW$2,'船长每月数据(2023年)'!$E:$E,$C:$C)</f>
        <v>0</v>
      </c>
      <c r="AX8" s="21">
        <f>IFERROR(AW8/SUMIF('船长每月数据(2023年)'!$E:$E,$C:$C,'船长每月数据(2023年)'!$P:$P),0)</f>
        <v>0</v>
      </c>
      <c r="AY8" s="38">
        <f>SUMIFS('船长每月数据(2023年)'!$R:$R,'船长每月数据(2023年)'!$F:$F,$AY$2,'船长每月数据(2023年)'!$E:$E,$C:$C)</f>
        <v>0</v>
      </c>
      <c r="AZ8" s="21">
        <f>IFERROR(AY8/SUMIF('船长每月数据(2023年)'!$E:$E,$C:$C,'船长每月数据(2023年)'!$R:$R),0)</f>
        <v>0</v>
      </c>
      <c r="BA8" s="20">
        <f>SUMIFS('船长每月数据(2023年)'!$P:$P,'船长每月数据(2023年)'!$F:$F,$BA$2,'船长每月数据(2023年)'!$E:$E,$C:$C)</f>
        <v>0</v>
      </c>
      <c r="BB8" s="21">
        <f>IFERROR(BA8/SUMIF('船长每月数据(2023年)'!$E:$E,$C:$C,'船长每月数据(2023年)'!$P:$P),0)</f>
        <v>0</v>
      </c>
      <c r="BC8" s="38">
        <f>SUMIFS('船长每月数据(2023年)'!$R:$R,'船长每月数据(2023年)'!$F:$F,$BC$2,'船长每月数据(2023年)'!$E:$E,$C:$C)</f>
        <v>0</v>
      </c>
      <c r="BD8" s="21">
        <f>IFERROR(BC8/SUMIF('船长每月数据(2023年)'!$E:$E,$C:$C,'船长每月数据(2023年)'!$R:$R),0)</f>
        <v>0</v>
      </c>
      <c r="BE8" s="20">
        <f>SUMIFS('船长每月数据(2023年)'!$P:$P,'船长每月数据(2023年)'!$F:$F,$BE$2,'船长每月数据(2023年)'!$E:$E,$C:$C)</f>
        <v>0</v>
      </c>
      <c r="BF8" s="21">
        <f>IFERROR(BE8/SUMIF('船长每月数据(2023年)'!$E:$E,$C:$C,'船长每月数据(2023年)'!$P:$P),0)</f>
        <v>0</v>
      </c>
      <c r="BG8" s="38">
        <f>SUMIFS('船长每月数据(2023年)'!$R:$R,'船长每月数据(2023年)'!$F:$F,$BG$2,'船长每月数据(2023年)'!$E:$E,$C:$C)</f>
        <v>0</v>
      </c>
      <c r="BH8" s="21">
        <f>IFERROR(BG8/SUMIF('船长每月数据(2023年)'!$E:$E,$C:$C,'船长每月数据(2023年)'!$R:$R),0)</f>
        <v>0</v>
      </c>
      <c r="BI8" s="20">
        <f>SUMIFS('船长每月数据(2023年)'!$P:$P,'船长每月数据(2023年)'!$F:$F,$BI$2,'船长每月数据(2023年)'!$E:$E,$C:$C)</f>
        <v>0</v>
      </c>
      <c r="BJ8" s="21">
        <f>IFERROR(BI8/SUMIF('船长每月数据(2023年)'!$E:$E,$C:$C,'船长每月数据(2023年)'!$P:$P),0)</f>
        <v>0</v>
      </c>
      <c r="BK8" s="38">
        <f>SUMIFS('船长每月数据(2023年)'!$R:$R,'船长每月数据(2023年)'!$F:$F,$BK$2,'船长每月数据(2023年)'!$E:$E,$C:$C)</f>
        <v>0</v>
      </c>
      <c r="BL8" s="21">
        <f>IFERROR(BK8/SUMIF('船长每月数据(2023年)'!$E:$E,$C:$C,'船长每月数据(2023年)'!$R:$R),0)</f>
        <v>0</v>
      </c>
      <c r="BM8" s="20">
        <f>SUMIFS('船长每月数据(2023年)'!$P:$P,'船长每月数据(2023年)'!$F:$F,$BM$2,'船长每月数据(2023年)'!$E:$E,$C:$C)</f>
        <v>0</v>
      </c>
      <c r="BN8" s="21">
        <f>IFERROR(BM8/SUMIF('船长每月数据(2023年)'!$E:$E,$C:$C,'船长每月数据(2023年)'!$P:$P),0)</f>
        <v>0</v>
      </c>
      <c r="BO8" s="38">
        <f>SUMIFS('船长每月数据(2023年)'!$R:$R,'船长每月数据(2023年)'!$F:$F,$BO$2,'船长每月数据(2023年)'!$E:$E,$C:$C)</f>
        <v>0</v>
      </c>
      <c r="BP8" s="21">
        <f>IFERROR(BO8/SUMIF('船长每月数据(2023年)'!$E:$E,$C:$C,'船长每月数据(2023年)'!$R:$R),0)</f>
        <v>0</v>
      </c>
      <c r="BQ8" s="20">
        <f>SUMIFS('船长每月数据(2023年)'!$P:$P,'船长每月数据(2023年)'!$F:$F,$BQ$2,'船长每月数据(2023年)'!$E:$E,$C:$C)</f>
        <v>0</v>
      </c>
      <c r="BR8" s="21">
        <f>IFERROR(BQ8/SUMIF('船长每月数据(2023年)'!$E:$E,$C:$C,'船长每月数据(2023年)'!$P:$P),0)</f>
        <v>0</v>
      </c>
      <c r="BS8" s="38">
        <f>SUMIFS('船长每月数据(2023年)'!$R:$R,'船长每月数据(2023年)'!$F:$F,$BS$2,'船长每月数据(2023年)'!$E:$E,$C:$C)</f>
        <v>0</v>
      </c>
      <c r="BT8" s="21">
        <f>IFERROR(BS8/SUMIF('船长每月数据(2023年)'!$E:$E,$C:$C,'船长每月数据(2023年)'!$R:$R),0)</f>
        <v>0</v>
      </c>
      <c r="BU8" s="20">
        <f>SUMIFS('船长每月数据(2023年)'!$P:$P,'船长每月数据(2023年)'!$F:$F,$BU$2,'船长每月数据(2023年)'!$E:$E,$C:$C)</f>
        <v>0</v>
      </c>
      <c r="BV8" s="21">
        <f>IFERROR(BU8/SUMIF('船长每月数据(2023年)'!$E:$E,$C:$C,'船长每月数据(2023年)'!$P:$P),0)</f>
        <v>0</v>
      </c>
      <c r="BW8" s="38">
        <f>SUMIFS('船长每月数据(2023年)'!$R:$R,'船长每月数据(2023年)'!$F:$F,$BW$2,'船长每月数据(2023年)'!$E:$E,$C:$C)</f>
        <v>0</v>
      </c>
      <c r="BX8" s="21">
        <f>IFERROR(BW8/SUMIF('船长每月数据(2023年)'!$E:$E,$C:$C,'船长每月数据(2023年)'!$R:$R),0)</f>
        <v>0</v>
      </c>
    </row>
    <row r="9" ht="23" customHeight="1" spans="1:76">
      <c r="A9" s="36"/>
      <c r="B9" s="36"/>
      <c r="C9" s="20"/>
      <c r="D9" s="74"/>
      <c r="E9" s="20">
        <f>SUMIFS('船长每月数据(2022年)'!$P:$P,'船长每月数据(2022年)'!$F:$F,$E$2,'船长每月数据(2022年)'!E:E,C:C)</f>
        <v>0</v>
      </c>
      <c r="F9" s="85">
        <f>SUMIFS('船长每月数据(2022年)'!$R:$R,'船长每月数据(2022年)'!$F:$F,$F$2,'船长每月数据(2022年)'!E:E,C:C)</f>
        <v>0</v>
      </c>
      <c r="G9" s="20">
        <f>SUMIFS('船长每月数据(2022年)'!$P:$P,'船长每月数据(2022年)'!$F:$F,$G$2,'船长每月数据(2022年)'!$E:$E,$C:$C)</f>
        <v>0</v>
      </c>
      <c r="H9" s="85">
        <f>SUMIFS('船长每月数据(2022年)'!$R:$R,'船长每月数据(2022年)'!$F:$F,$H$2,'船长每月数据(2022年)'!$E:$E,$C:$C)</f>
        <v>0</v>
      </c>
      <c r="I9" s="20">
        <f>SUMIFS('船长每月数据(2022年)'!$P:$P,'船长每月数据(2022年)'!$F:$F,$I$2,'船长每月数据(2022年)'!$E:$E,$C:$C)</f>
        <v>0</v>
      </c>
      <c r="J9" s="85">
        <f>SUMIFS('船长每月数据(2022年)'!$R:$R,'船长每月数据(2022年)'!$F:$F,$J$2,'船长每月数据(2022年)'!$E:$E,$C:$C)</f>
        <v>0</v>
      </c>
      <c r="K9" s="20">
        <f>SUMIFS('船长每月数据(2022年)'!$P:$P,'船长每月数据(2022年)'!$F:$F,$K$2,'船长每月数据(2022年)'!$E:$E,$C:$C)</f>
        <v>0</v>
      </c>
      <c r="L9" s="85">
        <f>SUMIFS('船长每月数据(2022年)'!$R:$R,'船长每月数据(2022年)'!$F:$F,$L$2,'船长每月数据(2022年)'!$E:$E,$C:$C)</f>
        <v>0</v>
      </c>
      <c r="M9" s="20">
        <f>SUMIFS('船长每月数据(2022年)'!$P:$P,'船长每月数据(2022年)'!$F:$F,$M$2,'船长每月数据(2022年)'!$E:$E,$C:$C)</f>
        <v>0</v>
      </c>
      <c r="N9" s="85">
        <f>SUMIFS('船长每月数据(2022年)'!$R:$R,'船长每月数据(2022年)'!$F:$F,$N$2,'船长每月数据(2022年)'!$E:$E,$C:$C)</f>
        <v>0</v>
      </c>
      <c r="O9" s="20">
        <f>SUMIFS('船长每月数据(2022年)'!$P:$P,'船长每月数据(2022年)'!$F:$F,$O$2,'船长每月数据(2022年)'!$E:$E,$C:$C)</f>
        <v>0</v>
      </c>
      <c r="P9" s="85">
        <f>SUMIFS('船长每月数据(2022年)'!$R:$R,'船长每月数据(2022年)'!$F:$F,$P$2,'船长每月数据(2022年)'!$E:$E,$C:$C)</f>
        <v>0</v>
      </c>
      <c r="Q9" s="20">
        <f>SUMIFS('船长每月数据(2022年)'!$P:$P,'船长每月数据(2022年)'!$F:$F,$Q$2,'船长每月数据(2022年)'!$E:$E,$C:$C)</f>
        <v>0</v>
      </c>
      <c r="R9" s="85">
        <f>SUMIFS('船长每月数据(2022年)'!$R:$R,'船长每月数据(2022年)'!$F:$F,$R$2,'船长每月数据(2022年)'!$E:$E,$C:$C)</f>
        <v>0</v>
      </c>
      <c r="S9" s="20">
        <f>SUMIFS('船长每月数据(2022年)'!$P:$P,'船长每月数据(2022年)'!$F:$F,$S$2,'船长每月数据(2022年)'!$E:$E,$C:$C)</f>
        <v>0</v>
      </c>
      <c r="T9" s="85">
        <f>SUMIFS('船长每月数据(2022年)'!$R:$R,'船长每月数据(2022年)'!$F:$F,$T$2,'船长每月数据(2022年)'!$E:$E,$C:$C)</f>
        <v>0</v>
      </c>
      <c r="U9" s="20">
        <f>SUMIFS('船长每月数据(2022年)'!$P:$P,'船长每月数据(2022年)'!$F:$F,$U$2,'船长每月数据(2022年)'!$E:$E,$C:$C)</f>
        <v>0</v>
      </c>
      <c r="V9" s="85">
        <f>SUMIFS('船长每月数据(2022年)'!$R:$R,'船长每月数据(2022年)'!$F:$F,$V$2,'船长每月数据(2022年)'!$E:$E,$C:$C)</f>
        <v>0</v>
      </c>
      <c r="W9" s="20">
        <f>SUMIFS('船长每月数据(2022年)'!$P:$P,'船长每月数据(2022年)'!$F:$F,$W$2,'船长每月数据(2022年)'!$E:$E,$C:$C)</f>
        <v>0</v>
      </c>
      <c r="X9" s="85">
        <f>SUMIFS('船长每月数据(2022年)'!$R:$R,'船长每月数据(2022年)'!$F:$F,$X$2,'船长每月数据(2022年)'!$E:$E,$C:$C)</f>
        <v>0</v>
      </c>
      <c r="Y9" s="20">
        <f>SUMIFS('船长每月数据(2022年)'!$P:$P,'船长每月数据(2022年)'!$F:$F,$Y$2,'船长每月数据(2022年)'!$E:$E,$C:$C)</f>
        <v>0</v>
      </c>
      <c r="Z9" s="85">
        <f>SUMIFS('船长每月数据(2022年)'!$R:$R,'船长每月数据(2022年)'!$F:$F,$Z$2,'船长每月数据(2022年)'!$E:$E,$C:$C)</f>
        <v>0</v>
      </c>
      <c r="AA9" s="20">
        <f>SUMIFS('船长每月数据(2022年)'!$P:$P,'船长每月数据(2022年)'!$F:$F,$AA$2,'船长每月数据(2022年)'!$E:$E,$C:$C)</f>
        <v>0</v>
      </c>
      <c r="AB9" s="85">
        <f>SUMIFS('船长每月数据(2022年)'!$R:$R,'船长每月数据(2022年)'!$F:$F,$AB$2,'船长每月数据(2022年)'!$E:$E,$C:$C)</f>
        <v>0</v>
      </c>
      <c r="AC9" s="20">
        <f>SUMIFS('船长每月数据(2023年)'!P:P,'船长每月数据(2023年)'!F:F,$AC$2,'船长每月数据(2023年)'!E:E,C:C)</f>
        <v>0</v>
      </c>
      <c r="AD9" s="21">
        <f>IFERROR(AC9/SUMIF('船长每月数据(2023年)'!$E:$E,C:C,'船长每月数据(2023年)'!P:P),0)</f>
        <v>0</v>
      </c>
      <c r="AE9" s="38">
        <f>SUMIFS('船长每月数据(2023年)'!$R:$R,'船长每月数据(2023年)'!$F:$F,$AE$2,'船长每月数据(2023年)'!$E:$E,$C:$C)</f>
        <v>0</v>
      </c>
      <c r="AF9" s="21">
        <f>IFERROR(AE9/SUMIF('船长每月数据(2023年)'!E:E,C:C,'船长每月数据(2023年)'!R:R),0)</f>
        <v>0</v>
      </c>
      <c r="AG9" s="20">
        <f>SUMIFS('船长每月数据(2023年)'!P:P,'船长每月数据(2023年)'!F:F,$AG$2,'船长每月数据(2023年)'!E:E,C:C)</f>
        <v>0</v>
      </c>
      <c r="AH9" s="21">
        <f>IFERROR(AG9/SUMIF('船长每月数据(2023年)'!$E:$E,$C:$C,'船长每月数据(2023年)'!$P:$P),0)</f>
        <v>0</v>
      </c>
      <c r="AI9" s="38">
        <f>SUMIFS('船长每月数据(2023年)'!$R:$R,'船长每月数据(2023年)'!$F:$F,$AI$2,'船长每月数据(2023年)'!$E:$E,$C:$C)</f>
        <v>0</v>
      </c>
      <c r="AJ9" s="21">
        <f>IFERROR(AI9/SUMIF('船长每月数据(2023年)'!$E:$E,$C:$C,'船长每月数据(2023年)'!$R:$R),0)</f>
        <v>0</v>
      </c>
      <c r="AK9" s="20">
        <f>SUMIFS('船长每月数据(2023年)'!P:P,'船长每月数据(2023年)'!F:F,$AK$2,'船长每月数据(2023年)'!E:E,C:C)</f>
        <v>0</v>
      </c>
      <c r="AL9" s="21">
        <f>IFERROR(AK9/SUMIF('船长每月数据(2023年)'!$E:$E,$C:$C,'船长每月数据(2023年)'!$P:$P),0)</f>
        <v>0</v>
      </c>
      <c r="AM9" s="38">
        <f>SUMIFS('船长每月数据(2023年)'!$R:$R,'船长每月数据(2023年)'!$F:$F,$AM$2,'船长每月数据(2023年)'!$E:$E,$C:$C)</f>
        <v>0</v>
      </c>
      <c r="AN9" s="21">
        <f>IFERROR(AM9/SUMIF('船长每月数据(2023年)'!$E:$E,$C:$C,'船长每月数据(2023年)'!$R:$R),0)</f>
        <v>0</v>
      </c>
      <c r="AO9" s="20">
        <f>SUMIFS('船长每月数据(2023年)'!P:P,'船长每月数据(2023年)'!F:F,$AO$2,'船长每月数据(2023年)'!E:E,C:C)</f>
        <v>0</v>
      </c>
      <c r="AP9" s="21">
        <f>IFERROR(AO9/SUMIF('船长每月数据(2023年)'!$E:$E,$C:$C,'船长每月数据(2023年)'!$P:$P),0)</f>
        <v>0</v>
      </c>
      <c r="AQ9" s="38">
        <f>SUMIFS('船长每月数据(2023年)'!$R:$R,'船长每月数据(2023年)'!$F:$F,$AQ$2,'船长每月数据(2023年)'!$E:$E,$C:$C)</f>
        <v>0</v>
      </c>
      <c r="AR9" s="21">
        <f>IFERROR(AQ9/SUMIF('船长每月数据(2023年)'!$E:$E,$C:$C,'船长每月数据(2023年)'!$R:$R),0)</f>
        <v>0</v>
      </c>
      <c r="AS9" s="20">
        <f>SUMIFS('船长每月数据(2023年)'!$P:$P,'船长每月数据(2023年)'!$F:$F,$AS$2,'船长每月数据(2023年)'!$E:$E,$C:$C)</f>
        <v>0</v>
      </c>
      <c r="AT9" s="21">
        <f>IFERROR(AS9/SUMIF('船长每月数据(2023年)'!$E:$E,$C:$C,'船长每月数据(2023年)'!$P:$P),0)</f>
        <v>0</v>
      </c>
      <c r="AU9" s="38">
        <f>SUMIFS('船长每月数据(2023年)'!$R:$R,'船长每月数据(2023年)'!$F:$F,$AU$2,'船长每月数据(2023年)'!$E:$E,$C:$C)</f>
        <v>0</v>
      </c>
      <c r="AV9" s="21">
        <f>IFERROR(AU9/SUMIF('船长每月数据(2023年)'!$E:$E,$C:$C,'船长每月数据(2023年)'!$R:$R),0)</f>
        <v>0</v>
      </c>
      <c r="AW9" s="20">
        <f>SUMIFS('船长每月数据(2023年)'!$P:$P,'船长每月数据(2023年)'!$F:$F,$AW$2,'船长每月数据(2023年)'!$E:$E,$C:$C)</f>
        <v>0</v>
      </c>
      <c r="AX9" s="21">
        <f>IFERROR(AW9/SUMIF('船长每月数据(2023年)'!$E:$E,$C:$C,'船长每月数据(2023年)'!$P:$P),0)</f>
        <v>0</v>
      </c>
      <c r="AY9" s="38">
        <f>SUMIFS('船长每月数据(2023年)'!$R:$R,'船长每月数据(2023年)'!$F:$F,$AY$2,'船长每月数据(2023年)'!$E:$E,$C:$C)</f>
        <v>0</v>
      </c>
      <c r="AZ9" s="21">
        <f>IFERROR(AY9/SUMIF('船长每月数据(2023年)'!$E:$E,$C:$C,'船长每月数据(2023年)'!$R:$R),0)</f>
        <v>0</v>
      </c>
      <c r="BA9" s="20">
        <f>SUMIFS('船长每月数据(2023年)'!$P:$P,'船长每月数据(2023年)'!$F:$F,$BA$2,'船长每月数据(2023年)'!$E:$E,$C:$C)</f>
        <v>0</v>
      </c>
      <c r="BB9" s="21">
        <f>IFERROR(BA9/SUMIF('船长每月数据(2023年)'!$E:$E,$C:$C,'船长每月数据(2023年)'!$P:$P),0)</f>
        <v>0</v>
      </c>
      <c r="BC9" s="38">
        <f>SUMIFS('船长每月数据(2023年)'!$R:$R,'船长每月数据(2023年)'!$F:$F,$BC$2,'船长每月数据(2023年)'!$E:$E,$C:$C)</f>
        <v>0</v>
      </c>
      <c r="BD9" s="21">
        <f>IFERROR(BC9/SUMIF('船长每月数据(2023年)'!$E:$E,$C:$C,'船长每月数据(2023年)'!$R:$R),0)</f>
        <v>0</v>
      </c>
      <c r="BE9" s="20">
        <f>SUMIFS('船长每月数据(2023年)'!$P:$P,'船长每月数据(2023年)'!$F:$F,$BE$2,'船长每月数据(2023年)'!$E:$E,$C:$C)</f>
        <v>0</v>
      </c>
      <c r="BF9" s="21">
        <f>IFERROR(BE9/SUMIF('船长每月数据(2023年)'!$E:$E,$C:$C,'船长每月数据(2023年)'!$P:$P),0)</f>
        <v>0</v>
      </c>
      <c r="BG9" s="38">
        <f>SUMIFS('船长每月数据(2023年)'!$R:$R,'船长每月数据(2023年)'!$F:$F,$BG$2,'船长每月数据(2023年)'!$E:$E,$C:$C)</f>
        <v>0</v>
      </c>
      <c r="BH9" s="21">
        <f>IFERROR(BG9/SUMIF('船长每月数据(2023年)'!$E:$E,$C:$C,'船长每月数据(2023年)'!$R:$R),0)</f>
        <v>0</v>
      </c>
      <c r="BI9" s="20">
        <f>SUMIFS('船长每月数据(2023年)'!$P:$P,'船长每月数据(2023年)'!$F:$F,$BI$2,'船长每月数据(2023年)'!$E:$E,$C:$C)</f>
        <v>0</v>
      </c>
      <c r="BJ9" s="21">
        <f>IFERROR(BI9/SUMIF('船长每月数据(2023年)'!$E:$E,$C:$C,'船长每月数据(2023年)'!$P:$P),0)</f>
        <v>0</v>
      </c>
      <c r="BK9" s="38">
        <f>SUMIFS('船长每月数据(2023年)'!$R:$R,'船长每月数据(2023年)'!$F:$F,$BK$2,'船长每月数据(2023年)'!$E:$E,$C:$C)</f>
        <v>0</v>
      </c>
      <c r="BL9" s="21">
        <f>IFERROR(BK9/SUMIF('船长每月数据(2023年)'!$E:$E,$C:$C,'船长每月数据(2023年)'!$R:$R),0)</f>
        <v>0</v>
      </c>
      <c r="BM9" s="20">
        <f>SUMIFS('船长每月数据(2023年)'!$P:$P,'船长每月数据(2023年)'!$F:$F,$BM$2,'船长每月数据(2023年)'!$E:$E,$C:$C)</f>
        <v>0</v>
      </c>
      <c r="BN9" s="21">
        <f>IFERROR(BM9/SUMIF('船长每月数据(2023年)'!$E:$E,$C:$C,'船长每月数据(2023年)'!$P:$P),0)</f>
        <v>0</v>
      </c>
      <c r="BO9" s="38">
        <f>SUMIFS('船长每月数据(2023年)'!$R:$R,'船长每月数据(2023年)'!$F:$F,$BO$2,'船长每月数据(2023年)'!$E:$E,$C:$C)</f>
        <v>0</v>
      </c>
      <c r="BP9" s="21">
        <f>IFERROR(BO9/SUMIF('船长每月数据(2023年)'!$E:$E,$C:$C,'船长每月数据(2023年)'!$R:$R),0)</f>
        <v>0</v>
      </c>
      <c r="BQ9" s="20">
        <f>SUMIFS('船长每月数据(2023年)'!$P:$P,'船长每月数据(2023年)'!$F:$F,$BQ$2,'船长每月数据(2023年)'!$E:$E,$C:$C)</f>
        <v>0</v>
      </c>
      <c r="BR9" s="21">
        <f>IFERROR(BQ9/SUMIF('船长每月数据(2023年)'!$E:$E,$C:$C,'船长每月数据(2023年)'!$P:$P),0)</f>
        <v>0</v>
      </c>
      <c r="BS9" s="38">
        <f>SUMIFS('船长每月数据(2023年)'!$R:$R,'船长每月数据(2023年)'!$F:$F,$BS$2,'船长每月数据(2023年)'!$E:$E,$C:$C)</f>
        <v>0</v>
      </c>
      <c r="BT9" s="21">
        <f>IFERROR(BS9/SUMIF('船长每月数据(2023年)'!$E:$E,$C:$C,'船长每月数据(2023年)'!$R:$R),0)</f>
        <v>0</v>
      </c>
      <c r="BU9" s="20">
        <f>SUMIFS('船长每月数据(2023年)'!$P:$P,'船长每月数据(2023年)'!$F:$F,$BU$2,'船长每月数据(2023年)'!$E:$E,$C:$C)</f>
        <v>0</v>
      </c>
      <c r="BV9" s="21">
        <f>IFERROR(BU9/SUMIF('船长每月数据(2023年)'!$E:$E,$C:$C,'船长每月数据(2023年)'!$P:$P),0)</f>
        <v>0</v>
      </c>
      <c r="BW9" s="38">
        <f>SUMIFS('船长每月数据(2023年)'!$R:$R,'船长每月数据(2023年)'!$F:$F,$BW$2,'船长每月数据(2023年)'!$E:$E,$C:$C)</f>
        <v>0</v>
      </c>
      <c r="BX9" s="21">
        <f>IFERROR(BW9/SUMIF('船长每月数据(2023年)'!$E:$E,$C:$C,'船长每月数据(2023年)'!$R:$R),0)</f>
        <v>0</v>
      </c>
    </row>
    <row r="10" ht="23" customHeight="1" spans="1:76">
      <c r="A10" s="36"/>
      <c r="B10" s="36"/>
      <c r="C10" s="20"/>
      <c r="D10" s="74"/>
      <c r="E10" s="20">
        <f>SUMIFS('船长每月数据(2022年)'!$P:$P,'船长每月数据(2022年)'!$F:$F,$E$2,'船长每月数据(2022年)'!E:E,C:C)</f>
        <v>0</v>
      </c>
      <c r="F10" s="85">
        <f>SUMIFS('船长每月数据(2022年)'!$R:$R,'船长每月数据(2022年)'!$F:$F,$F$2,'船长每月数据(2022年)'!E:E,C:C)</f>
        <v>0</v>
      </c>
      <c r="G10" s="20">
        <f>SUMIFS('船长每月数据(2022年)'!$P:$P,'船长每月数据(2022年)'!$F:$F,$G$2,'船长每月数据(2022年)'!$E:$E,$C:$C)</f>
        <v>0</v>
      </c>
      <c r="H10" s="85">
        <f>SUMIFS('船长每月数据(2022年)'!$R:$R,'船长每月数据(2022年)'!$F:$F,$H$2,'船长每月数据(2022年)'!$E:$E,$C:$C)</f>
        <v>0</v>
      </c>
      <c r="I10" s="20">
        <f>SUMIFS('船长每月数据(2022年)'!$P:$P,'船长每月数据(2022年)'!$F:$F,$I$2,'船长每月数据(2022年)'!$E:$E,$C:$C)</f>
        <v>0</v>
      </c>
      <c r="J10" s="85">
        <f>SUMIFS('船长每月数据(2022年)'!$R:$R,'船长每月数据(2022年)'!$F:$F,$J$2,'船长每月数据(2022年)'!$E:$E,$C:$C)</f>
        <v>0</v>
      </c>
      <c r="K10" s="20">
        <f>SUMIFS('船长每月数据(2022年)'!$P:$P,'船长每月数据(2022年)'!$F:$F,$K$2,'船长每月数据(2022年)'!$E:$E,$C:$C)</f>
        <v>0</v>
      </c>
      <c r="L10" s="85">
        <f>SUMIFS('船长每月数据(2022年)'!$R:$R,'船长每月数据(2022年)'!$F:$F,$L$2,'船长每月数据(2022年)'!$E:$E,$C:$C)</f>
        <v>0</v>
      </c>
      <c r="M10" s="20">
        <f>SUMIFS('船长每月数据(2022年)'!$P:$P,'船长每月数据(2022年)'!$F:$F,$M$2,'船长每月数据(2022年)'!$E:$E,$C:$C)</f>
        <v>0</v>
      </c>
      <c r="N10" s="85">
        <f>SUMIFS('船长每月数据(2022年)'!$R:$R,'船长每月数据(2022年)'!$F:$F,$N$2,'船长每月数据(2022年)'!$E:$E,$C:$C)</f>
        <v>0</v>
      </c>
      <c r="O10" s="20">
        <f>SUMIFS('船长每月数据(2022年)'!$P:$P,'船长每月数据(2022年)'!$F:$F,$O$2,'船长每月数据(2022年)'!$E:$E,$C:$C)</f>
        <v>0</v>
      </c>
      <c r="P10" s="85">
        <f>SUMIFS('船长每月数据(2022年)'!$R:$R,'船长每月数据(2022年)'!$F:$F,$P$2,'船长每月数据(2022年)'!$E:$E,$C:$C)</f>
        <v>0</v>
      </c>
      <c r="Q10" s="20">
        <f>SUMIFS('船长每月数据(2022年)'!$P:$P,'船长每月数据(2022年)'!$F:$F,$Q$2,'船长每月数据(2022年)'!$E:$E,$C:$C)</f>
        <v>0</v>
      </c>
      <c r="R10" s="85">
        <f>SUMIFS('船长每月数据(2022年)'!$R:$R,'船长每月数据(2022年)'!$F:$F,$R$2,'船长每月数据(2022年)'!$E:$E,$C:$C)</f>
        <v>0</v>
      </c>
      <c r="S10" s="20">
        <f>SUMIFS('船长每月数据(2022年)'!$P:$P,'船长每月数据(2022年)'!$F:$F,$S$2,'船长每月数据(2022年)'!$E:$E,$C:$C)</f>
        <v>0</v>
      </c>
      <c r="T10" s="85">
        <f>SUMIFS('船长每月数据(2022年)'!$R:$R,'船长每月数据(2022年)'!$F:$F,$T$2,'船长每月数据(2022年)'!$E:$E,$C:$C)</f>
        <v>0</v>
      </c>
      <c r="U10" s="20">
        <f>SUMIFS('船长每月数据(2022年)'!$P:$P,'船长每月数据(2022年)'!$F:$F,$U$2,'船长每月数据(2022年)'!$E:$E,$C:$C)</f>
        <v>0</v>
      </c>
      <c r="V10" s="85">
        <f>SUMIFS('船长每月数据(2022年)'!$R:$R,'船长每月数据(2022年)'!$F:$F,$V$2,'船长每月数据(2022年)'!$E:$E,$C:$C)</f>
        <v>0</v>
      </c>
      <c r="W10" s="20">
        <f>SUMIFS('船长每月数据(2022年)'!$P:$P,'船长每月数据(2022年)'!$F:$F,$W$2,'船长每月数据(2022年)'!$E:$E,$C:$C)</f>
        <v>0</v>
      </c>
      <c r="X10" s="85">
        <f>SUMIFS('船长每月数据(2022年)'!$R:$R,'船长每月数据(2022年)'!$F:$F,$X$2,'船长每月数据(2022年)'!$E:$E,$C:$C)</f>
        <v>0</v>
      </c>
      <c r="Y10" s="20">
        <f>SUMIFS('船长每月数据(2022年)'!$P:$P,'船长每月数据(2022年)'!$F:$F,$Y$2,'船长每月数据(2022年)'!$E:$E,$C:$C)</f>
        <v>0</v>
      </c>
      <c r="Z10" s="85">
        <f>SUMIFS('船长每月数据(2022年)'!$R:$R,'船长每月数据(2022年)'!$F:$F,$Z$2,'船长每月数据(2022年)'!$E:$E,$C:$C)</f>
        <v>0</v>
      </c>
      <c r="AA10" s="20">
        <f>SUMIFS('船长每月数据(2022年)'!$P:$P,'船长每月数据(2022年)'!$F:$F,$AA$2,'船长每月数据(2022年)'!$E:$E,$C:$C)</f>
        <v>0</v>
      </c>
      <c r="AB10" s="85">
        <f>SUMIFS('船长每月数据(2022年)'!$R:$R,'船长每月数据(2022年)'!$F:$F,$AB$2,'船长每月数据(2022年)'!$E:$E,$C:$C)</f>
        <v>0</v>
      </c>
      <c r="AC10" s="20">
        <f>SUMIFS('船长每月数据(2023年)'!P:P,'船长每月数据(2023年)'!F:F,$AC$2,'船长每月数据(2023年)'!E:E,C:C)</f>
        <v>0</v>
      </c>
      <c r="AD10" s="21">
        <f>IFERROR(AC10/SUMIF('船长每月数据(2023年)'!$E:$E,C:C,'船长每月数据(2023年)'!P:P),0)</f>
        <v>0</v>
      </c>
      <c r="AE10" s="38">
        <f>SUMIFS('船长每月数据(2023年)'!$R:$R,'船长每月数据(2023年)'!$F:$F,$AE$2,'船长每月数据(2023年)'!$E:$E,$C:$C)</f>
        <v>0</v>
      </c>
      <c r="AF10" s="21">
        <f>IFERROR(AE10/SUMIF('船长每月数据(2023年)'!E:E,C:C,'船长每月数据(2023年)'!R:R),0)</f>
        <v>0</v>
      </c>
      <c r="AG10" s="20">
        <f>SUMIFS('船长每月数据(2023年)'!P:P,'船长每月数据(2023年)'!F:F,$AG$2,'船长每月数据(2023年)'!E:E,C:C)</f>
        <v>0</v>
      </c>
      <c r="AH10" s="21">
        <f>IFERROR(AG10/SUMIF('船长每月数据(2023年)'!$E:$E,$C:$C,'船长每月数据(2023年)'!$P:$P),0)</f>
        <v>0</v>
      </c>
      <c r="AI10" s="38">
        <f>SUMIFS('船长每月数据(2023年)'!$R:$R,'船长每月数据(2023年)'!$F:$F,$AI$2,'船长每月数据(2023年)'!$E:$E,$C:$C)</f>
        <v>0</v>
      </c>
      <c r="AJ10" s="21">
        <f>IFERROR(AI10/SUMIF('船长每月数据(2023年)'!$E:$E,$C:$C,'船长每月数据(2023年)'!$R:$R),0)</f>
        <v>0</v>
      </c>
      <c r="AK10" s="20">
        <f>SUMIFS('船长每月数据(2023年)'!P:P,'船长每月数据(2023年)'!F:F,$AK$2,'船长每月数据(2023年)'!E:E,C:C)</f>
        <v>0</v>
      </c>
      <c r="AL10" s="21">
        <f>IFERROR(AK10/SUMIF('船长每月数据(2023年)'!$E:$E,$C:$C,'船长每月数据(2023年)'!$P:$P),0)</f>
        <v>0</v>
      </c>
      <c r="AM10" s="38">
        <f>SUMIFS('船长每月数据(2023年)'!$R:$R,'船长每月数据(2023年)'!$F:$F,$AM$2,'船长每月数据(2023年)'!$E:$E,$C:$C)</f>
        <v>0</v>
      </c>
      <c r="AN10" s="21">
        <f>IFERROR(AM10/SUMIF('船长每月数据(2023年)'!$E:$E,$C:$C,'船长每月数据(2023年)'!$R:$R),0)</f>
        <v>0</v>
      </c>
      <c r="AO10" s="20">
        <f>SUMIFS('船长每月数据(2023年)'!P:P,'船长每月数据(2023年)'!F:F,$AO$2,'船长每月数据(2023年)'!E:E,C:C)</f>
        <v>0</v>
      </c>
      <c r="AP10" s="21">
        <f>IFERROR(AO10/SUMIF('船长每月数据(2023年)'!$E:$E,$C:$C,'船长每月数据(2023年)'!$P:$P),0)</f>
        <v>0</v>
      </c>
      <c r="AQ10" s="38">
        <f>SUMIFS('船长每月数据(2023年)'!$R:$R,'船长每月数据(2023年)'!$F:$F,$AQ$2,'船长每月数据(2023年)'!$E:$E,$C:$C)</f>
        <v>0</v>
      </c>
      <c r="AR10" s="21">
        <f>IFERROR(AQ10/SUMIF('船长每月数据(2023年)'!$E:$E,$C:$C,'船长每月数据(2023年)'!$R:$R),0)</f>
        <v>0</v>
      </c>
      <c r="AS10" s="20">
        <f>SUMIFS('船长每月数据(2023年)'!$P:$P,'船长每月数据(2023年)'!$F:$F,$AS$2,'船长每月数据(2023年)'!$E:$E,$C:$C)</f>
        <v>0</v>
      </c>
      <c r="AT10" s="21">
        <f>IFERROR(AS10/SUMIF('船长每月数据(2023年)'!$E:$E,$C:$C,'船长每月数据(2023年)'!$P:$P),0)</f>
        <v>0</v>
      </c>
      <c r="AU10" s="38">
        <f>SUMIFS('船长每月数据(2023年)'!$R:$R,'船长每月数据(2023年)'!$F:$F,$AU$2,'船长每月数据(2023年)'!$E:$E,$C:$C)</f>
        <v>0</v>
      </c>
      <c r="AV10" s="21">
        <f>IFERROR(AU10/SUMIF('船长每月数据(2023年)'!$E:$E,$C:$C,'船长每月数据(2023年)'!$R:$R),0)</f>
        <v>0</v>
      </c>
      <c r="AW10" s="20">
        <f>SUMIFS('船长每月数据(2023年)'!$P:$P,'船长每月数据(2023年)'!$F:$F,$AW$2,'船长每月数据(2023年)'!$E:$E,$C:$C)</f>
        <v>0</v>
      </c>
      <c r="AX10" s="21">
        <f>IFERROR(AW10/SUMIF('船长每月数据(2023年)'!$E:$E,$C:$C,'船长每月数据(2023年)'!$P:$P),0)</f>
        <v>0</v>
      </c>
      <c r="AY10" s="38">
        <f>SUMIFS('船长每月数据(2023年)'!$R:$R,'船长每月数据(2023年)'!$F:$F,$AY$2,'船长每月数据(2023年)'!$E:$E,$C:$C)</f>
        <v>0</v>
      </c>
      <c r="AZ10" s="21">
        <f>IFERROR(AY10/SUMIF('船长每月数据(2023年)'!$E:$E,$C:$C,'船长每月数据(2023年)'!$R:$R),0)</f>
        <v>0</v>
      </c>
      <c r="BA10" s="20">
        <f>SUMIFS('船长每月数据(2023年)'!$P:$P,'船长每月数据(2023年)'!$F:$F,$BA$2,'船长每月数据(2023年)'!$E:$E,$C:$C)</f>
        <v>0</v>
      </c>
      <c r="BB10" s="21">
        <f>IFERROR(BA10/SUMIF('船长每月数据(2023年)'!$E:$E,$C:$C,'船长每月数据(2023年)'!$P:$P),0)</f>
        <v>0</v>
      </c>
      <c r="BC10" s="38">
        <f>SUMIFS('船长每月数据(2023年)'!$R:$R,'船长每月数据(2023年)'!$F:$F,$BC$2,'船长每月数据(2023年)'!$E:$E,$C:$C)</f>
        <v>0</v>
      </c>
      <c r="BD10" s="21">
        <f>IFERROR(BC10/SUMIF('船长每月数据(2023年)'!$E:$E,$C:$C,'船长每月数据(2023年)'!$R:$R),0)</f>
        <v>0</v>
      </c>
      <c r="BE10" s="20">
        <f>SUMIFS('船长每月数据(2023年)'!$P:$P,'船长每月数据(2023年)'!$F:$F,$BE$2,'船长每月数据(2023年)'!$E:$E,$C:$C)</f>
        <v>0</v>
      </c>
      <c r="BF10" s="21">
        <f>IFERROR(BE10/SUMIF('船长每月数据(2023年)'!$E:$E,$C:$C,'船长每月数据(2023年)'!$P:$P),0)</f>
        <v>0</v>
      </c>
      <c r="BG10" s="38">
        <f>SUMIFS('船长每月数据(2023年)'!$R:$R,'船长每月数据(2023年)'!$F:$F,$BG$2,'船长每月数据(2023年)'!$E:$E,$C:$C)</f>
        <v>0</v>
      </c>
      <c r="BH10" s="21">
        <f>IFERROR(BG10/SUMIF('船长每月数据(2023年)'!$E:$E,$C:$C,'船长每月数据(2023年)'!$R:$R),0)</f>
        <v>0</v>
      </c>
      <c r="BI10" s="20">
        <f>SUMIFS('船长每月数据(2023年)'!$P:$P,'船长每月数据(2023年)'!$F:$F,$BI$2,'船长每月数据(2023年)'!$E:$E,$C:$C)</f>
        <v>0</v>
      </c>
      <c r="BJ10" s="21">
        <f>IFERROR(BI10/SUMIF('船长每月数据(2023年)'!$E:$E,$C:$C,'船长每月数据(2023年)'!$P:$P),0)</f>
        <v>0</v>
      </c>
      <c r="BK10" s="38">
        <f>SUMIFS('船长每月数据(2023年)'!$R:$R,'船长每月数据(2023年)'!$F:$F,$BK$2,'船长每月数据(2023年)'!$E:$E,$C:$C)</f>
        <v>0</v>
      </c>
      <c r="BL10" s="21">
        <f>IFERROR(BK10/SUMIF('船长每月数据(2023年)'!$E:$E,$C:$C,'船长每月数据(2023年)'!$R:$R),0)</f>
        <v>0</v>
      </c>
      <c r="BM10" s="20">
        <f>SUMIFS('船长每月数据(2023年)'!$P:$P,'船长每月数据(2023年)'!$F:$F,$BM$2,'船长每月数据(2023年)'!$E:$E,$C:$C)</f>
        <v>0</v>
      </c>
      <c r="BN10" s="21">
        <f>IFERROR(BM10/SUMIF('船长每月数据(2023年)'!$E:$E,$C:$C,'船长每月数据(2023年)'!$P:$P),0)</f>
        <v>0</v>
      </c>
      <c r="BO10" s="38">
        <f>SUMIFS('船长每月数据(2023年)'!$R:$R,'船长每月数据(2023年)'!$F:$F,$BO$2,'船长每月数据(2023年)'!$E:$E,$C:$C)</f>
        <v>0</v>
      </c>
      <c r="BP10" s="21">
        <f>IFERROR(BO10/SUMIF('船长每月数据(2023年)'!$E:$E,$C:$C,'船长每月数据(2023年)'!$R:$R),0)</f>
        <v>0</v>
      </c>
      <c r="BQ10" s="20">
        <f>SUMIFS('船长每月数据(2023年)'!$P:$P,'船长每月数据(2023年)'!$F:$F,$BQ$2,'船长每月数据(2023年)'!$E:$E,$C:$C)</f>
        <v>0</v>
      </c>
      <c r="BR10" s="21">
        <f>IFERROR(BQ10/SUMIF('船长每月数据(2023年)'!$E:$E,$C:$C,'船长每月数据(2023年)'!$P:$P),0)</f>
        <v>0</v>
      </c>
      <c r="BS10" s="38">
        <f>SUMIFS('船长每月数据(2023年)'!$R:$R,'船长每月数据(2023年)'!$F:$F,$BS$2,'船长每月数据(2023年)'!$E:$E,$C:$C)</f>
        <v>0</v>
      </c>
      <c r="BT10" s="21">
        <f>IFERROR(BS10/SUMIF('船长每月数据(2023年)'!$E:$E,$C:$C,'船长每月数据(2023年)'!$R:$R),0)</f>
        <v>0</v>
      </c>
      <c r="BU10" s="20">
        <f>SUMIFS('船长每月数据(2023年)'!$P:$P,'船长每月数据(2023年)'!$F:$F,$BU$2,'船长每月数据(2023年)'!$E:$E,$C:$C)</f>
        <v>0</v>
      </c>
      <c r="BV10" s="21">
        <f>IFERROR(BU10/SUMIF('船长每月数据(2023年)'!$E:$E,$C:$C,'船长每月数据(2023年)'!$P:$P),0)</f>
        <v>0</v>
      </c>
      <c r="BW10" s="38">
        <f>SUMIFS('船长每月数据(2023年)'!$R:$R,'船长每月数据(2023年)'!$F:$F,$BW$2,'船长每月数据(2023年)'!$E:$E,$C:$C)</f>
        <v>0</v>
      </c>
      <c r="BX10" s="21">
        <f>IFERROR(BW10/SUMIF('船长每月数据(2023年)'!$E:$E,$C:$C,'船长每月数据(2023年)'!$R:$R),0)</f>
        <v>0</v>
      </c>
    </row>
    <row r="11" ht="23" customHeight="1" spans="1:76">
      <c r="A11" s="36"/>
      <c r="B11" s="36"/>
      <c r="C11" s="20"/>
      <c r="D11" s="74"/>
      <c r="E11" s="20">
        <f>SUMIFS('船长每月数据(2022年)'!$P:$P,'船长每月数据(2022年)'!$F:$F,$E$2,'船长每月数据(2022年)'!E:E,C:C)</f>
        <v>0</v>
      </c>
      <c r="F11" s="85">
        <f>SUMIFS('船长每月数据(2022年)'!$R:$R,'船长每月数据(2022年)'!$F:$F,$F$2,'船长每月数据(2022年)'!E:E,C:C)</f>
        <v>0</v>
      </c>
      <c r="G11" s="20">
        <f>SUMIFS('船长每月数据(2022年)'!$P:$P,'船长每月数据(2022年)'!$F:$F,$G$2,'船长每月数据(2022年)'!$E:$E,$C:$C)</f>
        <v>0</v>
      </c>
      <c r="H11" s="85">
        <f>SUMIFS('船长每月数据(2022年)'!$R:$R,'船长每月数据(2022年)'!$F:$F,$H$2,'船长每月数据(2022年)'!$E:$E,$C:$C)</f>
        <v>0</v>
      </c>
      <c r="I11" s="20">
        <f>SUMIFS('船长每月数据(2022年)'!$P:$P,'船长每月数据(2022年)'!$F:$F,$I$2,'船长每月数据(2022年)'!$E:$E,$C:$C)</f>
        <v>0</v>
      </c>
      <c r="J11" s="85">
        <f>SUMIFS('船长每月数据(2022年)'!$R:$R,'船长每月数据(2022年)'!$F:$F,$J$2,'船长每月数据(2022年)'!$E:$E,$C:$C)</f>
        <v>0</v>
      </c>
      <c r="K11" s="20">
        <f>SUMIFS('船长每月数据(2022年)'!$P:$P,'船长每月数据(2022年)'!$F:$F,$K$2,'船长每月数据(2022年)'!$E:$E,$C:$C)</f>
        <v>0</v>
      </c>
      <c r="L11" s="85">
        <f>SUMIFS('船长每月数据(2022年)'!$R:$R,'船长每月数据(2022年)'!$F:$F,$L$2,'船长每月数据(2022年)'!$E:$E,$C:$C)</f>
        <v>0</v>
      </c>
      <c r="M11" s="20">
        <f>SUMIFS('船长每月数据(2022年)'!$P:$P,'船长每月数据(2022年)'!$F:$F,$M$2,'船长每月数据(2022年)'!$E:$E,$C:$C)</f>
        <v>0</v>
      </c>
      <c r="N11" s="85">
        <f>SUMIFS('船长每月数据(2022年)'!$R:$R,'船长每月数据(2022年)'!$F:$F,$N$2,'船长每月数据(2022年)'!$E:$E,$C:$C)</f>
        <v>0</v>
      </c>
      <c r="O11" s="20">
        <f>SUMIFS('船长每月数据(2022年)'!$P:$P,'船长每月数据(2022年)'!$F:$F,$O$2,'船长每月数据(2022年)'!$E:$E,$C:$C)</f>
        <v>0</v>
      </c>
      <c r="P11" s="85">
        <f>SUMIFS('船长每月数据(2022年)'!$R:$R,'船长每月数据(2022年)'!$F:$F,$P$2,'船长每月数据(2022年)'!$E:$E,$C:$C)</f>
        <v>0</v>
      </c>
      <c r="Q11" s="20">
        <f>SUMIFS('船长每月数据(2022年)'!$P:$P,'船长每月数据(2022年)'!$F:$F,$Q$2,'船长每月数据(2022年)'!$E:$E,$C:$C)</f>
        <v>0</v>
      </c>
      <c r="R11" s="85">
        <f>SUMIFS('船长每月数据(2022年)'!$R:$R,'船长每月数据(2022年)'!$F:$F,$R$2,'船长每月数据(2022年)'!$E:$E,$C:$C)</f>
        <v>0</v>
      </c>
      <c r="S11" s="20">
        <f>SUMIFS('船长每月数据(2022年)'!$P:$P,'船长每月数据(2022年)'!$F:$F,$S$2,'船长每月数据(2022年)'!$E:$E,$C:$C)</f>
        <v>0</v>
      </c>
      <c r="T11" s="85">
        <f>SUMIFS('船长每月数据(2022年)'!$R:$R,'船长每月数据(2022年)'!$F:$F,$T$2,'船长每月数据(2022年)'!$E:$E,$C:$C)</f>
        <v>0</v>
      </c>
      <c r="U11" s="20">
        <f>SUMIFS('船长每月数据(2022年)'!$P:$P,'船长每月数据(2022年)'!$F:$F,$U$2,'船长每月数据(2022年)'!$E:$E,$C:$C)</f>
        <v>0</v>
      </c>
      <c r="V11" s="85">
        <f>SUMIFS('船长每月数据(2022年)'!$R:$R,'船长每月数据(2022年)'!$F:$F,$V$2,'船长每月数据(2022年)'!$E:$E,$C:$C)</f>
        <v>0</v>
      </c>
      <c r="W11" s="20">
        <f>SUMIFS('船长每月数据(2022年)'!$P:$P,'船长每月数据(2022年)'!$F:$F,$W$2,'船长每月数据(2022年)'!$E:$E,$C:$C)</f>
        <v>0</v>
      </c>
      <c r="X11" s="85">
        <f>SUMIFS('船长每月数据(2022年)'!$R:$R,'船长每月数据(2022年)'!$F:$F,$X$2,'船长每月数据(2022年)'!$E:$E,$C:$C)</f>
        <v>0</v>
      </c>
      <c r="Y11" s="20">
        <f>SUMIFS('船长每月数据(2022年)'!$P:$P,'船长每月数据(2022年)'!$F:$F,$Y$2,'船长每月数据(2022年)'!$E:$E,$C:$C)</f>
        <v>0</v>
      </c>
      <c r="Z11" s="85">
        <f>SUMIFS('船长每月数据(2022年)'!$R:$R,'船长每月数据(2022年)'!$F:$F,$Z$2,'船长每月数据(2022年)'!$E:$E,$C:$C)</f>
        <v>0</v>
      </c>
      <c r="AA11" s="20">
        <f>SUMIFS('船长每月数据(2022年)'!$P:$P,'船长每月数据(2022年)'!$F:$F,$AA$2,'船长每月数据(2022年)'!$E:$E,$C:$C)</f>
        <v>0</v>
      </c>
      <c r="AB11" s="85">
        <f>SUMIFS('船长每月数据(2022年)'!$R:$R,'船长每月数据(2022年)'!$F:$F,$AB$2,'船长每月数据(2022年)'!$E:$E,$C:$C)</f>
        <v>0</v>
      </c>
      <c r="AC11" s="20">
        <f>SUMIFS('船长每月数据(2023年)'!P:P,'船长每月数据(2023年)'!F:F,$AC$2,'船长每月数据(2023年)'!E:E,C:C)</f>
        <v>0</v>
      </c>
      <c r="AD11" s="21">
        <f>IFERROR(AC11/SUMIF('船长每月数据(2023年)'!$E:$E,C:C,'船长每月数据(2023年)'!P:P),0)</f>
        <v>0</v>
      </c>
      <c r="AE11" s="38">
        <f>SUMIFS('船长每月数据(2023年)'!$R:$R,'船长每月数据(2023年)'!$F:$F,$AE$2,'船长每月数据(2023年)'!$E:$E,$C:$C)</f>
        <v>0</v>
      </c>
      <c r="AF11" s="21">
        <f>IFERROR(AE11/SUMIF('船长每月数据(2023年)'!E:E,C:C,'船长每月数据(2023年)'!R:R),0)</f>
        <v>0</v>
      </c>
      <c r="AG11" s="20">
        <f>SUMIFS('船长每月数据(2023年)'!P:P,'船长每月数据(2023年)'!F:F,$AG$2,'船长每月数据(2023年)'!E:E,C:C)</f>
        <v>0</v>
      </c>
      <c r="AH11" s="21">
        <f>IFERROR(AG11/SUMIF('船长每月数据(2023年)'!$E:$E,$C:$C,'船长每月数据(2023年)'!$P:$P),0)</f>
        <v>0</v>
      </c>
      <c r="AI11" s="38">
        <f>SUMIFS('船长每月数据(2023年)'!$R:$R,'船长每月数据(2023年)'!$F:$F,$AI$2,'船长每月数据(2023年)'!$E:$E,$C:$C)</f>
        <v>0</v>
      </c>
      <c r="AJ11" s="21">
        <f>IFERROR(AI11/SUMIF('船长每月数据(2023年)'!$E:$E,$C:$C,'船长每月数据(2023年)'!$R:$R),0)</f>
        <v>0</v>
      </c>
      <c r="AK11" s="20">
        <f>SUMIFS('船长每月数据(2023年)'!P:P,'船长每月数据(2023年)'!F:F,$AK$2,'船长每月数据(2023年)'!E:E,C:C)</f>
        <v>0</v>
      </c>
      <c r="AL11" s="21">
        <f>IFERROR(AK11/SUMIF('船长每月数据(2023年)'!$E:$E,$C:$C,'船长每月数据(2023年)'!$P:$P),0)</f>
        <v>0</v>
      </c>
      <c r="AM11" s="38">
        <f>SUMIFS('船长每月数据(2023年)'!$R:$R,'船长每月数据(2023年)'!$F:$F,$AM$2,'船长每月数据(2023年)'!$E:$E,$C:$C)</f>
        <v>0</v>
      </c>
      <c r="AN11" s="21">
        <f>IFERROR(AM11/SUMIF('船长每月数据(2023年)'!$E:$E,$C:$C,'船长每月数据(2023年)'!$R:$R),0)</f>
        <v>0</v>
      </c>
      <c r="AO11" s="20">
        <f>SUMIFS('船长每月数据(2023年)'!P:P,'船长每月数据(2023年)'!F:F,$AO$2,'船长每月数据(2023年)'!E:E,C:C)</f>
        <v>0</v>
      </c>
      <c r="AP11" s="21">
        <f>IFERROR(AO11/SUMIF('船长每月数据(2023年)'!$E:$E,$C:$C,'船长每月数据(2023年)'!$P:$P),0)</f>
        <v>0</v>
      </c>
      <c r="AQ11" s="38">
        <f>SUMIFS('船长每月数据(2023年)'!$R:$R,'船长每月数据(2023年)'!$F:$F,$AQ$2,'船长每月数据(2023年)'!$E:$E,$C:$C)</f>
        <v>0</v>
      </c>
      <c r="AR11" s="21">
        <f>IFERROR(AQ11/SUMIF('船长每月数据(2023年)'!$E:$E,$C:$C,'船长每月数据(2023年)'!$R:$R),0)</f>
        <v>0</v>
      </c>
      <c r="AS11" s="20">
        <f>SUMIFS('船长每月数据(2023年)'!$P:$P,'船长每月数据(2023年)'!$F:$F,$AS$2,'船长每月数据(2023年)'!$E:$E,$C:$C)</f>
        <v>0</v>
      </c>
      <c r="AT11" s="21">
        <f>IFERROR(AS11/SUMIF('船长每月数据(2023年)'!$E:$E,$C:$C,'船长每月数据(2023年)'!$P:$P),0)</f>
        <v>0</v>
      </c>
      <c r="AU11" s="38">
        <f>SUMIFS('船长每月数据(2023年)'!$R:$R,'船长每月数据(2023年)'!$F:$F,$AU$2,'船长每月数据(2023年)'!$E:$E,$C:$C)</f>
        <v>0</v>
      </c>
      <c r="AV11" s="21">
        <f>IFERROR(AU11/SUMIF('船长每月数据(2023年)'!$E:$E,$C:$C,'船长每月数据(2023年)'!$R:$R),0)</f>
        <v>0</v>
      </c>
      <c r="AW11" s="20">
        <f>SUMIFS('船长每月数据(2023年)'!$P:$P,'船长每月数据(2023年)'!$F:$F,$AW$2,'船长每月数据(2023年)'!$E:$E,$C:$C)</f>
        <v>0</v>
      </c>
      <c r="AX11" s="21">
        <f>IFERROR(AW11/SUMIF('船长每月数据(2023年)'!$E:$E,$C:$C,'船长每月数据(2023年)'!$P:$P),0)</f>
        <v>0</v>
      </c>
      <c r="AY11" s="38">
        <f>SUMIFS('船长每月数据(2023年)'!$R:$R,'船长每月数据(2023年)'!$F:$F,$AY$2,'船长每月数据(2023年)'!$E:$E,$C:$C)</f>
        <v>0</v>
      </c>
      <c r="AZ11" s="21">
        <f>IFERROR(AY11/SUMIF('船长每月数据(2023年)'!$E:$E,$C:$C,'船长每月数据(2023年)'!$R:$R),0)</f>
        <v>0</v>
      </c>
      <c r="BA11" s="20">
        <f>SUMIFS('船长每月数据(2023年)'!$P:$P,'船长每月数据(2023年)'!$F:$F,$BA$2,'船长每月数据(2023年)'!$E:$E,$C:$C)</f>
        <v>0</v>
      </c>
      <c r="BB11" s="21">
        <f>IFERROR(BA11/SUMIF('船长每月数据(2023年)'!$E:$E,$C:$C,'船长每月数据(2023年)'!$P:$P),0)</f>
        <v>0</v>
      </c>
      <c r="BC11" s="38">
        <f>SUMIFS('船长每月数据(2023年)'!$R:$R,'船长每月数据(2023年)'!$F:$F,$BC$2,'船长每月数据(2023年)'!$E:$E,$C:$C)</f>
        <v>0</v>
      </c>
      <c r="BD11" s="21">
        <f>IFERROR(BC11/SUMIF('船长每月数据(2023年)'!$E:$E,$C:$C,'船长每月数据(2023年)'!$R:$R),0)</f>
        <v>0</v>
      </c>
      <c r="BE11" s="20">
        <f>SUMIFS('船长每月数据(2023年)'!$P:$P,'船长每月数据(2023年)'!$F:$F,$BE$2,'船长每月数据(2023年)'!$E:$E,$C:$C)</f>
        <v>0</v>
      </c>
      <c r="BF11" s="21">
        <f>IFERROR(BE11/SUMIF('船长每月数据(2023年)'!$E:$E,$C:$C,'船长每月数据(2023年)'!$P:$P),0)</f>
        <v>0</v>
      </c>
      <c r="BG11" s="38">
        <f>SUMIFS('船长每月数据(2023年)'!$R:$R,'船长每月数据(2023年)'!$F:$F,$BG$2,'船长每月数据(2023年)'!$E:$E,$C:$C)</f>
        <v>0</v>
      </c>
      <c r="BH11" s="21">
        <f>IFERROR(BG11/SUMIF('船长每月数据(2023年)'!$E:$E,$C:$C,'船长每月数据(2023年)'!$R:$R),0)</f>
        <v>0</v>
      </c>
      <c r="BI11" s="20">
        <f>SUMIFS('船长每月数据(2023年)'!$P:$P,'船长每月数据(2023年)'!$F:$F,$BI$2,'船长每月数据(2023年)'!$E:$E,$C:$C)</f>
        <v>0</v>
      </c>
      <c r="BJ11" s="21">
        <f>IFERROR(BI11/SUMIF('船长每月数据(2023年)'!$E:$E,$C:$C,'船长每月数据(2023年)'!$P:$P),0)</f>
        <v>0</v>
      </c>
      <c r="BK11" s="38">
        <f>SUMIFS('船长每月数据(2023年)'!$R:$R,'船长每月数据(2023年)'!$F:$F,$BK$2,'船长每月数据(2023年)'!$E:$E,$C:$C)</f>
        <v>0</v>
      </c>
      <c r="BL11" s="21">
        <f>IFERROR(BK11/SUMIF('船长每月数据(2023年)'!$E:$E,$C:$C,'船长每月数据(2023年)'!$R:$R),0)</f>
        <v>0</v>
      </c>
      <c r="BM11" s="20">
        <f>SUMIFS('船长每月数据(2023年)'!$P:$P,'船长每月数据(2023年)'!$F:$F,$BM$2,'船长每月数据(2023年)'!$E:$E,$C:$C)</f>
        <v>0</v>
      </c>
      <c r="BN11" s="21">
        <f>IFERROR(BM11/SUMIF('船长每月数据(2023年)'!$E:$E,$C:$C,'船长每月数据(2023年)'!$P:$P),0)</f>
        <v>0</v>
      </c>
      <c r="BO11" s="38">
        <f>SUMIFS('船长每月数据(2023年)'!$R:$R,'船长每月数据(2023年)'!$F:$F,$BO$2,'船长每月数据(2023年)'!$E:$E,$C:$C)</f>
        <v>0</v>
      </c>
      <c r="BP11" s="21">
        <f>IFERROR(BO11/SUMIF('船长每月数据(2023年)'!$E:$E,$C:$C,'船长每月数据(2023年)'!$R:$R),0)</f>
        <v>0</v>
      </c>
      <c r="BQ11" s="20">
        <f>SUMIFS('船长每月数据(2023年)'!$P:$P,'船长每月数据(2023年)'!$F:$F,$BQ$2,'船长每月数据(2023年)'!$E:$E,$C:$C)</f>
        <v>0</v>
      </c>
      <c r="BR11" s="21">
        <f>IFERROR(BQ11/SUMIF('船长每月数据(2023年)'!$E:$E,$C:$C,'船长每月数据(2023年)'!$P:$P),0)</f>
        <v>0</v>
      </c>
      <c r="BS11" s="38">
        <f>SUMIFS('船长每月数据(2023年)'!$R:$R,'船长每月数据(2023年)'!$F:$F,$BS$2,'船长每月数据(2023年)'!$E:$E,$C:$C)</f>
        <v>0</v>
      </c>
      <c r="BT11" s="21">
        <f>IFERROR(BS11/SUMIF('船长每月数据(2023年)'!$E:$E,$C:$C,'船长每月数据(2023年)'!$R:$R),0)</f>
        <v>0</v>
      </c>
      <c r="BU11" s="20">
        <f>SUMIFS('船长每月数据(2023年)'!$P:$P,'船长每月数据(2023年)'!$F:$F,$BU$2,'船长每月数据(2023年)'!$E:$E,$C:$C)</f>
        <v>0</v>
      </c>
      <c r="BV11" s="21">
        <f>IFERROR(BU11/SUMIF('船长每月数据(2023年)'!$E:$E,$C:$C,'船长每月数据(2023年)'!$P:$P),0)</f>
        <v>0</v>
      </c>
      <c r="BW11" s="38">
        <f>SUMIFS('船长每月数据(2023年)'!$R:$R,'船长每月数据(2023年)'!$F:$F,$BW$2,'船长每月数据(2023年)'!$E:$E,$C:$C)</f>
        <v>0</v>
      </c>
      <c r="BX11" s="21">
        <f>IFERROR(BW11/SUMIF('船长每月数据(2023年)'!$E:$E,$C:$C,'船长每月数据(2023年)'!$R:$R),0)</f>
        <v>0</v>
      </c>
    </row>
    <row r="12" ht="23" customHeight="1" spans="1:76">
      <c r="A12" s="36"/>
      <c r="B12" s="36"/>
      <c r="C12" s="20"/>
      <c r="D12" s="74"/>
      <c r="E12" s="20">
        <f>SUMIFS('船长每月数据(2022年)'!$P:$P,'船长每月数据(2022年)'!$F:$F,$E$2,'船长每月数据(2022年)'!E:E,C:C)</f>
        <v>0</v>
      </c>
      <c r="F12" s="85">
        <f>SUMIFS('船长每月数据(2022年)'!$R:$R,'船长每月数据(2022年)'!$F:$F,$F$2,'船长每月数据(2022年)'!E:E,C:C)</f>
        <v>0</v>
      </c>
      <c r="G12" s="20">
        <f>SUMIFS('船长每月数据(2022年)'!$P:$P,'船长每月数据(2022年)'!$F:$F,$G$2,'船长每月数据(2022年)'!$E:$E,$C:$C)</f>
        <v>0</v>
      </c>
      <c r="H12" s="85">
        <f>SUMIFS('船长每月数据(2022年)'!$R:$R,'船长每月数据(2022年)'!$F:$F,$H$2,'船长每月数据(2022年)'!$E:$E,$C:$C)</f>
        <v>0</v>
      </c>
      <c r="I12" s="20">
        <f>SUMIFS('船长每月数据(2022年)'!$P:$P,'船长每月数据(2022年)'!$F:$F,$I$2,'船长每月数据(2022年)'!$E:$E,$C:$C)</f>
        <v>0</v>
      </c>
      <c r="J12" s="85">
        <f>SUMIFS('船长每月数据(2022年)'!$R:$R,'船长每月数据(2022年)'!$F:$F,$J$2,'船长每月数据(2022年)'!$E:$E,$C:$C)</f>
        <v>0</v>
      </c>
      <c r="K12" s="20">
        <f>SUMIFS('船长每月数据(2022年)'!$P:$P,'船长每月数据(2022年)'!$F:$F,$K$2,'船长每月数据(2022年)'!$E:$E,$C:$C)</f>
        <v>0</v>
      </c>
      <c r="L12" s="85">
        <f>SUMIFS('船长每月数据(2022年)'!$R:$R,'船长每月数据(2022年)'!$F:$F,$L$2,'船长每月数据(2022年)'!$E:$E,$C:$C)</f>
        <v>0</v>
      </c>
      <c r="M12" s="20">
        <f>SUMIFS('船长每月数据(2022年)'!$P:$P,'船长每月数据(2022年)'!$F:$F,$M$2,'船长每月数据(2022年)'!$E:$E,$C:$C)</f>
        <v>0</v>
      </c>
      <c r="N12" s="85">
        <f>SUMIFS('船长每月数据(2022年)'!$R:$R,'船长每月数据(2022年)'!$F:$F,$N$2,'船长每月数据(2022年)'!$E:$E,$C:$C)</f>
        <v>0</v>
      </c>
      <c r="O12" s="20">
        <f>SUMIFS('船长每月数据(2022年)'!$P:$P,'船长每月数据(2022年)'!$F:$F,$O$2,'船长每月数据(2022年)'!$E:$E,$C:$C)</f>
        <v>0</v>
      </c>
      <c r="P12" s="85">
        <f>SUMIFS('船长每月数据(2022年)'!$R:$R,'船长每月数据(2022年)'!$F:$F,$P$2,'船长每月数据(2022年)'!$E:$E,$C:$C)</f>
        <v>0</v>
      </c>
      <c r="Q12" s="20">
        <f>SUMIFS('船长每月数据(2022年)'!$P:$P,'船长每月数据(2022年)'!$F:$F,$Q$2,'船长每月数据(2022年)'!$E:$E,$C:$C)</f>
        <v>0</v>
      </c>
      <c r="R12" s="85">
        <f>SUMIFS('船长每月数据(2022年)'!$R:$R,'船长每月数据(2022年)'!$F:$F,$R$2,'船长每月数据(2022年)'!$E:$E,$C:$C)</f>
        <v>0</v>
      </c>
      <c r="S12" s="20">
        <f>SUMIFS('船长每月数据(2022年)'!$P:$P,'船长每月数据(2022年)'!$F:$F,$S$2,'船长每月数据(2022年)'!$E:$E,$C:$C)</f>
        <v>0</v>
      </c>
      <c r="T12" s="85">
        <f>SUMIFS('船长每月数据(2022年)'!$R:$R,'船长每月数据(2022年)'!$F:$F,$T$2,'船长每月数据(2022年)'!$E:$E,$C:$C)</f>
        <v>0</v>
      </c>
      <c r="U12" s="20">
        <f>SUMIFS('船长每月数据(2022年)'!$P:$P,'船长每月数据(2022年)'!$F:$F,$U$2,'船长每月数据(2022年)'!$E:$E,$C:$C)</f>
        <v>0</v>
      </c>
      <c r="V12" s="85">
        <f>SUMIFS('船长每月数据(2022年)'!$R:$R,'船长每月数据(2022年)'!$F:$F,$V$2,'船长每月数据(2022年)'!$E:$E,$C:$C)</f>
        <v>0</v>
      </c>
      <c r="W12" s="20">
        <f>SUMIFS('船长每月数据(2022年)'!$P:$P,'船长每月数据(2022年)'!$F:$F,$W$2,'船长每月数据(2022年)'!$E:$E,$C:$C)</f>
        <v>0</v>
      </c>
      <c r="X12" s="85">
        <f>SUMIFS('船长每月数据(2022年)'!$R:$R,'船长每月数据(2022年)'!$F:$F,$X$2,'船长每月数据(2022年)'!$E:$E,$C:$C)</f>
        <v>0</v>
      </c>
      <c r="Y12" s="20">
        <f>SUMIFS('船长每月数据(2022年)'!$P:$P,'船长每月数据(2022年)'!$F:$F,$Y$2,'船长每月数据(2022年)'!$E:$E,$C:$C)</f>
        <v>0</v>
      </c>
      <c r="Z12" s="85">
        <f>SUMIFS('船长每月数据(2022年)'!$R:$R,'船长每月数据(2022年)'!$F:$F,$Z$2,'船长每月数据(2022年)'!$E:$E,$C:$C)</f>
        <v>0</v>
      </c>
      <c r="AA12" s="20">
        <f>SUMIFS('船长每月数据(2022年)'!$P:$P,'船长每月数据(2022年)'!$F:$F,$AA$2,'船长每月数据(2022年)'!$E:$E,$C:$C)</f>
        <v>0</v>
      </c>
      <c r="AB12" s="85">
        <f>SUMIFS('船长每月数据(2022年)'!$R:$R,'船长每月数据(2022年)'!$F:$F,$AB$2,'船长每月数据(2022年)'!$E:$E,$C:$C)</f>
        <v>0</v>
      </c>
      <c r="AC12" s="20">
        <f>SUMIFS('船长每月数据(2023年)'!P:P,'船长每月数据(2023年)'!F:F,$AC$2,'船长每月数据(2023年)'!E:E,C:C)</f>
        <v>0</v>
      </c>
      <c r="AD12" s="21">
        <f>IFERROR(AC12/SUMIF('船长每月数据(2023年)'!$E:$E,C:C,'船长每月数据(2023年)'!P:P),0)</f>
        <v>0</v>
      </c>
      <c r="AE12" s="38">
        <f>SUMIFS('船长每月数据(2023年)'!$R:$R,'船长每月数据(2023年)'!$F:$F,$AE$2,'船长每月数据(2023年)'!$E:$E,$C:$C)</f>
        <v>0</v>
      </c>
      <c r="AF12" s="21">
        <f>IFERROR(AE12/SUMIF('船长每月数据(2023年)'!E:E,C:C,'船长每月数据(2023年)'!R:R),0)</f>
        <v>0</v>
      </c>
      <c r="AG12" s="20">
        <f>SUMIFS('船长每月数据(2023年)'!P:P,'船长每月数据(2023年)'!F:F,$AG$2,'船长每月数据(2023年)'!E:E,C:C)</f>
        <v>0</v>
      </c>
      <c r="AH12" s="21">
        <f>IFERROR(AG12/SUMIF('船长每月数据(2023年)'!$E:$E,$C:$C,'船长每月数据(2023年)'!$P:$P),0)</f>
        <v>0</v>
      </c>
      <c r="AI12" s="38">
        <f>SUMIFS('船长每月数据(2023年)'!$R:$R,'船长每月数据(2023年)'!$F:$F,$AI$2,'船长每月数据(2023年)'!$E:$E,$C:$C)</f>
        <v>0</v>
      </c>
      <c r="AJ12" s="21">
        <f>IFERROR(AI12/SUMIF('船长每月数据(2023年)'!$E:$E,$C:$C,'船长每月数据(2023年)'!$R:$R),0)</f>
        <v>0</v>
      </c>
      <c r="AK12" s="20">
        <f>SUMIFS('船长每月数据(2023年)'!P:P,'船长每月数据(2023年)'!F:F,$AK$2,'船长每月数据(2023年)'!E:E,C:C)</f>
        <v>0</v>
      </c>
      <c r="AL12" s="21">
        <f>IFERROR(AK12/SUMIF('船长每月数据(2023年)'!$E:$E,$C:$C,'船长每月数据(2023年)'!$P:$P),0)</f>
        <v>0</v>
      </c>
      <c r="AM12" s="38">
        <f>SUMIFS('船长每月数据(2023年)'!$R:$R,'船长每月数据(2023年)'!$F:$F,$AM$2,'船长每月数据(2023年)'!$E:$E,$C:$C)</f>
        <v>0</v>
      </c>
      <c r="AN12" s="21">
        <f>IFERROR(AM12/SUMIF('船长每月数据(2023年)'!$E:$E,$C:$C,'船长每月数据(2023年)'!$R:$R),0)</f>
        <v>0</v>
      </c>
      <c r="AO12" s="20">
        <f>SUMIFS('船长每月数据(2023年)'!P:P,'船长每月数据(2023年)'!F:F,$AO$2,'船长每月数据(2023年)'!E:E,C:C)</f>
        <v>0</v>
      </c>
      <c r="AP12" s="21">
        <f>IFERROR(AO12/SUMIF('船长每月数据(2023年)'!$E:$E,$C:$C,'船长每月数据(2023年)'!$P:$P),0)</f>
        <v>0</v>
      </c>
      <c r="AQ12" s="38">
        <f>SUMIFS('船长每月数据(2023年)'!$R:$R,'船长每月数据(2023年)'!$F:$F,$AQ$2,'船长每月数据(2023年)'!$E:$E,$C:$C)</f>
        <v>0</v>
      </c>
      <c r="AR12" s="21">
        <f>IFERROR(AQ12/SUMIF('船长每月数据(2023年)'!$E:$E,$C:$C,'船长每月数据(2023年)'!$R:$R),0)</f>
        <v>0</v>
      </c>
      <c r="AS12" s="20">
        <f>SUMIFS('船长每月数据(2023年)'!$P:$P,'船长每月数据(2023年)'!$F:$F,$AS$2,'船长每月数据(2023年)'!$E:$E,$C:$C)</f>
        <v>0</v>
      </c>
      <c r="AT12" s="21">
        <f>IFERROR(AS12/SUMIF('船长每月数据(2023年)'!$E:$E,$C:$C,'船长每月数据(2023年)'!$P:$P),0)</f>
        <v>0</v>
      </c>
      <c r="AU12" s="38">
        <f>SUMIFS('船长每月数据(2023年)'!$R:$R,'船长每月数据(2023年)'!$F:$F,$AU$2,'船长每月数据(2023年)'!$E:$E,$C:$C)</f>
        <v>0</v>
      </c>
      <c r="AV12" s="21">
        <f>IFERROR(AU12/SUMIF('船长每月数据(2023年)'!$E:$E,$C:$C,'船长每月数据(2023年)'!$R:$R),0)</f>
        <v>0</v>
      </c>
      <c r="AW12" s="20">
        <f>SUMIFS('船长每月数据(2023年)'!$P:$P,'船长每月数据(2023年)'!$F:$F,$AW$2,'船长每月数据(2023年)'!$E:$E,$C:$C)</f>
        <v>0</v>
      </c>
      <c r="AX12" s="21">
        <f>IFERROR(AW12/SUMIF('船长每月数据(2023年)'!$E:$E,$C:$C,'船长每月数据(2023年)'!$P:$P),0)</f>
        <v>0</v>
      </c>
      <c r="AY12" s="38">
        <f>SUMIFS('船长每月数据(2023年)'!$R:$R,'船长每月数据(2023年)'!$F:$F,$AY$2,'船长每月数据(2023年)'!$E:$E,$C:$C)</f>
        <v>0</v>
      </c>
      <c r="AZ12" s="21">
        <f>IFERROR(AY12/SUMIF('船长每月数据(2023年)'!$E:$E,$C:$C,'船长每月数据(2023年)'!$R:$R),0)</f>
        <v>0</v>
      </c>
      <c r="BA12" s="20">
        <f>SUMIFS('船长每月数据(2023年)'!$P:$P,'船长每月数据(2023年)'!$F:$F,$BA$2,'船长每月数据(2023年)'!$E:$E,$C:$C)</f>
        <v>0</v>
      </c>
      <c r="BB12" s="21">
        <f>IFERROR(BA12/SUMIF('船长每月数据(2023年)'!$E:$E,$C:$C,'船长每月数据(2023年)'!$P:$P),0)</f>
        <v>0</v>
      </c>
      <c r="BC12" s="38">
        <f>SUMIFS('船长每月数据(2023年)'!$R:$R,'船长每月数据(2023年)'!$F:$F,$BC$2,'船长每月数据(2023年)'!$E:$E,$C:$C)</f>
        <v>0</v>
      </c>
      <c r="BD12" s="21">
        <f>IFERROR(BC12/SUMIF('船长每月数据(2023年)'!$E:$E,$C:$C,'船长每月数据(2023年)'!$R:$R),0)</f>
        <v>0</v>
      </c>
      <c r="BE12" s="20">
        <f>SUMIFS('船长每月数据(2023年)'!$P:$P,'船长每月数据(2023年)'!$F:$F,$BE$2,'船长每月数据(2023年)'!$E:$E,$C:$C)</f>
        <v>0</v>
      </c>
      <c r="BF12" s="21">
        <f>IFERROR(BE12/SUMIF('船长每月数据(2023年)'!$E:$E,$C:$C,'船长每月数据(2023年)'!$P:$P),0)</f>
        <v>0</v>
      </c>
      <c r="BG12" s="38">
        <f>SUMIFS('船长每月数据(2023年)'!$R:$R,'船长每月数据(2023年)'!$F:$F,$BG$2,'船长每月数据(2023年)'!$E:$E,$C:$C)</f>
        <v>0</v>
      </c>
      <c r="BH12" s="21">
        <f>IFERROR(BG12/SUMIF('船长每月数据(2023年)'!$E:$E,$C:$C,'船长每月数据(2023年)'!$R:$R),0)</f>
        <v>0</v>
      </c>
      <c r="BI12" s="20">
        <f>SUMIFS('船长每月数据(2023年)'!$P:$P,'船长每月数据(2023年)'!$F:$F,$BI$2,'船长每月数据(2023年)'!$E:$E,$C:$C)</f>
        <v>0</v>
      </c>
      <c r="BJ12" s="21">
        <f>IFERROR(BI12/SUMIF('船长每月数据(2023年)'!$E:$E,$C:$C,'船长每月数据(2023年)'!$P:$P),0)</f>
        <v>0</v>
      </c>
      <c r="BK12" s="38">
        <f>SUMIFS('船长每月数据(2023年)'!$R:$R,'船长每月数据(2023年)'!$F:$F,$BK$2,'船长每月数据(2023年)'!$E:$E,$C:$C)</f>
        <v>0</v>
      </c>
      <c r="BL12" s="21">
        <f>IFERROR(BK12/SUMIF('船长每月数据(2023年)'!$E:$E,$C:$C,'船长每月数据(2023年)'!$R:$R),0)</f>
        <v>0</v>
      </c>
      <c r="BM12" s="20">
        <f>SUMIFS('船长每月数据(2023年)'!$P:$P,'船长每月数据(2023年)'!$F:$F,$BM$2,'船长每月数据(2023年)'!$E:$E,$C:$C)</f>
        <v>0</v>
      </c>
      <c r="BN12" s="21">
        <f>IFERROR(BM12/SUMIF('船长每月数据(2023年)'!$E:$E,$C:$C,'船长每月数据(2023年)'!$P:$P),0)</f>
        <v>0</v>
      </c>
      <c r="BO12" s="38">
        <f>SUMIFS('船长每月数据(2023年)'!$R:$R,'船长每月数据(2023年)'!$F:$F,$BO$2,'船长每月数据(2023年)'!$E:$E,$C:$C)</f>
        <v>0</v>
      </c>
      <c r="BP12" s="21">
        <f>IFERROR(BO12/SUMIF('船长每月数据(2023年)'!$E:$E,$C:$C,'船长每月数据(2023年)'!$R:$R),0)</f>
        <v>0</v>
      </c>
      <c r="BQ12" s="20">
        <f>SUMIFS('船长每月数据(2023年)'!$P:$P,'船长每月数据(2023年)'!$F:$F,$BQ$2,'船长每月数据(2023年)'!$E:$E,$C:$C)</f>
        <v>0</v>
      </c>
      <c r="BR12" s="21">
        <f>IFERROR(BQ12/SUMIF('船长每月数据(2023年)'!$E:$E,$C:$C,'船长每月数据(2023年)'!$P:$P),0)</f>
        <v>0</v>
      </c>
      <c r="BS12" s="38">
        <f>SUMIFS('船长每月数据(2023年)'!$R:$R,'船长每月数据(2023年)'!$F:$F,$BS$2,'船长每月数据(2023年)'!$E:$E,$C:$C)</f>
        <v>0</v>
      </c>
      <c r="BT12" s="21">
        <f>IFERROR(BS12/SUMIF('船长每月数据(2023年)'!$E:$E,$C:$C,'船长每月数据(2023年)'!$R:$R),0)</f>
        <v>0</v>
      </c>
      <c r="BU12" s="20">
        <f>SUMIFS('船长每月数据(2023年)'!$P:$P,'船长每月数据(2023年)'!$F:$F,$BU$2,'船长每月数据(2023年)'!$E:$E,$C:$C)</f>
        <v>0</v>
      </c>
      <c r="BV12" s="21">
        <f>IFERROR(BU12/SUMIF('船长每月数据(2023年)'!$E:$E,$C:$C,'船长每月数据(2023年)'!$P:$P),0)</f>
        <v>0</v>
      </c>
      <c r="BW12" s="38">
        <f>SUMIFS('船长每月数据(2023年)'!$R:$R,'船长每月数据(2023年)'!$F:$F,$BW$2,'船长每月数据(2023年)'!$E:$E,$C:$C)</f>
        <v>0</v>
      </c>
      <c r="BX12" s="21">
        <f>IFERROR(BW12/SUMIF('船长每月数据(2023年)'!$E:$E,$C:$C,'船长每月数据(2023年)'!$R:$R),0)</f>
        <v>0</v>
      </c>
    </row>
    <row r="13" ht="23" customHeight="1" spans="1:76">
      <c r="A13" s="36"/>
      <c r="B13" s="36"/>
      <c r="C13" s="20"/>
      <c r="D13" s="74"/>
      <c r="E13" s="20">
        <f>SUMIFS('船长每月数据(2022年)'!$P:$P,'船长每月数据(2022年)'!$F:$F,$E$2,'船长每月数据(2022年)'!E:E,C:C)</f>
        <v>0</v>
      </c>
      <c r="F13" s="85">
        <f>SUMIFS('船长每月数据(2022年)'!$R:$R,'船长每月数据(2022年)'!$F:$F,$F$2,'船长每月数据(2022年)'!E:E,C:C)</f>
        <v>0</v>
      </c>
      <c r="G13" s="20">
        <f>SUMIFS('船长每月数据(2022年)'!$P:$P,'船长每月数据(2022年)'!$F:$F,$G$2,'船长每月数据(2022年)'!$E:$E,$C:$C)</f>
        <v>0</v>
      </c>
      <c r="H13" s="85">
        <f>SUMIFS('船长每月数据(2022年)'!$R:$R,'船长每月数据(2022年)'!$F:$F,$H$2,'船长每月数据(2022年)'!$E:$E,$C:$C)</f>
        <v>0</v>
      </c>
      <c r="I13" s="20">
        <f>SUMIFS('船长每月数据(2022年)'!$P:$P,'船长每月数据(2022年)'!$F:$F,$I$2,'船长每月数据(2022年)'!$E:$E,$C:$C)</f>
        <v>0</v>
      </c>
      <c r="J13" s="85">
        <f>SUMIFS('船长每月数据(2022年)'!$R:$R,'船长每月数据(2022年)'!$F:$F,$J$2,'船长每月数据(2022年)'!$E:$E,$C:$C)</f>
        <v>0</v>
      </c>
      <c r="K13" s="20">
        <f>SUMIFS('船长每月数据(2022年)'!$P:$P,'船长每月数据(2022年)'!$F:$F,$K$2,'船长每月数据(2022年)'!$E:$E,$C:$C)</f>
        <v>0</v>
      </c>
      <c r="L13" s="85">
        <f>SUMIFS('船长每月数据(2022年)'!$R:$R,'船长每月数据(2022年)'!$F:$F,$L$2,'船长每月数据(2022年)'!$E:$E,$C:$C)</f>
        <v>0</v>
      </c>
      <c r="M13" s="20">
        <f>SUMIFS('船长每月数据(2022年)'!$P:$P,'船长每月数据(2022年)'!$F:$F,$M$2,'船长每月数据(2022年)'!$E:$E,$C:$C)</f>
        <v>0</v>
      </c>
      <c r="N13" s="85">
        <f>SUMIFS('船长每月数据(2022年)'!$R:$R,'船长每月数据(2022年)'!$F:$F,$N$2,'船长每月数据(2022年)'!$E:$E,$C:$C)</f>
        <v>0</v>
      </c>
      <c r="O13" s="20">
        <f>SUMIFS('船长每月数据(2022年)'!$P:$P,'船长每月数据(2022年)'!$F:$F,$O$2,'船长每月数据(2022年)'!$E:$E,$C:$C)</f>
        <v>0</v>
      </c>
      <c r="P13" s="85">
        <f>SUMIFS('船长每月数据(2022年)'!$R:$R,'船长每月数据(2022年)'!$F:$F,$P$2,'船长每月数据(2022年)'!$E:$E,$C:$C)</f>
        <v>0</v>
      </c>
      <c r="Q13" s="20">
        <f>SUMIFS('船长每月数据(2022年)'!$P:$P,'船长每月数据(2022年)'!$F:$F,$Q$2,'船长每月数据(2022年)'!$E:$E,$C:$C)</f>
        <v>0</v>
      </c>
      <c r="R13" s="85">
        <f>SUMIFS('船长每月数据(2022年)'!$R:$R,'船长每月数据(2022年)'!$F:$F,$R$2,'船长每月数据(2022年)'!$E:$E,$C:$C)</f>
        <v>0</v>
      </c>
      <c r="S13" s="20">
        <f>SUMIFS('船长每月数据(2022年)'!$P:$P,'船长每月数据(2022年)'!$F:$F,$S$2,'船长每月数据(2022年)'!$E:$E,$C:$C)</f>
        <v>0</v>
      </c>
      <c r="T13" s="85">
        <f>SUMIFS('船长每月数据(2022年)'!$R:$R,'船长每月数据(2022年)'!$F:$F,$T$2,'船长每月数据(2022年)'!$E:$E,$C:$C)</f>
        <v>0</v>
      </c>
      <c r="U13" s="20">
        <f>SUMIFS('船长每月数据(2022年)'!$P:$P,'船长每月数据(2022年)'!$F:$F,$U$2,'船长每月数据(2022年)'!$E:$E,$C:$C)</f>
        <v>0</v>
      </c>
      <c r="V13" s="85">
        <f>SUMIFS('船长每月数据(2022年)'!$R:$R,'船长每月数据(2022年)'!$F:$F,$V$2,'船长每月数据(2022年)'!$E:$E,$C:$C)</f>
        <v>0</v>
      </c>
      <c r="W13" s="20">
        <f>SUMIFS('船长每月数据(2022年)'!$P:$P,'船长每月数据(2022年)'!$F:$F,$W$2,'船长每月数据(2022年)'!$E:$E,$C:$C)</f>
        <v>0</v>
      </c>
      <c r="X13" s="85">
        <f>SUMIFS('船长每月数据(2022年)'!$R:$R,'船长每月数据(2022年)'!$F:$F,$X$2,'船长每月数据(2022年)'!$E:$E,$C:$C)</f>
        <v>0</v>
      </c>
      <c r="Y13" s="20">
        <f>SUMIFS('船长每月数据(2022年)'!$P:$P,'船长每月数据(2022年)'!$F:$F,$Y$2,'船长每月数据(2022年)'!$E:$E,$C:$C)</f>
        <v>0</v>
      </c>
      <c r="Z13" s="85">
        <f>SUMIFS('船长每月数据(2022年)'!$R:$R,'船长每月数据(2022年)'!$F:$F,$Z$2,'船长每月数据(2022年)'!$E:$E,$C:$C)</f>
        <v>0</v>
      </c>
      <c r="AA13" s="20">
        <f>SUMIFS('船长每月数据(2022年)'!$P:$P,'船长每月数据(2022年)'!$F:$F,$AA$2,'船长每月数据(2022年)'!$E:$E,$C:$C)</f>
        <v>0</v>
      </c>
      <c r="AB13" s="85">
        <f>SUMIFS('船长每月数据(2022年)'!$R:$R,'船长每月数据(2022年)'!$F:$F,$AB$2,'船长每月数据(2022年)'!$E:$E,$C:$C)</f>
        <v>0</v>
      </c>
      <c r="AC13" s="20">
        <f>SUMIFS('船长每月数据(2023年)'!P:P,'船长每月数据(2023年)'!F:F,$AC$2,'船长每月数据(2023年)'!E:E,C:C)</f>
        <v>0</v>
      </c>
      <c r="AD13" s="21">
        <f>IFERROR(AC13/SUMIF('船长每月数据(2023年)'!$E:$E,C:C,'船长每月数据(2023年)'!P:P),0)</f>
        <v>0</v>
      </c>
      <c r="AE13" s="38">
        <f>SUMIFS('船长每月数据(2023年)'!$R:$R,'船长每月数据(2023年)'!$F:$F,$AE$2,'船长每月数据(2023年)'!$E:$E,$C:$C)</f>
        <v>0</v>
      </c>
      <c r="AF13" s="21">
        <f>IFERROR(AE13/SUMIF('船长每月数据(2023年)'!E:E,C:C,'船长每月数据(2023年)'!R:R),0)</f>
        <v>0</v>
      </c>
      <c r="AG13" s="20">
        <f>SUMIFS('船长每月数据(2023年)'!P:P,'船长每月数据(2023年)'!F:F,$AG$2,'船长每月数据(2023年)'!E:E,C:C)</f>
        <v>0</v>
      </c>
      <c r="AH13" s="21">
        <f>IFERROR(AG13/SUMIF('船长每月数据(2023年)'!$E:$E,$C:$C,'船长每月数据(2023年)'!$P:$P),0)</f>
        <v>0</v>
      </c>
      <c r="AI13" s="38">
        <f>SUMIFS('船长每月数据(2023年)'!$R:$R,'船长每月数据(2023年)'!$F:$F,$AI$2,'船长每月数据(2023年)'!$E:$E,$C:$C)</f>
        <v>0</v>
      </c>
      <c r="AJ13" s="21">
        <f>IFERROR(AI13/SUMIF('船长每月数据(2023年)'!$E:$E,$C:$C,'船长每月数据(2023年)'!$R:$R),0)</f>
        <v>0</v>
      </c>
      <c r="AK13" s="20">
        <f>SUMIFS('船长每月数据(2023年)'!P:P,'船长每月数据(2023年)'!F:F,$AK$2,'船长每月数据(2023年)'!E:E,C:C)</f>
        <v>0</v>
      </c>
      <c r="AL13" s="21">
        <f>IFERROR(AK13/SUMIF('船长每月数据(2023年)'!$E:$E,$C:$C,'船长每月数据(2023年)'!$P:$P),0)</f>
        <v>0</v>
      </c>
      <c r="AM13" s="38">
        <f>SUMIFS('船长每月数据(2023年)'!$R:$R,'船长每月数据(2023年)'!$F:$F,$AM$2,'船长每月数据(2023年)'!$E:$E,$C:$C)</f>
        <v>0</v>
      </c>
      <c r="AN13" s="21">
        <f>IFERROR(AM13/SUMIF('船长每月数据(2023年)'!$E:$E,$C:$C,'船长每月数据(2023年)'!$R:$R),0)</f>
        <v>0</v>
      </c>
      <c r="AO13" s="20">
        <f>SUMIFS('船长每月数据(2023年)'!P:P,'船长每月数据(2023年)'!F:F,$AO$2,'船长每月数据(2023年)'!E:E,C:C)</f>
        <v>0</v>
      </c>
      <c r="AP13" s="21">
        <f>IFERROR(AO13/SUMIF('船长每月数据(2023年)'!$E:$E,$C:$C,'船长每月数据(2023年)'!$P:$P),0)</f>
        <v>0</v>
      </c>
      <c r="AQ13" s="38">
        <f>SUMIFS('船长每月数据(2023年)'!$R:$R,'船长每月数据(2023年)'!$F:$F,$AQ$2,'船长每月数据(2023年)'!$E:$E,$C:$C)</f>
        <v>0</v>
      </c>
      <c r="AR13" s="21">
        <f>IFERROR(AQ13/SUMIF('船长每月数据(2023年)'!$E:$E,$C:$C,'船长每月数据(2023年)'!$R:$R),0)</f>
        <v>0</v>
      </c>
      <c r="AS13" s="20">
        <f>SUMIFS('船长每月数据(2023年)'!$P:$P,'船长每月数据(2023年)'!$F:$F,$AS$2,'船长每月数据(2023年)'!$E:$E,$C:$C)</f>
        <v>0</v>
      </c>
      <c r="AT13" s="21">
        <f>IFERROR(AS13/SUMIF('船长每月数据(2023年)'!$E:$E,$C:$C,'船长每月数据(2023年)'!$P:$P),0)</f>
        <v>0</v>
      </c>
      <c r="AU13" s="38">
        <f>SUMIFS('船长每月数据(2023年)'!$R:$R,'船长每月数据(2023年)'!$F:$F,$AU$2,'船长每月数据(2023年)'!$E:$E,$C:$C)</f>
        <v>0</v>
      </c>
      <c r="AV13" s="21">
        <f>IFERROR(AU13/SUMIF('船长每月数据(2023年)'!$E:$E,$C:$C,'船长每月数据(2023年)'!$R:$R),0)</f>
        <v>0</v>
      </c>
      <c r="AW13" s="20">
        <f>SUMIFS('船长每月数据(2023年)'!$P:$P,'船长每月数据(2023年)'!$F:$F,$AW$2,'船长每月数据(2023年)'!$E:$E,$C:$C)</f>
        <v>0</v>
      </c>
      <c r="AX13" s="21">
        <f>IFERROR(AW13/SUMIF('船长每月数据(2023年)'!$E:$E,$C:$C,'船长每月数据(2023年)'!$P:$P),0)</f>
        <v>0</v>
      </c>
      <c r="AY13" s="38">
        <f>SUMIFS('船长每月数据(2023年)'!$R:$R,'船长每月数据(2023年)'!$F:$F,$AY$2,'船长每月数据(2023年)'!$E:$E,$C:$C)</f>
        <v>0</v>
      </c>
      <c r="AZ13" s="21">
        <f>IFERROR(AY13/SUMIF('船长每月数据(2023年)'!$E:$E,$C:$C,'船长每月数据(2023年)'!$R:$R),0)</f>
        <v>0</v>
      </c>
      <c r="BA13" s="20">
        <f>SUMIFS('船长每月数据(2023年)'!$P:$P,'船长每月数据(2023年)'!$F:$F,$BA$2,'船长每月数据(2023年)'!$E:$E,$C:$C)</f>
        <v>0</v>
      </c>
      <c r="BB13" s="21">
        <f>IFERROR(BA13/SUMIF('船长每月数据(2023年)'!$E:$E,$C:$C,'船长每月数据(2023年)'!$P:$P),0)</f>
        <v>0</v>
      </c>
      <c r="BC13" s="38">
        <f>SUMIFS('船长每月数据(2023年)'!$R:$R,'船长每月数据(2023年)'!$F:$F,$BC$2,'船长每月数据(2023年)'!$E:$E,$C:$C)</f>
        <v>0</v>
      </c>
      <c r="BD13" s="21">
        <f>IFERROR(BC13/SUMIF('船长每月数据(2023年)'!$E:$E,$C:$C,'船长每月数据(2023年)'!$R:$R),0)</f>
        <v>0</v>
      </c>
      <c r="BE13" s="20">
        <f>SUMIFS('船长每月数据(2023年)'!$P:$P,'船长每月数据(2023年)'!$F:$F,$BE$2,'船长每月数据(2023年)'!$E:$E,$C:$C)</f>
        <v>0</v>
      </c>
      <c r="BF13" s="21">
        <f>IFERROR(BE13/SUMIF('船长每月数据(2023年)'!$E:$E,$C:$C,'船长每月数据(2023年)'!$P:$P),0)</f>
        <v>0</v>
      </c>
      <c r="BG13" s="38">
        <f>SUMIFS('船长每月数据(2023年)'!$R:$R,'船长每月数据(2023年)'!$F:$F,$BG$2,'船长每月数据(2023年)'!$E:$E,$C:$C)</f>
        <v>0</v>
      </c>
      <c r="BH13" s="21">
        <f>IFERROR(BG13/SUMIF('船长每月数据(2023年)'!$E:$E,$C:$C,'船长每月数据(2023年)'!$R:$R),0)</f>
        <v>0</v>
      </c>
      <c r="BI13" s="20">
        <f>SUMIFS('船长每月数据(2023年)'!$P:$P,'船长每月数据(2023年)'!$F:$F,$BI$2,'船长每月数据(2023年)'!$E:$E,$C:$C)</f>
        <v>0</v>
      </c>
      <c r="BJ13" s="21">
        <f>IFERROR(BI13/SUMIF('船长每月数据(2023年)'!$E:$E,$C:$C,'船长每月数据(2023年)'!$P:$P),0)</f>
        <v>0</v>
      </c>
      <c r="BK13" s="38">
        <f>SUMIFS('船长每月数据(2023年)'!$R:$R,'船长每月数据(2023年)'!$F:$F,$BK$2,'船长每月数据(2023年)'!$E:$E,$C:$C)</f>
        <v>0</v>
      </c>
      <c r="BL13" s="21">
        <f>IFERROR(BK13/SUMIF('船长每月数据(2023年)'!$E:$E,$C:$C,'船长每月数据(2023年)'!$R:$R),0)</f>
        <v>0</v>
      </c>
      <c r="BM13" s="20">
        <f>SUMIFS('船长每月数据(2023年)'!$P:$P,'船长每月数据(2023年)'!$F:$F,$BM$2,'船长每月数据(2023年)'!$E:$E,$C:$C)</f>
        <v>0</v>
      </c>
      <c r="BN13" s="21">
        <f>IFERROR(BM13/SUMIF('船长每月数据(2023年)'!$E:$E,$C:$C,'船长每月数据(2023年)'!$P:$P),0)</f>
        <v>0</v>
      </c>
      <c r="BO13" s="38">
        <f>SUMIFS('船长每月数据(2023年)'!$R:$R,'船长每月数据(2023年)'!$F:$F,$BO$2,'船长每月数据(2023年)'!$E:$E,$C:$C)</f>
        <v>0</v>
      </c>
      <c r="BP13" s="21">
        <f>IFERROR(BO13/SUMIF('船长每月数据(2023年)'!$E:$E,$C:$C,'船长每月数据(2023年)'!$R:$R),0)</f>
        <v>0</v>
      </c>
      <c r="BQ13" s="20">
        <f>SUMIFS('船长每月数据(2023年)'!$P:$P,'船长每月数据(2023年)'!$F:$F,$BQ$2,'船长每月数据(2023年)'!$E:$E,$C:$C)</f>
        <v>0</v>
      </c>
      <c r="BR13" s="21">
        <f>IFERROR(BQ13/SUMIF('船长每月数据(2023年)'!$E:$E,$C:$C,'船长每月数据(2023年)'!$P:$P),0)</f>
        <v>0</v>
      </c>
      <c r="BS13" s="38">
        <f>SUMIFS('船长每月数据(2023年)'!$R:$R,'船长每月数据(2023年)'!$F:$F,$BS$2,'船长每月数据(2023年)'!$E:$E,$C:$C)</f>
        <v>0</v>
      </c>
      <c r="BT13" s="21">
        <f>IFERROR(BS13/SUMIF('船长每月数据(2023年)'!$E:$E,$C:$C,'船长每月数据(2023年)'!$R:$R),0)</f>
        <v>0</v>
      </c>
      <c r="BU13" s="20">
        <f>SUMIFS('船长每月数据(2023年)'!$P:$P,'船长每月数据(2023年)'!$F:$F,$BU$2,'船长每月数据(2023年)'!$E:$E,$C:$C)</f>
        <v>0</v>
      </c>
      <c r="BV13" s="21">
        <f>IFERROR(BU13/SUMIF('船长每月数据(2023年)'!$E:$E,$C:$C,'船长每月数据(2023年)'!$P:$P),0)</f>
        <v>0</v>
      </c>
      <c r="BW13" s="38">
        <f>SUMIFS('船长每月数据(2023年)'!$R:$R,'船长每月数据(2023年)'!$F:$F,$BW$2,'船长每月数据(2023年)'!$E:$E,$C:$C)</f>
        <v>0</v>
      </c>
      <c r="BX13" s="21">
        <f>IFERROR(BW13/SUMIF('船长每月数据(2023年)'!$E:$E,$C:$C,'船长每月数据(2023年)'!$R:$R),0)</f>
        <v>0</v>
      </c>
    </row>
    <row r="14" ht="23" customHeight="1" spans="1:76">
      <c r="A14" s="36"/>
      <c r="B14" s="36"/>
      <c r="C14" s="20"/>
      <c r="D14" s="74"/>
      <c r="E14" s="20">
        <f>SUMIFS('船长每月数据(2022年)'!$P:$P,'船长每月数据(2022年)'!$F:$F,$E$2,'船长每月数据(2022年)'!E:E,C:C)</f>
        <v>0</v>
      </c>
      <c r="F14" s="85">
        <f>SUMIFS('船长每月数据(2022年)'!$R:$R,'船长每月数据(2022年)'!$F:$F,$F$2,'船长每月数据(2022年)'!E:E,C:C)</f>
        <v>0</v>
      </c>
      <c r="G14" s="20">
        <f>SUMIFS('船长每月数据(2022年)'!$P:$P,'船长每月数据(2022年)'!$F:$F,$G$2,'船长每月数据(2022年)'!$E:$E,$C:$C)</f>
        <v>0</v>
      </c>
      <c r="H14" s="85">
        <f>SUMIFS('船长每月数据(2022年)'!$R:$R,'船长每月数据(2022年)'!$F:$F,$H$2,'船长每月数据(2022年)'!$E:$E,$C:$C)</f>
        <v>0</v>
      </c>
      <c r="I14" s="20">
        <f>SUMIFS('船长每月数据(2022年)'!$P:$P,'船长每月数据(2022年)'!$F:$F,$I$2,'船长每月数据(2022年)'!$E:$E,$C:$C)</f>
        <v>0</v>
      </c>
      <c r="J14" s="85">
        <f>SUMIFS('船长每月数据(2022年)'!$R:$R,'船长每月数据(2022年)'!$F:$F,$J$2,'船长每月数据(2022年)'!$E:$E,$C:$C)</f>
        <v>0</v>
      </c>
      <c r="K14" s="20">
        <f>SUMIFS('船长每月数据(2022年)'!$P:$P,'船长每月数据(2022年)'!$F:$F,$K$2,'船长每月数据(2022年)'!$E:$E,$C:$C)</f>
        <v>0</v>
      </c>
      <c r="L14" s="85">
        <f>SUMIFS('船长每月数据(2022年)'!$R:$R,'船长每月数据(2022年)'!$F:$F,$L$2,'船长每月数据(2022年)'!$E:$E,$C:$C)</f>
        <v>0</v>
      </c>
      <c r="M14" s="20">
        <f>SUMIFS('船长每月数据(2022年)'!$P:$P,'船长每月数据(2022年)'!$F:$F,$M$2,'船长每月数据(2022年)'!$E:$E,$C:$C)</f>
        <v>0</v>
      </c>
      <c r="N14" s="85">
        <f>SUMIFS('船长每月数据(2022年)'!$R:$R,'船长每月数据(2022年)'!$F:$F,$N$2,'船长每月数据(2022年)'!$E:$E,$C:$C)</f>
        <v>0</v>
      </c>
      <c r="O14" s="20">
        <f>SUMIFS('船长每月数据(2022年)'!$P:$P,'船长每月数据(2022年)'!$F:$F,$O$2,'船长每月数据(2022年)'!$E:$E,$C:$C)</f>
        <v>0</v>
      </c>
      <c r="P14" s="85">
        <f>SUMIFS('船长每月数据(2022年)'!$R:$R,'船长每月数据(2022年)'!$F:$F,$P$2,'船长每月数据(2022年)'!$E:$E,$C:$C)</f>
        <v>0</v>
      </c>
      <c r="Q14" s="20">
        <f>SUMIFS('船长每月数据(2022年)'!$P:$P,'船长每月数据(2022年)'!$F:$F,$Q$2,'船长每月数据(2022年)'!$E:$E,$C:$C)</f>
        <v>0</v>
      </c>
      <c r="R14" s="85">
        <f>SUMIFS('船长每月数据(2022年)'!$R:$R,'船长每月数据(2022年)'!$F:$F,$R$2,'船长每月数据(2022年)'!$E:$E,$C:$C)</f>
        <v>0</v>
      </c>
      <c r="S14" s="20">
        <f>SUMIFS('船长每月数据(2022年)'!$P:$P,'船长每月数据(2022年)'!$F:$F,$S$2,'船长每月数据(2022年)'!$E:$E,$C:$C)</f>
        <v>0</v>
      </c>
      <c r="T14" s="85">
        <f>SUMIFS('船长每月数据(2022年)'!$R:$R,'船长每月数据(2022年)'!$F:$F,$T$2,'船长每月数据(2022年)'!$E:$E,$C:$C)</f>
        <v>0</v>
      </c>
      <c r="U14" s="20">
        <f>SUMIFS('船长每月数据(2022年)'!$P:$P,'船长每月数据(2022年)'!$F:$F,$U$2,'船长每月数据(2022年)'!$E:$E,$C:$C)</f>
        <v>0</v>
      </c>
      <c r="V14" s="85">
        <f>SUMIFS('船长每月数据(2022年)'!$R:$R,'船长每月数据(2022年)'!$F:$F,$V$2,'船长每月数据(2022年)'!$E:$E,$C:$C)</f>
        <v>0</v>
      </c>
      <c r="W14" s="20">
        <f>SUMIFS('船长每月数据(2022年)'!$P:$P,'船长每月数据(2022年)'!$F:$F,$W$2,'船长每月数据(2022年)'!$E:$E,$C:$C)</f>
        <v>0</v>
      </c>
      <c r="X14" s="85">
        <f>SUMIFS('船长每月数据(2022年)'!$R:$R,'船长每月数据(2022年)'!$F:$F,$X$2,'船长每月数据(2022年)'!$E:$E,$C:$C)</f>
        <v>0</v>
      </c>
      <c r="Y14" s="20">
        <f>SUMIFS('船长每月数据(2022年)'!$P:$P,'船长每月数据(2022年)'!$F:$F,$Y$2,'船长每月数据(2022年)'!$E:$E,$C:$C)</f>
        <v>0</v>
      </c>
      <c r="Z14" s="85">
        <f>SUMIFS('船长每月数据(2022年)'!$R:$R,'船长每月数据(2022年)'!$F:$F,$Z$2,'船长每月数据(2022年)'!$E:$E,$C:$C)</f>
        <v>0</v>
      </c>
      <c r="AA14" s="20">
        <f>SUMIFS('船长每月数据(2022年)'!$P:$P,'船长每月数据(2022年)'!$F:$F,$AA$2,'船长每月数据(2022年)'!$E:$E,$C:$C)</f>
        <v>0</v>
      </c>
      <c r="AB14" s="85">
        <f>SUMIFS('船长每月数据(2022年)'!$R:$R,'船长每月数据(2022年)'!$F:$F,$AB$2,'船长每月数据(2022年)'!$E:$E,$C:$C)</f>
        <v>0</v>
      </c>
      <c r="AC14" s="20">
        <f>SUMIFS('船长每月数据(2023年)'!P:P,'船长每月数据(2023年)'!F:F,$AC$2,'船长每月数据(2023年)'!E:E,C:C)</f>
        <v>0</v>
      </c>
      <c r="AD14" s="21">
        <f>IFERROR(AC14/SUMIF('船长每月数据(2023年)'!$E:$E,C:C,'船长每月数据(2023年)'!P:P),0)</f>
        <v>0</v>
      </c>
      <c r="AE14" s="38">
        <f>SUMIFS('船长每月数据(2023年)'!$R:$R,'船长每月数据(2023年)'!$F:$F,$AE$2,'船长每月数据(2023年)'!$E:$E,$C:$C)</f>
        <v>0</v>
      </c>
      <c r="AF14" s="21">
        <f>IFERROR(AE14/SUMIF('船长每月数据(2023年)'!E:E,C:C,'船长每月数据(2023年)'!R:R),0)</f>
        <v>0</v>
      </c>
      <c r="AG14" s="20">
        <f>SUMIFS('船长每月数据(2023年)'!P:P,'船长每月数据(2023年)'!F:F,$AG$2,'船长每月数据(2023年)'!E:E,C:C)</f>
        <v>0</v>
      </c>
      <c r="AH14" s="21">
        <f>IFERROR(AG14/SUMIF('船长每月数据(2023年)'!$E:$E,$C:$C,'船长每月数据(2023年)'!$P:$P),0)</f>
        <v>0</v>
      </c>
      <c r="AI14" s="38">
        <f>SUMIFS('船长每月数据(2023年)'!$R:$R,'船长每月数据(2023年)'!$F:$F,$AI$2,'船长每月数据(2023年)'!$E:$E,$C:$C)</f>
        <v>0</v>
      </c>
      <c r="AJ14" s="21">
        <f>IFERROR(AI14/SUMIF('船长每月数据(2023年)'!$E:$E,$C:$C,'船长每月数据(2023年)'!$R:$R),0)</f>
        <v>0</v>
      </c>
      <c r="AK14" s="20">
        <f>SUMIFS('船长每月数据(2023年)'!P:P,'船长每月数据(2023年)'!F:F,$AK$2,'船长每月数据(2023年)'!E:E,C:C)</f>
        <v>0</v>
      </c>
      <c r="AL14" s="21">
        <f>IFERROR(AK14/SUMIF('船长每月数据(2023年)'!$E:$E,$C:$C,'船长每月数据(2023年)'!$P:$P),0)</f>
        <v>0</v>
      </c>
      <c r="AM14" s="38">
        <f>SUMIFS('船长每月数据(2023年)'!$R:$R,'船长每月数据(2023年)'!$F:$F,$AM$2,'船长每月数据(2023年)'!$E:$E,$C:$C)</f>
        <v>0</v>
      </c>
      <c r="AN14" s="21">
        <f>IFERROR(AM14/SUMIF('船长每月数据(2023年)'!$E:$E,$C:$C,'船长每月数据(2023年)'!$R:$R),0)</f>
        <v>0</v>
      </c>
      <c r="AO14" s="20">
        <f>SUMIFS('船长每月数据(2023年)'!P:P,'船长每月数据(2023年)'!F:F,$AO$2,'船长每月数据(2023年)'!E:E,C:C)</f>
        <v>0</v>
      </c>
      <c r="AP14" s="21">
        <f>IFERROR(AO14/SUMIF('船长每月数据(2023年)'!$E:$E,$C:$C,'船长每月数据(2023年)'!$P:$P),0)</f>
        <v>0</v>
      </c>
      <c r="AQ14" s="38">
        <f>SUMIFS('船长每月数据(2023年)'!$R:$R,'船长每月数据(2023年)'!$F:$F,$AQ$2,'船长每月数据(2023年)'!$E:$E,$C:$C)</f>
        <v>0</v>
      </c>
      <c r="AR14" s="21">
        <f>IFERROR(AQ14/SUMIF('船长每月数据(2023年)'!$E:$E,$C:$C,'船长每月数据(2023年)'!$R:$R),0)</f>
        <v>0</v>
      </c>
      <c r="AS14" s="20">
        <f>SUMIFS('船长每月数据(2023年)'!$P:$P,'船长每月数据(2023年)'!$F:$F,$AS$2,'船长每月数据(2023年)'!$E:$E,$C:$C)</f>
        <v>0</v>
      </c>
      <c r="AT14" s="21">
        <f>IFERROR(AS14/SUMIF('船长每月数据(2023年)'!$E:$E,$C:$C,'船长每月数据(2023年)'!$P:$P),0)</f>
        <v>0</v>
      </c>
      <c r="AU14" s="38">
        <f>SUMIFS('船长每月数据(2023年)'!$R:$R,'船长每月数据(2023年)'!$F:$F,$AU$2,'船长每月数据(2023年)'!$E:$E,$C:$C)</f>
        <v>0</v>
      </c>
      <c r="AV14" s="21">
        <f>IFERROR(AU14/SUMIF('船长每月数据(2023年)'!$E:$E,$C:$C,'船长每月数据(2023年)'!$R:$R),0)</f>
        <v>0</v>
      </c>
      <c r="AW14" s="20">
        <f>SUMIFS('船长每月数据(2023年)'!$P:$P,'船长每月数据(2023年)'!$F:$F,$AW$2,'船长每月数据(2023年)'!$E:$E,$C:$C)</f>
        <v>0</v>
      </c>
      <c r="AX14" s="21">
        <f>IFERROR(AW14/SUMIF('船长每月数据(2023年)'!$E:$E,$C:$C,'船长每月数据(2023年)'!$P:$P),0)</f>
        <v>0</v>
      </c>
      <c r="AY14" s="38">
        <f>SUMIFS('船长每月数据(2023年)'!$R:$R,'船长每月数据(2023年)'!$F:$F,$AY$2,'船长每月数据(2023年)'!$E:$E,$C:$C)</f>
        <v>0</v>
      </c>
      <c r="AZ14" s="21">
        <f>IFERROR(AY14/SUMIF('船长每月数据(2023年)'!$E:$E,$C:$C,'船长每月数据(2023年)'!$R:$R),0)</f>
        <v>0</v>
      </c>
      <c r="BA14" s="20">
        <f>SUMIFS('船长每月数据(2023年)'!$P:$P,'船长每月数据(2023年)'!$F:$F,$BA$2,'船长每月数据(2023年)'!$E:$E,$C:$C)</f>
        <v>0</v>
      </c>
      <c r="BB14" s="21">
        <f>IFERROR(BA14/SUMIF('船长每月数据(2023年)'!$E:$E,$C:$C,'船长每月数据(2023年)'!$P:$P),0)</f>
        <v>0</v>
      </c>
      <c r="BC14" s="38">
        <f>SUMIFS('船长每月数据(2023年)'!$R:$R,'船长每月数据(2023年)'!$F:$F,$BC$2,'船长每月数据(2023年)'!$E:$E,$C:$C)</f>
        <v>0</v>
      </c>
      <c r="BD14" s="21">
        <f>IFERROR(BC14/SUMIF('船长每月数据(2023年)'!$E:$E,$C:$C,'船长每月数据(2023年)'!$R:$R),0)</f>
        <v>0</v>
      </c>
      <c r="BE14" s="20">
        <f>SUMIFS('船长每月数据(2023年)'!$P:$P,'船长每月数据(2023年)'!$F:$F,$BE$2,'船长每月数据(2023年)'!$E:$E,$C:$C)</f>
        <v>0</v>
      </c>
      <c r="BF14" s="21">
        <f>IFERROR(BE14/SUMIF('船长每月数据(2023年)'!$E:$E,$C:$C,'船长每月数据(2023年)'!$P:$P),0)</f>
        <v>0</v>
      </c>
      <c r="BG14" s="38">
        <f>SUMIFS('船长每月数据(2023年)'!$R:$R,'船长每月数据(2023年)'!$F:$F,$BG$2,'船长每月数据(2023年)'!$E:$E,$C:$C)</f>
        <v>0</v>
      </c>
      <c r="BH14" s="21">
        <f>IFERROR(BG14/SUMIF('船长每月数据(2023年)'!$E:$E,$C:$C,'船长每月数据(2023年)'!$R:$R),0)</f>
        <v>0</v>
      </c>
      <c r="BI14" s="20">
        <f>SUMIFS('船长每月数据(2023年)'!$P:$P,'船长每月数据(2023年)'!$F:$F,$BI$2,'船长每月数据(2023年)'!$E:$E,$C:$C)</f>
        <v>0</v>
      </c>
      <c r="BJ14" s="21">
        <f>IFERROR(BI14/SUMIF('船长每月数据(2023年)'!$E:$E,$C:$C,'船长每月数据(2023年)'!$P:$P),0)</f>
        <v>0</v>
      </c>
      <c r="BK14" s="38">
        <f>SUMIFS('船长每月数据(2023年)'!$R:$R,'船长每月数据(2023年)'!$F:$F,$BK$2,'船长每月数据(2023年)'!$E:$E,$C:$C)</f>
        <v>0</v>
      </c>
      <c r="BL14" s="21">
        <f>IFERROR(BK14/SUMIF('船长每月数据(2023年)'!$E:$E,$C:$C,'船长每月数据(2023年)'!$R:$R),0)</f>
        <v>0</v>
      </c>
      <c r="BM14" s="20">
        <f>SUMIFS('船长每月数据(2023年)'!$P:$P,'船长每月数据(2023年)'!$F:$F,$BM$2,'船长每月数据(2023年)'!$E:$E,$C:$C)</f>
        <v>0</v>
      </c>
      <c r="BN14" s="21">
        <f>IFERROR(BM14/SUMIF('船长每月数据(2023年)'!$E:$E,$C:$C,'船长每月数据(2023年)'!$P:$P),0)</f>
        <v>0</v>
      </c>
      <c r="BO14" s="38">
        <f>SUMIFS('船长每月数据(2023年)'!$R:$R,'船长每月数据(2023年)'!$F:$F,$BO$2,'船长每月数据(2023年)'!$E:$E,$C:$C)</f>
        <v>0</v>
      </c>
      <c r="BP14" s="21">
        <f>IFERROR(BO14/SUMIF('船长每月数据(2023年)'!$E:$E,$C:$C,'船长每月数据(2023年)'!$R:$R),0)</f>
        <v>0</v>
      </c>
      <c r="BQ14" s="20">
        <f>SUMIFS('船长每月数据(2023年)'!$P:$P,'船长每月数据(2023年)'!$F:$F,$BQ$2,'船长每月数据(2023年)'!$E:$E,$C:$C)</f>
        <v>0</v>
      </c>
      <c r="BR14" s="21">
        <f>IFERROR(BQ14/SUMIF('船长每月数据(2023年)'!$E:$E,$C:$C,'船长每月数据(2023年)'!$P:$P),0)</f>
        <v>0</v>
      </c>
      <c r="BS14" s="38">
        <f>SUMIFS('船长每月数据(2023年)'!$R:$R,'船长每月数据(2023年)'!$F:$F,$BS$2,'船长每月数据(2023年)'!$E:$E,$C:$C)</f>
        <v>0</v>
      </c>
      <c r="BT14" s="21">
        <f>IFERROR(BS14/SUMIF('船长每月数据(2023年)'!$E:$E,$C:$C,'船长每月数据(2023年)'!$R:$R),0)</f>
        <v>0</v>
      </c>
      <c r="BU14" s="20">
        <f>SUMIFS('船长每月数据(2023年)'!$P:$P,'船长每月数据(2023年)'!$F:$F,$BU$2,'船长每月数据(2023年)'!$E:$E,$C:$C)</f>
        <v>0</v>
      </c>
      <c r="BV14" s="21">
        <f>IFERROR(BU14/SUMIF('船长每月数据(2023年)'!$E:$E,$C:$C,'船长每月数据(2023年)'!$P:$P),0)</f>
        <v>0</v>
      </c>
      <c r="BW14" s="38">
        <f>SUMIFS('船长每月数据(2023年)'!$R:$R,'船长每月数据(2023年)'!$F:$F,$BW$2,'船长每月数据(2023年)'!$E:$E,$C:$C)</f>
        <v>0</v>
      </c>
      <c r="BX14" s="21">
        <f>IFERROR(BW14/SUMIF('船长每月数据(2023年)'!$E:$E,$C:$C,'船长每月数据(2023年)'!$R:$R),0)</f>
        <v>0</v>
      </c>
    </row>
    <row r="15" ht="23" customHeight="1" spans="1:76">
      <c r="A15" s="36"/>
      <c r="B15" s="36"/>
      <c r="C15" s="20"/>
      <c r="D15" s="74"/>
      <c r="E15" s="20">
        <f>SUMIFS('船长每月数据(2022年)'!$P:$P,'船长每月数据(2022年)'!$F:$F,$E$2,'船长每月数据(2022年)'!E:E,C:C)</f>
        <v>0</v>
      </c>
      <c r="F15" s="85">
        <f>SUMIFS('船长每月数据(2022年)'!$R:$R,'船长每月数据(2022年)'!$F:$F,$F$2,'船长每月数据(2022年)'!E:E,C:C)</f>
        <v>0</v>
      </c>
      <c r="G15" s="20">
        <f>SUMIFS('船长每月数据(2022年)'!$P:$P,'船长每月数据(2022年)'!$F:$F,$G$2,'船长每月数据(2022年)'!$E:$E,$C:$C)</f>
        <v>0</v>
      </c>
      <c r="H15" s="85">
        <f>SUMIFS('船长每月数据(2022年)'!$R:$R,'船长每月数据(2022年)'!$F:$F,$H$2,'船长每月数据(2022年)'!$E:$E,$C:$C)</f>
        <v>0</v>
      </c>
      <c r="I15" s="20">
        <f>SUMIFS('船长每月数据(2022年)'!$P:$P,'船长每月数据(2022年)'!$F:$F,$I$2,'船长每月数据(2022年)'!$E:$E,$C:$C)</f>
        <v>0</v>
      </c>
      <c r="J15" s="85">
        <f>SUMIFS('船长每月数据(2022年)'!$R:$R,'船长每月数据(2022年)'!$F:$F,$J$2,'船长每月数据(2022年)'!$E:$E,$C:$C)</f>
        <v>0</v>
      </c>
      <c r="K15" s="20">
        <f>SUMIFS('船长每月数据(2022年)'!$P:$P,'船长每月数据(2022年)'!$F:$F,$K$2,'船长每月数据(2022年)'!$E:$E,$C:$C)</f>
        <v>0</v>
      </c>
      <c r="L15" s="85">
        <f>SUMIFS('船长每月数据(2022年)'!$R:$R,'船长每月数据(2022年)'!$F:$F,$L$2,'船长每月数据(2022年)'!$E:$E,$C:$C)</f>
        <v>0</v>
      </c>
      <c r="M15" s="20">
        <f>SUMIFS('船长每月数据(2022年)'!$P:$P,'船长每月数据(2022年)'!$F:$F,$M$2,'船长每月数据(2022年)'!$E:$E,$C:$C)</f>
        <v>0</v>
      </c>
      <c r="N15" s="85">
        <f>SUMIFS('船长每月数据(2022年)'!$R:$R,'船长每月数据(2022年)'!$F:$F,$N$2,'船长每月数据(2022年)'!$E:$E,$C:$C)</f>
        <v>0</v>
      </c>
      <c r="O15" s="20">
        <f>SUMIFS('船长每月数据(2022年)'!$P:$P,'船长每月数据(2022年)'!$F:$F,$O$2,'船长每月数据(2022年)'!$E:$E,$C:$C)</f>
        <v>0</v>
      </c>
      <c r="P15" s="85">
        <f>SUMIFS('船长每月数据(2022年)'!$R:$R,'船长每月数据(2022年)'!$F:$F,$P$2,'船长每月数据(2022年)'!$E:$E,$C:$C)</f>
        <v>0</v>
      </c>
      <c r="Q15" s="20">
        <f>SUMIFS('船长每月数据(2022年)'!$P:$P,'船长每月数据(2022年)'!$F:$F,$Q$2,'船长每月数据(2022年)'!$E:$E,$C:$C)</f>
        <v>0</v>
      </c>
      <c r="R15" s="85">
        <f>SUMIFS('船长每月数据(2022年)'!$R:$R,'船长每月数据(2022年)'!$F:$F,$R$2,'船长每月数据(2022年)'!$E:$E,$C:$C)</f>
        <v>0</v>
      </c>
      <c r="S15" s="20">
        <f>SUMIFS('船长每月数据(2022年)'!$P:$P,'船长每月数据(2022年)'!$F:$F,$S$2,'船长每月数据(2022年)'!$E:$E,$C:$C)</f>
        <v>0</v>
      </c>
      <c r="T15" s="85">
        <f>SUMIFS('船长每月数据(2022年)'!$R:$R,'船长每月数据(2022年)'!$F:$F,$T$2,'船长每月数据(2022年)'!$E:$E,$C:$C)</f>
        <v>0</v>
      </c>
      <c r="U15" s="20">
        <f>SUMIFS('船长每月数据(2022年)'!$P:$P,'船长每月数据(2022年)'!$F:$F,$U$2,'船长每月数据(2022年)'!$E:$E,$C:$C)</f>
        <v>0</v>
      </c>
      <c r="V15" s="85">
        <f>SUMIFS('船长每月数据(2022年)'!$R:$R,'船长每月数据(2022年)'!$F:$F,$V$2,'船长每月数据(2022年)'!$E:$E,$C:$C)</f>
        <v>0</v>
      </c>
      <c r="W15" s="20">
        <f>SUMIFS('船长每月数据(2022年)'!$P:$P,'船长每月数据(2022年)'!$F:$F,$W$2,'船长每月数据(2022年)'!$E:$E,$C:$C)</f>
        <v>0</v>
      </c>
      <c r="X15" s="85">
        <f>SUMIFS('船长每月数据(2022年)'!$R:$R,'船长每月数据(2022年)'!$F:$F,$X$2,'船长每月数据(2022年)'!$E:$E,$C:$C)</f>
        <v>0</v>
      </c>
      <c r="Y15" s="20">
        <f>SUMIFS('船长每月数据(2022年)'!$P:$P,'船长每月数据(2022年)'!$F:$F,$Y$2,'船长每月数据(2022年)'!$E:$E,$C:$C)</f>
        <v>0</v>
      </c>
      <c r="Z15" s="85">
        <f>SUMIFS('船长每月数据(2022年)'!$R:$R,'船长每月数据(2022年)'!$F:$F,$Z$2,'船长每月数据(2022年)'!$E:$E,$C:$C)</f>
        <v>0</v>
      </c>
      <c r="AA15" s="20">
        <f>SUMIFS('船长每月数据(2022年)'!$P:$P,'船长每月数据(2022年)'!$F:$F,$AA$2,'船长每月数据(2022年)'!$E:$E,$C:$C)</f>
        <v>0</v>
      </c>
      <c r="AB15" s="85">
        <f>SUMIFS('船长每月数据(2022年)'!$R:$R,'船长每月数据(2022年)'!$F:$F,$AB$2,'船长每月数据(2022年)'!$E:$E,$C:$C)</f>
        <v>0</v>
      </c>
      <c r="AC15" s="20">
        <f>SUMIFS('船长每月数据(2023年)'!P:P,'船长每月数据(2023年)'!F:F,$AC$2,'船长每月数据(2023年)'!E:E,C:C)</f>
        <v>0</v>
      </c>
      <c r="AD15" s="21">
        <f>IFERROR(AC15/SUMIF('船长每月数据(2023年)'!$E:$E,C:C,'船长每月数据(2023年)'!P:P),0)</f>
        <v>0</v>
      </c>
      <c r="AE15" s="38">
        <f>SUMIFS('船长每月数据(2023年)'!$R:$R,'船长每月数据(2023年)'!$F:$F,$AE$2,'船长每月数据(2023年)'!$E:$E,$C:$C)</f>
        <v>0</v>
      </c>
      <c r="AF15" s="21">
        <f>IFERROR(AE15/SUMIF('船长每月数据(2023年)'!E:E,C:C,'船长每月数据(2023年)'!R:R),0)</f>
        <v>0</v>
      </c>
      <c r="AG15" s="20">
        <f>SUMIFS('船长每月数据(2023年)'!P:P,'船长每月数据(2023年)'!F:F,$AG$2,'船长每月数据(2023年)'!E:E,C:C)</f>
        <v>0</v>
      </c>
      <c r="AH15" s="21">
        <f>IFERROR(AG15/SUMIF('船长每月数据(2023年)'!$E:$E,$C:$C,'船长每月数据(2023年)'!$P:$P),0)</f>
        <v>0</v>
      </c>
      <c r="AI15" s="38">
        <f>SUMIFS('船长每月数据(2023年)'!$R:$R,'船长每月数据(2023年)'!$F:$F,$AI$2,'船长每月数据(2023年)'!$E:$E,$C:$C)</f>
        <v>0</v>
      </c>
      <c r="AJ15" s="21">
        <f>IFERROR(AI15/SUMIF('船长每月数据(2023年)'!$E:$E,$C:$C,'船长每月数据(2023年)'!$R:$R),0)</f>
        <v>0</v>
      </c>
      <c r="AK15" s="20">
        <f>SUMIFS('船长每月数据(2023年)'!P:P,'船长每月数据(2023年)'!F:F,$AK$2,'船长每月数据(2023年)'!E:E,C:C)</f>
        <v>0</v>
      </c>
      <c r="AL15" s="21">
        <f>IFERROR(AK15/SUMIF('船长每月数据(2023年)'!$E:$E,$C:$C,'船长每月数据(2023年)'!$P:$P),0)</f>
        <v>0</v>
      </c>
      <c r="AM15" s="38">
        <f>SUMIFS('船长每月数据(2023年)'!$R:$R,'船长每月数据(2023年)'!$F:$F,$AM$2,'船长每月数据(2023年)'!$E:$E,$C:$C)</f>
        <v>0</v>
      </c>
      <c r="AN15" s="21">
        <f>IFERROR(AM15/SUMIF('船长每月数据(2023年)'!$E:$E,$C:$C,'船长每月数据(2023年)'!$R:$R),0)</f>
        <v>0</v>
      </c>
      <c r="AO15" s="20">
        <f>SUMIFS('船长每月数据(2023年)'!P:P,'船长每月数据(2023年)'!F:F,$AO$2,'船长每月数据(2023年)'!E:E,C:C)</f>
        <v>0</v>
      </c>
      <c r="AP15" s="21">
        <f>IFERROR(AO15/SUMIF('船长每月数据(2023年)'!$E:$E,$C:$C,'船长每月数据(2023年)'!$P:$P),0)</f>
        <v>0</v>
      </c>
      <c r="AQ15" s="38">
        <f>SUMIFS('船长每月数据(2023年)'!$R:$R,'船长每月数据(2023年)'!$F:$F,$AQ$2,'船长每月数据(2023年)'!$E:$E,$C:$C)</f>
        <v>0</v>
      </c>
      <c r="AR15" s="21">
        <f>IFERROR(AQ15/SUMIF('船长每月数据(2023年)'!$E:$E,$C:$C,'船长每月数据(2023年)'!$R:$R),0)</f>
        <v>0</v>
      </c>
      <c r="AS15" s="20">
        <f>SUMIFS('船长每月数据(2023年)'!$P:$P,'船长每月数据(2023年)'!$F:$F,$AS$2,'船长每月数据(2023年)'!$E:$E,$C:$C)</f>
        <v>0</v>
      </c>
      <c r="AT15" s="21">
        <f>IFERROR(AS15/SUMIF('船长每月数据(2023年)'!$E:$E,$C:$C,'船长每月数据(2023年)'!$P:$P),0)</f>
        <v>0</v>
      </c>
      <c r="AU15" s="38">
        <f>SUMIFS('船长每月数据(2023年)'!$R:$R,'船长每月数据(2023年)'!$F:$F,$AU$2,'船长每月数据(2023年)'!$E:$E,$C:$C)</f>
        <v>0</v>
      </c>
      <c r="AV15" s="21">
        <f>IFERROR(AU15/SUMIF('船长每月数据(2023年)'!$E:$E,$C:$C,'船长每月数据(2023年)'!$R:$R),0)</f>
        <v>0</v>
      </c>
      <c r="AW15" s="20">
        <f>SUMIFS('船长每月数据(2023年)'!$P:$P,'船长每月数据(2023年)'!$F:$F,$AW$2,'船长每月数据(2023年)'!$E:$E,$C:$C)</f>
        <v>0</v>
      </c>
      <c r="AX15" s="21">
        <f>IFERROR(AW15/SUMIF('船长每月数据(2023年)'!$E:$E,$C:$C,'船长每月数据(2023年)'!$P:$P),0)</f>
        <v>0</v>
      </c>
      <c r="AY15" s="38">
        <f>SUMIFS('船长每月数据(2023年)'!$R:$R,'船长每月数据(2023年)'!$F:$F,$AY$2,'船长每月数据(2023年)'!$E:$E,$C:$C)</f>
        <v>0</v>
      </c>
      <c r="AZ15" s="21">
        <f>IFERROR(AY15/SUMIF('船长每月数据(2023年)'!$E:$E,$C:$C,'船长每月数据(2023年)'!$R:$R),0)</f>
        <v>0</v>
      </c>
      <c r="BA15" s="20">
        <f>SUMIFS('船长每月数据(2023年)'!$P:$P,'船长每月数据(2023年)'!$F:$F,$BA$2,'船长每月数据(2023年)'!$E:$E,$C:$C)</f>
        <v>0</v>
      </c>
      <c r="BB15" s="21">
        <f>IFERROR(BA15/SUMIF('船长每月数据(2023年)'!$E:$E,$C:$C,'船长每月数据(2023年)'!$P:$P),0)</f>
        <v>0</v>
      </c>
      <c r="BC15" s="38">
        <f>SUMIFS('船长每月数据(2023年)'!$R:$R,'船长每月数据(2023年)'!$F:$F,$BC$2,'船长每月数据(2023年)'!$E:$E,$C:$C)</f>
        <v>0</v>
      </c>
      <c r="BD15" s="21">
        <f>IFERROR(BC15/SUMIF('船长每月数据(2023年)'!$E:$E,$C:$C,'船长每月数据(2023年)'!$R:$R),0)</f>
        <v>0</v>
      </c>
      <c r="BE15" s="20">
        <f>SUMIFS('船长每月数据(2023年)'!$P:$P,'船长每月数据(2023年)'!$F:$F,$BE$2,'船长每月数据(2023年)'!$E:$E,$C:$C)</f>
        <v>0</v>
      </c>
      <c r="BF15" s="21">
        <f>IFERROR(BE15/SUMIF('船长每月数据(2023年)'!$E:$E,$C:$C,'船长每月数据(2023年)'!$P:$P),0)</f>
        <v>0</v>
      </c>
      <c r="BG15" s="38">
        <f>SUMIFS('船长每月数据(2023年)'!$R:$R,'船长每月数据(2023年)'!$F:$F,$BG$2,'船长每月数据(2023年)'!$E:$E,$C:$C)</f>
        <v>0</v>
      </c>
      <c r="BH15" s="21">
        <f>IFERROR(BG15/SUMIF('船长每月数据(2023年)'!$E:$E,$C:$C,'船长每月数据(2023年)'!$R:$R),0)</f>
        <v>0</v>
      </c>
      <c r="BI15" s="20">
        <f>SUMIFS('船长每月数据(2023年)'!$P:$P,'船长每月数据(2023年)'!$F:$F,$BI$2,'船长每月数据(2023年)'!$E:$E,$C:$C)</f>
        <v>0</v>
      </c>
      <c r="BJ15" s="21">
        <f>IFERROR(BI15/SUMIF('船长每月数据(2023年)'!$E:$E,$C:$C,'船长每月数据(2023年)'!$P:$P),0)</f>
        <v>0</v>
      </c>
      <c r="BK15" s="38">
        <f>SUMIFS('船长每月数据(2023年)'!$R:$R,'船长每月数据(2023年)'!$F:$F,$BK$2,'船长每月数据(2023年)'!$E:$E,$C:$C)</f>
        <v>0</v>
      </c>
      <c r="BL15" s="21">
        <f>IFERROR(BK15/SUMIF('船长每月数据(2023年)'!$E:$E,$C:$C,'船长每月数据(2023年)'!$R:$R),0)</f>
        <v>0</v>
      </c>
      <c r="BM15" s="20">
        <f>SUMIFS('船长每月数据(2023年)'!$P:$P,'船长每月数据(2023年)'!$F:$F,$BM$2,'船长每月数据(2023年)'!$E:$E,$C:$C)</f>
        <v>0</v>
      </c>
      <c r="BN15" s="21">
        <f>IFERROR(BM15/SUMIF('船长每月数据(2023年)'!$E:$E,$C:$C,'船长每月数据(2023年)'!$P:$P),0)</f>
        <v>0</v>
      </c>
      <c r="BO15" s="38">
        <f>SUMIFS('船长每月数据(2023年)'!$R:$R,'船长每月数据(2023年)'!$F:$F,$BO$2,'船长每月数据(2023年)'!$E:$E,$C:$C)</f>
        <v>0</v>
      </c>
      <c r="BP15" s="21">
        <f>IFERROR(BO15/SUMIF('船长每月数据(2023年)'!$E:$E,$C:$C,'船长每月数据(2023年)'!$R:$R),0)</f>
        <v>0</v>
      </c>
      <c r="BQ15" s="20">
        <f>SUMIFS('船长每月数据(2023年)'!$P:$P,'船长每月数据(2023年)'!$F:$F,$BQ$2,'船长每月数据(2023年)'!$E:$E,$C:$C)</f>
        <v>0</v>
      </c>
      <c r="BR15" s="21">
        <f>IFERROR(BQ15/SUMIF('船长每月数据(2023年)'!$E:$E,$C:$C,'船长每月数据(2023年)'!$P:$P),0)</f>
        <v>0</v>
      </c>
      <c r="BS15" s="38">
        <f>SUMIFS('船长每月数据(2023年)'!$R:$R,'船长每月数据(2023年)'!$F:$F,$BS$2,'船长每月数据(2023年)'!$E:$E,$C:$C)</f>
        <v>0</v>
      </c>
      <c r="BT15" s="21">
        <f>IFERROR(BS15/SUMIF('船长每月数据(2023年)'!$E:$E,$C:$C,'船长每月数据(2023年)'!$R:$R),0)</f>
        <v>0</v>
      </c>
      <c r="BU15" s="20">
        <f>SUMIFS('船长每月数据(2023年)'!$P:$P,'船长每月数据(2023年)'!$F:$F,$BU$2,'船长每月数据(2023年)'!$E:$E,$C:$C)</f>
        <v>0</v>
      </c>
      <c r="BV15" s="21">
        <f>IFERROR(BU15/SUMIF('船长每月数据(2023年)'!$E:$E,$C:$C,'船长每月数据(2023年)'!$P:$P),0)</f>
        <v>0</v>
      </c>
      <c r="BW15" s="38">
        <f>SUMIFS('船长每月数据(2023年)'!$R:$R,'船长每月数据(2023年)'!$F:$F,$BW$2,'船长每月数据(2023年)'!$E:$E,$C:$C)</f>
        <v>0</v>
      </c>
      <c r="BX15" s="21">
        <f>IFERROR(BW15/SUMIF('船长每月数据(2023年)'!$E:$E,$C:$C,'船长每月数据(2023年)'!$R:$R),0)</f>
        <v>0</v>
      </c>
    </row>
    <row r="16" ht="23" customHeight="1" spans="1:76">
      <c r="A16" s="36"/>
      <c r="B16" s="36"/>
      <c r="C16" s="20"/>
      <c r="D16" s="74"/>
      <c r="E16" s="20">
        <f>SUMIFS('船长每月数据(2022年)'!$P:$P,'船长每月数据(2022年)'!$F:$F,$E$2,'船长每月数据(2022年)'!E:E,C:C)</f>
        <v>0</v>
      </c>
      <c r="F16" s="85">
        <f>SUMIFS('船长每月数据(2022年)'!$R:$R,'船长每月数据(2022年)'!$F:$F,$F$2,'船长每月数据(2022年)'!E:E,C:C)</f>
        <v>0</v>
      </c>
      <c r="G16" s="20">
        <f>SUMIFS('船长每月数据(2022年)'!$P:$P,'船长每月数据(2022年)'!$F:$F,$G$2,'船长每月数据(2022年)'!$E:$E,$C:$C)</f>
        <v>0</v>
      </c>
      <c r="H16" s="85">
        <f>SUMIFS('船长每月数据(2022年)'!$R:$R,'船长每月数据(2022年)'!$F:$F,$H$2,'船长每月数据(2022年)'!$E:$E,$C:$C)</f>
        <v>0</v>
      </c>
      <c r="I16" s="20">
        <f>SUMIFS('船长每月数据(2022年)'!$P:$P,'船长每月数据(2022年)'!$F:$F,$I$2,'船长每月数据(2022年)'!$E:$E,$C:$C)</f>
        <v>0</v>
      </c>
      <c r="J16" s="85">
        <f>SUMIFS('船长每月数据(2022年)'!$R:$R,'船长每月数据(2022年)'!$F:$F,$J$2,'船长每月数据(2022年)'!$E:$E,$C:$C)</f>
        <v>0</v>
      </c>
      <c r="K16" s="20">
        <f>SUMIFS('船长每月数据(2022年)'!$P:$P,'船长每月数据(2022年)'!$F:$F,$K$2,'船长每月数据(2022年)'!$E:$E,$C:$C)</f>
        <v>0</v>
      </c>
      <c r="L16" s="85">
        <f>SUMIFS('船长每月数据(2022年)'!$R:$R,'船长每月数据(2022年)'!$F:$F,$L$2,'船长每月数据(2022年)'!$E:$E,$C:$C)</f>
        <v>0</v>
      </c>
      <c r="M16" s="20">
        <f>SUMIFS('船长每月数据(2022年)'!$P:$P,'船长每月数据(2022年)'!$F:$F,$M$2,'船长每月数据(2022年)'!$E:$E,$C:$C)</f>
        <v>0</v>
      </c>
      <c r="N16" s="85">
        <f>SUMIFS('船长每月数据(2022年)'!$R:$R,'船长每月数据(2022年)'!$F:$F,$N$2,'船长每月数据(2022年)'!$E:$E,$C:$C)</f>
        <v>0</v>
      </c>
      <c r="O16" s="20">
        <f>SUMIFS('船长每月数据(2022年)'!$P:$P,'船长每月数据(2022年)'!$F:$F,$O$2,'船长每月数据(2022年)'!$E:$E,$C:$C)</f>
        <v>0</v>
      </c>
      <c r="P16" s="85">
        <f>SUMIFS('船长每月数据(2022年)'!$R:$R,'船长每月数据(2022年)'!$F:$F,$P$2,'船长每月数据(2022年)'!$E:$E,$C:$C)</f>
        <v>0</v>
      </c>
      <c r="Q16" s="20">
        <f>SUMIFS('船长每月数据(2022年)'!$P:$P,'船长每月数据(2022年)'!$F:$F,$Q$2,'船长每月数据(2022年)'!$E:$E,$C:$C)</f>
        <v>0</v>
      </c>
      <c r="R16" s="85">
        <f>SUMIFS('船长每月数据(2022年)'!$R:$R,'船长每月数据(2022年)'!$F:$F,$R$2,'船长每月数据(2022年)'!$E:$E,$C:$C)</f>
        <v>0</v>
      </c>
      <c r="S16" s="20">
        <f>SUMIFS('船长每月数据(2022年)'!$P:$P,'船长每月数据(2022年)'!$F:$F,$S$2,'船长每月数据(2022年)'!$E:$E,$C:$C)</f>
        <v>0</v>
      </c>
      <c r="T16" s="85">
        <f>SUMIFS('船长每月数据(2022年)'!$R:$R,'船长每月数据(2022年)'!$F:$F,$T$2,'船长每月数据(2022年)'!$E:$E,$C:$C)</f>
        <v>0</v>
      </c>
      <c r="U16" s="20">
        <f>SUMIFS('船长每月数据(2022年)'!$P:$P,'船长每月数据(2022年)'!$F:$F,$U$2,'船长每月数据(2022年)'!$E:$E,$C:$C)</f>
        <v>0</v>
      </c>
      <c r="V16" s="85">
        <f>SUMIFS('船长每月数据(2022年)'!$R:$R,'船长每月数据(2022年)'!$F:$F,$V$2,'船长每月数据(2022年)'!$E:$E,$C:$C)</f>
        <v>0</v>
      </c>
      <c r="W16" s="20">
        <f>SUMIFS('船长每月数据(2022年)'!$P:$P,'船长每月数据(2022年)'!$F:$F,$W$2,'船长每月数据(2022年)'!$E:$E,$C:$C)</f>
        <v>0</v>
      </c>
      <c r="X16" s="85">
        <f>SUMIFS('船长每月数据(2022年)'!$R:$R,'船长每月数据(2022年)'!$F:$F,$X$2,'船长每月数据(2022年)'!$E:$E,$C:$C)</f>
        <v>0</v>
      </c>
      <c r="Y16" s="20">
        <f>SUMIFS('船长每月数据(2022年)'!$P:$P,'船长每月数据(2022年)'!$F:$F,$Y$2,'船长每月数据(2022年)'!$E:$E,$C:$C)</f>
        <v>0</v>
      </c>
      <c r="Z16" s="85">
        <f>SUMIFS('船长每月数据(2022年)'!$R:$R,'船长每月数据(2022年)'!$F:$F,$Z$2,'船长每月数据(2022年)'!$E:$E,$C:$C)</f>
        <v>0</v>
      </c>
      <c r="AA16" s="20">
        <f>SUMIFS('船长每月数据(2022年)'!$P:$P,'船长每月数据(2022年)'!$F:$F,$AA$2,'船长每月数据(2022年)'!$E:$E,$C:$C)</f>
        <v>0</v>
      </c>
      <c r="AB16" s="85">
        <f>SUMIFS('船长每月数据(2022年)'!$R:$R,'船长每月数据(2022年)'!$F:$F,$AB$2,'船长每月数据(2022年)'!$E:$E,$C:$C)</f>
        <v>0</v>
      </c>
      <c r="AC16" s="20">
        <f>SUMIFS('船长每月数据(2023年)'!P:P,'船长每月数据(2023年)'!F:F,$AC$2,'船长每月数据(2023年)'!E:E,C:C)</f>
        <v>0</v>
      </c>
      <c r="AD16" s="21">
        <f>IFERROR(AC16/SUMIF('船长每月数据(2023年)'!$E:$E,C:C,'船长每月数据(2023年)'!P:P),0)</f>
        <v>0</v>
      </c>
      <c r="AE16" s="38">
        <f>SUMIFS('船长每月数据(2023年)'!$R:$R,'船长每月数据(2023年)'!$F:$F,$AE$2,'船长每月数据(2023年)'!$E:$E,$C:$C)</f>
        <v>0</v>
      </c>
      <c r="AF16" s="21">
        <f>IFERROR(AE16/SUMIF('船长每月数据(2023年)'!E:E,C:C,'船长每月数据(2023年)'!R:R),0)</f>
        <v>0</v>
      </c>
      <c r="AG16" s="20">
        <f>SUMIFS('船长每月数据(2023年)'!P:P,'船长每月数据(2023年)'!F:F,$AG$2,'船长每月数据(2023年)'!E:E,C:C)</f>
        <v>0</v>
      </c>
      <c r="AH16" s="21">
        <f>IFERROR(AG16/SUMIF('船长每月数据(2023年)'!$E:$E,$C:$C,'船长每月数据(2023年)'!$P:$P),0)</f>
        <v>0</v>
      </c>
      <c r="AI16" s="38">
        <f>SUMIFS('船长每月数据(2023年)'!$R:$R,'船长每月数据(2023年)'!$F:$F,$AI$2,'船长每月数据(2023年)'!$E:$E,$C:$C)</f>
        <v>0</v>
      </c>
      <c r="AJ16" s="21">
        <f>IFERROR(AI16/SUMIF('船长每月数据(2023年)'!$E:$E,$C:$C,'船长每月数据(2023年)'!$R:$R),0)</f>
        <v>0</v>
      </c>
      <c r="AK16" s="20">
        <f>SUMIFS('船长每月数据(2023年)'!P:P,'船长每月数据(2023年)'!F:F,$AK$2,'船长每月数据(2023年)'!E:E,C:C)</f>
        <v>0</v>
      </c>
      <c r="AL16" s="21">
        <f>IFERROR(AK16/SUMIF('船长每月数据(2023年)'!$E:$E,$C:$C,'船长每月数据(2023年)'!$P:$P),0)</f>
        <v>0</v>
      </c>
      <c r="AM16" s="38">
        <f>SUMIFS('船长每月数据(2023年)'!$R:$R,'船长每月数据(2023年)'!$F:$F,$AM$2,'船长每月数据(2023年)'!$E:$E,$C:$C)</f>
        <v>0</v>
      </c>
      <c r="AN16" s="21">
        <f>IFERROR(AM16/SUMIF('船长每月数据(2023年)'!$E:$E,$C:$C,'船长每月数据(2023年)'!$R:$R),0)</f>
        <v>0</v>
      </c>
      <c r="AO16" s="20">
        <f>SUMIFS('船长每月数据(2023年)'!P:P,'船长每月数据(2023年)'!F:F,$AO$2,'船长每月数据(2023年)'!E:E,C:C)</f>
        <v>0</v>
      </c>
      <c r="AP16" s="21">
        <f>IFERROR(AO16/SUMIF('船长每月数据(2023年)'!$E:$E,$C:$C,'船长每月数据(2023年)'!$P:$P),0)</f>
        <v>0</v>
      </c>
      <c r="AQ16" s="38">
        <f>SUMIFS('船长每月数据(2023年)'!$R:$R,'船长每月数据(2023年)'!$F:$F,$AQ$2,'船长每月数据(2023年)'!$E:$E,$C:$C)</f>
        <v>0</v>
      </c>
      <c r="AR16" s="21">
        <f>IFERROR(AQ16/SUMIF('船长每月数据(2023年)'!$E:$E,$C:$C,'船长每月数据(2023年)'!$R:$R),0)</f>
        <v>0</v>
      </c>
      <c r="AS16" s="20">
        <f>SUMIFS('船长每月数据(2023年)'!$P:$P,'船长每月数据(2023年)'!$F:$F,$AS$2,'船长每月数据(2023年)'!$E:$E,$C:$C)</f>
        <v>0</v>
      </c>
      <c r="AT16" s="21">
        <f>IFERROR(AS16/SUMIF('船长每月数据(2023年)'!$E:$E,$C:$C,'船长每月数据(2023年)'!$P:$P),0)</f>
        <v>0</v>
      </c>
      <c r="AU16" s="38">
        <f>SUMIFS('船长每月数据(2023年)'!$R:$R,'船长每月数据(2023年)'!$F:$F,$AU$2,'船长每月数据(2023年)'!$E:$E,$C:$C)</f>
        <v>0</v>
      </c>
      <c r="AV16" s="21">
        <f>IFERROR(AU16/SUMIF('船长每月数据(2023年)'!$E:$E,$C:$C,'船长每月数据(2023年)'!$R:$R),0)</f>
        <v>0</v>
      </c>
      <c r="AW16" s="20">
        <f>SUMIFS('船长每月数据(2023年)'!$P:$P,'船长每月数据(2023年)'!$F:$F,$AW$2,'船长每月数据(2023年)'!$E:$E,$C:$C)</f>
        <v>0</v>
      </c>
      <c r="AX16" s="21">
        <f>IFERROR(AW16/SUMIF('船长每月数据(2023年)'!$E:$E,$C:$C,'船长每月数据(2023年)'!$P:$P),0)</f>
        <v>0</v>
      </c>
      <c r="AY16" s="38">
        <f>SUMIFS('船长每月数据(2023年)'!$R:$R,'船长每月数据(2023年)'!$F:$F,$AY$2,'船长每月数据(2023年)'!$E:$E,$C:$C)</f>
        <v>0</v>
      </c>
      <c r="AZ16" s="21">
        <f>IFERROR(AY16/SUMIF('船长每月数据(2023年)'!$E:$E,$C:$C,'船长每月数据(2023年)'!$R:$R),0)</f>
        <v>0</v>
      </c>
      <c r="BA16" s="20">
        <f>SUMIFS('船长每月数据(2023年)'!$P:$P,'船长每月数据(2023年)'!$F:$F,$BA$2,'船长每月数据(2023年)'!$E:$E,$C:$C)</f>
        <v>0</v>
      </c>
      <c r="BB16" s="21">
        <f>IFERROR(BA16/SUMIF('船长每月数据(2023年)'!$E:$E,$C:$C,'船长每月数据(2023年)'!$P:$P),0)</f>
        <v>0</v>
      </c>
      <c r="BC16" s="38">
        <f>SUMIFS('船长每月数据(2023年)'!$R:$R,'船长每月数据(2023年)'!$F:$F,$BC$2,'船长每月数据(2023年)'!$E:$E,$C:$C)</f>
        <v>0</v>
      </c>
      <c r="BD16" s="21">
        <f>IFERROR(BC16/SUMIF('船长每月数据(2023年)'!$E:$E,$C:$C,'船长每月数据(2023年)'!$R:$R),0)</f>
        <v>0</v>
      </c>
      <c r="BE16" s="20">
        <f>SUMIFS('船长每月数据(2023年)'!$P:$P,'船长每月数据(2023年)'!$F:$F,$BE$2,'船长每月数据(2023年)'!$E:$E,$C:$C)</f>
        <v>0</v>
      </c>
      <c r="BF16" s="21">
        <f>IFERROR(BE16/SUMIF('船长每月数据(2023年)'!$E:$E,$C:$C,'船长每月数据(2023年)'!$P:$P),0)</f>
        <v>0</v>
      </c>
      <c r="BG16" s="38">
        <f>SUMIFS('船长每月数据(2023年)'!$R:$R,'船长每月数据(2023年)'!$F:$F,$BG$2,'船长每月数据(2023年)'!$E:$E,$C:$C)</f>
        <v>0</v>
      </c>
      <c r="BH16" s="21">
        <f>IFERROR(BG16/SUMIF('船长每月数据(2023年)'!$E:$E,$C:$C,'船长每月数据(2023年)'!$R:$R),0)</f>
        <v>0</v>
      </c>
      <c r="BI16" s="20">
        <f>SUMIFS('船长每月数据(2023年)'!$P:$P,'船长每月数据(2023年)'!$F:$F,$BI$2,'船长每月数据(2023年)'!$E:$E,$C:$C)</f>
        <v>0</v>
      </c>
      <c r="BJ16" s="21">
        <f>IFERROR(BI16/SUMIF('船长每月数据(2023年)'!$E:$E,$C:$C,'船长每月数据(2023年)'!$P:$P),0)</f>
        <v>0</v>
      </c>
      <c r="BK16" s="38">
        <f>SUMIFS('船长每月数据(2023年)'!$R:$R,'船长每月数据(2023年)'!$F:$F,$BK$2,'船长每月数据(2023年)'!$E:$E,$C:$C)</f>
        <v>0</v>
      </c>
      <c r="BL16" s="21">
        <f>IFERROR(BK16/SUMIF('船长每月数据(2023年)'!$E:$E,$C:$C,'船长每月数据(2023年)'!$R:$R),0)</f>
        <v>0</v>
      </c>
      <c r="BM16" s="20">
        <f>SUMIFS('船长每月数据(2023年)'!$P:$P,'船长每月数据(2023年)'!$F:$F,$BM$2,'船长每月数据(2023年)'!$E:$E,$C:$C)</f>
        <v>0</v>
      </c>
      <c r="BN16" s="21">
        <f>IFERROR(BM16/SUMIF('船长每月数据(2023年)'!$E:$E,$C:$C,'船长每月数据(2023年)'!$P:$P),0)</f>
        <v>0</v>
      </c>
      <c r="BO16" s="38">
        <f>SUMIFS('船长每月数据(2023年)'!$R:$R,'船长每月数据(2023年)'!$F:$F,$BO$2,'船长每月数据(2023年)'!$E:$E,$C:$C)</f>
        <v>0</v>
      </c>
      <c r="BP16" s="21">
        <f>IFERROR(BO16/SUMIF('船长每月数据(2023年)'!$E:$E,$C:$C,'船长每月数据(2023年)'!$R:$R),0)</f>
        <v>0</v>
      </c>
      <c r="BQ16" s="20">
        <f>SUMIFS('船长每月数据(2023年)'!$P:$P,'船长每月数据(2023年)'!$F:$F,$BQ$2,'船长每月数据(2023年)'!$E:$E,$C:$C)</f>
        <v>0</v>
      </c>
      <c r="BR16" s="21">
        <f>IFERROR(BQ16/SUMIF('船长每月数据(2023年)'!$E:$E,$C:$C,'船长每月数据(2023年)'!$P:$P),0)</f>
        <v>0</v>
      </c>
      <c r="BS16" s="38">
        <f>SUMIFS('船长每月数据(2023年)'!$R:$R,'船长每月数据(2023年)'!$F:$F,$BS$2,'船长每月数据(2023年)'!$E:$E,$C:$C)</f>
        <v>0</v>
      </c>
      <c r="BT16" s="21">
        <f>IFERROR(BS16/SUMIF('船长每月数据(2023年)'!$E:$E,$C:$C,'船长每月数据(2023年)'!$R:$R),0)</f>
        <v>0</v>
      </c>
      <c r="BU16" s="20">
        <f>SUMIFS('船长每月数据(2023年)'!$P:$P,'船长每月数据(2023年)'!$F:$F,$BU$2,'船长每月数据(2023年)'!$E:$E,$C:$C)</f>
        <v>0</v>
      </c>
      <c r="BV16" s="21">
        <f>IFERROR(BU16/SUMIF('船长每月数据(2023年)'!$E:$E,$C:$C,'船长每月数据(2023年)'!$P:$P),0)</f>
        <v>0</v>
      </c>
      <c r="BW16" s="38">
        <f>SUMIFS('船长每月数据(2023年)'!$R:$R,'船长每月数据(2023年)'!$F:$F,$BW$2,'船长每月数据(2023年)'!$E:$E,$C:$C)</f>
        <v>0</v>
      </c>
      <c r="BX16" s="21">
        <f>IFERROR(BW16/SUMIF('船长每月数据(2023年)'!$E:$E,$C:$C,'船长每月数据(2023年)'!$R:$R),0)</f>
        <v>0</v>
      </c>
    </row>
    <row r="17" ht="23" customHeight="1" spans="1:76">
      <c r="A17" s="36"/>
      <c r="B17" s="36"/>
      <c r="C17" s="20"/>
      <c r="D17" s="74"/>
      <c r="E17" s="20">
        <f>SUMIFS('船长每月数据(2022年)'!$P:$P,'船长每月数据(2022年)'!$F:$F,$E$2,'船长每月数据(2022年)'!E:E,C:C)</f>
        <v>0</v>
      </c>
      <c r="F17" s="85">
        <f>SUMIFS('船长每月数据(2022年)'!$R:$R,'船长每月数据(2022年)'!$F:$F,$F$2,'船长每月数据(2022年)'!E:E,C:C)</f>
        <v>0</v>
      </c>
      <c r="G17" s="20">
        <f>SUMIFS('船长每月数据(2022年)'!$P:$P,'船长每月数据(2022年)'!$F:$F,$G$2,'船长每月数据(2022年)'!$E:$E,$C:$C)</f>
        <v>0</v>
      </c>
      <c r="H17" s="85">
        <f>SUMIFS('船长每月数据(2022年)'!$R:$R,'船长每月数据(2022年)'!$F:$F,$H$2,'船长每月数据(2022年)'!$E:$E,$C:$C)</f>
        <v>0</v>
      </c>
      <c r="I17" s="20">
        <f>SUMIFS('船长每月数据(2022年)'!$P:$P,'船长每月数据(2022年)'!$F:$F,$I$2,'船长每月数据(2022年)'!$E:$E,$C:$C)</f>
        <v>0</v>
      </c>
      <c r="J17" s="85">
        <f>SUMIFS('船长每月数据(2022年)'!$R:$R,'船长每月数据(2022年)'!$F:$F,$J$2,'船长每月数据(2022年)'!$E:$E,$C:$C)</f>
        <v>0</v>
      </c>
      <c r="K17" s="20">
        <f>SUMIFS('船长每月数据(2022年)'!$P:$P,'船长每月数据(2022年)'!$F:$F,$K$2,'船长每月数据(2022年)'!$E:$E,$C:$C)</f>
        <v>0</v>
      </c>
      <c r="L17" s="85">
        <f>SUMIFS('船长每月数据(2022年)'!$R:$R,'船长每月数据(2022年)'!$F:$F,$L$2,'船长每月数据(2022年)'!$E:$E,$C:$C)</f>
        <v>0</v>
      </c>
      <c r="M17" s="20">
        <f>SUMIFS('船长每月数据(2022年)'!$P:$P,'船长每月数据(2022年)'!$F:$F,$M$2,'船长每月数据(2022年)'!$E:$E,$C:$C)</f>
        <v>0</v>
      </c>
      <c r="N17" s="85">
        <f>SUMIFS('船长每月数据(2022年)'!$R:$R,'船长每月数据(2022年)'!$F:$F,$N$2,'船长每月数据(2022年)'!$E:$E,$C:$C)</f>
        <v>0</v>
      </c>
      <c r="O17" s="20">
        <f>SUMIFS('船长每月数据(2022年)'!$P:$P,'船长每月数据(2022年)'!$F:$F,$O$2,'船长每月数据(2022年)'!$E:$E,$C:$C)</f>
        <v>0</v>
      </c>
      <c r="P17" s="85">
        <f>SUMIFS('船长每月数据(2022年)'!$R:$R,'船长每月数据(2022年)'!$F:$F,$P$2,'船长每月数据(2022年)'!$E:$E,$C:$C)</f>
        <v>0</v>
      </c>
      <c r="Q17" s="20">
        <f>SUMIFS('船长每月数据(2022年)'!$P:$P,'船长每月数据(2022年)'!$F:$F,$Q$2,'船长每月数据(2022年)'!$E:$E,$C:$C)</f>
        <v>0</v>
      </c>
      <c r="R17" s="85">
        <f>SUMIFS('船长每月数据(2022年)'!$R:$R,'船长每月数据(2022年)'!$F:$F,$R$2,'船长每月数据(2022年)'!$E:$E,$C:$C)</f>
        <v>0</v>
      </c>
      <c r="S17" s="20">
        <f>SUMIFS('船长每月数据(2022年)'!$P:$P,'船长每月数据(2022年)'!$F:$F,$S$2,'船长每月数据(2022年)'!$E:$E,$C:$C)</f>
        <v>0</v>
      </c>
      <c r="T17" s="85">
        <f>SUMIFS('船长每月数据(2022年)'!$R:$R,'船长每月数据(2022年)'!$F:$F,$T$2,'船长每月数据(2022年)'!$E:$E,$C:$C)</f>
        <v>0</v>
      </c>
      <c r="U17" s="20">
        <f>SUMIFS('船长每月数据(2022年)'!$P:$P,'船长每月数据(2022年)'!$F:$F,$U$2,'船长每月数据(2022年)'!$E:$E,$C:$C)</f>
        <v>0</v>
      </c>
      <c r="V17" s="85">
        <f>SUMIFS('船长每月数据(2022年)'!$R:$R,'船长每月数据(2022年)'!$F:$F,$V$2,'船长每月数据(2022年)'!$E:$E,$C:$C)</f>
        <v>0</v>
      </c>
      <c r="W17" s="20">
        <f>SUMIFS('船长每月数据(2022年)'!$P:$P,'船长每月数据(2022年)'!$F:$F,$W$2,'船长每月数据(2022年)'!$E:$E,$C:$C)</f>
        <v>0</v>
      </c>
      <c r="X17" s="85">
        <f>SUMIFS('船长每月数据(2022年)'!$R:$R,'船长每月数据(2022年)'!$F:$F,$X$2,'船长每月数据(2022年)'!$E:$E,$C:$C)</f>
        <v>0</v>
      </c>
      <c r="Y17" s="20">
        <f>SUMIFS('船长每月数据(2022年)'!$P:$P,'船长每月数据(2022年)'!$F:$F,$Y$2,'船长每月数据(2022年)'!$E:$E,$C:$C)</f>
        <v>0</v>
      </c>
      <c r="Z17" s="85">
        <f>SUMIFS('船长每月数据(2022年)'!$R:$R,'船长每月数据(2022年)'!$F:$F,$Z$2,'船长每月数据(2022年)'!$E:$E,$C:$C)</f>
        <v>0</v>
      </c>
      <c r="AA17" s="20">
        <f>SUMIFS('船长每月数据(2022年)'!$P:$P,'船长每月数据(2022年)'!$F:$F,$AA$2,'船长每月数据(2022年)'!$E:$E,$C:$C)</f>
        <v>0</v>
      </c>
      <c r="AB17" s="85">
        <f>SUMIFS('船长每月数据(2022年)'!$R:$R,'船长每月数据(2022年)'!$F:$F,$AB$2,'船长每月数据(2022年)'!$E:$E,$C:$C)</f>
        <v>0</v>
      </c>
      <c r="AC17" s="20">
        <f>SUMIFS('船长每月数据(2023年)'!P:P,'船长每月数据(2023年)'!F:F,$AC$2,'船长每月数据(2023年)'!E:E,C:C)</f>
        <v>0</v>
      </c>
      <c r="AD17" s="21">
        <f>IFERROR(AC17/SUMIF('船长每月数据(2023年)'!$E:$E,C:C,'船长每月数据(2023年)'!P:P),0)</f>
        <v>0</v>
      </c>
      <c r="AE17" s="38">
        <f>SUMIFS('船长每月数据(2023年)'!$R:$R,'船长每月数据(2023年)'!$F:$F,$AE$2,'船长每月数据(2023年)'!$E:$E,$C:$C)</f>
        <v>0</v>
      </c>
      <c r="AF17" s="21">
        <f>IFERROR(AE17/SUMIF('船长每月数据(2023年)'!E:E,C:C,'船长每月数据(2023年)'!R:R),0)</f>
        <v>0</v>
      </c>
      <c r="AG17" s="20">
        <f>SUMIFS('船长每月数据(2023年)'!P:P,'船长每月数据(2023年)'!F:F,$AG$2,'船长每月数据(2023年)'!E:E,C:C)</f>
        <v>0</v>
      </c>
      <c r="AH17" s="21">
        <f>IFERROR(AG17/SUMIF('船长每月数据(2023年)'!$E:$E,$C:$C,'船长每月数据(2023年)'!$P:$P),0)</f>
        <v>0</v>
      </c>
      <c r="AI17" s="38">
        <f>SUMIFS('船长每月数据(2023年)'!$R:$R,'船长每月数据(2023年)'!$F:$F,$AI$2,'船长每月数据(2023年)'!$E:$E,$C:$C)</f>
        <v>0</v>
      </c>
      <c r="AJ17" s="21">
        <f>IFERROR(AI17/SUMIF('船长每月数据(2023年)'!$E:$E,$C:$C,'船长每月数据(2023年)'!$R:$R),0)</f>
        <v>0</v>
      </c>
      <c r="AK17" s="20">
        <f>SUMIFS('船长每月数据(2023年)'!P:P,'船长每月数据(2023年)'!F:F,$AK$2,'船长每月数据(2023年)'!E:E,C:C)</f>
        <v>0</v>
      </c>
      <c r="AL17" s="21">
        <f>IFERROR(AK17/SUMIF('船长每月数据(2023年)'!$E:$E,$C:$C,'船长每月数据(2023年)'!$P:$P),0)</f>
        <v>0</v>
      </c>
      <c r="AM17" s="38">
        <f>SUMIFS('船长每月数据(2023年)'!$R:$R,'船长每月数据(2023年)'!$F:$F,$AM$2,'船长每月数据(2023年)'!$E:$E,$C:$C)</f>
        <v>0</v>
      </c>
      <c r="AN17" s="21">
        <f>IFERROR(AM17/SUMIF('船长每月数据(2023年)'!$E:$E,$C:$C,'船长每月数据(2023年)'!$R:$R),0)</f>
        <v>0</v>
      </c>
      <c r="AO17" s="20">
        <f>SUMIFS('船长每月数据(2023年)'!P:P,'船长每月数据(2023年)'!F:F,$AO$2,'船长每月数据(2023年)'!E:E,C:C)</f>
        <v>0</v>
      </c>
      <c r="AP17" s="21">
        <f>IFERROR(AO17/SUMIF('船长每月数据(2023年)'!$E:$E,$C:$C,'船长每月数据(2023年)'!$P:$P),0)</f>
        <v>0</v>
      </c>
      <c r="AQ17" s="38">
        <f>SUMIFS('船长每月数据(2023年)'!$R:$R,'船长每月数据(2023年)'!$F:$F,$AQ$2,'船长每月数据(2023年)'!$E:$E,$C:$C)</f>
        <v>0</v>
      </c>
      <c r="AR17" s="21">
        <f>IFERROR(AQ17/SUMIF('船长每月数据(2023年)'!$E:$E,$C:$C,'船长每月数据(2023年)'!$R:$R),0)</f>
        <v>0</v>
      </c>
      <c r="AS17" s="20">
        <f>SUMIFS('船长每月数据(2023年)'!$P:$P,'船长每月数据(2023年)'!$F:$F,$AS$2,'船长每月数据(2023年)'!$E:$E,$C:$C)</f>
        <v>0</v>
      </c>
      <c r="AT17" s="21">
        <f>IFERROR(AS17/SUMIF('船长每月数据(2023年)'!$E:$E,$C:$C,'船长每月数据(2023年)'!$P:$P),0)</f>
        <v>0</v>
      </c>
      <c r="AU17" s="38">
        <f>SUMIFS('船长每月数据(2023年)'!$R:$R,'船长每月数据(2023年)'!$F:$F,$AU$2,'船长每月数据(2023年)'!$E:$E,$C:$C)</f>
        <v>0</v>
      </c>
      <c r="AV17" s="21">
        <f>IFERROR(AU17/SUMIF('船长每月数据(2023年)'!$E:$E,$C:$C,'船长每月数据(2023年)'!$R:$R),0)</f>
        <v>0</v>
      </c>
      <c r="AW17" s="20">
        <f>SUMIFS('船长每月数据(2023年)'!$P:$P,'船长每月数据(2023年)'!$F:$F,$AW$2,'船长每月数据(2023年)'!$E:$E,$C:$C)</f>
        <v>0</v>
      </c>
      <c r="AX17" s="21">
        <f>IFERROR(AW17/SUMIF('船长每月数据(2023年)'!$E:$E,$C:$C,'船长每月数据(2023年)'!$P:$P),0)</f>
        <v>0</v>
      </c>
      <c r="AY17" s="38">
        <f>SUMIFS('船长每月数据(2023年)'!$R:$R,'船长每月数据(2023年)'!$F:$F,$AY$2,'船长每月数据(2023年)'!$E:$E,$C:$C)</f>
        <v>0</v>
      </c>
      <c r="AZ17" s="21">
        <f>IFERROR(AY17/SUMIF('船长每月数据(2023年)'!$E:$E,$C:$C,'船长每月数据(2023年)'!$R:$R),0)</f>
        <v>0</v>
      </c>
      <c r="BA17" s="20">
        <f>SUMIFS('船长每月数据(2023年)'!$P:$P,'船长每月数据(2023年)'!$F:$F,$BA$2,'船长每月数据(2023年)'!$E:$E,$C:$C)</f>
        <v>0</v>
      </c>
      <c r="BB17" s="21">
        <f>IFERROR(BA17/SUMIF('船长每月数据(2023年)'!$E:$E,$C:$C,'船长每月数据(2023年)'!$P:$P),0)</f>
        <v>0</v>
      </c>
      <c r="BC17" s="38">
        <f>SUMIFS('船长每月数据(2023年)'!$R:$R,'船长每月数据(2023年)'!$F:$F,$BC$2,'船长每月数据(2023年)'!$E:$E,$C:$C)</f>
        <v>0</v>
      </c>
      <c r="BD17" s="21">
        <f>IFERROR(BC17/SUMIF('船长每月数据(2023年)'!$E:$E,$C:$C,'船长每月数据(2023年)'!$R:$R),0)</f>
        <v>0</v>
      </c>
      <c r="BE17" s="20">
        <f>SUMIFS('船长每月数据(2023年)'!$P:$P,'船长每月数据(2023年)'!$F:$F,$BE$2,'船长每月数据(2023年)'!$E:$E,$C:$C)</f>
        <v>0</v>
      </c>
      <c r="BF17" s="21">
        <f>IFERROR(BE17/SUMIF('船长每月数据(2023年)'!$E:$E,$C:$C,'船长每月数据(2023年)'!$P:$P),0)</f>
        <v>0</v>
      </c>
      <c r="BG17" s="38">
        <f>SUMIFS('船长每月数据(2023年)'!$R:$R,'船长每月数据(2023年)'!$F:$F,$BG$2,'船长每月数据(2023年)'!$E:$E,$C:$C)</f>
        <v>0</v>
      </c>
      <c r="BH17" s="21">
        <f>IFERROR(BG17/SUMIF('船长每月数据(2023年)'!$E:$E,$C:$C,'船长每月数据(2023年)'!$R:$R),0)</f>
        <v>0</v>
      </c>
      <c r="BI17" s="20">
        <f>SUMIFS('船长每月数据(2023年)'!$P:$P,'船长每月数据(2023年)'!$F:$F,$BI$2,'船长每月数据(2023年)'!$E:$E,$C:$C)</f>
        <v>0</v>
      </c>
      <c r="BJ17" s="21">
        <f>IFERROR(BI17/SUMIF('船长每月数据(2023年)'!$E:$E,$C:$C,'船长每月数据(2023年)'!$P:$P),0)</f>
        <v>0</v>
      </c>
      <c r="BK17" s="38">
        <f>SUMIFS('船长每月数据(2023年)'!$R:$R,'船长每月数据(2023年)'!$F:$F,$BK$2,'船长每月数据(2023年)'!$E:$E,$C:$C)</f>
        <v>0</v>
      </c>
      <c r="BL17" s="21">
        <f>IFERROR(BK17/SUMIF('船长每月数据(2023年)'!$E:$E,$C:$C,'船长每月数据(2023年)'!$R:$R),0)</f>
        <v>0</v>
      </c>
      <c r="BM17" s="20">
        <f>SUMIFS('船长每月数据(2023年)'!$P:$P,'船长每月数据(2023年)'!$F:$F,$BM$2,'船长每月数据(2023年)'!$E:$E,$C:$C)</f>
        <v>0</v>
      </c>
      <c r="BN17" s="21">
        <f>IFERROR(BM17/SUMIF('船长每月数据(2023年)'!$E:$E,$C:$C,'船长每月数据(2023年)'!$P:$P),0)</f>
        <v>0</v>
      </c>
      <c r="BO17" s="38">
        <f>SUMIFS('船长每月数据(2023年)'!$R:$R,'船长每月数据(2023年)'!$F:$F,$BO$2,'船长每月数据(2023年)'!$E:$E,$C:$C)</f>
        <v>0</v>
      </c>
      <c r="BP17" s="21">
        <f>IFERROR(BO17/SUMIF('船长每月数据(2023年)'!$E:$E,$C:$C,'船长每月数据(2023年)'!$R:$R),0)</f>
        <v>0</v>
      </c>
      <c r="BQ17" s="20">
        <f>SUMIFS('船长每月数据(2023年)'!$P:$P,'船长每月数据(2023年)'!$F:$F,$BQ$2,'船长每月数据(2023年)'!$E:$E,$C:$C)</f>
        <v>0</v>
      </c>
      <c r="BR17" s="21">
        <f>IFERROR(BQ17/SUMIF('船长每月数据(2023年)'!$E:$E,$C:$C,'船长每月数据(2023年)'!$P:$P),0)</f>
        <v>0</v>
      </c>
      <c r="BS17" s="38">
        <f>SUMIFS('船长每月数据(2023年)'!$R:$R,'船长每月数据(2023年)'!$F:$F,$BS$2,'船长每月数据(2023年)'!$E:$E,$C:$C)</f>
        <v>0</v>
      </c>
      <c r="BT17" s="21">
        <f>IFERROR(BS17/SUMIF('船长每月数据(2023年)'!$E:$E,$C:$C,'船长每月数据(2023年)'!$R:$R),0)</f>
        <v>0</v>
      </c>
      <c r="BU17" s="20">
        <f>SUMIFS('船长每月数据(2023年)'!$P:$P,'船长每月数据(2023年)'!$F:$F,$BU$2,'船长每月数据(2023年)'!$E:$E,$C:$C)</f>
        <v>0</v>
      </c>
      <c r="BV17" s="21">
        <f>IFERROR(BU17/SUMIF('船长每月数据(2023年)'!$E:$E,$C:$C,'船长每月数据(2023年)'!$P:$P),0)</f>
        <v>0</v>
      </c>
      <c r="BW17" s="38">
        <f>SUMIFS('船长每月数据(2023年)'!$R:$R,'船长每月数据(2023年)'!$F:$F,$BW$2,'船长每月数据(2023年)'!$E:$E,$C:$C)</f>
        <v>0</v>
      </c>
      <c r="BX17" s="21">
        <f>IFERROR(BW17/SUMIF('船长每月数据(2023年)'!$E:$E,$C:$C,'船长每月数据(2023年)'!$R:$R),0)</f>
        <v>0</v>
      </c>
    </row>
    <row r="18" ht="23" customHeight="1" spans="1:76">
      <c r="A18" s="36"/>
      <c r="B18" s="36"/>
      <c r="C18" s="20"/>
      <c r="D18" s="74"/>
      <c r="E18" s="20">
        <f>SUMIFS('船长每月数据(2022年)'!$P:$P,'船长每月数据(2022年)'!$F:$F,$E$2,'船长每月数据(2022年)'!E:E,C:C)</f>
        <v>0</v>
      </c>
      <c r="F18" s="85">
        <f>SUMIFS('船长每月数据(2022年)'!$R:$R,'船长每月数据(2022年)'!$F:$F,$F$2,'船长每月数据(2022年)'!E:E,C:C)</f>
        <v>0</v>
      </c>
      <c r="G18" s="20">
        <f>SUMIFS('船长每月数据(2022年)'!$P:$P,'船长每月数据(2022年)'!$F:$F,$G$2,'船长每月数据(2022年)'!$E:$E,$C:$C)</f>
        <v>0</v>
      </c>
      <c r="H18" s="85">
        <f>SUMIFS('船长每月数据(2022年)'!$R:$R,'船长每月数据(2022年)'!$F:$F,$H$2,'船长每月数据(2022年)'!$E:$E,$C:$C)</f>
        <v>0</v>
      </c>
      <c r="I18" s="20">
        <f>SUMIFS('船长每月数据(2022年)'!$P:$P,'船长每月数据(2022年)'!$F:$F,$I$2,'船长每月数据(2022年)'!$E:$E,$C:$C)</f>
        <v>0</v>
      </c>
      <c r="J18" s="85">
        <f>SUMIFS('船长每月数据(2022年)'!$R:$R,'船长每月数据(2022年)'!$F:$F,$J$2,'船长每月数据(2022年)'!$E:$E,$C:$C)</f>
        <v>0</v>
      </c>
      <c r="K18" s="20">
        <f>SUMIFS('船长每月数据(2022年)'!$P:$P,'船长每月数据(2022年)'!$F:$F,$K$2,'船长每月数据(2022年)'!$E:$E,$C:$C)</f>
        <v>0</v>
      </c>
      <c r="L18" s="85">
        <f>SUMIFS('船长每月数据(2022年)'!$R:$R,'船长每月数据(2022年)'!$F:$F,$L$2,'船长每月数据(2022年)'!$E:$E,$C:$C)</f>
        <v>0</v>
      </c>
      <c r="M18" s="20">
        <f>SUMIFS('船长每月数据(2022年)'!$P:$P,'船长每月数据(2022年)'!$F:$F,$M$2,'船长每月数据(2022年)'!$E:$E,$C:$C)</f>
        <v>0</v>
      </c>
      <c r="N18" s="85">
        <f>SUMIFS('船长每月数据(2022年)'!$R:$R,'船长每月数据(2022年)'!$F:$F,$N$2,'船长每月数据(2022年)'!$E:$E,$C:$C)</f>
        <v>0</v>
      </c>
      <c r="O18" s="20">
        <f>SUMIFS('船长每月数据(2022年)'!$P:$P,'船长每月数据(2022年)'!$F:$F,$O$2,'船长每月数据(2022年)'!$E:$E,$C:$C)</f>
        <v>0</v>
      </c>
      <c r="P18" s="85">
        <f>SUMIFS('船长每月数据(2022年)'!$R:$R,'船长每月数据(2022年)'!$F:$F,$P$2,'船长每月数据(2022年)'!$E:$E,$C:$C)</f>
        <v>0</v>
      </c>
      <c r="Q18" s="20">
        <f>SUMIFS('船长每月数据(2022年)'!$P:$P,'船长每月数据(2022年)'!$F:$F,$Q$2,'船长每月数据(2022年)'!$E:$E,$C:$C)</f>
        <v>0</v>
      </c>
      <c r="R18" s="85">
        <f>SUMIFS('船长每月数据(2022年)'!$R:$R,'船长每月数据(2022年)'!$F:$F,$R$2,'船长每月数据(2022年)'!$E:$E,$C:$C)</f>
        <v>0</v>
      </c>
      <c r="S18" s="20">
        <f>SUMIFS('船长每月数据(2022年)'!$P:$P,'船长每月数据(2022年)'!$F:$F,$S$2,'船长每月数据(2022年)'!$E:$E,$C:$C)</f>
        <v>0</v>
      </c>
      <c r="T18" s="85">
        <f>SUMIFS('船长每月数据(2022年)'!$R:$R,'船长每月数据(2022年)'!$F:$F,$T$2,'船长每月数据(2022年)'!$E:$E,$C:$C)</f>
        <v>0</v>
      </c>
      <c r="U18" s="20">
        <f>SUMIFS('船长每月数据(2022年)'!$P:$P,'船长每月数据(2022年)'!$F:$F,$U$2,'船长每月数据(2022年)'!$E:$E,$C:$C)</f>
        <v>0</v>
      </c>
      <c r="V18" s="85">
        <f>SUMIFS('船长每月数据(2022年)'!$R:$R,'船长每月数据(2022年)'!$F:$F,$V$2,'船长每月数据(2022年)'!$E:$E,$C:$C)</f>
        <v>0</v>
      </c>
      <c r="W18" s="20">
        <f>SUMIFS('船长每月数据(2022年)'!$P:$P,'船长每月数据(2022年)'!$F:$F,$W$2,'船长每月数据(2022年)'!$E:$E,$C:$C)</f>
        <v>0</v>
      </c>
      <c r="X18" s="85">
        <f>SUMIFS('船长每月数据(2022年)'!$R:$R,'船长每月数据(2022年)'!$F:$F,$X$2,'船长每月数据(2022年)'!$E:$E,$C:$C)</f>
        <v>0</v>
      </c>
      <c r="Y18" s="20">
        <f>SUMIFS('船长每月数据(2022年)'!$P:$P,'船长每月数据(2022年)'!$F:$F,$Y$2,'船长每月数据(2022年)'!$E:$E,$C:$C)</f>
        <v>0</v>
      </c>
      <c r="Z18" s="85">
        <f>SUMIFS('船长每月数据(2022年)'!$R:$R,'船长每月数据(2022年)'!$F:$F,$Z$2,'船长每月数据(2022年)'!$E:$E,$C:$C)</f>
        <v>0</v>
      </c>
      <c r="AA18" s="20">
        <f>SUMIFS('船长每月数据(2022年)'!$P:$P,'船长每月数据(2022年)'!$F:$F,$AA$2,'船长每月数据(2022年)'!$E:$E,$C:$C)</f>
        <v>0</v>
      </c>
      <c r="AB18" s="85">
        <f>SUMIFS('船长每月数据(2022年)'!$R:$R,'船长每月数据(2022年)'!$F:$F,$AB$2,'船长每月数据(2022年)'!$E:$E,$C:$C)</f>
        <v>0</v>
      </c>
      <c r="AC18" s="20">
        <f>SUMIFS('船长每月数据(2023年)'!P:P,'船长每月数据(2023年)'!F:F,$AC$2,'船长每月数据(2023年)'!E:E,C:C)</f>
        <v>0</v>
      </c>
      <c r="AD18" s="21">
        <f>IFERROR(AC18/SUMIF('船长每月数据(2023年)'!$E:$E,C:C,'船长每月数据(2023年)'!P:P),0)</f>
        <v>0</v>
      </c>
      <c r="AE18" s="38">
        <f>SUMIFS('船长每月数据(2023年)'!$R:$R,'船长每月数据(2023年)'!$F:$F,$AE$2,'船长每月数据(2023年)'!$E:$E,$C:$C)</f>
        <v>0</v>
      </c>
      <c r="AF18" s="21">
        <f>IFERROR(AE18/SUMIF('船长每月数据(2023年)'!E:E,C:C,'船长每月数据(2023年)'!R:R),0)</f>
        <v>0</v>
      </c>
      <c r="AG18" s="20">
        <f>SUMIFS('船长每月数据(2023年)'!P:P,'船长每月数据(2023年)'!F:F,$AG$2,'船长每月数据(2023年)'!E:E,C:C)</f>
        <v>0</v>
      </c>
      <c r="AH18" s="21">
        <f>IFERROR(AG18/SUMIF('船长每月数据(2023年)'!$E:$E,$C:$C,'船长每月数据(2023年)'!$P:$P),0)</f>
        <v>0</v>
      </c>
      <c r="AI18" s="38">
        <f>SUMIFS('船长每月数据(2023年)'!$R:$R,'船长每月数据(2023年)'!$F:$F,$AI$2,'船长每月数据(2023年)'!$E:$E,$C:$C)</f>
        <v>0</v>
      </c>
      <c r="AJ18" s="21">
        <f>IFERROR(AI18/SUMIF('船长每月数据(2023年)'!$E:$E,$C:$C,'船长每月数据(2023年)'!$R:$R),0)</f>
        <v>0</v>
      </c>
      <c r="AK18" s="20">
        <f>SUMIFS('船长每月数据(2023年)'!P:P,'船长每月数据(2023年)'!F:F,$AK$2,'船长每月数据(2023年)'!E:E,C:C)</f>
        <v>0</v>
      </c>
      <c r="AL18" s="21">
        <f>IFERROR(AK18/SUMIF('船长每月数据(2023年)'!$E:$E,$C:$C,'船长每月数据(2023年)'!$P:$P),0)</f>
        <v>0</v>
      </c>
      <c r="AM18" s="38">
        <f>SUMIFS('船长每月数据(2023年)'!$R:$R,'船长每月数据(2023年)'!$F:$F,$AM$2,'船长每月数据(2023年)'!$E:$E,$C:$C)</f>
        <v>0</v>
      </c>
      <c r="AN18" s="21">
        <f>IFERROR(AM18/SUMIF('船长每月数据(2023年)'!$E:$E,$C:$C,'船长每月数据(2023年)'!$R:$R),0)</f>
        <v>0</v>
      </c>
      <c r="AO18" s="20">
        <f>SUMIFS('船长每月数据(2023年)'!P:P,'船长每月数据(2023年)'!F:F,$AO$2,'船长每月数据(2023年)'!E:E,C:C)</f>
        <v>0</v>
      </c>
      <c r="AP18" s="21">
        <f>IFERROR(AO18/SUMIF('船长每月数据(2023年)'!$E:$E,$C:$C,'船长每月数据(2023年)'!$P:$P),0)</f>
        <v>0</v>
      </c>
      <c r="AQ18" s="38">
        <f>SUMIFS('船长每月数据(2023年)'!$R:$R,'船长每月数据(2023年)'!$F:$F,$AQ$2,'船长每月数据(2023年)'!$E:$E,$C:$C)</f>
        <v>0</v>
      </c>
      <c r="AR18" s="21">
        <f>IFERROR(AQ18/SUMIF('船长每月数据(2023年)'!$E:$E,$C:$C,'船长每月数据(2023年)'!$R:$R),0)</f>
        <v>0</v>
      </c>
      <c r="AS18" s="20">
        <f>SUMIFS('船长每月数据(2023年)'!$P:$P,'船长每月数据(2023年)'!$F:$F,$AS$2,'船长每月数据(2023年)'!$E:$E,$C:$C)</f>
        <v>0</v>
      </c>
      <c r="AT18" s="21">
        <f>IFERROR(AS18/SUMIF('船长每月数据(2023年)'!$E:$E,$C:$C,'船长每月数据(2023年)'!$P:$P),0)</f>
        <v>0</v>
      </c>
      <c r="AU18" s="38">
        <f>SUMIFS('船长每月数据(2023年)'!$R:$R,'船长每月数据(2023年)'!$F:$F,$AU$2,'船长每月数据(2023年)'!$E:$E,$C:$C)</f>
        <v>0</v>
      </c>
      <c r="AV18" s="21">
        <f>IFERROR(AU18/SUMIF('船长每月数据(2023年)'!$E:$E,$C:$C,'船长每月数据(2023年)'!$R:$R),0)</f>
        <v>0</v>
      </c>
      <c r="AW18" s="20">
        <f>SUMIFS('船长每月数据(2023年)'!$P:$P,'船长每月数据(2023年)'!$F:$F,$AW$2,'船长每月数据(2023年)'!$E:$E,$C:$C)</f>
        <v>0</v>
      </c>
      <c r="AX18" s="21">
        <f>IFERROR(AW18/SUMIF('船长每月数据(2023年)'!$E:$E,$C:$C,'船长每月数据(2023年)'!$P:$P),0)</f>
        <v>0</v>
      </c>
      <c r="AY18" s="38">
        <f>SUMIFS('船长每月数据(2023年)'!$R:$R,'船长每月数据(2023年)'!$F:$F,$AY$2,'船长每月数据(2023年)'!$E:$E,$C:$C)</f>
        <v>0</v>
      </c>
      <c r="AZ18" s="21">
        <f>IFERROR(AY18/SUMIF('船长每月数据(2023年)'!$E:$E,$C:$C,'船长每月数据(2023年)'!$R:$R),0)</f>
        <v>0</v>
      </c>
      <c r="BA18" s="20">
        <f>SUMIFS('船长每月数据(2023年)'!$P:$P,'船长每月数据(2023年)'!$F:$F,$BA$2,'船长每月数据(2023年)'!$E:$E,$C:$C)</f>
        <v>0</v>
      </c>
      <c r="BB18" s="21">
        <f>IFERROR(BA18/SUMIF('船长每月数据(2023年)'!$E:$E,$C:$C,'船长每月数据(2023年)'!$P:$P),0)</f>
        <v>0</v>
      </c>
      <c r="BC18" s="38">
        <f>SUMIFS('船长每月数据(2023年)'!$R:$R,'船长每月数据(2023年)'!$F:$F,$BC$2,'船长每月数据(2023年)'!$E:$E,$C:$C)</f>
        <v>0</v>
      </c>
      <c r="BD18" s="21">
        <f>IFERROR(BC18/SUMIF('船长每月数据(2023年)'!$E:$E,$C:$C,'船长每月数据(2023年)'!$R:$R),0)</f>
        <v>0</v>
      </c>
      <c r="BE18" s="20">
        <f>SUMIFS('船长每月数据(2023年)'!$P:$P,'船长每月数据(2023年)'!$F:$F,$BE$2,'船长每月数据(2023年)'!$E:$E,$C:$C)</f>
        <v>0</v>
      </c>
      <c r="BF18" s="21">
        <f>IFERROR(BE18/SUMIF('船长每月数据(2023年)'!$E:$E,$C:$C,'船长每月数据(2023年)'!$P:$P),0)</f>
        <v>0</v>
      </c>
      <c r="BG18" s="38">
        <f>SUMIFS('船长每月数据(2023年)'!$R:$R,'船长每月数据(2023年)'!$F:$F,$BG$2,'船长每月数据(2023年)'!$E:$E,$C:$C)</f>
        <v>0</v>
      </c>
      <c r="BH18" s="21">
        <f>IFERROR(BG18/SUMIF('船长每月数据(2023年)'!$E:$E,$C:$C,'船长每月数据(2023年)'!$R:$R),0)</f>
        <v>0</v>
      </c>
      <c r="BI18" s="20">
        <f>SUMIFS('船长每月数据(2023年)'!$P:$P,'船长每月数据(2023年)'!$F:$F,$BI$2,'船长每月数据(2023年)'!$E:$E,$C:$C)</f>
        <v>0</v>
      </c>
      <c r="BJ18" s="21">
        <f>IFERROR(BI18/SUMIF('船长每月数据(2023年)'!$E:$E,$C:$C,'船长每月数据(2023年)'!$P:$P),0)</f>
        <v>0</v>
      </c>
      <c r="BK18" s="38">
        <f>SUMIFS('船长每月数据(2023年)'!$R:$R,'船长每月数据(2023年)'!$F:$F,$BK$2,'船长每月数据(2023年)'!$E:$E,$C:$C)</f>
        <v>0</v>
      </c>
      <c r="BL18" s="21">
        <f>IFERROR(BK18/SUMIF('船长每月数据(2023年)'!$E:$E,$C:$C,'船长每月数据(2023年)'!$R:$R),0)</f>
        <v>0</v>
      </c>
      <c r="BM18" s="20">
        <f>SUMIFS('船长每月数据(2023年)'!$P:$P,'船长每月数据(2023年)'!$F:$F,$BM$2,'船长每月数据(2023年)'!$E:$E,$C:$C)</f>
        <v>0</v>
      </c>
      <c r="BN18" s="21">
        <f>IFERROR(BM18/SUMIF('船长每月数据(2023年)'!$E:$E,$C:$C,'船长每月数据(2023年)'!$P:$P),0)</f>
        <v>0</v>
      </c>
      <c r="BO18" s="38">
        <f>SUMIFS('船长每月数据(2023年)'!$R:$R,'船长每月数据(2023年)'!$F:$F,$BO$2,'船长每月数据(2023年)'!$E:$E,$C:$C)</f>
        <v>0</v>
      </c>
      <c r="BP18" s="21">
        <f>IFERROR(BO18/SUMIF('船长每月数据(2023年)'!$E:$E,$C:$C,'船长每月数据(2023年)'!$R:$R),0)</f>
        <v>0</v>
      </c>
      <c r="BQ18" s="20">
        <f>SUMIFS('船长每月数据(2023年)'!$P:$P,'船长每月数据(2023年)'!$F:$F,$BQ$2,'船长每月数据(2023年)'!$E:$E,$C:$C)</f>
        <v>0</v>
      </c>
      <c r="BR18" s="21">
        <f>IFERROR(BQ18/SUMIF('船长每月数据(2023年)'!$E:$E,$C:$C,'船长每月数据(2023年)'!$P:$P),0)</f>
        <v>0</v>
      </c>
      <c r="BS18" s="38">
        <f>SUMIFS('船长每月数据(2023年)'!$R:$R,'船长每月数据(2023年)'!$F:$F,$BS$2,'船长每月数据(2023年)'!$E:$E,$C:$C)</f>
        <v>0</v>
      </c>
      <c r="BT18" s="21">
        <f>IFERROR(BS18/SUMIF('船长每月数据(2023年)'!$E:$E,$C:$C,'船长每月数据(2023年)'!$R:$R),0)</f>
        <v>0</v>
      </c>
      <c r="BU18" s="20">
        <f>SUMIFS('船长每月数据(2023年)'!$P:$P,'船长每月数据(2023年)'!$F:$F,$BU$2,'船长每月数据(2023年)'!$E:$E,$C:$C)</f>
        <v>0</v>
      </c>
      <c r="BV18" s="21">
        <f>IFERROR(BU18/SUMIF('船长每月数据(2023年)'!$E:$E,$C:$C,'船长每月数据(2023年)'!$P:$P),0)</f>
        <v>0</v>
      </c>
      <c r="BW18" s="38">
        <f>SUMIFS('船长每月数据(2023年)'!$R:$R,'船长每月数据(2023年)'!$F:$F,$BW$2,'船长每月数据(2023年)'!$E:$E,$C:$C)</f>
        <v>0</v>
      </c>
      <c r="BX18" s="21">
        <f>IFERROR(BW18/SUMIF('船长每月数据(2023年)'!$E:$E,$C:$C,'船长每月数据(2023年)'!$R:$R),0)</f>
        <v>0</v>
      </c>
    </row>
    <row r="19" ht="23" customHeight="1" spans="1:76">
      <c r="A19" s="36"/>
      <c r="B19" s="36"/>
      <c r="C19" s="20"/>
      <c r="D19" s="74"/>
      <c r="E19" s="20">
        <f>SUMIFS('船长每月数据(2022年)'!$P:$P,'船长每月数据(2022年)'!$F:$F,$E$2,'船长每月数据(2022年)'!E:E,C:C)</f>
        <v>0</v>
      </c>
      <c r="F19" s="85">
        <f>SUMIFS('船长每月数据(2022年)'!$R:$R,'船长每月数据(2022年)'!$F:$F,$F$2,'船长每月数据(2022年)'!E:E,C:C)</f>
        <v>0</v>
      </c>
      <c r="G19" s="20">
        <f>SUMIFS('船长每月数据(2022年)'!$P:$P,'船长每月数据(2022年)'!$F:$F,$G$2,'船长每月数据(2022年)'!$E:$E,$C:$C)</f>
        <v>0</v>
      </c>
      <c r="H19" s="85">
        <f>SUMIFS('船长每月数据(2022年)'!$R:$R,'船长每月数据(2022年)'!$F:$F,$H$2,'船长每月数据(2022年)'!$E:$E,$C:$C)</f>
        <v>0</v>
      </c>
      <c r="I19" s="20">
        <f>SUMIFS('船长每月数据(2022年)'!$P:$P,'船长每月数据(2022年)'!$F:$F,$I$2,'船长每月数据(2022年)'!$E:$E,$C:$C)</f>
        <v>0</v>
      </c>
      <c r="J19" s="85">
        <f>SUMIFS('船长每月数据(2022年)'!$R:$R,'船长每月数据(2022年)'!$F:$F,$J$2,'船长每月数据(2022年)'!$E:$E,$C:$C)</f>
        <v>0</v>
      </c>
      <c r="K19" s="20">
        <f>SUMIFS('船长每月数据(2022年)'!$P:$P,'船长每月数据(2022年)'!$F:$F,$K$2,'船长每月数据(2022年)'!$E:$E,$C:$C)</f>
        <v>0</v>
      </c>
      <c r="L19" s="85">
        <f>SUMIFS('船长每月数据(2022年)'!$R:$R,'船长每月数据(2022年)'!$F:$F,$L$2,'船长每月数据(2022年)'!$E:$E,$C:$C)</f>
        <v>0</v>
      </c>
      <c r="M19" s="20">
        <f>SUMIFS('船长每月数据(2022年)'!$P:$P,'船长每月数据(2022年)'!$F:$F,$M$2,'船长每月数据(2022年)'!$E:$E,$C:$C)</f>
        <v>0</v>
      </c>
      <c r="N19" s="85">
        <f>SUMIFS('船长每月数据(2022年)'!$R:$R,'船长每月数据(2022年)'!$F:$F,$N$2,'船长每月数据(2022年)'!$E:$E,$C:$C)</f>
        <v>0</v>
      </c>
      <c r="O19" s="20">
        <f>SUMIFS('船长每月数据(2022年)'!$P:$P,'船长每月数据(2022年)'!$F:$F,$O$2,'船长每月数据(2022年)'!$E:$E,$C:$C)</f>
        <v>0</v>
      </c>
      <c r="P19" s="85">
        <f>SUMIFS('船长每月数据(2022年)'!$R:$R,'船长每月数据(2022年)'!$F:$F,$P$2,'船长每月数据(2022年)'!$E:$E,$C:$C)</f>
        <v>0</v>
      </c>
      <c r="Q19" s="20">
        <f>SUMIFS('船长每月数据(2022年)'!$P:$P,'船长每月数据(2022年)'!$F:$F,$Q$2,'船长每月数据(2022年)'!$E:$E,$C:$C)</f>
        <v>0</v>
      </c>
      <c r="R19" s="85">
        <f>SUMIFS('船长每月数据(2022年)'!$R:$R,'船长每月数据(2022年)'!$F:$F,$R$2,'船长每月数据(2022年)'!$E:$E,$C:$C)</f>
        <v>0</v>
      </c>
      <c r="S19" s="20">
        <f>SUMIFS('船长每月数据(2022年)'!$P:$P,'船长每月数据(2022年)'!$F:$F,$S$2,'船长每月数据(2022年)'!$E:$E,$C:$C)</f>
        <v>0</v>
      </c>
      <c r="T19" s="85">
        <f>SUMIFS('船长每月数据(2022年)'!$R:$R,'船长每月数据(2022年)'!$F:$F,$T$2,'船长每月数据(2022年)'!$E:$E,$C:$C)</f>
        <v>0</v>
      </c>
      <c r="U19" s="20">
        <f>SUMIFS('船长每月数据(2022年)'!$P:$P,'船长每月数据(2022年)'!$F:$F,$U$2,'船长每月数据(2022年)'!$E:$E,$C:$C)</f>
        <v>0</v>
      </c>
      <c r="V19" s="85">
        <f>SUMIFS('船长每月数据(2022年)'!$R:$R,'船长每月数据(2022年)'!$F:$F,$V$2,'船长每月数据(2022年)'!$E:$E,$C:$C)</f>
        <v>0</v>
      </c>
      <c r="W19" s="20">
        <f>SUMIFS('船长每月数据(2022年)'!$P:$P,'船长每月数据(2022年)'!$F:$F,$W$2,'船长每月数据(2022年)'!$E:$E,$C:$C)</f>
        <v>0</v>
      </c>
      <c r="X19" s="85">
        <f>SUMIFS('船长每月数据(2022年)'!$R:$R,'船长每月数据(2022年)'!$F:$F,$X$2,'船长每月数据(2022年)'!$E:$E,$C:$C)</f>
        <v>0</v>
      </c>
      <c r="Y19" s="20">
        <f>SUMIFS('船长每月数据(2022年)'!$P:$P,'船长每月数据(2022年)'!$F:$F,$Y$2,'船长每月数据(2022年)'!$E:$E,$C:$C)</f>
        <v>0</v>
      </c>
      <c r="Z19" s="85">
        <f>SUMIFS('船长每月数据(2022年)'!$R:$R,'船长每月数据(2022年)'!$F:$F,$Z$2,'船长每月数据(2022年)'!$E:$E,$C:$C)</f>
        <v>0</v>
      </c>
      <c r="AA19" s="20">
        <f>SUMIFS('船长每月数据(2022年)'!$P:$P,'船长每月数据(2022年)'!$F:$F,$AA$2,'船长每月数据(2022年)'!$E:$E,$C:$C)</f>
        <v>0</v>
      </c>
      <c r="AB19" s="85">
        <f>SUMIFS('船长每月数据(2022年)'!$R:$R,'船长每月数据(2022年)'!$F:$F,$AB$2,'船长每月数据(2022年)'!$E:$E,$C:$C)</f>
        <v>0</v>
      </c>
      <c r="AC19" s="20">
        <f>SUMIFS('船长每月数据(2023年)'!P:P,'船长每月数据(2023年)'!F:F,$AC$2,'船长每月数据(2023年)'!E:E,C:C)</f>
        <v>0</v>
      </c>
      <c r="AD19" s="21">
        <f>IFERROR(AC19/SUMIF('船长每月数据(2023年)'!$E:$E,C:C,'船长每月数据(2023年)'!P:P),0)</f>
        <v>0</v>
      </c>
      <c r="AE19" s="38">
        <f>SUMIFS('船长每月数据(2023年)'!$R:$R,'船长每月数据(2023年)'!$F:$F,$AE$2,'船长每月数据(2023年)'!$E:$E,$C:$C)</f>
        <v>0</v>
      </c>
      <c r="AF19" s="21">
        <f>IFERROR(AE19/SUMIF('船长每月数据(2023年)'!E:E,C:C,'船长每月数据(2023年)'!R:R),0)</f>
        <v>0</v>
      </c>
      <c r="AG19" s="20">
        <f>SUMIFS('船长每月数据(2023年)'!P:P,'船长每月数据(2023年)'!F:F,$AG$2,'船长每月数据(2023年)'!E:E,C:C)</f>
        <v>0</v>
      </c>
      <c r="AH19" s="21">
        <f>IFERROR(AG19/SUMIF('船长每月数据(2023年)'!$E:$E,$C:$C,'船长每月数据(2023年)'!$P:$P),0)</f>
        <v>0</v>
      </c>
      <c r="AI19" s="38">
        <f>SUMIFS('船长每月数据(2023年)'!$R:$R,'船长每月数据(2023年)'!$F:$F,$AI$2,'船长每月数据(2023年)'!$E:$E,$C:$C)</f>
        <v>0</v>
      </c>
      <c r="AJ19" s="21">
        <f>IFERROR(AI19/SUMIF('船长每月数据(2023年)'!$E:$E,$C:$C,'船长每月数据(2023年)'!$R:$R),0)</f>
        <v>0</v>
      </c>
      <c r="AK19" s="20">
        <f>SUMIFS('船长每月数据(2023年)'!P:P,'船长每月数据(2023年)'!F:F,$AK$2,'船长每月数据(2023年)'!E:E,C:C)</f>
        <v>0</v>
      </c>
      <c r="AL19" s="21">
        <f>IFERROR(AK19/SUMIF('船长每月数据(2023年)'!$E:$E,$C:$C,'船长每月数据(2023年)'!$P:$P),0)</f>
        <v>0</v>
      </c>
      <c r="AM19" s="38">
        <f>SUMIFS('船长每月数据(2023年)'!$R:$R,'船长每月数据(2023年)'!$F:$F,$AM$2,'船长每月数据(2023年)'!$E:$E,$C:$C)</f>
        <v>0</v>
      </c>
      <c r="AN19" s="21">
        <f>IFERROR(AM19/SUMIF('船长每月数据(2023年)'!$E:$E,$C:$C,'船长每月数据(2023年)'!$R:$R),0)</f>
        <v>0</v>
      </c>
      <c r="AO19" s="20">
        <f>SUMIFS('船长每月数据(2023年)'!P:P,'船长每月数据(2023年)'!F:F,$AO$2,'船长每月数据(2023年)'!E:E,C:C)</f>
        <v>0</v>
      </c>
      <c r="AP19" s="21">
        <f>IFERROR(AO19/SUMIF('船长每月数据(2023年)'!$E:$E,$C:$C,'船长每月数据(2023年)'!$P:$P),0)</f>
        <v>0</v>
      </c>
      <c r="AQ19" s="38">
        <f>SUMIFS('船长每月数据(2023年)'!$R:$R,'船长每月数据(2023年)'!$F:$F,$AQ$2,'船长每月数据(2023年)'!$E:$E,$C:$C)</f>
        <v>0</v>
      </c>
      <c r="AR19" s="21">
        <f>IFERROR(AQ19/SUMIF('船长每月数据(2023年)'!$E:$E,$C:$C,'船长每月数据(2023年)'!$R:$R),0)</f>
        <v>0</v>
      </c>
      <c r="AS19" s="20">
        <f>SUMIFS('船长每月数据(2023年)'!$P:$P,'船长每月数据(2023年)'!$F:$F,$AS$2,'船长每月数据(2023年)'!$E:$E,$C:$C)</f>
        <v>0</v>
      </c>
      <c r="AT19" s="21">
        <f>IFERROR(AS19/SUMIF('船长每月数据(2023年)'!$E:$E,$C:$C,'船长每月数据(2023年)'!$P:$P),0)</f>
        <v>0</v>
      </c>
      <c r="AU19" s="38">
        <f>SUMIFS('船长每月数据(2023年)'!$R:$R,'船长每月数据(2023年)'!$F:$F,$AU$2,'船长每月数据(2023年)'!$E:$E,$C:$C)</f>
        <v>0</v>
      </c>
      <c r="AV19" s="21">
        <f>IFERROR(AU19/SUMIF('船长每月数据(2023年)'!$E:$E,$C:$C,'船长每月数据(2023年)'!$R:$R),0)</f>
        <v>0</v>
      </c>
      <c r="AW19" s="20">
        <f>SUMIFS('船长每月数据(2023年)'!$P:$P,'船长每月数据(2023年)'!$F:$F,$AW$2,'船长每月数据(2023年)'!$E:$E,$C:$C)</f>
        <v>0</v>
      </c>
      <c r="AX19" s="21">
        <f>IFERROR(AW19/SUMIF('船长每月数据(2023年)'!$E:$E,$C:$C,'船长每月数据(2023年)'!$P:$P),0)</f>
        <v>0</v>
      </c>
      <c r="AY19" s="38">
        <f>SUMIFS('船长每月数据(2023年)'!$R:$R,'船长每月数据(2023年)'!$F:$F,$AY$2,'船长每月数据(2023年)'!$E:$E,$C:$C)</f>
        <v>0</v>
      </c>
      <c r="AZ19" s="21">
        <f>IFERROR(AY19/SUMIF('船长每月数据(2023年)'!$E:$E,$C:$C,'船长每月数据(2023年)'!$R:$R),0)</f>
        <v>0</v>
      </c>
      <c r="BA19" s="20">
        <f>SUMIFS('船长每月数据(2023年)'!$P:$P,'船长每月数据(2023年)'!$F:$F,$BA$2,'船长每月数据(2023年)'!$E:$E,$C:$C)</f>
        <v>0</v>
      </c>
      <c r="BB19" s="21">
        <f>IFERROR(BA19/SUMIF('船长每月数据(2023年)'!$E:$E,$C:$C,'船长每月数据(2023年)'!$P:$P),0)</f>
        <v>0</v>
      </c>
      <c r="BC19" s="38">
        <f>SUMIFS('船长每月数据(2023年)'!$R:$R,'船长每月数据(2023年)'!$F:$F,$BC$2,'船长每月数据(2023年)'!$E:$E,$C:$C)</f>
        <v>0</v>
      </c>
      <c r="BD19" s="21">
        <f>IFERROR(BC19/SUMIF('船长每月数据(2023年)'!$E:$E,$C:$C,'船长每月数据(2023年)'!$R:$R),0)</f>
        <v>0</v>
      </c>
      <c r="BE19" s="20">
        <f>SUMIFS('船长每月数据(2023年)'!$P:$P,'船长每月数据(2023年)'!$F:$F,$BE$2,'船长每月数据(2023年)'!$E:$E,$C:$C)</f>
        <v>0</v>
      </c>
      <c r="BF19" s="21">
        <f>IFERROR(BE19/SUMIF('船长每月数据(2023年)'!$E:$E,$C:$C,'船长每月数据(2023年)'!$P:$P),0)</f>
        <v>0</v>
      </c>
      <c r="BG19" s="38">
        <f>SUMIFS('船长每月数据(2023年)'!$R:$R,'船长每月数据(2023年)'!$F:$F,$BG$2,'船长每月数据(2023年)'!$E:$E,$C:$C)</f>
        <v>0</v>
      </c>
      <c r="BH19" s="21">
        <f>IFERROR(BG19/SUMIF('船长每月数据(2023年)'!$E:$E,$C:$C,'船长每月数据(2023年)'!$R:$R),0)</f>
        <v>0</v>
      </c>
      <c r="BI19" s="20">
        <f>SUMIFS('船长每月数据(2023年)'!$P:$P,'船长每月数据(2023年)'!$F:$F,$BI$2,'船长每月数据(2023年)'!$E:$E,$C:$C)</f>
        <v>0</v>
      </c>
      <c r="BJ19" s="21">
        <f>IFERROR(BI19/SUMIF('船长每月数据(2023年)'!$E:$E,$C:$C,'船长每月数据(2023年)'!$P:$P),0)</f>
        <v>0</v>
      </c>
      <c r="BK19" s="38">
        <f>SUMIFS('船长每月数据(2023年)'!$R:$R,'船长每月数据(2023年)'!$F:$F,$BK$2,'船长每月数据(2023年)'!$E:$E,$C:$C)</f>
        <v>0</v>
      </c>
      <c r="BL19" s="21">
        <f>IFERROR(BK19/SUMIF('船长每月数据(2023年)'!$E:$E,$C:$C,'船长每月数据(2023年)'!$R:$R),0)</f>
        <v>0</v>
      </c>
      <c r="BM19" s="20">
        <f>SUMIFS('船长每月数据(2023年)'!$P:$P,'船长每月数据(2023年)'!$F:$F,$BM$2,'船长每月数据(2023年)'!$E:$E,$C:$C)</f>
        <v>0</v>
      </c>
      <c r="BN19" s="21">
        <f>IFERROR(BM19/SUMIF('船长每月数据(2023年)'!$E:$E,$C:$C,'船长每月数据(2023年)'!$P:$P),0)</f>
        <v>0</v>
      </c>
      <c r="BO19" s="38">
        <f>SUMIFS('船长每月数据(2023年)'!$R:$R,'船长每月数据(2023年)'!$F:$F,$BO$2,'船长每月数据(2023年)'!$E:$E,$C:$C)</f>
        <v>0</v>
      </c>
      <c r="BP19" s="21">
        <f>IFERROR(BO19/SUMIF('船长每月数据(2023年)'!$E:$E,$C:$C,'船长每月数据(2023年)'!$R:$R),0)</f>
        <v>0</v>
      </c>
      <c r="BQ19" s="20">
        <f>SUMIFS('船长每月数据(2023年)'!$P:$P,'船长每月数据(2023年)'!$F:$F,$BQ$2,'船长每月数据(2023年)'!$E:$E,$C:$C)</f>
        <v>0</v>
      </c>
      <c r="BR19" s="21">
        <f>IFERROR(BQ19/SUMIF('船长每月数据(2023年)'!$E:$E,$C:$C,'船长每月数据(2023年)'!$P:$P),0)</f>
        <v>0</v>
      </c>
      <c r="BS19" s="38">
        <f>SUMIFS('船长每月数据(2023年)'!$R:$R,'船长每月数据(2023年)'!$F:$F,$BS$2,'船长每月数据(2023年)'!$E:$E,$C:$C)</f>
        <v>0</v>
      </c>
      <c r="BT19" s="21">
        <f>IFERROR(BS19/SUMIF('船长每月数据(2023年)'!$E:$E,$C:$C,'船长每月数据(2023年)'!$R:$R),0)</f>
        <v>0</v>
      </c>
      <c r="BU19" s="20">
        <f>SUMIFS('船长每月数据(2023年)'!$P:$P,'船长每月数据(2023年)'!$F:$F,$BU$2,'船长每月数据(2023年)'!$E:$E,$C:$C)</f>
        <v>0</v>
      </c>
      <c r="BV19" s="21">
        <f>IFERROR(BU19/SUMIF('船长每月数据(2023年)'!$E:$E,$C:$C,'船长每月数据(2023年)'!$P:$P),0)</f>
        <v>0</v>
      </c>
      <c r="BW19" s="38">
        <f>SUMIFS('船长每月数据(2023年)'!$R:$R,'船长每月数据(2023年)'!$F:$F,$BW$2,'船长每月数据(2023年)'!$E:$E,$C:$C)</f>
        <v>0</v>
      </c>
      <c r="BX19" s="21">
        <f>IFERROR(BW19/SUMIF('船长每月数据(2023年)'!$E:$E,$C:$C,'船长每月数据(2023年)'!$R:$R),0)</f>
        <v>0</v>
      </c>
    </row>
    <row r="20" ht="23" customHeight="1" spans="1:76">
      <c r="A20" s="36"/>
      <c r="B20" s="36"/>
      <c r="C20" s="20"/>
      <c r="D20" s="74"/>
      <c r="E20" s="20">
        <f>SUMIFS('船长每月数据(2022年)'!$P:$P,'船长每月数据(2022年)'!$F:$F,$E$2,'船长每月数据(2022年)'!E:E,C:C)</f>
        <v>0</v>
      </c>
      <c r="F20" s="85">
        <f>SUMIFS('船长每月数据(2022年)'!$R:$R,'船长每月数据(2022年)'!$F:$F,$F$2,'船长每月数据(2022年)'!E:E,C:C)</f>
        <v>0</v>
      </c>
      <c r="G20" s="20">
        <f>SUMIFS('船长每月数据(2022年)'!$P:$P,'船长每月数据(2022年)'!$F:$F,$G$2,'船长每月数据(2022年)'!$E:$E,$C:$C)</f>
        <v>0</v>
      </c>
      <c r="H20" s="85">
        <f>SUMIFS('船长每月数据(2022年)'!$R:$R,'船长每月数据(2022年)'!$F:$F,$H$2,'船长每月数据(2022年)'!$E:$E,$C:$C)</f>
        <v>0</v>
      </c>
      <c r="I20" s="20">
        <f>SUMIFS('船长每月数据(2022年)'!$P:$P,'船长每月数据(2022年)'!$F:$F,$I$2,'船长每月数据(2022年)'!$E:$E,$C:$C)</f>
        <v>0</v>
      </c>
      <c r="J20" s="85">
        <f>SUMIFS('船长每月数据(2022年)'!$R:$R,'船长每月数据(2022年)'!$F:$F,$J$2,'船长每月数据(2022年)'!$E:$E,$C:$C)</f>
        <v>0</v>
      </c>
      <c r="K20" s="20">
        <f>SUMIFS('船长每月数据(2022年)'!$P:$P,'船长每月数据(2022年)'!$F:$F,$K$2,'船长每月数据(2022年)'!$E:$E,$C:$C)</f>
        <v>0</v>
      </c>
      <c r="L20" s="85">
        <f>SUMIFS('船长每月数据(2022年)'!$R:$R,'船长每月数据(2022年)'!$F:$F,$L$2,'船长每月数据(2022年)'!$E:$E,$C:$C)</f>
        <v>0</v>
      </c>
      <c r="M20" s="20">
        <f>SUMIFS('船长每月数据(2022年)'!$P:$P,'船长每月数据(2022年)'!$F:$F,$M$2,'船长每月数据(2022年)'!$E:$E,$C:$C)</f>
        <v>0</v>
      </c>
      <c r="N20" s="85">
        <f>SUMIFS('船长每月数据(2022年)'!$R:$R,'船长每月数据(2022年)'!$F:$F,$N$2,'船长每月数据(2022年)'!$E:$E,$C:$C)</f>
        <v>0</v>
      </c>
      <c r="O20" s="20">
        <f>SUMIFS('船长每月数据(2022年)'!$P:$P,'船长每月数据(2022年)'!$F:$F,$O$2,'船长每月数据(2022年)'!$E:$E,$C:$C)</f>
        <v>0</v>
      </c>
      <c r="P20" s="85">
        <f>SUMIFS('船长每月数据(2022年)'!$R:$R,'船长每月数据(2022年)'!$F:$F,$P$2,'船长每月数据(2022年)'!$E:$E,$C:$C)</f>
        <v>0</v>
      </c>
      <c r="Q20" s="20">
        <f>SUMIFS('船长每月数据(2022年)'!$P:$P,'船长每月数据(2022年)'!$F:$F,$Q$2,'船长每月数据(2022年)'!$E:$E,$C:$C)</f>
        <v>0</v>
      </c>
      <c r="R20" s="85">
        <f>SUMIFS('船长每月数据(2022年)'!$R:$R,'船长每月数据(2022年)'!$F:$F,$R$2,'船长每月数据(2022年)'!$E:$E,$C:$C)</f>
        <v>0</v>
      </c>
      <c r="S20" s="20">
        <f>SUMIFS('船长每月数据(2022年)'!$P:$P,'船长每月数据(2022年)'!$F:$F,$S$2,'船长每月数据(2022年)'!$E:$E,$C:$C)</f>
        <v>0</v>
      </c>
      <c r="T20" s="85">
        <f>SUMIFS('船长每月数据(2022年)'!$R:$R,'船长每月数据(2022年)'!$F:$F,$T$2,'船长每月数据(2022年)'!$E:$E,$C:$C)</f>
        <v>0</v>
      </c>
      <c r="U20" s="20">
        <f>SUMIFS('船长每月数据(2022年)'!$P:$P,'船长每月数据(2022年)'!$F:$F,$U$2,'船长每月数据(2022年)'!$E:$E,$C:$C)</f>
        <v>0</v>
      </c>
      <c r="V20" s="85">
        <f>SUMIFS('船长每月数据(2022年)'!$R:$R,'船长每月数据(2022年)'!$F:$F,$V$2,'船长每月数据(2022年)'!$E:$E,$C:$C)</f>
        <v>0</v>
      </c>
      <c r="W20" s="20">
        <f>SUMIFS('船长每月数据(2022年)'!$P:$P,'船长每月数据(2022年)'!$F:$F,$W$2,'船长每月数据(2022年)'!$E:$E,$C:$C)</f>
        <v>0</v>
      </c>
      <c r="X20" s="85">
        <f>SUMIFS('船长每月数据(2022年)'!$R:$R,'船长每月数据(2022年)'!$F:$F,$X$2,'船长每月数据(2022年)'!$E:$E,$C:$C)</f>
        <v>0</v>
      </c>
      <c r="Y20" s="20">
        <f>SUMIFS('船长每月数据(2022年)'!$P:$P,'船长每月数据(2022年)'!$F:$F,$Y$2,'船长每月数据(2022年)'!$E:$E,$C:$C)</f>
        <v>0</v>
      </c>
      <c r="Z20" s="85">
        <f>SUMIFS('船长每月数据(2022年)'!$R:$R,'船长每月数据(2022年)'!$F:$F,$Z$2,'船长每月数据(2022年)'!$E:$E,$C:$C)</f>
        <v>0</v>
      </c>
      <c r="AA20" s="20">
        <f>SUMIFS('船长每月数据(2022年)'!$P:$P,'船长每月数据(2022年)'!$F:$F,$AA$2,'船长每月数据(2022年)'!$E:$E,$C:$C)</f>
        <v>0</v>
      </c>
      <c r="AB20" s="85">
        <f>SUMIFS('船长每月数据(2022年)'!$R:$R,'船长每月数据(2022年)'!$F:$F,$AB$2,'船长每月数据(2022年)'!$E:$E,$C:$C)</f>
        <v>0</v>
      </c>
      <c r="AC20" s="20">
        <f>SUMIFS('船长每月数据(2023年)'!P:P,'船长每月数据(2023年)'!F:F,$AC$2,'船长每月数据(2023年)'!E:E,C:C)</f>
        <v>0</v>
      </c>
      <c r="AD20" s="21">
        <f>IFERROR(AC20/SUMIF('船长每月数据(2023年)'!$E:$E,C:C,'船长每月数据(2023年)'!P:P),0)</f>
        <v>0</v>
      </c>
      <c r="AE20" s="38">
        <f>SUMIFS('船长每月数据(2023年)'!$R:$R,'船长每月数据(2023年)'!$F:$F,$AE$2,'船长每月数据(2023年)'!$E:$E,$C:$C)</f>
        <v>0</v>
      </c>
      <c r="AF20" s="21">
        <f>IFERROR(AE20/SUMIF('船长每月数据(2023年)'!E:E,C:C,'船长每月数据(2023年)'!R:R),0)</f>
        <v>0</v>
      </c>
      <c r="AG20" s="20">
        <f>SUMIFS('船长每月数据(2023年)'!P:P,'船长每月数据(2023年)'!F:F,$AG$2,'船长每月数据(2023年)'!E:E,C:C)</f>
        <v>0</v>
      </c>
      <c r="AH20" s="21">
        <f>IFERROR(AG20/SUMIF('船长每月数据(2023年)'!$E:$E,$C:$C,'船长每月数据(2023年)'!$P:$P),0)</f>
        <v>0</v>
      </c>
      <c r="AI20" s="38">
        <f>SUMIFS('船长每月数据(2023年)'!$R:$R,'船长每月数据(2023年)'!$F:$F,$AI$2,'船长每月数据(2023年)'!$E:$E,$C:$C)</f>
        <v>0</v>
      </c>
      <c r="AJ20" s="21">
        <f>IFERROR(AI20/SUMIF('船长每月数据(2023年)'!$E:$E,$C:$C,'船长每月数据(2023年)'!$R:$R),0)</f>
        <v>0</v>
      </c>
      <c r="AK20" s="20">
        <f>SUMIFS('船长每月数据(2023年)'!P:P,'船长每月数据(2023年)'!F:F,$AK$2,'船长每月数据(2023年)'!E:E,C:C)</f>
        <v>0</v>
      </c>
      <c r="AL20" s="21">
        <f>IFERROR(AK20/SUMIF('船长每月数据(2023年)'!$E:$E,$C:$C,'船长每月数据(2023年)'!$P:$P),0)</f>
        <v>0</v>
      </c>
      <c r="AM20" s="38">
        <f>SUMIFS('船长每月数据(2023年)'!$R:$R,'船长每月数据(2023年)'!$F:$F,$AM$2,'船长每月数据(2023年)'!$E:$E,$C:$C)</f>
        <v>0</v>
      </c>
      <c r="AN20" s="21">
        <f>IFERROR(AM20/SUMIF('船长每月数据(2023年)'!$E:$E,$C:$C,'船长每月数据(2023年)'!$R:$R),0)</f>
        <v>0</v>
      </c>
      <c r="AO20" s="20">
        <f>SUMIFS('船长每月数据(2023年)'!P:P,'船长每月数据(2023年)'!F:F,$AO$2,'船长每月数据(2023年)'!E:E,C:C)</f>
        <v>0</v>
      </c>
      <c r="AP20" s="21">
        <f>IFERROR(AO20/SUMIF('船长每月数据(2023年)'!$E:$E,$C:$C,'船长每月数据(2023年)'!$P:$P),0)</f>
        <v>0</v>
      </c>
      <c r="AQ20" s="38">
        <f>SUMIFS('船长每月数据(2023年)'!$R:$R,'船长每月数据(2023年)'!$F:$F,$AQ$2,'船长每月数据(2023年)'!$E:$E,$C:$C)</f>
        <v>0</v>
      </c>
      <c r="AR20" s="21">
        <f>IFERROR(AQ20/SUMIF('船长每月数据(2023年)'!$E:$E,$C:$C,'船长每月数据(2023年)'!$R:$R),0)</f>
        <v>0</v>
      </c>
      <c r="AS20" s="20">
        <f>SUMIFS('船长每月数据(2023年)'!$P:$P,'船长每月数据(2023年)'!$F:$F,$AS$2,'船长每月数据(2023年)'!$E:$E,$C:$C)</f>
        <v>0</v>
      </c>
      <c r="AT20" s="21">
        <f>IFERROR(AS20/SUMIF('船长每月数据(2023年)'!$E:$E,$C:$C,'船长每月数据(2023年)'!$P:$P),0)</f>
        <v>0</v>
      </c>
      <c r="AU20" s="38">
        <f>SUMIFS('船长每月数据(2023年)'!$R:$R,'船长每月数据(2023年)'!$F:$F,$AU$2,'船长每月数据(2023年)'!$E:$E,$C:$C)</f>
        <v>0</v>
      </c>
      <c r="AV20" s="21">
        <f>IFERROR(AU20/SUMIF('船长每月数据(2023年)'!$E:$E,$C:$C,'船长每月数据(2023年)'!$R:$R),0)</f>
        <v>0</v>
      </c>
      <c r="AW20" s="20">
        <f>SUMIFS('船长每月数据(2023年)'!$P:$P,'船长每月数据(2023年)'!$F:$F,$AW$2,'船长每月数据(2023年)'!$E:$E,$C:$C)</f>
        <v>0</v>
      </c>
      <c r="AX20" s="21">
        <f>IFERROR(AW20/SUMIF('船长每月数据(2023年)'!$E:$E,$C:$C,'船长每月数据(2023年)'!$P:$P),0)</f>
        <v>0</v>
      </c>
      <c r="AY20" s="38">
        <f>SUMIFS('船长每月数据(2023年)'!$R:$R,'船长每月数据(2023年)'!$F:$F,$AY$2,'船长每月数据(2023年)'!$E:$E,$C:$C)</f>
        <v>0</v>
      </c>
      <c r="AZ20" s="21">
        <f>IFERROR(AY20/SUMIF('船长每月数据(2023年)'!$E:$E,$C:$C,'船长每月数据(2023年)'!$R:$R),0)</f>
        <v>0</v>
      </c>
      <c r="BA20" s="20">
        <f>SUMIFS('船长每月数据(2023年)'!$P:$P,'船长每月数据(2023年)'!$F:$F,$BA$2,'船长每月数据(2023年)'!$E:$E,$C:$C)</f>
        <v>0</v>
      </c>
      <c r="BB20" s="21">
        <f>IFERROR(BA20/SUMIF('船长每月数据(2023年)'!$E:$E,$C:$C,'船长每月数据(2023年)'!$P:$P),0)</f>
        <v>0</v>
      </c>
      <c r="BC20" s="38">
        <f>SUMIFS('船长每月数据(2023年)'!$R:$R,'船长每月数据(2023年)'!$F:$F,$BC$2,'船长每月数据(2023年)'!$E:$E,$C:$C)</f>
        <v>0</v>
      </c>
      <c r="BD20" s="21">
        <f>IFERROR(BC20/SUMIF('船长每月数据(2023年)'!$E:$E,$C:$C,'船长每月数据(2023年)'!$R:$R),0)</f>
        <v>0</v>
      </c>
      <c r="BE20" s="20">
        <f>SUMIFS('船长每月数据(2023年)'!$P:$P,'船长每月数据(2023年)'!$F:$F,$BE$2,'船长每月数据(2023年)'!$E:$E,$C:$C)</f>
        <v>0</v>
      </c>
      <c r="BF20" s="21">
        <f>IFERROR(BE20/SUMIF('船长每月数据(2023年)'!$E:$E,$C:$C,'船长每月数据(2023年)'!$P:$P),0)</f>
        <v>0</v>
      </c>
      <c r="BG20" s="38">
        <f>SUMIFS('船长每月数据(2023年)'!$R:$R,'船长每月数据(2023年)'!$F:$F,$BG$2,'船长每月数据(2023年)'!$E:$E,$C:$C)</f>
        <v>0</v>
      </c>
      <c r="BH20" s="21">
        <f>IFERROR(BG20/SUMIF('船长每月数据(2023年)'!$E:$E,$C:$C,'船长每月数据(2023年)'!$R:$R),0)</f>
        <v>0</v>
      </c>
      <c r="BI20" s="20">
        <f>SUMIFS('船长每月数据(2023年)'!$P:$P,'船长每月数据(2023年)'!$F:$F,$BI$2,'船长每月数据(2023年)'!$E:$E,$C:$C)</f>
        <v>0</v>
      </c>
      <c r="BJ20" s="21">
        <f>IFERROR(BI20/SUMIF('船长每月数据(2023年)'!$E:$E,$C:$C,'船长每月数据(2023年)'!$P:$P),0)</f>
        <v>0</v>
      </c>
      <c r="BK20" s="38">
        <f>SUMIFS('船长每月数据(2023年)'!$R:$R,'船长每月数据(2023年)'!$F:$F,$BK$2,'船长每月数据(2023年)'!$E:$E,$C:$C)</f>
        <v>0</v>
      </c>
      <c r="BL20" s="21">
        <f>IFERROR(BK20/SUMIF('船长每月数据(2023年)'!$E:$E,$C:$C,'船长每月数据(2023年)'!$R:$R),0)</f>
        <v>0</v>
      </c>
      <c r="BM20" s="20">
        <f>SUMIFS('船长每月数据(2023年)'!$P:$P,'船长每月数据(2023年)'!$F:$F,$BM$2,'船长每月数据(2023年)'!$E:$E,$C:$C)</f>
        <v>0</v>
      </c>
      <c r="BN20" s="21">
        <f>IFERROR(BM20/SUMIF('船长每月数据(2023年)'!$E:$E,$C:$C,'船长每月数据(2023年)'!$P:$P),0)</f>
        <v>0</v>
      </c>
      <c r="BO20" s="38">
        <f>SUMIFS('船长每月数据(2023年)'!$R:$R,'船长每月数据(2023年)'!$F:$F,$BO$2,'船长每月数据(2023年)'!$E:$E,$C:$C)</f>
        <v>0</v>
      </c>
      <c r="BP20" s="21">
        <f>IFERROR(BO20/SUMIF('船长每月数据(2023年)'!$E:$E,$C:$C,'船长每月数据(2023年)'!$R:$R),0)</f>
        <v>0</v>
      </c>
      <c r="BQ20" s="20">
        <f>SUMIFS('船长每月数据(2023年)'!$P:$P,'船长每月数据(2023年)'!$F:$F,$BQ$2,'船长每月数据(2023年)'!$E:$E,$C:$C)</f>
        <v>0</v>
      </c>
      <c r="BR20" s="21">
        <f>IFERROR(BQ20/SUMIF('船长每月数据(2023年)'!$E:$E,$C:$C,'船长每月数据(2023年)'!$P:$P),0)</f>
        <v>0</v>
      </c>
      <c r="BS20" s="38">
        <f>SUMIFS('船长每月数据(2023年)'!$R:$R,'船长每月数据(2023年)'!$F:$F,$BS$2,'船长每月数据(2023年)'!$E:$E,$C:$C)</f>
        <v>0</v>
      </c>
      <c r="BT20" s="21">
        <f>IFERROR(BS20/SUMIF('船长每月数据(2023年)'!$E:$E,$C:$C,'船长每月数据(2023年)'!$R:$R),0)</f>
        <v>0</v>
      </c>
      <c r="BU20" s="20">
        <f>SUMIFS('船长每月数据(2023年)'!$P:$P,'船长每月数据(2023年)'!$F:$F,$BU$2,'船长每月数据(2023年)'!$E:$E,$C:$C)</f>
        <v>0</v>
      </c>
      <c r="BV20" s="21">
        <f>IFERROR(BU20/SUMIF('船长每月数据(2023年)'!$E:$E,$C:$C,'船长每月数据(2023年)'!$P:$P),0)</f>
        <v>0</v>
      </c>
      <c r="BW20" s="38">
        <f>SUMIFS('船长每月数据(2023年)'!$R:$R,'船长每月数据(2023年)'!$F:$F,$BW$2,'船长每月数据(2023年)'!$E:$E,$C:$C)</f>
        <v>0</v>
      </c>
      <c r="BX20" s="21">
        <f>IFERROR(BW20/SUMIF('船长每月数据(2023年)'!$E:$E,$C:$C,'船长每月数据(2023年)'!$R:$R),0)</f>
        <v>0</v>
      </c>
    </row>
    <row r="21" ht="23" customHeight="1" spans="1:76">
      <c r="A21" s="36"/>
      <c r="B21" s="36"/>
      <c r="C21" s="20"/>
      <c r="D21" s="74"/>
      <c r="E21" s="20">
        <f>SUMIFS('船长每月数据(2022年)'!$P:$P,'船长每月数据(2022年)'!$F:$F,$E$2,'船长每月数据(2022年)'!E:E,C:C)</f>
        <v>0</v>
      </c>
      <c r="F21" s="85">
        <f>SUMIFS('船长每月数据(2022年)'!$R:$R,'船长每月数据(2022年)'!$F:$F,$F$2,'船长每月数据(2022年)'!E:E,C:C)</f>
        <v>0</v>
      </c>
      <c r="G21" s="20">
        <f>SUMIFS('船长每月数据(2022年)'!$P:$P,'船长每月数据(2022年)'!$F:$F,$G$2,'船长每月数据(2022年)'!$E:$E,$C:$C)</f>
        <v>0</v>
      </c>
      <c r="H21" s="85">
        <f>SUMIFS('船长每月数据(2022年)'!$R:$R,'船长每月数据(2022年)'!$F:$F,$H$2,'船长每月数据(2022年)'!$E:$E,$C:$C)</f>
        <v>0</v>
      </c>
      <c r="I21" s="20">
        <f>SUMIFS('船长每月数据(2022年)'!$P:$P,'船长每月数据(2022年)'!$F:$F,$I$2,'船长每月数据(2022年)'!$E:$E,$C:$C)</f>
        <v>0</v>
      </c>
      <c r="J21" s="85">
        <f>SUMIFS('船长每月数据(2022年)'!$R:$R,'船长每月数据(2022年)'!$F:$F,$J$2,'船长每月数据(2022年)'!$E:$E,$C:$C)</f>
        <v>0</v>
      </c>
      <c r="K21" s="20">
        <f>SUMIFS('船长每月数据(2022年)'!$P:$P,'船长每月数据(2022年)'!$F:$F,$K$2,'船长每月数据(2022年)'!$E:$E,$C:$C)</f>
        <v>0</v>
      </c>
      <c r="L21" s="85">
        <f>SUMIFS('船长每月数据(2022年)'!$R:$R,'船长每月数据(2022年)'!$F:$F,$L$2,'船长每月数据(2022年)'!$E:$E,$C:$C)</f>
        <v>0</v>
      </c>
      <c r="M21" s="20">
        <f>SUMIFS('船长每月数据(2022年)'!$P:$P,'船长每月数据(2022年)'!$F:$F,$M$2,'船长每月数据(2022年)'!$E:$E,$C:$C)</f>
        <v>0</v>
      </c>
      <c r="N21" s="85">
        <f>SUMIFS('船长每月数据(2022年)'!$R:$R,'船长每月数据(2022年)'!$F:$F,$N$2,'船长每月数据(2022年)'!$E:$E,$C:$C)</f>
        <v>0</v>
      </c>
      <c r="O21" s="20">
        <f>SUMIFS('船长每月数据(2022年)'!$P:$P,'船长每月数据(2022年)'!$F:$F,$O$2,'船长每月数据(2022年)'!$E:$E,$C:$C)</f>
        <v>0</v>
      </c>
      <c r="P21" s="85">
        <f>SUMIFS('船长每月数据(2022年)'!$R:$R,'船长每月数据(2022年)'!$F:$F,$P$2,'船长每月数据(2022年)'!$E:$E,$C:$C)</f>
        <v>0</v>
      </c>
      <c r="Q21" s="20">
        <f>SUMIFS('船长每月数据(2022年)'!$P:$P,'船长每月数据(2022年)'!$F:$F,$Q$2,'船长每月数据(2022年)'!$E:$E,$C:$C)</f>
        <v>0</v>
      </c>
      <c r="R21" s="85">
        <f>SUMIFS('船长每月数据(2022年)'!$R:$R,'船长每月数据(2022年)'!$F:$F,$R$2,'船长每月数据(2022年)'!$E:$E,$C:$C)</f>
        <v>0</v>
      </c>
      <c r="S21" s="20">
        <f>SUMIFS('船长每月数据(2022年)'!$P:$P,'船长每月数据(2022年)'!$F:$F,$S$2,'船长每月数据(2022年)'!$E:$E,$C:$C)</f>
        <v>0</v>
      </c>
      <c r="T21" s="85">
        <f>SUMIFS('船长每月数据(2022年)'!$R:$R,'船长每月数据(2022年)'!$F:$F,$T$2,'船长每月数据(2022年)'!$E:$E,$C:$C)</f>
        <v>0</v>
      </c>
      <c r="U21" s="20">
        <f>SUMIFS('船长每月数据(2022年)'!$P:$P,'船长每月数据(2022年)'!$F:$F,$U$2,'船长每月数据(2022年)'!$E:$E,$C:$C)</f>
        <v>0</v>
      </c>
      <c r="V21" s="85">
        <f>SUMIFS('船长每月数据(2022年)'!$R:$R,'船长每月数据(2022年)'!$F:$F,$V$2,'船长每月数据(2022年)'!$E:$E,$C:$C)</f>
        <v>0</v>
      </c>
      <c r="W21" s="20">
        <f>SUMIFS('船长每月数据(2022年)'!$P:$P,'船长每月数据(2022年)'!$F:$F,$W$2,'船长每月数据(2022年)'!$E:$E,$C:$C)</f>
        <v>0</v>
      </c>
      <c r="X21" s="85">
        <f>SUMIFS('船长每月数据(2022年)'!$R:$R,'船长每月数据(2022年)'!$F:$F,$X$2,'船长每月数据(2022年)'!$E:$E,$C:$C)</f>
        <v>0</v>
      </c>
      <c r="Y21" s="20">
        <f>SUMIFS('船长每月数据(2022年)'!$P:$P,'船长每月数据(2022年)'!$F:$F,$Y$2,'船长每月数据(2022年)'!$E:$E,$C:$C)</f>
        <v>0</v>
      </c>
      <c r="Z21" s="85">
        <f>SUMIFS('船长每月数据(2022年)'!$R:$R,'船长每月数据(2022年)'!$F:$F,$Z$2,'船长每月数据(2022年)'!$E:$E,$C:$C)</f>
        <v>0</v>
      </c>
      <c r="AA21" s="20">
        <f>SUMIFS('船长每月数据(2022年)'!$P:$P,'船长每月数据(2022年)'!$F:$F,$AA$2,'船长每月数据(2022年)'!$E:$E,$C:$C)</f>
        <v>0</v>
      </c>
      <c r="AB21" s="85">
        <f>SUMIFS('船长每月数据(2022年)'!$R:$R,'船长每月数据(2022年)'!$F:$F,$AB$2,'船长每月数据(2022年)'!$E:$E,$C:$C)</f>
        <v>0</v>
      </c>
      <c r="AC21" s="20">
        <f>SUMIFS('船长每月数据(2023年)'!P:P,'船长每月数据(2023年)'!F:F,$AC$2,'船长每月数据(2023年)'!E:E,C:C)</f>
        <v>0</v>
      </c>
      <c r="AD21" s="21">
        <f>IFERROR(AC21/SUMIF('船长每月数据(2023年)'!$E:$E,C:C,'船长每月数据(2023年)'!P:P),0)</f>
        <v>0</v>
      </c>
      <c r="AE21" s="38">
        <f>SUMIFS('船长每月数据(2023年)'!$R:$R,'船长每月数据(2023年)'!$F:$F,$AE$2,'船长每月数据(2023年)'!$E:$E,$C:$C)</f>
        <v>0</v>
      </c>
      <c r="AF21" s="21">
        <f>IFERROR(AE21/SUMIF('船长每月数据(2023年)'!E:E,C:C,'船长每月数据(2023年)'!R:R),0)</f>
        <v>0</v>
      </c>
      <c r="AG21" s="20">
        <f>SUMIFS('船长每月数据(2023年)'!P:P,'船长每月数据(2023年)'!F:F,$AG$2,'船长每月数据(2023年)'!E:E,C:C)</f>
        <v>0</v>
      </c>
      <c r="AH21" s="21">
        <f>IFERROR(AG21/SUMIF('船长每月数据(2023年)'!$E:$E,$C:$C,'船长每月数据(2023年)'!$P:$P),0)</f>
        <v>0</v>
      </c>
      <c r="AI21" s="38">
        <f>SUMIFS('船长每月数据(2023年)'!$R:$R,'船长每月数据(2023年)'!$F:$F,$AI$2,'船长每月数据(2023年)'!$E:$E,$C:$C)</f>
        <v>0</v>
      </c>
      <c r="AJ21" s="21">
        <f>IFERROR(AI21/SUMIF('船长每月数据(2023年)'!$E:$E,$C:$C,'船长每月数据(2023年)'!$R:$R),0)</f>
        <v>0</v>
      </c>
      <c r="AK21" s="20">
        <f>SUMIFS('船长每月数据(2023年)'!P:P,'船长每月数据(2023年)'!F:F,$AK$2,'船长每月数据(2023年)'!E:E,C:C)</f>
        <v>0</v>
      </c>
      <c r="AL21" s="21">
        <f>IFERROR(AK21/SUMIF('船长每月数据(2023年)'!$E:$E,$C:$C,'船长每月数据(2023年)'!$P:$P),0)</f>
        <v>0</v>
      </c>
      <c r="AM21" s="38">
        <f>SUMIFS('船长每月数据(2023年)'!$R:$R,'船长每月数据(2023年)'!$F:$F,$AM$2,'船长每月数据(2023年)'!$E:$E,$C:$C)</f>
        <v>0</v>
      </c>
      <c r="AN21" s="21">
        <f>IFERROR(AM21/SUMIF('船长每月数据(2023年)'!$E:$E,$C:$C,'船长每月数据(2023年)'!$R:$R),0)</f>
        <v>0</v>
      </c>
      <c r="AO21" s="20">
        <f>SUMIFS('船长每月数据(2023年)'!P:P,'船长每月数据(2023年)'!F:F,$AO$2,'船长每月数据(2023年)'!E:E,C:C)</f>
        <v>0</v>
      </c>
      <c r="AP21" s="21">
        <f>IFERROR(AO21/SUMIF('船长每月数据(2023年)'!$E:$E,$C:$C,'船长每月数据(2023年)'!$P:$P),0)</f>
        <v>0</v>
      </c>
      <c r="AQ21" s="38">
        <f>SUMIFS('船长每月数据(2023年)'!$R:$R,'船长每月数据(2023年)'!$F:$F,$AQ$2,'船长每月数据(2023年)'!$E:$E,$C:$C)</f>
        <v>0</v>
      </c>
      <c r="AR21" s="21">
        <f>IFERROR(AQ21/SUMIF('船长每月数据(2023年)'!$E:$E,$C:$C,'船长每月数据(2023年)'!$R:$R),0)</f>
        <v>0</v>
      </c>
      <c r="AS21" s="20">
        <f>SUMIFS('船长每月数据(2023年)'!$P:$P,'船长每月数据(2023年)'!$F:$F,$AS$2,'船长每月数据(2023年)'!$E:$E,$C:$C)</f>
        <v>0</v>
      </c>
      <c r="AT21" s="21">
        <f>IFERROR(AS21/SUMIF('船长每月数据(2023年)'!$E:$E,$C:$C,'船长每月数据(2023年)'!$P:$P),0)</f>
        <v>0</v>
      </c>
      <c r="AU21" s="38">
        <f>SUMIFS('船长每月数据(2023年)'!$R:$R,'船长每月数据(2023年)'!$F:$F,$AU$2,'船长每月数据(2023年)'!$E:$E,$C:$C)</f>
        <v>0</v>
      </c>
      <c r="AV21" s="21">
        <f>IFERROR(AU21/SUMIF('船长每月数据(2023年)'!$E:$E,$C:$C,'船长每月数据(2023年)'!$R:$R),0)</f>
        <v>0</v>
      </c>
      <c r="AW21" s="20">
        <f>SUMIFS('船长每月数据(2023年)'!$P:$P,'船长每月数据(2023年)'!$F:$F,$AW$2,'船长每月数据(2023年)'!$E:$E,$C:$C)</f>
        <v>0</v>
      </c>
      <c r="AX21" s="21">
        <f>IFERROR(AW21/SUMIF('船长每月数据(2023年)'!$E:$E,$C:$C,'船长每月数据(2023年)'!$P:$P),0)</f>
        <v>0</v>
      </c>
      <c r="AY21" s="38">
        <f>SUMIFS('船长每月数据(2023年)'!$R:$R,'船长每月数据(2023年)'!$F:$F,$AY$2,'船长每月数据(2023年)'!$E:$E,$C:$C)</f>
        <v>0</v>
      </c>
      <c r="AZ21" s="21">
        <f>IFERROR(AY21/SUMIF('船长每月数据(2023年)'!$E:$E,$C:$C,'船长每月数据(2023年)'!$R:$R),0)</f>
        <v>0</v>
      </c>
      <c r="BA21" s="20">
        <f>SUMIFS('船长每月数据(2023年)'!$P:$P,'船长每月数据(2023年)'!$F:$F,$BA$2,'船长每月数据(2023年)'!$E:$E,$C:$C)</f>
        <v>0</v>
      </c>
      <c r="BB21" s="21">
        <f>IFERROR(BA21/SUMIF('船长每月数据(2023年)'!$E:$E,$C:$C,'船长每月数据(2023年)'!$P:$P),0)</f>
        <v>0</v>
      </c>
      <c r="BC21" s="38">
        <f>SUMIFS('船长每月数据(2023年)'!$R:$R,'船长每月数据(2023年)'!$F:$F,$BC$2,'船长每月数据(2023年)'!$E:$E,$C:$C)</f>
        <v>0</v>
      </c>
      <c r="BD21" s="21">
        <f>IFERROR(BC21/SUMIF('船长每月数据(2023年)'!$E:$E,$C:$C,'船长每月数据(2023年)'!$R:$R),0)</f>
        <v>0</v>
      </c>
      <c r="BE21" s="20">
        <f>SUMIFS('船长每月数据(2023年)'!$P:$P,'船长每月数据(2023年)'!$F:$F,$BE$2,'船长每月数据(2023年)'!$E:$E,$C:$C)</f>
        <v>0</v>
      </c>
      <c r="BF21" s="21">
        <f>IFERROR(BE21/SUMIF('船长每月数据(2023年)'!$E:$E,$C:$C,'船长每月数据(2023年)'!$P:$P),0)</f>
        <v>0</v>
      </c>
      <c r="BG21" s="38">
        <f>SUMIFS('船长每月数据(2023年)'!$R:$R,'船长每月数据(2023年)'!$F:$F,$BG$2,'船长每月数据(2023年)'!$E:$E,$C:$C)</f>
        <v>0</v>
      </c>
      <c r="BH21" s="21">
        <f>IFERROR(BG21/SUMIF('船长每月数据(2023年)'!$E:$E,$C:$C,'船长每月数据(2023年)'!$R:$R),0)</f>
        <v>0</v>
      </c>
      <c r="BI21" s="20">
        <f>SUMIFS('船长每月数据(2023年)'!$P:$P,'船长每月数据(2023年)'!$F:$F,$BI$2,'船长每月数据(2023年)'!$E:$E,$C:$C)</f>
        <v>0</v>
      </c>
      <c r="BJ21" s="21">
        <f>IFERROR(BI21/SUMIF('船长每月数据(2023年)'!$E:$E,$C:$C,'船长每月数据(2023年)'!$P:$P),0)</f>
        <v>0</v>
      </c>
      <c r="BK21" s="38">
        <f>SUMIFS('船长每月数据(2023年)'!$R:$R,'船长每月数据(2023年)'!$F:$F,$BK$2,'船长每月数据(2023年)'!$E:$E,$C:$C)</f>
        <v>0</v>
      </c>
      <c r="BL21" s="21">
        <f>IFERROR(BK21/SUMIF('船长每月数据(2023年)'!$E:$E,$C:$C,'船长每月数据(2023年)'!$R:$R),0)</f>
        <v>0</v>
      </c>
      <c r="BM21" s="20">
        <f>SUMIFS('船长每月数据(2023年)'!$P:$P,'船长每月数据(2023年)'!$F:$F,$BM$2,'船长每月数据(2023年)'!$E:$E,$C:$C)</f>
        <v>0</v>
      </c>
      <c r="BN21" s="21">
        <f>IFERROR(BM21/SUMIF('船长每月数据(2023年)'!$E:$E,$C:$C,'船长每月数据(2023年)'!$P:$P),0)</f>
        <v>0</v>
      </c>
      <c r="BO21" s="38">
        <f>SUMIFS('船长每月数据(2023年)'!$R:$R,'船长每月数据(2023年)'!$F:$F,$BO$2,'船长每月数据(2023年)'!$E:$E,$C:$C)</f>
        <v>0</v>
      </c>
      <c r="BP21" s="21">
        <f>IFERROR(BO21/SUMIF('船长每月数据(2023年)'!$E:$E,$C:$C,'船长每月数据(2023年)'!$R:$R),0)</f>
        <v>0</v>
      </c>
      <c r="BQ21" s="20">
        <f>SUMIFS('船长每月数据(2023年)'!$P:$P,'船长每月数据(2023年)'!$F:$F,$BQ$2,'船长每月数据(2023年)'!$E:$E,$C:$C)</f>
        <v>0</v>
      </c>
      <c r="BR21" s="21">
        <f>IFERROR(BQ21/SUMIF('船长每月数据(2023年)'!$E:$E,$C:$C,'船长每月数据(2023年)'!$P:$P),0)</f>
        <v>0</v>
      </c>
      <c r="BS21" s="38">
        <f>SUMIFS('船长每月数据(2023年)'!$R:$R,'船长每月数据(2023年)'!$F:$F,$BS$2,'船长每月数据(2023年)'!$E:$E,$C:$C)</f>
        <v>0</v>
      </c>
      <c r="BT21" s="21">
        <f>IFERROR(BS21/SUMIF('船长每月数据(2023年)'!$E:$E,$C:$C,'船长每月数据(2023年)'!$R:$R),0)</f>
        <v>0</v>
      </c>
      <c r="BU21" s="20">
        <f>SUMIFS('船长每月数据(2023年)'!$P:$P,'船长每月数据(2023年)'!$F:$F,$BU$2,'船长每月数据(2023年)'!$E:$E,$C:$C)</f>
        <v>0</v>
      </c>
      <c r="BV21" s="21">
        <f>IFERROR(BU21/SUMIF('船长每月数据(2023年)'!$E:$E,$C:$C,'船长每月数据(2023年)'!$P:$P),0)</f>
        <v>0</v>
      </c>
      <c r="BW21" s="38">
        <f>SUMIFS('船长每月数据(2023年)'!$R:$R,'船长每月数据(2023年)'!$F:$F,$BW$2,'船长每月数据(2023年)'!$E:$E,$C:$C)</f>
        <v>0</v>
      </c>
      <c r="BX21" s="21">
        <f>IFERROR(BW21/SUMIF('船长每月数据(2023年)'!$E:$E,$C:$C,'船长每月数据(2023年)'!$R:$R),0)</f>
        <v>0</v>
      </c>
    </row>
    <row r="22" ht="23" customHeight="1" spans="1:76">
      <c r="A22" s="36"/>
      <c r="B22" s="40"/>
      <c r="C22" s="20"/>
      <c r="D22" s="74"/>
      <c r="E22" s="20">
        <f>SUMIFS('船长每月数据(2022年)'!$P:$P,'船长每月数据(2022年)'!$F:$F,$E$2,'船长每月数据(2022年)'!E:E,C:C)</f>
        <v>0</v>
      </c>
      <c r="F22" s="85">
        <f>SUMIFS('船长每月数据(2022年)'!$R:$R,'船长每月数据(2022年)'!$F:$F,$F$2,'船长每月数据(2022年)'!E:E,C:C)</f>
        <v>0</v>
      </c>
      <c r="G22" s="20">
        <f>SUMIFS('船长每月数据(2022年)'!$P:$P,'船长每月数据(2022年)'!$F:$F,$G$2,'船长每月数据(2022年)'!$E:$E,$C:$C)</f>
        <v>0</v>
      </c>
      <c r="H22" s="85">
        <f>SUMIFS('船长每月数据(2022年)'!$R:$R,'船长每月数据(2022年)'!$F:$F,$H$2,'船长每月数据(2022年)'!$E:$E,$C:$C)</f>
        <v>0</v>
      </c>
      <c r="I22" s="20">
        <f>SUMIFS('船长每月数据(2022年)'!$P:$P,'船长每月数据(2022年)'!$F:$F,$I$2,'船长每月数据(2022年)'!$E:$E,$C:$C)</f>
        <v>0</v>
      </c>
      <c r="J22" s="85">
        <f>SUMIFS('船长每月数据(2022年)'!$R:$R,'船长每月数据(2022年)'!$F:$F,$J$2,'船长每月数据(2022年)'!$E:$E,$C:$C)</f>
        <v>0</v>
      </c>
      <c r="K22" s="20">
        <f>SUMIFS('船长每月数据(2022年)'!$P:$P,'船长每月数据(2022年)'!$F:$F,$K$2,'船长每月数据(2022年)'!$E:$E,$C:$C)</f>
        <v>0</v>
      </c>
      <c r="L22" s="85">
        <f>SUMIFS('船长每月数据(2022年)'!$R:$R,'船长每月数据(2022年)'!$F:$F,$L$2,'船长每月数据(2022年)'!$E:$E,$C:$C)</f>
        <v>0</v>
      </c>
      <c r="M22" s="20">
        <f>SUMIFS('船长每月数据(2022年)'!$P:$P,'船长每月数据(2022年)'!$F:$F,$M$2,'船长每月数据(2022年)'!$E:$E,$C:$C)</f>
        <v>0</v>
      </c>
      <c r="N22" s="85">
        <f>SUMIFS('船长每月数据(2022年)'!$R:$R,'船长每月数据(2022年)'!$F:$F,$N$2,'船长每月数据(2022年)'!$E:$E,$C:$C)</f>
        <v>0</v>
      </c>
      <c r="O22" s="20">
        <f>SUMIFS('船长每月数据(2022年)'!$P:$P,'船长每月数据(2022年)'!$F:$F,$O$2,'船长每月数据(2022年)'!$E:$E,$C:$C)</f>
        <v>0</v>
      </c>
      <c r="P22" s="85">
        <f>SUMIFS('船长每月数据(2022年)'!$R:$R,'船长每月数据(2022年)'!$F:$F,$P$2,'船长每月数据(2022年)'!$E:$E,$C:$C)</f>
        <v>0</v>
      </c>
      <c r="Q22" s="20">
        <f>SUMIFS('船长每月数据(2022年)'!$P:$P,'船长每月数据(2022年)'!$F:$F,$Q$2,'船长每月数据(2022年)'!$E:$E,$C:$C)</f>
        <v>0</v>
      </c>
      <c r="R22" s="85">
        <f>SUMIFS('船长每月数据(2022年)'!$R:$R,'船长每月数据(2022年)'!$F:$F,$R$2,'船长每月数据(2022年)'!$E:$E,$C:$C)</f>
        <v>0</v>
      </c>
      <c r="S22" s="20">
        <f>SUMIFS('船长每月数据(2022年)'!$P:$P,'船长每月数据(2022年)'!$F:$F,$S$2,'船长每月数据(2022年)'!$E:$E,$C:$C)</f>
        <v>0</v>
      </c>
      <c r="T22" s="85">
        <f>SUMIFS('船长每月数据(2022年)'!$R:$R,'船长每月数据(2022年)'!$F:$F,$T$2,'船长每月数据(2022年)'!$E:$E,$C:$C)</f>
        <v>0</v>
      </c>
      <c r="U22" s="20">
        <f>SUMIFS('船长每月数据(2022年)'!$P:$P,'船长每月数据(2022年)'!$F:$F,$U$2,'船长每月数据(2022年)'!$E:$E,$C:$C)</f>
        <v>0</v>
      </c>
      <c r="V22" s="85">
        <f>SUMIFS('船长每月数据(2022年)'!$R:$R,'船长每月数据(2022年)'!$F:$F,$V$2,'船长每月数据(2022年)'!$E:$E,$C:$C)</f>
        <v>0</v>
      </c>
      <c r="W22" s="20">
        <f>SUMIFS('船长每月数据(2022年)'!$P:$P,'船长每月数据(2022年)'!$F:$F,$W$2,'船长每月数据(2022年)'!$E:$E,$C:$C)</f>
        <v>0</v>
      </c>
      <c r="X22" s="85">
        <f>SUMIFS('船长每月数据(2022年)'!$R:$R,'船长每月数据(2022年)'!$F:$F,$X$2,'船长每月数据(2022年)'!$E:$E,$C:$C)</f>
        <v>0</v>
      </c>
      <c r="Y22" s="20">
        <f>SUMIFS('船长每月数据(2022年)'!$P:$P,'船长每月数据(2022年)'!$F:$F,$Y$2,'船长每月数据(2022年)'!$E:$E,$C:$C)</f>
        <v>0</v>
      </c>
      <c r="Z22" s="85">
        <f>SUMIFS('船长每月数据(2022年)'!$R:$R,'船长每月数据(2022年)'!$F:$F,$Z$2,'船长每月数据(2022年)'!$E:$E,$C:$C)</f>
        <v>0</v>
      </c>
      <c r="AA22" s="20">
        <f>SUMIFS('船长每月数据(2022年)'!$P:$P,'船长每月数据(2022年)'!$F:$F,$AA$2,'船长每月数据(2022年)'!$E:$E,$C:$C)</f>
        <v>0</v>
      </c>
      <c r="AB22" s="85">
        <f>SUMIFS('船长每月数据(2022年)'!$R:$R,'船长每月数据(2022年)'!$F:$F,$AB$2,'船长每月数据(2022年)'!$E:$E,$C:$C)</f>
        <v>0</v>
      </c>
      <c r="AC22" s="20">
        <f>SUMIFS('船长每月数据(2023年)'!P:P,'船长每月数据(2023年)'!F:F,$AC$2,'船长每月数据(2023年)'!E:E,C:C)</f>
        <v>0</v>
      </c>
      <c r="AD22" s="21">
        <f>IFERROR(AC22/SUMIF('船长每月数据(2023年)'!$E:$E,C:C,'船长每月数据(2023年)'!P:P),0)</f>
        <v>0</v>
      </c>
      <c r="AE22" s="38">
        <f>SUMIFS('船长每月数据(2023年)'!$R:$R,'船长每月数据(2023年)'!$F:$F,$AE$2,'船长每月数据(2023年)'!$E:$E,$C:$C)</f>
        <v>0</v>
      </c>
      <c r="AF22" s="21">
        <f>IFERROR(AE22/SUMIF('船长每月数据(2023年)'!E:E,C:C,'船长每月数据(2023年)'!R:R),0)</f>
        <v>0</v>
      </c>
      <c r="AG22" s="20">
        <f>SUMIFS('船长每月数据(2023年)'!P:P,'船长每月数据(2023年)'!F:F,$AG$2,'船长每月数据(2023年)'!E:E,C:C)</f>
        <v>0</v>
      </c>
      <c r="AH22" s="21">
        <f>IFERROR(AG22/SUMIF('船长每月数据(2023年)'!$E:$E,$C:$C,'船长每月数据(2023年)'!$P:$P),0)</f>
        <v>0</v>
      </c>
      <c r="AI22" s="38">
        <f>SUMIFS('船长每月数据(2023年)'!$R:$R,'船长每月数据(2023年)'!$F:$F,$AI$2,'船长每月数据(2023年)'!$E:$E,$C:$C)</f>
        <v>0</v>
      </c>
      <c r="AJ22" s="21">
        <f>IFERROR(AI22/SUMIF('船长每月数据(2023年)'!$E:$E,$C:$C,'船长每月数据(2023年)'!$R:$R),0)</f>
        <v>0</v>
      </c>
      <c r="AK22" s="20">
        <f>SUMIFS('船长每月数据(2023年)'!P:P,'船长每月数据(2023年)'!F:F,$AK$2,'船长每月数据(2023年)'!E:E,C:C)</f>
        <v>0</v>
      </c>
      <c r="AL22" s="21">
        <f>IFERROR(AK22/SUMIF('船长每月数据(2023年)'!$E:$E,$C:$C,'船长每月数据(2023年)'!$P:$P),0)</f>
        <v>0</v>
      </c>
      <c r="AM22" s="38">
        <f>SUMIFS('船长每月数据(2023年)'!$R:$R,'船长每月数据(2023年)'!$F:$F,$AM$2,'船长每月数据(2023年)'!$E:$E,$C:$C)</f>
        <v>0</v>
      </c>
      <c r="AN22" s="21">
        <f>IFERROR(AM22/SUMIF('船长每月数据(2023年)'!$E:$E,$C:$C,'船长每月数据(2023年)'!$R:$R),0)</f>
        <v>0</v>
      </c>
      <c r="AO22" s="20">
        <f>SUMIFS('船长每月数据(2023年)'!P:P,'船长每月数据(2023年)'!F:F,$AO$2,'船长每月数据(2023年)'!E:E,C:C)</f>
        <v>0</v>
      </c>
      <c r="AP22" s="21">
        <f>IFERROR(AO22/SUMIF('船长每月数据(2023年)'!$E:$E,$C:$C,'船长每月数据(2023年)'!$P:$P),0)</f>
        <v>0</v>
      </c>
      <c r="AQ22" s="38">
        <f>SUMIFS('船长每月数据(2023年)'!$R:$R,'船长每月数据(2023年)'!$F:$F,$AQ$2,'船长每月数据(2023年)'!$E:$E,$C:$C)</f>
        <v>0</v>
      </c>
      <c r="AR22" s="21">
        <f>IFERROR(AQ22/SUMIF('船长每月数据(2023年)'!$E:$E,$C:$C,'船长每月数据(2023年)'!$R:$R),0)</f>
        <v>0</v>
      </c>
      <c r="AS22" s="20">
        <f>SUMIFS('船长每月数据(2023年)'!$P:$P,'船长每月数据(2023年)'!$F:$F,$AS$2,'船长每月数据(2023年)'!$E:$E,$C:$C)</f>
        <v>0</v>
      </c>
      <c r="AT22" s="21">
        <f>IFERROR(AS22/SUMIF('船长每月数据(2023年)'!$E:$E,$C:$C,'船长每月数据(2023年)'!$P:$P),0)</f>
        <v>0</v>
      </c>
      <c r="AU22" s="38">
        <f>SUMIFS('船长每月数据(2023年)'!$R:$R,'船长每月数据(2023年)'!$F:$F,$AU$2,'船长每月数据(2023年)'!$E:$E,$C:$C)</f>
        <v>0</v>
      </c>
      <c r="AV22" s="21">
        <f>IFERROR(AU22/SUMIF('船长每月数据(2023年)'!$E:$E,$C:$C,'船长每月数据(2023年)'!$R:$R),0)</f>
        <v>0</v>
      </c>
      <c r="AW22" s="20">
        <f>SUMIFS('船长每月数据(2023年)'!$P:$P,'船长每月数据(2023年)'!$F:$F,$AW$2,'船长每月数据(2023年)'!$E:$E,$C:$C)</f>
        <v>0</v>
      </c>
      <c r="AX22" s="21">
        <f>IFERROR(AW22/SUMIF('船长每月数据(2023年)'!$E:$E,$C:$C,'船长每月数据(2023年)'!$P:$P),0)</f>
        <v>0</v>
      </c>
      <c r="AY22" s="38">
        <f>SUMIFS('船长每月数据(2023年)'!$R:$R,'船长每月数据(2023年)'!$F:$F,$AY$2,'船长每月数据(2023年)'!$E:$E,$C:$C)</f>
        <v>0</v>
      </c>
      <c r="AZ22" s="21">
        <f>IFERROR(AY22/SUMIF('船长每月数据(2023年)'!$E:$E,$C:$C,'船长每月数据(2023年)'!$R:$R),0)</f>
        <v>0</v>
      </c>
      <c r="BA22" s="20">
        <f>SUMIFS('船长每月数据(2023年)'!$P:$P,'船长每月数据(2023年)'!$F:$F,$BA$2,'船长每月数据(2023年)'!$E:$E,$C:$C)</f>
        <v>0</v>
      </c>
      <c r="BB22" s="21">
        <f>IFERROR(BA22/SUMIF('船长每月数据(2023年)'!$E:$E,$C:$C,'船长每月数据(2023年)'!$P:$P),0)</f>
        <v>0</v>
      </c>
      <c r="BC22" s="38">
        <f>SUMIFS('船长每月数据(2023年)'!$R:$R,'船长每月数据(2023年)'!$F:$F,$BC$2,'船长每月数据(2023年)'!$E:$E,$C:$C)</f>
        <v>0</v>
      </c>
      <c r="BD22" s="21">
        <f>IFERROR(BC22/SUMIF('船长每月数据(2023年)'!$E:$E,$C:$C,'船长每月数据(2023年)'!$R:$R),0)</f>
        <v>0</v>
      </c>
      <c r="BE22" s="20">
        <f>SUMIFS('船长每月数据(2023年)'!$P:$P,'船长每月数据(2023年)'!$F:$F,$BE$2,'船长每月数据(2023年)'!$E:$E,$C:$C)</f>
        <v>0</v>
      </c>
      <c r="BF22" s="21">
        <f>IFERROR(BE22/SUMIF('船长每月数据(2023年)'!$E:$E,$C:$C,'船长每月数据(2023年)'!$P:$P),0)</f>
        <v>0</v>
      </c>
      <c r="BG22" s="38">
        <f>SUMIFS('船长每月数据(2023年)'!$R:$R,'船长每月数据(2023年)'!$F:$F,$BG$2,'船长每月数据(2023年)'!$E:$E,$C:$C)</f>
        <v>0</v>
      </c>
      <c r="BH22" s="21">
        <f>IFERROR(BG22/SUMIF('船长每月数据(2023年)'!$E:$E,$C:$C,'船长每月数据(2023年)'!$R:$R),0)</f>
        <v>0</v>
      </c>
      <c r="BI22" s="20">
        <f>SUMIFS('船长每月数据(2023年)'!$P:$P,'船长每月数据(2023年)'!$F:$F,$BI$2,'船长每月数据(2023年)'!$E:$E,$C:$C)</f>
        <v>0</v>
      </c>
      <c r="BJ22" s="21">
        <f>IFERROR(BI22/SUMIF('船长每月数据(2023年)'!$E:$E,$C:$C,'船长每月数据(2023年)'!$P:$P),0)</f>
        <v>0</v>
      </c>
      <c r="BK22" s="38">
        <f>SUMIFS('船长每月数据(2023年)'!$R:$R,'船长每月数据(2023年)'!$F:$F,$BK$2,'船长每月数据(2023年)'!$E:$E,$C:$C)</f>
        <v>0</v>
      </c>
      <c r="BL22" s="21">
        <f>IFERROR(BK22/SUMIF('船长每月数据(2023年)'!$E:$E,$C:$C,'船长每月数据(2023年)'!$R:$R),0)</f>
        <v>0</v>
      </c>
      <c r="BM22" s="20">
        <f>SUMIFS('船长每月数据(2023年)'!$P:$P,'船长每月数据(2023年)'!$F:$F,$BM$2,'船长每月数据(2023年)'!$E:$E,$C:$C)</f>
        <v>0</v>
      </c>
      <c r="BN22" s="21">
        <f>IFERROR(BM22/SUMIF('船长每月数据(2023年)'!$E:$E,$C:$C,'船长每月数据(2023年)'!$P:$P),0)</f>
        <v>0</v>
      </c>
      <c r="BO22" s="38">
        <f>SUMIFS('船长每月数据(2023年)'!$R:$R,'船长每月数据(2023年)'!$F:$F,$BO$2,'船长每月数据(2023年)'!$E:$E,$C:$C)</f>
        <v>0</v>
      </c>
      <c r="BP22" s="21">
        <f>IFERROR(BO22/SUMIF('船长每月数据(2023年)'!$E:$E,$C:$C,'船长每月数据(2023年)'!$R:$R),0)</f>
        <v>0</v>
      </c>
      <c r="BQ22" s="20">
        <f>SUMIFS('船长每月数据(2023年)'!$P:$P,'船长每月数据(2023年)'!$F:$F,$BQ$2,'船长每月数据(2023年)'!$E:$E,$C:$C)</f>
        <v>0</v>
      </c>
      <c r="BR22" s="21">
        <f>IFERROR(BQ22/SUMIF('船长每月数据(2023年)'!$E:$E,$C:$C,'船长每月数据(2023年)'!$P:$P),0)</f>
        <v>0</v>
      </c>
      <c r="BS22" s="38">
        <f>SUMIFS('船长每月数据(2023年)'!$R:$R,'船长每月数据(2023年)'!$F:$F,$BS$2,'船长每月数据(2023年)'!$E:$E,$C:$C)</f>
        <v>0</v>
      </c>
      <c r="BT22" s="21">
        <f>IFERROR(BS22/SUMIF('船长每月数据(2023年)'!$E:$E,$C:$C,'船长每月数据(2023年)'!$R:$R),0)</f>
        <v>0</v>
      </c>
      <c r="BU22" s="20">
        <f>SUMIFS('船长每月数据(2023年)'!$P:$P,'船长每月数据(2023年)'!$F:$F,$BU$2,'船长每月数据(2023年)'!$E:$E,$C:$C)</f>
        <v>0</v>
      </c>
      <c r="BV22" s="21">
        <f>IFERROR(BU22/SUMIF('船长每月数据(2023年)'!$E:$E,$C:$C,'船长每月数据(2023年)'!$P:$P),0)</f>
        <v>0</v>
      </c>
      <c r="BW22" s="38">
        <f>SUMIFS('船长每月数据(2023年)'!$R:$R,'船长每月数据(2023年)'!$F:$F,$BW$2,'船长每月数据(2023年)'!$E:$E,$C:$C)</f>
        <v>0</v>
      </c>
      <c r="BX22" s="21">
        <f>IFERROR(BW22/SUMIF('船长每月数据(2023年)'!$E:$E,$C:$C,'船长每月数据(2023年)'!$R:$R),0)</f>
        <v>0</v>
      </c>
    </row>
    <row r="23" ht="23" customHeight="1" spans="1:76">
      <c r="A23" s="36"/>
      <c r="B23" s="40"/>
      <c r="C23" s="20"/>
      <c r="D23" s="74"/>
      <c r="E23" s="20">
        <f>SUMIFS('船长每月数据(2022年)'!$P:$P,'船长每月数据(2022年)'!$F:$F,$E$2,'船长每月数据(2022年)'!E:E,C:C)</f>
        <v>0</v>
      </c>
      <c r="F23" s="85">
        <f>SUMIFS('船长每月数据(2022年)'!$R:$R,'船长每月数据(2022年)'!$F:$F,$F$2,'船长每月数据(2022年)'!E:E,C:C)</f>
        <v>0</v>
      </c>
      <c r="G23" s="20">
        <f>SUMIFS('船长每月数据(2022年)'!$P:$P,'船长每月数据(2022年)'!$F:$F,$G$2,'船长每月数据(2022年)'!$E:$E,$C:$C)</f>
        <v>0</v>
      </c>
      <c r="H23" s="85">
        <f>SUMIFS('船长每月数据(2022年)'!$R:$R,'船长每月数据(2022年)'!$F:$F,$H$2,'船长每月数据(2022年)'!$E:$E,$C:$C)</f>
        <v>0</v>
      </c>
      <c r="I23" s="20">
        <f>SUMIFS('船长每月数据(2022年)'!$P:$P,'船长每月数据(2022年)'!$F:$F,$I$2,'船长每月数据(2022年)'!$E:$E,$C:$C)</f>
        <v>0</v>
      </c>
      <c r="J23" s="85">
        <f>SUMIFS('船长每月数据(2022年)'!$R:$R,'船长每月数据(2022年)'!$F:$F,$J$2,'船长每月数据(2022年)'!$E:$E,$C:$C)</f>
        <v>0</v>
      </c>
      <c r="K23" s="20">
        <f>SUMIFS('船长每月数据(2022年)'!$P:$P,'船长每月数据(2022年)'!$F:$F,$K$2,'船长每月数据(2022年)'!$E:$E,$C:$C)</f>
        <v>0</v>
      </c>
      <c r="L23" s="85">
        <f>SUMIFS('船长每月数据(2022年)'!$R:$R,'船长每月数据(2022年)'!$F:$F,$L$2,'船长每月数据(2022年)'!$E:$E,$C:$C)</f>
        <v>0</v>
      </c>
      <c r="M23" s="20">
        <f>SUMIFS('船长每月数据(2022年)'!$P:$P,'船长每月数据(2022年)'!$F:$F,$M$2,'船长每月数据(2022年)'!$E:$E,$C:$C)</f>
        <v>0</v>
      </c>
      <c r="N23" s="85">
        <f>SUMIFS('船长每月数据(2022年)'!$R:$R,'船长每月数据(2022年)'!$F:$F,$N$2,'船长每月数据(2022年)'!$E:$E,$C:$C)</f>
        <v>0</v>
      </c>
      <c r="O23" s="20">
        <f>SUMIFS('船长每月数据(2022年)'!$P:$P,'船长每月数据(2022年)'!$F:$F,$O$2,'船长每月数据(2022年)'!$E:$E,$C:$C)</f>
        <v>0</v>
      </c>
      <c r="P23" s="85">
        <f>SUMIFS('船长每月数据(2022年)'!$R:$R,'船长每月数据(2022年)'!$F:$F,$P$2,'船长每月数据(2022年)'!$E:$E,$C:$C)</f>
        <v>0</v>
      </c>
      <c r="Q23" s="20">
        <f>SUMIFS('船长每月数据(2022年)'!$P:$P,'船长每月数据(2022年)'!$F:$F,$Q$2,'船长每月数据(2022年)'!$E:$E,$C:$C)</f>
        <v>0</v>
      </c>
      <c r="R23" s="85">
        <f>SUMIFS('船长每月数据(2022年)'!$R:$R,'船长每月数据(2022年)'!$F:$F,$R$2,'船长每月数据(2022年)'!$E:$E,$C:$C)</f>
        <v>0</v>
      </c>
      <c r="S23" s="20">
        <f>SUMIFS('船长每月数据(2022年)'!$P:$P,'船长每月数据(2022年)'!$F:$F,$S$2,'船长每月数据(2022年)'!$E:$E,$C:$C)</f>
        <v>0</v>
      </c>
      <c r="T23" s="85">
        <f>SUMIFS('船长每月数据(2022年)'!$R:$R,'船长每月数据(2022年)'!$F:$F,$T$2,'船长每月数据(2022年)'!$E:$E,$C:$C)</f>
        <v>0</v>
      </c>
      <c r="U23" s="20">
        <f>SUMIFS('船长每月数据(2022年)'!$P:$P,'船长每月数据(2022年)'!$F:$F,$U$2,'船长每月数据(2022年)'!$E:$E,$C:$C)</f>
        <v>0</v>
      </c>
      <c r="V23" s="85">
        <f>SUMIFS('船长每月数据(2022年)'!$R:$R,'船长每月数据(2022年)'!$F:$F,$V$2,'船长每月数据(2022年)'!$E:$E,$C:$C)</f>
        <v>0</v>
      </c>
      <c r="W23" s="20">
        <f>SUMIFS('船长每月数据(2022年)'!$P:$P,'船长每月数据(2022年)'!$F:$F,$W$2,'船长每月数据(2022年)'!$E:$E,$C:$C)</f>
        <v>0</v>
      </c>
      <c r="X23" s="85">
        <f>SUMIFS('船长每月数据(2022年)'!$R:$R,'船长每月数据(2022年)'!$F:$F,$X$2,'船长每月数据(2022年)'!$E:$E,$C:$C)</f>
        <v>0</v>
      </c>
      <c r="Y23" s="20">
        <f>SUMIFS('船长每月数据(2022年)'!$P:$P,'船长每月数据(2022年)'!$F:$F,$Y$2,'船长每月数据(2022年)'!$E:$E,$C:$C)</f>
        <v>0</v>
      </c>
      <c r="Z23" s="85">
        <f>SUMIFS('船长每月数据(2022年)'!$R:$R,'船长每月数据(2022年)'!$F:$F,$Z$2,'船长每月数据(2022年)'!$E:$E,$C:$C)</f>
        <v>0</v>
      </c>
      <c r="AA23" s="20">
        <f>SUMIFS('船长每月数据(2022年)'!$P:$P,'船长每月数据(2022年)'!$F:$F,$AA$2,'船长每月数据(2022年)'!$E:$E,$C:$C)</f>
        <v>0</v>
      </c>
      <c r="AB23" s="85">
        <f>SUMIFS('船长每月数据(2022年)'!$R:$R,'船长每月数据(2022年)'!$F:$F,$AB$2,'船长每月数据(2022年)'!$E:$E,$C:$C)</f>
        <v>0</v>
      </c>
      <c r="AC23" s="20">
        <f>SUMIFS('船长每月数据(2023年)'!P:P,'船长每月数据(2023年)'!F:F,$AC$2,'船长每月数据(2023年)'!E:E,C:C)</f>
        <v>0</v>
      </c>
      <c r="AD23" s="21">
        <f>IFERROR(AC23/SUMIF('船长每月数据(2023年)'!$E:$E,C:C,'船长每月数据(2023年)'!P:P),0)</f>
        <v>0</v>
      </c>
      <c r="AE23" s="38">
        <f>SUMIFS('船长每月数据(2023年)'!$R:$R,'船长每月数据(2023年)'!$F:$F,$AE$2,'船长每月数据(2023年)'!$E:$E,$C:$C)</f>
        <v>0</v>
      </c>
      <c r="AF23" s="21">
        <f>IFERROR(AE23/SUMIF('船长每月数据(2023年)'!E:E,C:C,'船长每月数据(2023年)'!R:R),0)</f>
        <v>0</v>
      </c>
      <c r="AG23" s="20">
        <f>SUMIFS('船长每月数据(2023年)'!P:P,'船长每月数据(2023年)'!F:F,$AG$2,'船长每月数据(2023年)'!E:E,C:C)</f>
        <v>0</v>
      </c>
      <c r="AH23" s="21">
        <f>IFERROR(AG23/SUMIF('船长每月数据(2023年)'!$E:$E,$C:$C,'船长每月数据(2023年)'!$P:$P),0)</f>
        <v>0</v>
      </c>
      <c r="AI23" s="38">
        <f>SUMIFS('船长每月数据(2023年)'!$R:$R,'船长每月数据(2023年)'!$F:$F,$AI$2,'船长每月数据(2023年)'!$E:$E,$C:$C)</f>
        <v>0</v>
      </c>
      <c r="AJ23" s="21">
        <f>IFERROR(AI23/SUMIF('船长每月数据(2023年)'!$E:$E,$C:$C,'船长每月数据(2023年)'!$R:$R),0)</f>
        <v>0</v>
      </c>
      <c r="AK23" s="20">
        <f>SUMIFS('船长每月数据(2023年)'!P:P,'船长每月数据(2023年)'!F:F,$AK$2,'船长每月数据(2023年)'!E:E,C:C)</f>
        <v>0</v>
      </c>
      <c r="AL23" s="21">
        <f>IFERROR(AK23/SUMIF('船长每月数据(2023年)'!$E:$E,$C:$C,'船长每月数据(2023年)'!$P:$P),0)</f>
        <v>0</v>
      </c>
      <c r="AM23" s="38">
        <f>SUMIFS('船长每月数据(2023年)'!$R:$R,'船长每月数据(2023年)'!$F:$F,$AM$2,'船长每月数据(2023年)'!$E:$E,$C:$C)</f>
        <v>0</v>
      </c>
      <c r="AN23" s="21">
        <f>IFERROR(AM23/SUMIF('船长每月数据(2023年)'!$E:$E,$C:$C,'船长每月数据(2023年)'!$R:$R),0)</f>
        <v>0</v>
      </c>
      <c r="AO23" s="20">
        <f>SUMIFS('船长每月数据(2023年)'!P:P,'船长每月数据(2023年)'!F:F,$AO$2,'船长每月数据(2023年)'!E:E,C:C)</f>
        <v>0</v>
      </c>
      <c r="AP23" s="21">
        <f>IFERROR(AO23/SUMIF('船长每月数据(2023年)'!$E:$E,$C:$C,'船长每月数据(2023年)'!$P:$P),0)</f>
        <v>0</v>
      </c>
      <c r="AQ23" s="38">
        <f>SUMIFS('船长每月数据(2023年)'!$R:$R,'船长每月数据(2023年)'!$F:$F,$AQ$2,'船长每月数据(2023年)'!$E:$E,$C:$C)</f>
        <v>0</v>
      </c>
      <c r="AR23" s="21">
        <f>IFERROR(AQ23/SUMIF('船长每月数据(2023年)'!$E:$E,$C:$C,'船长每月数据(2023年)'!$R:$R),0)</f>
        <v>0</v>
      </c>
      <c r="AS23" s="20">
        <f>SUMIFS('船长每月数据(2023年)'!$P:$P,'船长每月数据(2023年)'!$F:$F,$AS$2,'船长每月数据(2023年)'!$E:$E,$C:$C)</f>
        <v>0</v>
      </c>
      <c r="AT23" s="21">
        <f>IFERROR(AS23/SUMIF('船长每月数据(2023年)'!$E:$E,$C:$C,'船长每月数据(2023年)'!$P:$P),0)</f>
        <v>0</v>
      </c>
      <c r="AU23" s="38">
        <f>SUMIFS('船长每月数据(2023年)'!$R:$R,'船长每月数据(2023年)'!$F:$F,$AU$2,'船长每月数据(2023年)'!$E:$E,$C:$C)</f>
        <v>0</v>
      </c>
      <c r="AV23" s="21">
        <f>IFERROR(AU23/SUMIF('船长每月数据(2023年)'!$E:$E,$C:$C,'船长每月数据(2023年)'!$R:$R),0)</f>
        <v>0</v>
      </c>
      <c r="AW23" s="20">
        <f>SUMIFS('船长每月数据(2023年)'!$P:$P,'船长每月数据(2023年)'!$F:$F,$AW$2,'船长每月数据(2023年)'!$E:$E,$C:$C)</f>
        <v>0</v>
      </c>
      <c r="AX23" s="21">
        <f>IFERROR(AW23/SUMIF('船长每月数据(2023年)'!$E:$E,$C:$C,'船长每月数据(2023年)'!$P:$P),0)</f>
        <v>0</v>
      </c>
      <c r="AY23" s="38">
        <f>SUMIFS('船长每月数据(2023年)'!$R:$R,'船长每月数据(2023年)'!$F:$F,$AY$2,'船长每月数据(2023年)'!$E:$E,$C:$C)</f>
        <v>0</v>
      </c>
      <c r="AZ23" s="21">
        <f>IFERROR(AY23/SUMIF('船长每月数据(2023年)'!$E:$E,$C:$C,'船长每月数据(2023年)'!$R:$R),0)</f>
        <v>0</v>
      </c>
      <c r="BA23" s="20">
        <f>SUMIFS('船长每月数据(2023年)'!$P:$P,'船长每月数据(2023年)'!$F:$F,$BA$2,'船长每月数据(2023年)'!$E:$E,$C:$C)</f>
        <v>0</v>
      </c>
      <c r="BB23" s="21">
        <f>IFERROR(BA23/SUMIF('船长每月数据(2023年)'!$E:$E,$C:$C,'船长每月数据(2023年)'!$P:$P),0)</f>
        <v>0</v>
      </c>
      <c r="BC23" s="38">
        <f>SUMIFS('船长每月数据(2023年)'!$R:$R,'船长每月数据(2023年)'!$F:$F,$BC$2,'船长每月数据(2023年)'!$E:$E,$C:$C)</f>
        <v>0</v>
      </c>
      <c r="BD23" s="21">
        <f>IFERROR(BC23/SUMIF('船长每月数据(2023年)'!$E:$E,$C:$C,'船长每月数据(2023年)'!$R:$R),0)</f>
        <v>0</v>
      </c>
      <c r="BE23" s="20">
        <f>SUMIFS('船长每月数据(2023年)'!$P:$P,'船长每月数据(2023年)'!$F:$F,$BE$2,'船长每月数据(2023年)'!$E:$E,$C:$C)</f>
        <v>0</v>
      </c>
      <c r="BF23" s="21">
        <f>IFERROR(BE23/SUMIF('船长每月数据(2023年)'!$E:$E,$C:$C,'船长每月数据(2023年)'!$P:$P),0)</f>
        <v>0</v>
      </c>
      <c r="BG23" s="38">
        <f>SUMIFS('船长每月数据(2023年)'!$R:$R,'船长每月数据(2023年)'!$F:$F,$BG$2,'船长每月数据(2023年)'!$E:$E,$C:$C)</f>
        <v>0</v>
      </c>
      <c r="BH23" s="21">
        <f>IFERROR(BG23/SUMIF('船长每月数据(2023年)'!$E:$E,$C:$C,'船长每月数据(2023年)'!$R:$R),0)</f>
        <v>0</v>
      </c>
      <c r="BI23" s="20">
        <f>SUMIFS('船长每月数据(2023年)'!$P:$P,'船长每月数据(2023年)'!$F:$F,$BI$2,'船长每月数据(2023年)'!$E:$E,$C:$C)</f>
        <v>0</v>
      </c>
      <c r="BJ23" s="21">
        <f>IFERROR(BI23/SUMIF('船长每月数据(2023年)'!$E:$E,$C:$C,'船长每月数据(2023年)'!$P:$P),0)</f>
        <v>0</v>
      </c>
      <c r="BK23" s="38">
        <f>SUMIFS('船长每月数据(2023年)'!$R:$R,'船长每月数据(2023年)'!$F:$F,$BK$2,'船长每月数据(2023年)'!$E:$E,$C:$C)</f>
        <v>0</v>
      </c>
      <c r="BL23" s="21">
        <f>IFERROR(BK23/SUMIF('船长每月数据(2023年)'!$E:$E,$C:$C,'船长每月数据(2023年)'!$R:$R),0)</f>
        <v>0</v>
      </c>
      <c r="BM23" s="20">
        <f>SUMIFS('船长每月数据(2023年)'!$P:$P,'船长每月数据(2023年)'!$F:$F,$BM$2,'船长每月数据(2023年)'!$E:$E,$C:$C)</f>
        <v>0</v>
      </c>
      <c r="BN23" s="21">
        <f>IFERROR(BM23/SUMIF('船长每月数据(2023年)'!$E:$E,$C:$C,'船长每月数据(2023年)'!$P:$P),0)</f>
        <v>0</v>
      </c>
      <c r="BO23" s="38">
        <f>SUMIFS('船长每月数据(2023年)'!$R:$R,'船长每月数据(2023年)'!$F:$F,$BO$2,'船长每月数据(2023年)'!$E:$E,$C:$C)</f>
        <v>0</v>
      </c>
      <c r="BP23" s="21">
        <f>IFERROR(BO23/SUMIF('船长每月数据(2023年)'!$E:$E,$C:$C,'船长每月数据(2023年)'!$R:$R),0)</f>
        <v>0</v>
      </c>
      <c r="BQ23" s="20">
        <f>SUMIFS('船长每月数据(2023年)'!$P:$P,'船长每月数据(2023年)'!$F:$F,$BQ$2,'船长每月数据(2023年)'!$E:$E,$C:$C)</f>
        <v>0</v>
      </c>
      <c r="BR23" s="21">
        <f>IFERROR(BQ23/SUMIF('船长每月数据(2023年)'!$E:$E,$C:$C,'船长每月数据(2023年)'!$P:$P),0)</f>
        <v>0</v>
      </c>
      <c r="BS23" s="38">
        <f>SUMIFS('船长每月数据(2023年)'!$R:$R,'船长每月数据(2023年)'!$F:$F,$BS$2,'船长每月数据(2023年)'!$E:$E,$C:$C)</f>
        <v>0</v>
      </c>
      <c r="BT23" s="21">
        <f>IFERROR(BS23/SUMIF('船长每月数据(2023年)'!$E:$E,$C:$C,'船长每月数据(2023年)'!$R:$R),0)</f>
        <v>0</v>
      </c>
      <c r="BU23" s="20">
        <f>SUMIFS('船长每月数据(2023年)'!$P:$P,'船长每月数据(2023年)'!$F:$F,$BU$2,'船长每月数据(2023年)'!$E:$E,$C:$C)</f>
        <v>0</v>
      </c>
      <c r="BV23" s="21">
        <f>IFERROR(BU23/SUMIF('船长每月数据(2023年)'!$E:$E,$C:$C,'船长每月数据(2023年)'!$P:$P),0)</f>
        <v>0</v>
      </c>
      <c r="BW23" s="38">
        <f>SUMIFS('船长每月数据(2023年)'!$R:$R,'船长每月数据(2023年)'!$F:$F,$BW$2,'船长每月数据(2023年)'!$E:$E,$C:$C)</f>
        <v>0</v>
      </c>
      <c r="BX23" s="21">
        <f>IFERROR(BW23/SUMIF('船长每月数据(2023年)'!$E:$E,$C:$C,'船长每月数据(2023年)'!$R:$R),0)</f>
        <v>0</v>
      </c>
    </row>
    <row r="24" ht="23" customHeight="1" spans="1:76">
      <c r="A24" s="36"/>
      <c r="B24" s="36"/>
      <c r="C24" s="20"/>
      <c r="D24" s="74"/>
      <c r="E24" s="20">
        <f>SUMIFS('船长每月数据(2022年)'!$P:$P,'船长每月数据(2022年)'!$F:$F,$E$2,'船长每月数据(2022年)'!E:E,C:C)</f>
        <v>0</v>
      </c>
      <c r="F24" s="85">
        <f>SUMIFS('船长每月数据(2022年)'!$R:$R,'船长每月数据(2022年)'!$F:$F,$F$2,'船长每月数据(2022年)'!E:E,C:C)</f>
        <v>0</v>
      </c>
      <c r="G24" s="20">
        <f>SUMIFS('船长每月数据(2022年)'!$P:$P,'船长每月数据(2022年)'!$F:$F,$G$2,'船长每月数据(2022年)'!$E:$E,$C:$C)</f>
        <v>0</v>
      </c>
      <c r="H24" s="85">
        <f>SUMIFS('船长每月数据(2022年)'!$R:$R,'船长每月数据(2022年)'!$F:$F,$H$2,'船长每月数据(2022年)'!$E:$E,$C:$C)</f>
        <v>0</v>
      </c>
      <c r="I24" s="20">
        <f>SUMIFS('船长每月数据(2022年)'!$P:$P,'船长每月数据(2022年)'!$F:$F,$I$2,'船长每月数据(2022年)'!$E:$E,$C:$C)</f>
        <v>0</v>
      </c>
      <c r="J24" s="85">
        <f>SUMIFS('船长每月数据(2022年)'!$R:$R,'船长每月数据(2022年)'!$F:$F,$J$2,'船长每月数据(2022年)'!$E:$E,$C:$C)</f>
        <v>0</v>
      </c>
      <c r="K24" s="20">
        <f>SUMIFS('船长每月数据(2022年)'!$P:$P,'船长每月数据(2022年)'!$F:$F,$K$2,'船长每月数据(2022年)'!$E:$E,$C:$C)</f>
        <v>0</v>
      </c>
      <c r="L24" s="85">
        <f>SUMIFS('船长每月数据(2022年)'!$R:$R,'船长每月数据(2022年)'!$F:$F,$L$2,'船长每月数据(2022年)'!$E:$E,$C:$C)</f>
        <v>0</v>
      </c>
      <c r="M24" s="20">
        <f>SUMIFS('船长每月数据(2022年)'!$P:$P,'船长每月数据(2022年)'!$F:$F,$M$2,'船长每月数据(2022年)'!$E:$E,$C:$C)</f>
        <v>0</v>
      </c>
      <c r="N24" s="85">
        <f>SUMIFS('船长每月数据(2022年)'!$R:$R,'船长每月数据(2022年)'!$F:$F,$N$2,'船长每月数据(2022年)'!$E:$E,$C:$C)</f>
        <v>0</v>
      </c>
      <c r="O24" s="20">
        <f>SUMIFS('船长每月数据(2022年)'!$P:$P,'船长每月数据(2022年)'!$F:$F,$O$2,'船长每月数据(2022年)'!$E:$E,$C:$C)</f>
        <v>0</v>
      </c>
      <c r="P24" s="85">
        <f>SUMIFS('船长每月数据(2022年)'!$R:$R,'船长每月数据(2022年)'!$F:$F,$P$2,'船长每月数据(2022年)'!$E:$E,$C:$C)</f>
        <v>0</v>
      </c>
      <c r="Q24" s="20">
        <f>SUMIFS('船长每月数据(2022年)'!$P:$P,'船长每月数据(2022年)'!$F:$F,$Q$2,'船长每月数据(2022年)'!$E:$E,$C:$C)</f>
        <v>0</v>
      </c>
      <c r="R24" s="85">
        <f>SUMIFS('船长每月数据(2022年)'!$R:$R,'船长每月数据(2022年)'!$F:$F,$R$2,'船长每月数据(2022年)'!$E:$E,$C:$C)</f>
        <v>0</v>
      </c>
      <c r="S24" s="20">
        <f>SUMIFS('船长每月数据(2022年)'!$P:$P,'船长每月数据(2022年)'!$F:$F,$S$2,'船长每月数据(2022年)'!$E:$E,$C:$C)</f>
        <v>0</v>
      </c>
      <c r="T24" s="85">
        <f>SUMIFS('船长每月数据(2022年)'!$R:$R,'船长每月数据(2022年)'!$F:$F,$T$2,'船长每月数据(2022年)'!$E:$E,$C:$C)</f>
        <v>0</v>
      </c>
      <c r="U24" s="20">
        <f>SUMIFS('船长每月数据(2022年)'!$P:$P,'船长每月数据(2022年)'!$F:$F,$U$2,'船长每月数据(2022年)'!$E:$E,$C:$C)</f>
        <v>0</v>
      </c>
      <c r="V24" s="85">
        <f>SUMIFS('船长每月数据(2022年)'!$R:$R,'船长每月数据(2022年)'!$F:$F,$V$2,'船长每月数据(2022年)'!$E:$E,$C:$C)</f>
        <v>0</v>
      </c>
      <c r="W24" s="20">
        <f>SUMIFS('船长每月数据(2022年)'!$P:$P,'船长每月数据(2022年)'!$F:$F,$W$2,'船长每月数据(2022年)'!$E:$E,$C:$C)</f>
        <v>0</v>
      </c>
      <c r="X24" s="85">
        <f>SUMIFS('船长每月数据(2022年)'!$R:$R,'船长每月数据(2022年)'!$F:$F,$X$2,'船长每月数据(2022年)'!$E:$E,$C:$C)</f>
        <v>0</v>
      </c>
      <c r="Y24" s="20">
        <f>SUMIFS('船长每月数据(2022年)'!$P:$P,'船长每月数据(2022年)'!$F:$F,$Y$2,'船长每月数据(2022年)'!$E:$E,$C:$C)</f>
        <v>0</v>
      </c>
      <c r="Z24" s="85">
        <f>SUMIFS('船长每月数据(2022年)'!$R:$R,'船长每月数据(2022年)'!$F:$F,$Z$2,'船长每月数据(2022年)'!$E:$E,$C:$C)</f>
        <v>0</v>
      </c>
      <c r="AA24" s="20">
        <f>SUMIFS('船长每月数据(2022年)'!$P:$P,'船长每月数据(2022年)'!$F:$F,$AA$2,'船长每月数据(2022年)'!$E:$E,$C:$C)</f>
        <v>0</v>
      </c>
      <c r="AB24" s="85">
        <f>SUMIFS('船长每月数据(2022年)'!$R:$R,'船长每月数据(2022年)'!$F:$F,$AB$2,'船长每月数据(2022年)'!$E:$E,$C:$C)</f>
        <v>0</v>
      </c>
      <c r="AC24" s="20">
        <f>SUMIFS('船长每月数据(2023年)'!P:P,'船长每月数据(2023年)'!F:F,$AC$2,'船长每月数据(2023年)'!E:E,C:C)</f>
        <v>0</v>
      </c>
      <c r="AD24" s="21">
        <f>IFERROR(AC24/SUMIF('船长每月数据(2023年)'!$E:$E,C:C,'船长每月数据(2023年)'!P:P),0)</f>
        <v>0</v>
      </c>
      <c r="AE24" s="38">
        <f>SUMIFS('船长每月数据(2023年)'!$R:$R,'船长每月数据(2023年)'!$F:$F,$AE$2,'船长每月数据(2023年)'!$E:$E,$C:$C)</f>
        <v>0</v>
      </c>
      <c r="AF24" s="21">
        <f>IFERROR(AE24/SUMIF('船长每月数据(2023年)'!E:E,C:C,'船长每月数据(2023年)'!R:R),0)</f>
        <v>0</v>
      </c>
      <c r="AG24" s="20">
        <f>SUMIFS('船长每月数据(2023年)'!P:P,'船长每月数据(2023年)'!F:F,$AG$2,'船长每月数据(2023年)'!E:E,C:C)</f>
        <v>0</v>
      </c>
      <c r="AH24" s="21">
        <f>IFERROR(AG24/SUMIF('船长每月数据(2023年)'!$E:$E,$C:$C,'船长每月数据(2023年)'!$P:$P),0)</f>
        <v>0</v>
      </c>
      <c r="AI24" s="38">
        <f>SUMIFS('船长每月数据(2023年)'!$R:$R,'船长每月数据(2023年)'!$F:$F,$AI$2,'船长每月数据(2023年)'!$E:$E,$C:$C)</f>
        <v>0</v>
      </c>
      <c r="AJ24" s="21">
        <f>IFERROR(AI24/SUMIF('船长每月数据(2023年)'!$E:$E,$C:$C,'船长每月数据(2023年)'!$R:$R),0)</f>
        <v>0</v>
      </c>
      <c r="AK24" s="20">
        <f>SUMIFS('船长每月数据(2023年)'!P:P,'船长每月数据(2023年)'!F:F,$AK$2,'船长每月数据(2023年)'!E:E,C:C)</f>
        <v>0</v>
      </c>
      <c r="AL24" s="21">
        <f>IFERROR(AK24/SUMIF('船长每月数据(2023年)'!$E:$E,$C:$C,'船长每月数据(2023年)'!$P:$P),0)</f>
        <v>0</v>
      </c>
      <c r="AM24" s="38">
        <f>SUMIFS('船长每月数据(2023年)'!$R:$R,'船长每月数据(2023年)'!$F:$F,$AM$2,'船长每月数据(2023年)'!$E:$E,$C:$C)</f>
        <v>0</v>
      </c>
      <c r="AN24" s="21">
        <f>IFERROR(AM24/SUMIF('船长每月数据(2023年)'!$E:$E,$C:$C,'船长每月数据(2023年)'!$R:$R),0)</f>
        <v>0</v>
      </c>
      <c r="AO24" s="20">
        <f>SUMIFS('船长每月数据(2023年)'!P:P,'船长每月数据(2023年)'!F:F,$AO$2,'船长每月数据(2023年)'!E:E,C:C)</f>
        <v>0</v>
      </c>
      <c r="AP24" s="21">
        <f>IFERROR(AO24/SUMIF('船长每月数据(2023年)'!$E:$E,$C:$C,'船长每月数据(2023年)'!$P:$P),0)</f>
        <v>0</v>
      </c>
      <c r="AQ24" s="38">
        <f>SUMIFS('船长每月数据(2023年)'!$R:$R,'船长每月数据(2023年)'!$F:$F,$AQ$2,'船长每月数据(2023年)'!$E:$E,$C:$C)</f>
        <v>0</v>
      </c>
      <c r="AR24" s="21">
        <f>IFERROR(AQ24/SUMIF('船长每月数据(2023年)'!$E:$E,$C:$C,'船长每月数据(2023年)'!$R:$R),0)</f>
        <v>0</v>
      </c>
      <c r="AS24" s="20">
        <f>SUMIFS('船长每月数据(2023年)'!$P:$P,'船长每月数据(2023年)'!$F:$F,$AS$2,'船长每月数据(2023年)'!$E:$E,$C:$C)</f>
        <v>0</v>
      </c>
      <c r="AT24" s="21">
        <f>IFERROR(AS24/SUMIF('船长每月数据(2023年)'!$E:$E,$C:$C,'船长每月数据(2023年)'!$P:$P),0)</f>
        <v>0</v>
      </c>
      <c r="AU24" s="38">
        <f>SUMIFS('船长每月数据(2023年)'!$R:$R,'船长每月数据(2023年)'!$F:$F,$AU$2,'船长每月数据(2023年)'!$E:$E,$C:$C)</f>
        <v>0</v>
      </c>
      <c r="AV24" s="21">
        <f>IFERROR(AU24/SUMIF('船长每月数据(2023年)'!$E:$E,$C:$C,'船长每月数据(2023年)'!$R:$R),0)</f>
        <v>0</v>
      </c>
      <c r="AW24" s="20">
        <f>SUMIFS('船长每月数据(2023年)'!$P:$P,'船长每月数据(2023年)'!$F:$F,$AW$2,'船长每月数据(2023年)'!$E:$E,$C:$C)</f>
        <v>0</v>
      </c>
      <c r="AX24" s="21">
        <f>IFERROR(AW24/SUMIF('船长每月数据(2023年)'!$E:$E,$C:$C,'船长每月数据(2023年)'!$P:$P),0)</f>
        <v>0</v>
      </c>
      <c r="AY24" s="38">
        <f>SUMIFS('船长每月数据(2023年)'!$R:$R,'船长每月数据(2023年)'!$F:$F,$AY$2,'船长每月数据(2023年)'!$E:$E,$C:$C)</f>
        <v>0</v>
      </c>
      <c r="AZ24" s="21">
        <f>IFERROR(AY24/SUMIF('船长每月数据(2023年)'!$E:$E,$C:$C,'船长每月数据(2023年)'!$R:$R),0)</f>
        <v>0</v>
      </c>
      <c r="BA24" s="20">
        <f>SUMIFS('船长每月数据(2023年)'!$P:$P,'船长每月数据(2023年)'!$F:$F,$BA$2,'船长每月数据(2023年)'!$E:$E,$C:$C)</f>
        <v>0</v>
      </c>
      <c r="BB24" s="21">
        <f>IFERROR(BA24/SUMIF('船长每月数据(2023年)'!$E:$E,$C:$C,'船长每月数据(2023年)'!$P:$P),0)</f>
        <v>0</v>
      </c>
      <c r="BC24" s="38">
        <f>SUMIFS('船长每月数据(2023年)'!$R:$R,'船长每月数据(2023年)'!$F:$F,$BC$2,'船长每月数据(2023年)'!$E:$E,$C:$C)</f>
        <v>0</v>
      </c>
      <c r="BD24" s="21">
        <f>IFERROR(BC24/SUMIF('船长每月数据(2023年)'!$E:$E,$C:$C,'船长每月数据(2023年)'!$R:$R),0)</f>
        <v>0</v>
      </c>
      <c r="BE24" s="20">
        <f>SUMIFS('船长每月数据(2023年)'!$P:$P,'船长每月数据(2023年)'!$F:$F,$BE$2,'船长每月数据(2023年)'!$E:$E,$C:$C)</f>
        <v>0</v>
      </c>
      <c r="BF24" s="21">
        <f>IFERROR(BE24/SUMIF('船长每月数据(2023年)'!$E:$E,$C:$C,'船长每月数据(2023年)'!$P:$P),0)</f>
        <v>0</v>
      </c>
      <c r="BG24" s="38">
        <f>SUMIFS('船长每月数据(2023年)'!$R:$R,'船长每月数据(2023年)'!$F:$F,$BG$2,'船长每月数据(2023年)'!$E:$E,$C:$C)</f>
        <v>0</v>
      </c>
      <c r="BH24" s="21">
        <f>IFERROR(BG24/SUMIF('船长每月数据(2023年)'!$E:$E,$C:$C,'船长每月数据(2023年)'!$R:$R),0)</f>
        <v>0</v>
      </c>
      <c r="BI24" s="20">
        <f>SUMIFS('船长每月数据(2023年)'!$P:$P,'船长每月数据(2023年)'!$F:$F,$BI$2,'船长每月数据(2023年)'!$E:$E,$C:$C)</f>
        <v>0</v>
      </c>
      <c r="BJ24" s="21">
        <f>IFERROR(BI24/SUMIF('船长每月数据(2023年)'!$E:$E,$C:$C,'船长每月数据(2023年)'!$P:$P),0)</f>
        <v>0</v>
      </c>
      <c r="BK24" s="38">
        <f>SUMIFS('船长每月数据(2023年)'!$R:$R,'船长每月数据(2023年)'!$F:$F,$BK$2,'船长每月数据(2023年)'!$E:$E,$C:$C)</f>
        <v>0</v>
      </c>
      <c r="BL24" s="21">
        <f>IFERROR(BK24/SUMIF('船长每月数据(2023年)'!$E:$E,$C:$C,'船长每月数据(2023年)'!$R:$R),0)</f>
        <v>0</v>
      </c>
      <c r="BM24" s="20">
        <f>SUMIFS('船长每月数据(2023年)'!$P:$P,'船长每月数据(2023年)'!$F:$F,$BM$2,'船长每月数据(2023年)'!$E:$E,$C:$C)</f>
        <v>0</v>
      </c>
      <c r="BN24" s="21">
        <f>IFERROR(BM24/SUMIF('船长每月数据(2023年)'!$E:$E,$C:$C,'船长每月数据(2023年)'!$P:$P),0)</f>
        <v>0</v>
      </c>
      <c r="BO24" s="38">
        <f>SUMIFS('船长每月数据(2023年)'!$R:$R,'船长每月数据(2023年)'!$F:$F,$BO$2,'船长每月数据(2023年)'!$E:$E,$C:$C)</f>
        <v>0</v>
      </c>
      <c r="BP24" s="21">
        <f>IFERROR(BO24/SUMIF('船长每月数据(2023年)'!$E:$E,$C:$C,'船长每月数据(2023年)'!$R:$R),0)</f>
        <v>0</v>
      </c>
      <c r="BQ24" s="20">
        <f>SUMIFS('船长每月数据(2023年)'!$P:$P,'船长每月数据(2023年)'!$F:$F,$BQ$2,'船长每月数据(2023年)'!$E:$E,$C:$C)</f>
        <v>0</v>
      </c>
      <c r="BR24" s="21">
        <f>IFERROR(BQ24/SUMIF('船长每月数据(2023年)'!$E:$E,$C:$C,'船长每月数据(2023年)'!$P:$P),0)</f>
        <v>0</v>
      </c>
      <c r="BS24" s="38">
        <f>SUMIFS('船长每月数据(2023年)'!$R:$R,'船长每月数据(2023年)'!$F:$F,$BS$2,'船长每月数据(2023年)'!$E:$E,$C:$C)</f>
        <v>0</v>
      </c>
      <c r="BT24" s="21">
        <f>IFERROR(BS24/SUMIF('船长每月数据(2023年)'!$E:$E,$C:$C,'船长每月数据(2023年)'!$R:$R),0)</f>
        <v>0</v>
      </c>
      <c r="BU24" s="20">
        <f>SUMIFS('船长每月数据(2023年)'!$P:$P,'船长每月数据(2023年)'!$F:$F,$BU$2,'船长每月数据(2023年)'!$E:$E,$C:$C)</f>
        <v>0</v>
      </c>
      <c r="BV24" s="21">
        <f>IFERROR(BU24/SUMIF('船长每月数据(2023年)'!$E:$E,$C:$C,'船长每月数据(2023年)'!$P:$P),0)</f>
        <v>0</v>
      </c>
      <c r="BW24" s="38">
        <f>SUMIFS('船长每月数据(2023年)'!$R:$R,'船长每月数据(2023年)'!$F:$F,$BW$2,'船长每月数据(2023年)'!$E:$E,$C:$C)</f>
        <v>0</v>
      </c>
      <c r="BX24" s="21">
        <f>IFERROR(BW24/SUMIF('船长每月数据(2023年)'!$E:$E,$C:$C,'船长每月数据(2023年)'!$R:$R),0)</f>
        <v>0</v>
      </c>
    </row>
    <row r="25" ht="23" customHeight="1" spans="1:76">
      <c r="A25" s="36"/>
      <c r="B25" s="36"/>
      <c r="C25" s="20"/>
      <c r="D25" s="74"/>
      <c r="E25" s="20">
        <f>SUMIFS('船长每月数据(2022年)'!$P:$P,'船长每月数据(2022年)'!$F:$F,$E$2,'船长每月数据(2022年)'!E:E,C:C)</f>
        <v>0</v>
      </c>
      <c r="F25" s="85">
        <f>SUMIFS('船长每月数据(2022年)'!$R:$R,'船长每月数据(2022年)'!$F:$F,$F$2,'船长每月数据(2022年)'!E:E,C:C)</f>
        <v>0</v>
      </c>
      <c r="G25" s="20">
        <f>SUMIFS('船长每月数据(2022年)'!$P:$P,'船长每月数据(2022年)'!$F:$F,$G$2,'船长每月数据(2022年)'!$E:$E,$C:$C)</f>
        <v>0</v>
      </c>
      <c r="H25" s="85">
        <f>SUMIFS('船长每月数据(2022年)'!$R:$R,'船长每月数据(2022年)'!$F:$F,$H$2,'船长每月数据(2022年)'!$E:$E,$C:$C)</f>
        <v>0</v>
      </c>
      <c r="I25" s="20">
        <f>SUMIFS('船长每月数据(2022年)'!$P:$P,'船长每月数据(2022年)'!$F:$F,$I$2,'船长每月数据(2022年)'!$E:$E,$C:$C)</f>
        <v>0</v>
      </c>
      <c r="J25" s="85">
        <f>SUMIFS('船长每月数据(2022年)'!$R:$R,'船长每月数据(2022年)'!$F:$F,$J$2,'船长每月数据(2022年)'!$E:$E,$C:$C)</f>
        <v>0</v>
      </c>
      <c r="K25" s="20">
        <f>SUMIFS('船长每月数据(2022年)'!$P:$P,'船长每月数据(2022年)'!$F:$F,$K$2,'船长每月数据(2022年)'!$E:$E,$C:$C)</f>
        <v>0</v>
      </c>
      <c r="L25" s="85">
        <f>SUMIFS('船长每月数据(2022年)'!$R:$R,'船长每月数据(2022年)'!$F:$F,$L$2,'船长每月数据(2022年)'!$E:$E,$C:$C)</f>
        <v>0</v>
      </c>
      <c r="M25" s="20">
        <f>SUMIFS('船长每月数据(2022年)'!$P:$P,'船长每月数据(2022年)'!$F:$F,$M$2,'船长每月数据(2022年)'!$E:$E,$C:$C)</f>
        <v>0</v>
      </c>
      <c r="N25" s="85">
        <f>SUMIFS('船长每月数据(2022年)'!$R:$R,'船长每月数据(2022年)'!$F:$F,$N$2,'船长每月数据(2022年)'!$E:$E,$C:$C)</f>
        <v>0</v>
      </c>
      <c r="O25" s="20">
        <f>SUMIFS('船长每月数据(2022年)'!$P:$P,'船长每月数据(2022年)'!$F:$F,$O$2,'船长每月数据(2022年)'!$E:$E,$C:$C)</f>
        <v>0</v>
      </c>
      <c r="P25" s="85">
        <f>SUMIFS('船长每月数据(2022年)'!$R:$R,'船长每月数据(2022年)'!$F:$F,$P$2,'船长每月数据(2022年)'!$E:$E,$C:$C)</f>
        <v>0</v>
      </c>
      <c r="Q25" s="20">
        <f>SUMIFS('船长每月数据(2022年)'!$P:$P,'船长每月数据(2022年)'!$F:$F,$Q$2,'船长每月数据(2022年)'!$E:$E,$C:$C)</f>
        <v>0</v>
      </c>
      <c r="R25" s="85">
        <f>SUMIFS('船长每月数据(2022年)'!$R:$R,'船长每月数据(2022年)'!$F:$F,$R$2,'船长每月数据(2022年)'!$E:$E,$C:$C)</f>
        <v>0</v>
      </c>
      <c r="S25" s="20">
        <f>SUMIFS('船长每月数据(2022年)'!$P:$P,'船长每月数据(2022年)'!$F:$F,$S$2,'船长每月数据(2022年)'!$E:$E,$C:$C)</f>
        <v>0</v>
      </c>
      <c r="T25" s="85">
        <f>SUMIFS('船长每月数据(2022年)'!$R:$R,'船长每月数据(2022年)'!$F:$F,$T$2,'船长每月数据(2022年)'!$E:$E,$C:$C)</f>
        <v>0</v>
      </c>
      <c r="U25" s="20">
        <f>SUMIFS('船长每月数据(2022年)'!$P:$P,'船长每月数据(2022年)'!$F:$F,$U$2,'船长每月数据(2022年)'!$E:$E,$C:$C)</f>
        <v>0</v>
      </c>
      <c r="V25" s="85">
        <f>SUMIFS('船长每月数据(2022年)'!$R:$R,'船长每月数据(2022年)'!$F:$F,$V$2,'船长每月数据(2022年)'!$E:$E,$C:$C)</f>
        <v>0</v>
      </c>
      <c r="W25" s="20">
        <f>SUMIFS('船长每月数据(2022年)'!$P:$P,'船长每月数据(2022年)'!$F:$F,$W$2,'船长每月数据(2022年)'!$E:$E,$C:$C)</f>
        <v>0</v>
      </c>
      <c r="X25" s="85">
        <f>SUMIFS('船长每月数据(2022年)'!$R:$R,'船长每月数据(2022年)'!$F:$F,$X$2,'船长每月数据(2022年)'!$E:$E,$C:$C)</f>
        <v>0</v>
      </c>
      <c r="Y25" s="20">
        <f>SUMIFS('船长每月数据(2022年)'!$P:$P,'船长每月数据(2022年)'!$F:$F,$Y$2,'船长每月数据(2022年)'!$E:$E,$C:$C)</f>
        <v>0</v>
      </c>
      <c r="Z25" s="85">
        <f>SUMIFS('船长每月数据(2022年)'!$R:$R,'船长每月数据(2022年)'!$F:$F,$Z$2,'船长每月数据(2022年)'!$E:$E,$C:$C)</f>
        <v>0</v>
      </c>
      <c r="AA25" s="20">
        <f>SUMIFS('船长每月数据(2022年)'!$P:$P,'船长每月数据(2022年)'!$F:$F,$AA$2,'船长每月数据(2022年)'!$E:$E,$C:$C)</f>
        <v>0</v>
      </c>
      <c r="AB25" s="85">
        <f>SUMIFS('船长每月数据(2022年)'!$R:$R,'船长每月数据(2022年)'!$F:$F,$AB$2,'船长每月数据(2022年)'!$E:$E,$C:$C)</f>
        <v>0</v>
      </c>
      <c r="AC25" s="20">
        <f>SUMIFS('船长每月数据(2023年)'!P:P,'船长每月数据(2023年)'!F:F,$AC$2,'船长每月数据(2023年)'!E:E,C:C)</f>
        <v>0</v>
      </c>
      <c r="AD25" s="21">
        <f>IFERROR(AC25/SUMIF('船长每月数据(2023年)'!$E:$E,C:C,'船长每月数据(2023年)'!P:P),0)</f>
        <v>0</v>
      </c>
      <c r="AE25" s="38">
        <f>SUMIFS('船长每月数据(2023年)'!$R:$R,'船长每月数据(2023年)'!$F:$F,$AE$2,'船长每月数据(2023年)'!$E:$E,$C:$C)</f>
        <v>0</v>
      </c>
      <c r="AF25" s="21">
        <f>IFERROR(AE25/SUMIF('船长每月数据(2023年)'!E:E,C:C,'船长每月数据(2023年)'!R:R),0)</f>
        <v>0</v>
      </c>
      <c r="AG25" s="20">
        <f>SUMIFS('船长每月数据(2023年)'!P:P,'船长每月数据(2023年)'!F:F,$AG$2,'船长每月数据(2023年)'!E:E,C:C)</f>
        <v>0</v>
      </c>
      <c r="AH25" s="21">
        <f>IFERROR(AG25/SUMIF('船长每月数据(2023年)'!$E:$E,$C:$C,'船长每月数据(2023年)'!$P:$P),0)</f>
        <v>0</v>
      </c>
      <c r="AI25" s="38">
        <f>SUMIFS('船长每月数据(2023年)'!$R:$R,'船长每月数据(2023年)'!$F:$F,$AI$2,'船长每月数据(2023年)'!$E:$E,$C:$C)</f>
        <v>0</v>
      </c>
      <c r="AJ25" s="21">
        <f>IFERROR(AI25/SUMIF('船长每月数据(2023年)'!$E:$E,$C:$C,'船长每月数据(2023年)'!$R:$R),0)</f>
        <v>0</v>
      </c>
      <c r="AK25" s="20">
        <f>SUMIFS('船长每月数据(2023年)'!P:P,'船长每月数据(2023年)'!F:F,$AK$2,'船长每月数据(2023年)'!E:E,C:C)</f>
        <v>0</v>
      </c>
      <c r="AL25" s="21">
        <f>IFERROR(AK25/SUMIF('船长每月数据(2023年)'!$E:$E,$C:$C,'船长每月数据(2023年)'!$P:$P),0)</f>
        <v>0</v>
      </c>
      <c r="AM25" s="38">
        <f>SUMIFS('船长每月数据(2023年)'!$R:$R,'船长每月数据(2023年)'!$F:$F,$AM$2,'船长每月数据(2023年)'!$E:$E,$C:$C)</f>
        <v>0</v>
      </c>
      <c r="AN25" s="21">
        <f>IFERROR(AM25/SUMIF('船长每月数据(2023年)'!$E:$E,$C:$C,'船长每月数据(2023年)'!$R:$R),0)</f>
        <v>0</v>
      </c>
      <c r="AO25" s="20">
        <f>SUMIFS('船长每月数据(2023年)'!P:P,'船长每月数据(2023年)'!F:F,$AO$2,'船长每月数据(2023年)'!E:E,C:C)</f>
        <v>0</v>
      </c>
      <c r="AP25" s="21">
        <f>IFERROR(AO25/SUMIF('船长每月数据(2023年)'!$E:$E,$C:$C,'船长每月数据(2023年)'!$P:$P),0)</f>
        <v>0</v>
      </c>
      <c r="AQ25" s="38">
        <f>SUMIFS('船长每月数据(2023年)'!$R:$R,'船长每月数据(2023年)'!$F:$F,$AQ$2,'船长每月数据(2023年)'!$E:$E,$C:$C)</f>
        <v>0</v>
      </c>
      <c r="AR25" s="21">
        <f>IFERROR(AQ25/SUMIF('船长每月数据(2023年)'!$E:$E,$C:$C,'船长每月数据(2023年)'!$R:$R),0)</f>
        <v>0</v>
      </c>
      <c r="AS25" s="20">
        <f>SUMIFS('船长每月数据(2023年)'!$P:$P,'船长每月数据(2023年)'!$F:$F,$AS$2,'船长每月数据(2023年)'!$E:$E,$C:$C)</f>
        <v>0</v>
      </c>
      <c r="AT25" s="21">
        <f>IFERROR(AS25/SUMIF('船长每月数据(2023年)'!$E:$E,$C:$C,'船长每月数据(2023年)'!$P:$P),0)</f>
        <v>0</v>
      </c>
      <c r="AU25" s="38">
        <f>SUMIFS('船长每月数据(2023年)'!$R:$R,'船长每月数据(2023年)'!$F:$F,$AU$2,'船长每月数据(2023年)'!$E:$E,$C:$C)</f>
        <v>0</v>
      </c>
      <c r="AV25" s="21">
        <f>IFERROR(AU25/SUMIF('船长每月数据(2023年)'!$E:$E,$C:$C,'船长每月数据(2023年)'!$R:$R),0)</f>
        <v>0</v>
      </c>
      <c r="AW25" s="20">
        <f>SUMIFS('船长每月数据(2023年)'!$P:$P,'船长每月数据(2023年)'!$F:$F,$AW$2,'船长每月数据(2023年)'!$E:$E,$C:$C)</f>
        <v>0</v>
      </c>
      <c r="AX25" s="21">
        <f>IFERROR(AW25/SUMIF('船长每月数据(2023年)'!$E:$E,$C:$C,'船长每月数据(2023年)'!$P:$P),0)</f>
        <v>0</v>
      </c>
      <c r="AY25" s="38">
        <f>SUMIFS('船长每月数据(2023年)'!$R:$R,'船长每月数据(2023年)'!$F:$F,$AY$2,'船长每月数据(2023年)'!$E:$E,$C:$C)</f>
        <v>0</v>
      </c>
      <c r="AZ25" s="21">
        <f>IFERROR(AY25/SUMIF('船长每月数据(2023年)'!$E:$E,$C:$C,'船长每月数据(2023年)'!$R:$R),0)</f>
        <v>0</v>
      </c>
      <c r="BA25" s="20">
        <f>SUMIFS('船长每月数据(2023年)'!$P:$P,'船长每月数据(2023年)'!$F:$F,$BA$2,'船长每月数据(2023年)'!$E:$E,$C:$C)</f>
        <v>0</v>
      </c>
      <c r="BB25" s="21">
        <f>IFERROR(BA25/SUMIF('船长每月数据(2023年)'!$E:$E,$C:$C,'船长每月数据(2023年)'!$P:$P),0)</f>
        <v>0</v>
      </c>
      <c r="BC25" s="38">
        <f>SUMIFS('船长每月数据(2023年)'!$R:$R,'船长每月数据(2023年)'!$F:$F,$BC$2,'船长每月数据(2023年)'!$E:$E,$C:$C)</f>
        <v>0</v>
      </c>
      <c r="BD25" s="21">
        <f>IFERROR(BC25/SUMIF('船长每月数据(2023年)'!$E:$E,$C:$C,'船长每月数据(2023年)'!$R:$R),0)</f>
        <v>0</v>
      </c>
      <c r="BE25" s="20">
        <f>SUMIFS('船长每月数据(2023年)'!$P:$P,'船长每月数据(2023年)'!$F:$F,$BE$2,'船长每月数据(2023年)'!$E:$E,$C:$C)</f>
        <v>0</v>
      </c>
      <c r="BF25" s="21">
        <f>IFERROR(BE25/SUMIF('船长每月数据(2023年)'!$E:$E,$C:$C,'船长每月数据(2023年)'!$P:$P),0)</f>
        <v>0</v>
      </c>
      <c r="BG25" s="38">
        <f>SUMIFS('船长每月数据(2023年)'!$R:$R,'船长每月数据(2023年)'!$F:$F,$BG$2,'船长每月数据(2023年)'!$E:$E,$C:$C)</f>
        <v>0</v>
      </c>
      <c r="BH25" s="21">
        <f>IFERROR(BG25/SUMIF('船长每月数据(2023年)'!$E:$E,$C:$C,'船长每月数据(2023年)'!$R:$R),0)</f>
        <v>0</v>
      </c>
      <c r="BI25" s="20">
        <f>SUMIFS('船长每月数据(2023年)'!$P:$P,'船长每月数据(2023年)'!$F:$F,$BI$2,'船长每月数据(2023年)'!$E:$E,$C:$C)</f>
        <v>0</v>
      </c>
      <c r="BJ25" s="21">
        <f>IFERROR(BI25/SUMIF('船长每月数据(2023年)'!$E:$E,$C:$C,'船长每月数据(2023年)'!$P:$P),0)</f>
        <v>0</v>
      </c>
      <c r="BK25" s="38">
        <f>SUMIFS('船长每月数据(2023年)'!$R:$R,'船长每月数据(2023年)'!$F:$F,$BK$2,'船长每月数据(2023年)'!$E:$E,$C:$C)</f>
        <v>0</v>
      </c>
      <c r="BL25" s="21">
        <f>IFERROR(BK25/SUMIF('船长每月数据(2023年)'!$E:$E,$C:$C,'船长每月数据(2023年)'!$R:$R),0)</f>
        <v>0</v>
      </c>
      <c r="BM25" s="20">
        <f>SUMIFS('船长每月数据(2023年)'!$P:$P,'船长每月数据(2023年)'!$F:$F,$BM$2,'船长每月数据(2023年)'!$E:$E,$C:$C)</f>
        <v>0</v>
      </c>
      <c r="BN25" s="21">
        <f>IFERROR(BM25/SUMIF('船长每月数据(2023年)'!$E:$E,$C:$C,'船长每月数据(2023年)'!$P:$P),0)</f>
        <v>0</v>
      </c>
      <c r="BO25" s="38">
        <f>SUMIFS('船长每月数据(2023年)'!$R:$R,'船长每月数据(2023年)'!$F:$F,$BO$2,'船长每月数据(2023年)'!$E:$E,$C:$C)</f>
        <v>0</v>
      </c>
      <c r="BP25" s="21">
        <f>IFERROR(BO25/SUMIF('船长每月数据(2023年)'!$E:$E,$C:$C,'船长每月数据(2023年)'!$R:$R),0)</f>
        <v>0</v>
      </c>
      <c r="BQ25" s="20">
        <f>SUMIFS('船长每月数据(2023年)'!$P:$P,'船长每月数据(2023年)'!$F:$F,$BQ$2,'船长每月数据(2023年)'!$E:$E,$C:$C)</f>
        <v>0</v>
      </c>
      <c r="BR25" s="21">
        <f>IFERROR(BQ25/SUMIF('船长每月数据(2023年)'!$E:$E,$C:$C,'船长每月数据(2023年)'!$P:$P),0)</f>
        <v>0</v>
      </c>
      <c r="BS25" s="38">
        <f>SUMIFS('船长每月数据(2023年)'!$R:$R,'船长每月数据(2023年)'!$F:$F,$BS$2,'船长每月数据(2023年)'!$E:$E,$C:$C)</f>
        <v>0</v>
      </c>
      <c r="BT25" s="21">
        <f>IFERROR(BS25/SUMIF('船长每月数据(2023年)'!$E:$E,$C:$C,'船长每月数据(2023年)'!$R:$R),0)</f>
        <v>0</v>
      </c>
      <c r="BU25" s="20">
        <f>SUMIFS('船长每月数据(2023年)'!$P:$P,'船长每月数据(2023年)'!$F:$F,$BU$2,'船长每月数据(2023年)'!$E:$E,$C:$C)</f>
        <v>0</v>
      </c>
      <c r="BV25" s="21">
        <f>IFERROR(BU25/SUMIF('船长每月数据(2023年)'!$E:$E,$C:$C,'船长每月数据(2023年)'!$P:$P),0)</f>
        <v>0</v>
      </c>
      <c r="BW25" s="38">
        <f>SUMIFS('船长每月数据(2023年)'!$R:$R,'船长每月数据(2023年)'!$F:$F,$BW$2,'船长每月数据(2023年)'!$E:$E,$C:$C)</f>
        <v>0</v>
      </c>
      <c r="BX25" s="21">
        <f>IFERROR(BW25/SUMIF('船长每月数据(2023年)'!$E:$E,$C:$C,'船长每月数据(2023年)'!$R:$R),0)</f>
        <v>0</v>
      </c>
    </row>
    <row r="26" ht="23" customHeight="1" spans="1:76">
      <c r="A26" s="36"/>
      <c r="B26" s="36"/>
      <c r="C26" s="20"/>
      <c r="D26" s="74"/>
      <c r="E26" s="20">
        <f>SUMIFS('船长每月数据(2022年)'!$P:$P,'船长每月数据(2022年)'!$F:$F,$E$2,'船长每月数据(2022年)'!E:E,C:C)</f>
        <v>0</v>
      </c>
      <c r="F26" s="85">
        <f>SUMIFS('船长每月数据(2022年)'!$R:$R,'船长每月数据(2022年)'!$F:$F,$F$2,'船长每月数据(2022年)'!E:E,C:C)</f>
        <v>0</v>
      </c>
      <c r="G26" s="20">
        <f>SUMIFS('船长每月数据(2022年)'!$P:$P,'船长每月数据(2022年)'!$F:$F,$G$2,'船长每月数据(2022年)'!$E:$E,$C:$C)</f>
        <v>0</v>
      </c>
      <c r="H26" s="85">
        <f>SUMIFS('船长每月数据(2022年)'!$R:$R,'船长每月数据(2022年)'!$F:$F,$H$2,'船长每月数据(2022年)'!$E:$E,$C:$C)</f>
        <v>0</v>
      </c>
      <c r="I26" s="20">
        <f>SUMIFS('船长每月数据(2022年)'!$P:$P,'船长每月数据(2022年)'!$F:$F,$I$2,'船长每月数据(2022年)'!$E:$E,$C:$C)</f>
        <v>0</v>
      </c>
      <c r="J26" s="85">
        <f>SUMIFS('船长每月数据(2022年)'!$R:$R,'船长每月数据(2022年)'!$F:$F,$J$2,'船长每月数据(2022年)'!$E:$E,$C:$C)</f>
        <v>0</v>
      </c>
      <c r="K26" s="20">
        <f>SUMIFS('船长每月数据(2022年)'!$P:$P,'船长每月数据(2022年)'!$F:$F,$K$2,'船长每月数据(2022年)'!$E:$E,$C:$C)</f>
        <v>0</v>
      </c>
      <c r="L26" s="85">
        <f>SUMIFS('船长每月数据(2022年)'!$R:$R,'船长每月数据(2022年)'!$F:$F,$L$2,'船长每月数据(2022年)'!$E:$E,$C:$C)</f>
        <v>0</v>
      </c>
      <c r="M26" s="20">
        <f>SUMIFS('船长每月数据(2022年)'!$P:$P,'船长每月数据(2022年)'!$F:$F,$M$2,'船长每月数据(2022年)'!$E:$E,$C:$C)</f>
        <v>0</v>
      </c>
      <c r="N26" s="85">
        <f>SUMIFS('船长每月数据(2022年)'!$R:$R,'船长每月数据(2022年)'!$F:$F,$N$2,'船长每月数据(2022年)'!$E:$E,$C:$C)</f>
        <v>0</v>
      </c>
      <c r="O26" s="20">
        <f>SUMIFS('船长每月数据(2022年)'!$P:$P,'船长每月数据(2022年)'!$F:$F,$O$2,'船长每月数据(2022年)'!$E:$E,$C:$C)</f>
        <v>0</v>
      </c>
      <c r="P26" s="85">
        <f>SUMIFS('船长每月数据(2022年)'!$R:$R,'船长每月数据(2022年)'!$F:$F,$P$2,'船长每月数据(2022年)'!$E:$E,$C:$C)</f>
        <v>0</v>
      </c>
      <c r="Q26" s="20">
        <f>SUMIFS('船长每月数据(2022年)'!$P:$P,'船长每月数据(2022年)'!$F:$F,$Q$2,'船长每月数据(2022年)'!$E:$E,$C:$C)</f>
        <v>0</v>
      </c>
      <c r="R26" s="85">
        <f>SUMIFS('船长每月数据(2022年)'!$R:$R,'船长每月数据(2022年)'!$F:$F,$R$2,'船长每月数据(2022年)'!$E:$E,$C:$C)</f>
        <v>0</v>
      </c>
      <c r="S26" s="20">
        <f>SUMIFS('船长每月数据(2022年)'!$P:$P,'船长每月数据(2022年)'!$F:$F,$S$2,'船长每月数据(2022年)'!$E:$E,$C:$C)</f>
        <v>0</v>
      </c>
      <c r="T26" s="85">
        <f>SUMIFS('船长每月数据(2022年)'!$R:$R,'船长每月数据(2022年)'!$F:$F,$T$2,'船长每月数据(2022年)'!$E:$E,$C:$C)</f>
        <v>0</v>
      </c>
      <c r="U26" s="20">
        <f>SUMIFS('船长每月数据(2022年)'!$P:$P,'船长每月数据(2022年)'!$F:$F,$U$2,'船长每月数据(2022年)'!$E:$E,$C:$C)</f>
        <v>0</v>
      </c>
      <c r="V26" s="85">
        <f>SUMIFS('船长每月数据(2022年)'!$R:$R,'船长每月数据(2022年)'!$F:$F,$V$2,'船长每月数据(2022年)'!$E:$E,$C:$C)</f>
        <v>0</v>
      </c>
      <c r="W26" s="20">
        <f>SUMIFS('船长每月数据(2022年)'!$P:$P,'船长每月数据(2022年)'!$F:$F,$W$2,'船长每月数据(2022年)'!$E:$E,$C:$C)</f>
        <v>0</v>
      </c>
      <c r="X26" s="85">
        <f>SUMIFS('船长每月数据(2022年)'!$R:$R,'船长每月数据(2022年)'!$F:$F,$X$2,'船长每月数据(2022年)'!$E:$E,$C:$C)</f>
        <v>0</v>
      </c>
      <c r="Y26" s="20">
        <f>SUMIFS('船长每月数据(2022年)'!$P:$P,'船长每月数据(2022年)'!$F:$F,$Y$2,'船长每月数据(2022年)'!$E:$E,$C:$C)</f>
        <v>0</v>
      </c>
      <c r="Z26" s="85">
        <f>SUMIFS('船长每月数据(2022年)'!$R:$R,'船长每月数据(2022年)'!$F:$F,$Z$2,'船长每月数据(2022年)'!$E:$E,$C:$C)</f>
        <v>0</v>
      </c>
      <c r="AA26" s="20">
        <f>SUMIFS('船长每月数据(2022年)'!$P:$P,'船长每月数据(2022年)'!$F:$F,$AA$2,'船长每月数据(2022年)'!$E:$E,$C:$C)</f>
        <v>0</v>
      </c>
      <c r="AB26" s="85">
        <f>SUMIFS('船长每月数据(2022年)'!$R:$R,'船长每月数据(2022年)'!$F:$F,$AB$2,'船长每月数据(2022年)'!$E:$E,$C:$C)</f>
        <v>0</v>
      </c>
      <c r="AC26" s="20">
        <f>SUMIFS('船长每月数据(2023年)'!P:P,'船长每月数据(2023年)'!F:F,$AC$2,'船长每月数据(2023年)'!E:E,C:C)</f>
        <v>0</v>
      </c>
      <c r="AD26" s="21">
        <f>IFERROR(AC26/SUMIF('船长每月数据(2023年)'!$E:$E,C:C,'船长每月数据(2023年)'!P:P),0)</f>
        <v>0</v>
      </c>
      <c r="AE26" s="38">
        <f>SUMIFS('船长每月数据(2023年)'!$R:$R,'船长每月数据(2023年)'!$F:$F,$AE$2,'船长每月数据(2023年)'!$E:$E,$C:$C)</f>
        <v>0</v>
      </c>
      <c r="AF26" s="21">
        <f>IFERROR(AE26/SUMIF('船长每月数据(2023年)'!E:E,C:C,'船长每月数据(2023年)'!R:R),0)</f>
        <v>0</v>
      </c>
      <c r="AG26" s="20">
        <f>SUMIFS('船长每月数据(2023年)'!P:P,'船长每月数据(2023年)'!F:F,$AG$2,'船长每月数据(2023年)'!E:E,C:C)</f>
        <v>0</v>
      </c>
      <c r="AH26" s="21">
        <f>IFERROR(AG26/SUMIF('船长每月数据(2023年)'!$E:$E,$C:$C,'船长每月数据(2023年)'!$P:$P),0)</f>
        <v>0</v>
      </c>
      <c r="AI26" s="38">
        <f>SUMIFS('船长每月数据(2023年)'!$R:$R,'船长每月数据(2023年)'!$F:$F,$AI$2,'船长每月数据(2023年)'!$E:$E,$C:$C)</f>
        <v>0</v>
      </c>
      <c r="AJ26" s="21">
        <f>IFERROR(AI26/SUMIF('船长每月数据(2023年)'!$E:$E,$C:$C,'船长每月数据(2023年)'!$R:$R),0)</f>
        <v>0</v>
      </c>
      <c r="AK26" s="20">
        <f>SUMIFS('船长每月数据(2023年)'!P:P,'船长每月数据(2023年)'!F:F,$AK$2,'船长每月数据(2023年)'!E:E,C:C)</f>
        <v>0</v>
      </c>
      <c r="AL26" s="21">
        <f>IFERROR(AK26/SUMIF('船长每月数据(2023年)'!$E:$E,$C:$C,'船长每月数据(2023年)'!$P:$P),0)</f>
        <v>0</v>
      </c>
      <c r="AM26" s="38">
        <f>SUMIFS('船长每月数据(2023年)'!$R:$R,'船长每月数据(2023年)'!$F:$F,$AM$2,'船长每月数据(2023年)'!$E:$E,$C:$C)</f>
        <v>0</v>
      </c>
      <c r="AN26" s="21">
        <f>IFERROR(AM26/SUMIF('船长每月数据(2023年)'!$E:$E,$C:$C,'船长每月数据(2023年)'!$R:$R),0)</f>
        <v>0</v>
      </c>
      <c r="AO26" s="20">
        <f>SUMIFS('船长每月数据(2023年)'!P:P,'船长每月数据(2023年)'!F:F,$AO$2,'船长每月数据(2023年)'!E:E,C:C)</f>
        <v>0</v>
      </c>
      <c r="AP26" s="21">
        <f>IFERROR(AO26/SUMIF('船长每月数据(2023年)'!$E:$E,$C:$C,'船长每月数据(2023年)'!$P:$P),0)</f>
        <v>0</v>
      </c>
      <c r="AQ26" s="38">
        <f>SUMIFS('船长每月数据(2023年)'!$R:$R,'船长每月数据(2023年)'!$F:$F,$AQ$2,'船长每月数据(2023年)'!$E:$E,$C:$C)</f>
        <v>0</v>
      </c>
      <c r="AR26" s="21">
        <f>IFERROR(AQ26/SUMIF('船长每月数据(2023年)'!$E:$E,$C:$C,'船长每月数据(2023年)'!$R:$R),0)</f>
        <v>0</v>
      </c>
      <c r="AS26" s="20">
        <f>SUMIFS('船长每月数据(2023年)'!$P:$P,'船长每月数据(2023年)'!$F:$F,$AS$2,'船长每月数据(2023年)'!$E:$E,$C:$C)</f>
        <v>0</v>
      </c>
      <c r="AT26" s="21">
        <f>IFERROR(AS26/SUMIF('船长每月数据(2023年)'!$E:$E,$C:$C,'船长每月数据(2023年)'!$P:$P),0)</f>
        <v>0</v>
      </c>
      <c r="AU26" s="38">
        <f>SUMIFS('船长每月数据(2023年)'!$R:$R,'船长每月数据(2023年)'!$F:$F,$AU$2,'船长每月数据(2023年)'!$E:$E,$C:$C)</f>
        <v>0</v>
      </c>
      <c r="AV26" s="21">
        <f>IFERROR(AU26/SUMIF('船长每月数据(2023年)'!$E:$E,$C:$C,'船长每月数据(2023年)'!$R:$R),0)</f>
        <v>0</v>
      </c>
      <c r="AW26" s="20">
        <f>SUMIFS('船长每月数据(2023年)'!$P:$P,'船长每月数据(2023年)'!$F:$F,$AW$2,'船长每月数据(2023年)'!$E:$E,$C:$C)</f>
        <v>0</v>
      </c>
      <c r="AX26" s="21">
        <f>IFERROR(AW26/SUMIF('船长每月数据(2023年)'!$E:$E,$C:$C,'船长每月数据(2023年)'!$P:$P),0)</f>
        <v>0</v>
      </c>
      <c r="AY26" s="38">
        <f>SUMIFS('船长每月数据(2023年)'!$R:$R,'船长每月数据(2023年)'!$F:$F,$AY$2,'船长每月数据(2023年)'!$E:$E,$C:$C)</f>
        <v>0</v>
      </c>
      <c r="AZ26" s="21">
        <f>IFERROR(AY26/SUMIF('船长每月数据(2023年)'!$E:$E,$C:$C,'船长每月数据(2023年)'!$R:$R),0)</f>
        <v>0</v>
      </c>
      <c r="BA26" s="20">
        <f>SUMIFS('船长每月数据(2023年)'!$P:$P,'船长每月数据(2023年)'!$F:$F,$BA$2,'船长每月数据(2023年)'!$E:$E,$C:$C)</f>
        <v>0</v>
      </c>
      <c r="BB26" s="21">
        <f>IFERROR(BA26/SUMIF('船长每月数据(2023年)'!$E:$E,$C:$C,'船长每月数据(2023年)'!$P:$P),0)</f>
        <v>0</v>
      </c>
      <c r="BC26" s="38">
        <f>SUMIFS('船长每月数据(2023年)'!$R:$R,'船长每月数据(2023年)'!$F:$F,$BC$2,'船长每月数据(2023年)'!$E:$E,$C:$C)</f>
        <v>0</v>
      </c>
      <c r="BD26" s="21">
        <f>IFERROR(BC26/SUMIF('船长每月数据(2023年)'!$E:$E,$C:$C,'船长每月数据(2023年)'!$R:$R),0)</f>
        <v>0</v>
      </c>
      <c r="BE26" s="20">
        <f>SUMIFS('船长每月数据(2023年)'!$P:$P,'船长每月数据(2023年)'!$F:$F,$BE$2,'船长每月数据(2023年)'!$E:$E,$C:$C)</f>
        <v>0</v>
      </c>
      <c r="BF26" s="21">
        <f>IFERROR(BE26/SUMIF('船长每月数据(2023年)'!$E:$E,$C:$C,'船长每月数据(2023年)'!$P:$P),0)</f>
        <v>0</v>
      </c>
      <c r="BG26" s="38">
        <f>SUMIFS('船长每月数据(2023年)'!$R:$R,'船长每月数据(2023年)'!$F:$F,$BG$2,'船长每月数据(2023年)'!$E:$E,$C:$C)</f>
        <v>0</v>
      </c>
      <c r="BH26" s="21">
        <f>IFERROR(BG26/SUMIF('船长每月数据(2023年)'!$E:$E,$C:$C,'船长每月数据(2023年)'!$R:$R),0)</f>
        <v>0</v>
      </c>
      <c r="BI26" s="20">
        <f>SUMIFS('船长每月数据(2023年)'!$P:$P,'船长每月数据(2023年)'!$F:$F,$BI$2,'船长每月数据(2023年)'!$E:$E,$C:$C)</f>
        <v>0</v>
      </c>
      <c r="BJ26" s="21">
        <f>IFERROR(BI26/SUMIF('船长每月数据(2023年)'!$E:$E,$C:$C,'船长每月数据(2023年)'!$P:$P),0)</f>
        <v>0</v>
      </c>
      <c r="BK26" s="38">
        <f>SUMIFS('船长每月数据(2023年)'!$R:$R,'船长每月数据(2023年)'!$F:$F,$BK$2,'船长每月数据(2023年)'!$E:$E,$C:$C)</f>
        <v>0</v>
      </c>
      <c r="BL26" s="21">
        <f>IFERROR(BK26/SUMIF('船长每月数据(2023年)'!$E:$E,$C:$C,'船长每月数据(2023年)'!$R:$R),0)</f>
        <v>0</v>
      </c>
      <c r="BM26" s="20">
        <f>SUMIFS('船长每月数据(2023年)'!$P:$P,'船长每月数据(2023年)'!$F:$F,$BM$2,'船长每月数据(2023年)'!$E:$E,$C:$C)</f>
        <v>0</v>
      </c>
      <c r="BN26" s="21">
        <f>IFERROR(BM26/SUMIF('船长每月数据(2023年)'!$E:$E,$C:$C,'船长每月数据(2023年)'!$P:$P),0)</f>
        <v>0</v>
      </c>
      <c r="BO26" s="38">
        <f>SUMIFS('船长每月数据(2023年)'!$R:$R,'船长每月数据(2023年)'!$F:$F,$BO$2,'船长每月数据(2023年)'!$E:$E,$C:$C)</f>
        <v>0</v>
      </c>
      <c r="BP26" s="21">
        <f>IFERROR(BO26/SUMIF('船长每月数据(2023年)'!$E:$E,$C:$C,'船长每月数据(2023年)'!$R:$R),0)</f>
        <v>0</v>
      </c>
      <c r="BQ26" s="20">
        <f>SUMIFS('船长每月数据(2023年)'!$P:$P,'船长每月数据(2023年)'!$F:$F,$BQ$2,'船长每月数据(2023年)'!$E:$E,$C:$C)</f>
        <v>0</v>
      </c>
      <c r="BR26" s="21">
        <f>IFERROR(BQ26/SUMIF('船长每月数据(2023年)'!$E:$E,$C:$C,'船长每月数据(2023年)'!$P:$P),0)</f>
        <v>0</v>
      </c>
      <c r="BS26" s="38">
        <f>SUMIFS('船长每月数据(2023年)'!$R:$R,'船长每月数据(2023年)'!$F:$F,$BS$2,'船长每月数据(2023年)'!$E:$E,$C:$C)</f>
        <v>0</v>
      </c>
      <c r="BT26" s="21">
        <f>IFERROR(BS26/SUMIF('船长每月数据(2023年)'!$E:$E,$C:$C,'船长每月数据(2023年)'!$R:$R),0)</f>
        <v>0</v>
      </c>
      <c r="BU26" s="20">
        <f>SUMIFS('船长每月数据(2023年)'!$P:$P,'船长每月数据(2023年)'!$F:$F,$BU$2,'船长每月数据(2023年)'!$E:$E,$C:$C)</f>
        <v>0</v>
      </c>
      <c r="BV26" s="21">
        <f>IFERROR(BU26/SUMIF('船长每月数据(2023年)'!$E:$E,$C:$C,'船长每月数据(2023年)'!$P:$P),0)</f>
        <v>0</v>
      </c>
      <c r="BW26" s="38">
        <f>SUMIFS('船长每月数据(2023年)'!$R:$R,'船长每月数据(2023年)'!$F:$F,$BW$2,'船长每月数据(2023年)'!$E:$E,$C:$C)</f>
        <v>0</v>
      </c>
      <c r="BX26" s="21">
        <f>IFERROR(BW26/SUMIF('船长每月数据(2023年)'!$E:$E,$C:$C,'船长每月数据(2023年)'!$R:$R),0)</f>
        <v>0</v>
      </c>
    </row>
    <row r="27" ht="23" customHeight="1" spans="1:76">
      <c r="A27" s="36"/>
      <c r="B27" s="36"/>
      <c r="C27" s="20"/>
      <c r="D27" s="74"/>
      <c r="E27" s="20">
        <f>SUMIFS('船长每月数据(2022年)'!$P:$P,'船长每月数据(2022年)'!$F:$F,$E$2,'船长每月数据(2022年)'!E:E,C:C)</f>
        <v>0</v>
      </c>
      <c r="F27" s="85">
        <f>SUMIFS('船长每月数据(2022年)'!$R:$R,'船长每月数据(2022年)'!$F:$F,$F$2,'船长每月数据(2022年)'!E:E,C:C)</f>
        <v>0</v>
      </c>
      <c r="G27" s="20">
        <f>SUMIFS('船长每月数据(2022年)'!$P:$P,'船长每月数据(2022年)'!$F:$F,$G$2,'船长每月数据(2022年)'!$E:$E,$C:$C)</f>
        <v>0</v>
      </c>
      <c r="H27" s="85">
        <f>SUMIFS('船长每月数据(2022年)'!$R:$R,'船长每月数据(2022年)'!$F:$F,$H$2,'船长每月数据(2022年)'!$E:$E,$C:$C)</f>
        <v>0</v>
      </c>
      <c r="I27" s="20">
        <f>SUMIFS('船长每月数据(2022年)'!$P:$P,'船长每月数据(2022年)'!$F:$F,$I$2,'船长每月数据(2022年)'!$E:$E,$C:$C)</f>
        <v>0</v>
      </c>
      <c r="J27" s="85">
        <f>SUMIFS('船长每月数据(2022年)'!$R:$R,'船长每月数据(2022年)'!$F:$F,$J$2,'船长每月数据(2022年)'!$E:$E,$C:$C)</f>
        <v>0</v>
      </c>
      <c r="K27" s="20">
        <f>SUMIFS('船长每月数据(2022年)'!$P:$P,'船长每月数据(2022年)'!$F:$F,$K$2,'船长每月数据(2022年)'!$E:$E,$C:$C)</f>
        <v>0</v>
      </c>
      <c r="L27" s="85">
        <f>SUMIFS('船长每月数据(2022年)'!$R:$R,'船长每月数据(2022年)'!$F:$F,$L$2,'船长每月数据(2022年)'!$E:$E,$C:$C)</f>
        <v>0</v>
      </c>
      <c r="M27" s="20">
        <f>SUMIFS('船长每月数据(2022年)'!$P:$P,'船长每月数据(2022年)'!$F:$F,$M$2,'船长每月数据(2022年)'!$E:$E,$C:$C)</f>
        <v>0</v>
      </c>
      <c r="N27" s="85">
        <f>SUMIFS('船长每月数据(2022年)'!$R:$R,'船长每月数据(2022年)'!$F:$F,$N$2,'船长每月数据(2022年)'!$E:$E,$C:$C)</f>
        <v>0</v>
      </c>
      <c r="O27" s="20">
        <f>SUMIFS('船长每月数据(2022年)'!$P:$P,'船长每月数据(2022年)'!$F:$F,$O$2,'船长每月数据(2022年)'!$E:$E,$C:$C)</f>
        <v>0</v>
      </c>
      <c r="P27" s="85">
        <f>SUMIFS('船长每月数据(2022年)'!$R:$R,'船长每月数据(2022年)'!$F:$F,$P$2,'船长每月数据(2022年)'!$E:$E,$C:$C)</f>
        <v>0</v>
      </c>
      <c r="Q27" s="20">
        <f>SUMIFS('船长每月数据(2022年)'!$P:$P,'船长每月数据(2022年)'!$F:$F,$Q$2,'船长每月数据(2022年)'!$E:$E,$C:$C)</f>
        <v>0</v>
      </c>
      <c r="R27" s="85">
        <f>SUMIFS('船长每月数据(2022年)'!$R:$R,'船长每月数据(2022年)'!$F:$F,$R$2,'船长每月数据(2022年)'!$E:$E,$C:$C)</f>
        <v>0</v>
      </c>
      <c r="S27" s="20">
        <f>SUMIFS('船长每月数据(2022年)'!$P:$P,'船长每月数据(2022年)'!$F:$F,$S$2,'船长每月数据(2022年)'!$E:$E,$C:$C)</f>
        <v>0</v>
      </c>
      <c r="T27" s="85">
        <f>SUMIFS('船长每月数据(2022年)'!$R:$R,'船长每月数据(2022年)'!$F:$F,$T$2,'船长每月数据(2022年)'!$E:$E,$C:$C)</f>
        <v>0</v>
      </c>
      <c r="U27" s="20">
        <f>SUMIFS('船长每月数据(2022年)'!$P:$P,'船长每月数据(2022年)'!$F:$F,$U$2,'船长每月数据(2022年)'!$E:$E,$C:$C)</f>
        <v>0</v>
      </c>
      <c r="V27" s="85">
        <f>SUMIFS('船长每月数据(2022年)'!$R:$R,'船长每月数据(2022年)'!$F:$F,$V$2,'船长每月数据(2022年)'!$E:$E,$C:$C)</f>
        <v>0</v>
      </c>
      <c r="W27" s="20">
        <f>SUMIFS('船长每月数据(2022年)'!$P:$P,'船长每月数据(2022年)'!$F:$F,$W$2,'船长每月数据(2022年)'!$E:$E,$C:$C)</f>
        <v>0</v>
      </c>
      <c r="X27" s="85">
        <f>SUMIFS('船长每月数据(2022年)'!$R:$R,'船长每月数据(2022年)'!$F:$F,$X$2,'船长每月数据(2022年)'!$E:$E,$C:$C)</f>
        <v>0</v>
      </c>
      <c r="Y27" s="20">
        <f>SUMIFS('船长每月数据(2022年)'!$P:$P,'船长每月数据(2022年)'!$F:$F,$Y$2,'船长每月数据(2022年)'!$E:$E,$C:$C)</f>
        <v>0</v>
      </c>
      <c r="Z27" s="85">
        <f>SUMIFS('船长每月数据(2022年)'!$R:$R,'船长每月数据(2022年)'!$F:$F,$Z$2,'船长每月数据(2022年)'!$E:$E,$C:$C)</f>
        <v>0</v>
      </c>
      <c r="AA27" s="20">
        <f>SUMIFS('船长每月数据(2022年)'!$P:$P,'船长每月数据(2022年)'!$F:$F,$AA$2,'船长每月数据(2022年)'!$E:$E,$C:$C)</f>
        <v>0</v>
      </c>
      <c r="AB27" s="85">
        <f>SUMIFS('船长每月数据(2022年)'!$R:$R,'船长每月数据(2022年)'!$F:$F,$AB$2,'船长每月数据(2022年)'!$E:$E,$C:$C)</f>
        <v>0</v>
      </c>
      <c r="AC27" s="20">
        <f>SUMIFS('船长每月数据(2023年)'!P:P,'船长每月数据(2023年)'!F:F,$AC$2,'船长每月数据(2023年)'!E:E,C:C)</f>
        <v>0</v>
      </c>
      <c r="AD27" s="21">
        <f>IFERROR(AC27/SUMIF('船长每月数据(2023年)'!$E:$E,C:C,'船长每月数据(2023年)'!P:P),0)</f>
        <v>0</v>
      </c>
      <c r="AE27" s="38">
        <f>SUMIFS('船长每月数据(2023年)'!$R:$R,'船长每月数据(2023年)'!$F:$F,$AE$2,'船长每月数据(2023年)'!$E:$E,$C:$C)</f>
        <v>0</v>
      </c>
      <c r="AF27" s="21">
        <f>IFERROR(AE27/SUMIF('船长每月数据(2023年)'!E:E,C:C,'船长每月数据(2023年)'!R:R),0)</f>
        <v>0</v>
      </c>
      <c r="AG27" s="20">
        <f>SUMIFS('船长每月数据(2023年)'!P:P,'船长每月数据(2023年)'!F:F,$AG$2,'船长每月数据(2023年)'!E:E,C:C)</f>
        <v>0</v>
      </c>
      <c r="AH27" s="21">
        <f>IFERROR(AG27/SUMIF('船长每月数据(2023年)'!$E:$E,$C:$C,'船长每月数据(2023年)'!$P:$P),0)</f>
        <v>0</v>
      </c>
      <c r="AI27" s="38">
        <f>SUMIFS('船长每月数据(2023年)'!$R:$R,'船长每月数据(2023年)'!$F:$F,$AI$2,'船长每月数据(2023年)'!$E:$E,$C:$C)</f>
        <v>0</v>
      </c>
      <c r="AJ27" s="21">
        <f>IFERROR(AI27/SUMIF('船长每月数据(2023年)'!$E:$E,$C:$C,'船长每月数据(2023年)'!$R:$R),0)</f>
        <v>0</v>
      </c>
      <c r="AK27" s="20">
        <f>SUMIFS('船长每月数据(2023年)'!P:P,'船长每月数据(2023年)'!F:F,$AK$2,'船长每月数据(2023年)'!E:E,C:C)</f>
        <v>0</v>
      </c>
      <c r="AL27" s="21">
        <f>IFERROR(AK27/SUMIF('船长每月数据(2023年)'!$E:$E,$C:$C,'船长每月数据(2023年)'!$P:$P),0)</f>
        <v>0</v>
      </c>
      <c r="AM27" s="38">
        <f>SUMIFS('船长每月数据(2023年)'!$R:$R,'船长每月数据(2023年)'!$F:$F,$AM$2,'船长每月数据(2023年)'!$E:$E,$C:$C)</f>
        <v>0</v>
      </c>
      <c r="AN27" s="21">
        <f>IFERROR(AM27/SUMIF('船长每月数据(2023年)'!$E:$E,$C:$C,'船长每月数据(2023年)'!$R:$R),0)</f>
        <v>0</v>
      </c>
      <c r="AO27" s="20">
        <f>SUMIFS('船长每月数据(2023年)'!P:P,'船长每月数据(2023年)'!F:F,$AO$2,'船长每月数据(2023年)'!E:E,C:C)</f>
        <v>0</v>
      </c>
      <c r="AP27" s="21">
        <f>IFERROR(AO27/SUMIF('船长每月数据(2023年)'!$E:$E,$C:$C,'船长每月数据(2023年)'!$P:$P),0)</f>
        <v>0</v>
      </c>
      <c r="AQ27" s="38">
        <f>SUMIFS('船长每月数据(2023年)'!$R:$R,'船长每月数据(2023年)'!$F:$F,$AQ$2,'船长每月数据(2023年)'!$E:$E,$C:$C)</f>
        <v>0</v>
      </c>
      <c r="AR27" s="21">
        <f>IFERROR(AQ27/SUMIF('船长每月数据(2023年)'!$E:$E,$C:$C,'船长每月数据(2023年)'!$R:$R),0)</f>
        <v>0</v>
      </c>
      <c r="AS27" s="20">
        <f>SUMIFS('船长每月数据(2023年)'!$P:$P,'船长每月数据(2023年)'!$F:$F,$AS$2,'船长每月数据(2023年)'!$E:$E,$C:$C)</f>
        <v>0</v>
      </c>
      <c r="AT27" s="21">
        <f>IFERROR(AS27/SUMIF('船长每月数据(2023年)'!$E:$E,$C:$C,'船长每月数据(2023年)'!$P:$P),0)</f>
        <v>0</v>
      </c>
      <c r="AU27" s="38">
        <f>SUMIFS('船长每月数据(2023年)'!$R:$R,'船长每月数据(2023年)'!$F:$F,$AU$2,'船长每月数据(2023年)'!$E:$E,$C:$C)</f>
        <v>0</v>
      </c>
      <c r="AV27" s="21">
        <f>IFERROR(AU27/SUMIF('船长每月数据(2023年)'!$E:$E,$C:$C,'船长每月数据(2023年)'!$R:$R),0)</f>
        <v>0</v>
      </c>
      <c r="AW27" s="20">
        <f>SUMIFS('船长每月数据(2023年)'!$P:$P,'船长每月数据(2023年)'!$F:$F,$AW$2,'船长每月数据(2023年)'!$E:$E,$C:$C)</f>
        <v>0</v>
      </c>
      <c r="AX27" s="21">
        <f>IFERROR(AW27/SUMIF('船长每月数据(2023年)'!$E:$E,$C:$C,'船长每月数据(2023年)'!$P:$P),0)</f>
        <v>0</v>
      </c>
      <c r="AY27" s="38">
        <f>SUMIFS('船长每月数据(2023年)'!$R:$R,'船长每月数据(2023年)'!$F:$F,$AY$2,'船长每月数据(2023年)'!$E:$E,$C:$C)</f>
        <v>0</v>
      </c>
      <c r="AZ27" s="21">
        <f>IFERROR(AY27/SUMIF('船长每月数据(2023年)'!$E:$E,$C:$C,'船长每月数据(2023年)'!$R:$R),0)</f>
        <v>0</v>
      </c>
      <c r="BA27" s="20">
        <f>SUMIFS('船长每月数据(2023年)'!$P:$P,'船长每月数据(2023年)'!$F:$F,$BA$2,'船长每月数据(2023年)'!$E:$E,$C:$C)</f>
        <v>0</v>
      </c>
      <c r="BB27" s="21">
        <f>IFERROR(BA27/SUMIF('船长每月数据(2023年)'!$E:$E,$C:$C,'船长每月数据(2023年)'!$P:$P),0)</f>
        <v>0</v>
      </c>
      <c r="BC27" s="38">
        <f>SUMIFS('船长每月数据(2023年)'!$R:$R,'船长每月数据(2023年)'!$F:$F,$BC$2,'船长每月数据(2023年)'!$E:$E,$C:$C)</f>
        <v>0</v>
      </c>
      <c r="BD27" s="21">
        <f>IFERROR(BC27/SUMIF('船长每月数据(2023年)'!$E:$E,$C:$C,'船长每月数据(2023年)'!$R:$R),0)</f>
        <v>0</v>
      </c>
      <c r="BE27" s="20">
        <f>SUMIFS('船长每月数据(2023年)'!$P:$P,'船长每月数据(2023年)'!$F:$F,$BE$2,'船长每月数据(2023年)'!$E:$E,$C:$C)</f>
        <v>0</v>
      </c>
      <c r="BF27" s="21">
        <f>IFERROR(BE27/SUMIF('船长每月数据(2023年)'!$E:$E,$C:$C,'船长每月数据(2023年)'!$P:$P),0)</f>
        <v>0</v>
      </c>
      <c r="BG27" s="38">
        <f>SUMIFS('船长每月数据(2023年)'!$R:$R,'船长每月数据(2023年)'!$F:$F,$BG$2,'船长每月数据(2023年)'!$E:$E,$C:$C)</f>
        <v>0</v>
      </c>
      <c r="BH27" s="21">
        <f>IFERROR(BG27/SUMIF('船长每月数据(2023年)'!$E:$E,$C:$C,'船长每月数据(2023年)'!$R:$R),0)</f>
        <v>0</v>
      </c>
      <c r="BI27" s="20">
        <f>SUMIFS('船长每月数据(2023年)'!$P:$P,'船长每月数据(2023年)'!$F:$F,$BI$2,'船长每月数据(2023年)'!$E:$E,$C:$C)</f>
        <v>0</v>
      </c>
      <c r="BJ27" s="21">
        <f>IFERROR(BI27/SUMIF('船长每月数据(2023年)'!$E:$E,$C:$C,'船长每月数据(2023年)'!$P:$P),0)</f>
        <v>0</v>
      </c>
      <c r="BK27" s="38">
        <f>SUMIFS('船长每月数据(2023年)'!$R:$R,'船长每月数据(2023年)'!$F:$F,$BK$2,'船长每月数据(2023年)'!$E:$E,$C:$C)</f>
        <v>0</v>
      </c>
      <c r="BL27" s="21">
        <f>IFERROR(BK27/SUMIF('船长每月数据(2023年)'!$E:$E,$C:$C,'船长每月数据(2023年)'!$R:$R),0)</f>
        <v>0</v>
      </c>
      <c r="BM27" s="20">
        <f>SUMIFS('船长每月数据(2023年)'!$P:$P,'船长每月数据(2023年)'!$F:$F,$BM$2,'船长每月数据(2023年)'!$E:$E,$C:$C)</f>
        <v>0</v>
      </c>
      <c r="BN27" s="21">
        <f>IFERROR(BM27/SUMIF('船长每月数据(2023年)'!$E:$E,$C:$C,'船长每月数据(2023年)'!$P:$P),0)</f>
        <v>0</v>
      </c>
      <c r="BO27" s="38">
        <f>SUMIFS('船长每月数据(2023年)'!$R:$R,'船长每月数据(2023年)'!$F:$F,$BO$2,'船长每月数据(2023年)'!$E:$E,$C:$C)</f>
        <v>0</v>
      </c>
      <c r="BP27" s="21">
        <f>IFERROR(BO27/SUMIF('船长每月数据(2023年)'!$E:$E,$C:$C,'船长每月数据(2023年)'!$R:$R),0)</f>
        <v>0</v>
      </c>
      <c r="BQ27" s="20">
        <f>SUMIFS('船长每月数据(2023年)'!$P:$P,'船长每月数据(2023年)'!$F:$F,$BQ$2,'船长每月数据(2023年)'!$E:$E,$C:$C)</f>
        <v>0</v>
      </c>
      <c r="BR27" s="21">
        <f>IFERROR(BQ27/SUMIF('船长每月数据(2023年)'!$E:$E,$C:$C,'船长每月数据(2023年)'!$P:$P),0)</f>
        <v>0</v>
      </c>
      <c r="BS27" s="38">
        <f>SUMIFS('船长每月数据(2023年)'!$R:$R,'船长每月数据(2023年)'!$F:$F,$BS$2,'船长每月数据(2023年)'!$E:$E,$C:$C)</f>
        <v>0</v>
      </c>
      <c r="BT27" s="21">
        <f>IFERROR(BS27/SUMIF('船长每月数据(2023年)'!$E:$E,$C:$C,'船长每月数据(2023年)'!$R:$R),0)</f>
        <v>0</v>
      </c>
      <c r="BU27" s="20">
        <f>SUMIFS('船长每月数据(2023年)'!$P:$P,'船长每月数据(2023年)'!$F:$F,$BU$2,'船长每月数据(2023年)'!$E:$E,$C:$C)</f>
        <v>0</v>
      </c>
      <c r="BV27" s="21">
        <f>IFERROR(BU27/SUMIF('船长每月数据(2023年)'!$E:$E,$C:$C,'船长每月数据(2023年)'!$P:$P),0)</f>
        <v>0</v>
      </c>
      <c r="BW27" s="38">
        <f>SUMIFS('船长每月数据(2023年)'!$R:$R,'船长每月数据(2023年)'!$F:$F,$BW$2,'船长每月数据(2023年)'!$E:$E,$C:$C)</f>
        <v>0</v>
      </c>
      <c r="BX27" s="21">
        <f>IFERROR(BW27/SUMIF('船长每月数据(2023年)'!$E:$E,$C:$C,'船长每月数据(2023年)'!$R:$R),0)</f>
        <v>0</v>
      </c>
    </row>
    <row r="28" ht="23" customHeight="1" spans="1:76">
      <c r="A28" s="36"/>
      <c r="B28" s="36"/>
      <c r="C28" s="20"/>
      <c r="D28" s="74"/>
      <c r="E28" s="20">
        <f>SUMIFS('船长每月数据(2022年)'!$P:$P,'船长每月数据(2022年)'!$F:$F,$E$2,'船长每月数据(2022年)'!E:E,C:C)</f>
        <v>0</v>
      </c>
      <c r="F28" s="85">
        <f>SUMIFS('船长每月数据(2022年)'!$R:$R,'船长每月数据(2022年)'!$F:$F,$F$2,'船长每月数据(2022年)'!E:E,C:C)</f>
        <v>0</v>
      </c>
      <c r="G28" s="20">
        <f>SUMIFS('船长每月数据(2022年)'!$P:$P,'船长每月数据(2022年)'!$F:$F,$G$2,'船长每月数据(2022年)'!$E:$E,$C:$C)</f>
        <v>0</v>
      </c>
      <c r="H28" s="85">
        <f>SUMIFS('船长每月数据(2022年)'!$R:$R,'船长每月数据(2022年)'!$F:$F,$H$2,'船长每月数据(2022年)'!$E:$E,$C:$C)</f>
        <v>0</v>
      </c>
      <c r="I28" s="20">
        <f>SUMIFS('船长每月数据(2022年)'!$P:$P,'船长每月数据(2022年)'!$F:$F,$I$2,'船长每月数据(2022年)'!$E:$E,$C:$C)</f>
        <v>0</v>
      </c>
      <c r="J28" s="85">
        <f>SUMIFS('船长每月数据(2022年)'!$R:$R,'船长每月数据(2022年)'!$F:$F,$J$2,'船长每月数据(2022年)'!$E:$E,$C:$C)</f>
        <v>0</v>
      </c>
      <c r="K28" s="20">
        <f>SUMIFS('船长每月数据(2022年)'!$P:$P,'船长每月数据(2022年)'!$F:$F,$K$2,'船长每月数据(2022年)'!$E:$E,$C:$C)</f>
        <v>0</v>
      </c>
      <c r="L28" s="85">
        <f>SUMIFS('船长每月数据(2022年)'!$R:$R,'船长每月数据(2022年)'!$F:$F,$L$2,'船长每月数据(2022年)'!$E:$E,$C:$C)</f>
        <v>0</v>
      </c>
      <c r="M28" s="20">
        <f>SUMIFS('船长每月数据(2022年)'!$P:$P,'船长每月数据(2022年)'!$F:$F,$M$2,'船长每月数据(2022年)'!$E:$E,$C:$C)</f>
        <v>0</v>
      </c>
      <c r="N28" s="85">
        <f>SUMIFS('船长每月数据(2022年)'!$R:$R,'船长每月数据(2022年)'!$F:$F,$N$2,'船长每月数据(2022年)'!$E:$E,$C:$C)</f>
        <v>0</v>
      </c>
      <c r="O28" s="20">
        <f>SUMIFS('船长每月数据(2022年)'!$P:$P,'船长每月数据(2022年)'!$F:$F,$O$2,'船长每月数据(2022年)'!$E:$E,$C:$C)</f>
        <v>0</v>
      </c>
      <c r="P28" s="85">
        <f>SUMIFS('船长每月数据(2022年)'!$R:$R,'船长每月数据(2022年)'!$F:$F,$P$2,'船长每月数据(2022年)'!$E:$E,$C:$C)</f>
        <v>0</v>
      </c>
      <c r="Q28" s="20">
        <f>SUMIFS('船长每月数据(2022年)'!$P:$P,'船长每月数据(2022年)'!$F:$F,$Q$2,'船长每月数据(2022年)'!$E:$E,$C:$C)</f>
        <v>0</v>
      </c>
      <c r="R28" s="85">
        <f>SUMIFS('船长每月数据(2022年)'!$R:$R,'船长每月数据(2022年)'!$F:$F,$R$2,'船长每月数据(2022年)'!$E:$E,$C:$C)</f>
        <v>0</v>
      </c>
      <c r="S28" s="20">
        <f>SUMIFS('船长每月数据(2022年)'!$P:$P,'船长每月数据(2022年)'!$F:$F,$S$2,'船长每月数据(2022年)'!$E:$E,$C:$C)</f>
        <v>0</v>
      </c>
      <c r="T28" s="85">
        <f>SUMIFS('船长每月数据(2022年)'!$R:$R,'船长每月数据(2022年)'!$F:$F,$T$2,'船长每月数据(2022年)'!$E:$E,$C:$C)</f>
        <v>0</v>
      </c>
      <c r="U28" s="20">
        <f>SUMIFS('船长每月数据(2022年)'!$P:$P,'船长每月数据(2022年)'!$F:$F,$U$2,'船长每月数据(2022年)'!$E:$E,$C:$C)</f>
        <v>0</v>
      </c>
      <c r="V28" s="85">
        <f>SUMIFS('船长每月数据(2022年)'!$R:$R,'船长每月数据(2022年)'!$F:$F,$V$2,'船长每月数据(2022年)'!$E:$E,$C:$C)</f>
        <v>0</v>
      </c>
      <c r="W28" s="20">
        <f>SUMIFS('船长每月数据(2022年)'!$P:$P,'船长每月数据(2022年)'!$F:$F,$W$2,'船长每月数据(2022年)'!$E:$E,$C:$C)</f>
        <v>0</v>
      </c>
      <c r="X28" s="85">
        <f>SUMIFS('船长每月数据(2022年)'!$R:$R,'船长每月数据(2022年)'!$F:$F,$X$2,'船长每月数据(2022年)'!$E:$E,$C:$C)</f>
        <v>0</v>
      </c>
      <c r="Y28" s="20">
        <f>SUMIFS('船长每月数据(2022年)'!$P:$P,'船长每月数据(2022年)'!$F:$F,$Y$2,'船长每月数据(2022年)'!$E:$E,$C:$C)</f>
        <v>0</v>
      </c>
      <c r="Z28" s="85">
        <f>SUMIFS('船长每月数据(2022年)'!$R:$R,'船长每月数据(2022年)'!$F:$F,$Z$2,'船长每月数据(2022年)'!$E:$E,$C:$C)</f>
        <v>0</v>
      </c>
      <c r="AA28" s="20">
        <f>SUMIFS('船长每月数据(2022年)'!$P:$P,'船长每月数据(2022年)'!$F:$F,$AA$2,'船长每月数据(2022年)'!$E:$E,$C:$C)</f>
        <v>0</v>
      </c>
      <c r="AB28" s="85">
        <f>SUMIFS('船长每月数据(2022年)'!$R:$R,'船长每月数据(2022年)'!$F:$F,$AB$2,'船长每月数据(2022年)'!$E:$E,$C:$C)</f>
        <v>0</v>
      </c>
      <c r="AC28" s="20">
        <f>SUMIFS('船长每月数据(2023年)'!P:P,'船长每月数据(2023年)'!F:F,$AC$2,'船长每月数据(2023年)'!E:E,C:C)</f>
        <v>0</v>
      </c>
      <c r="AD28" s="21">
        <f>IFERROR(AC28/SUMIF('船长每月数据(2023年)'!$E:$E,C:C,'船长每月数据(2023年)'!P:P),0)</f>
        <v>0</v>
      </c>
      <c r="AE28" s="38">
        <f>SUMIFS('船长每月数据(2023年)'!$R:$R,'船长每月数据(2023年)'!$F:$F,$AE$2,'船长每月数据(2023年)'!$E:$E,$C:$C)</f>
        <v>0</v>
      </c>
      <c r="AF28" s="21">
        <f>IFERROR(AE28/SUMIF('船长每月数据(2023年)'!E:E,C:C,'船长每月数据(2023年)'!R:R),0)</f>
        <v>0</v>
      </c>
      <c r="AG28" s="20">
        <f>SUMIFS('船长每月数据(2023年)'!P:P,'船长每月数据(2023年)'!F:F,$AG$2,'船长每月数据(2023年)'!E:E,C:C)</f>
        <v>0</v>
      </c>
      <c r="AH28" s="21">
        <f>IFERROR(AG28/SUMIF('船长每月数据(2023年)'!$E:$E,$C:$C,'船长每月数据(2023年)'!$P:$P),0)</f>
        <v>0</v>
      </c>
      <c r="AI28" s="38">
        <f>SUMIFS('船长每月数据(2023年)'!$R:$R,'船长每月数据(2023年)'!$F:$F,$AI$2,'船长每月数据(2023年)'!$E:$E,$C:$C)</f>
        <v>0</v>
      </c>
      <c r="AJ28" s="21">
        <f>IFERROR(AI28/SUMIF('船长每月数据(2023年)'!$E:$E,$C:$C,'船长每月数据(2023年)'!$R:$R),0)</f>
        <v>0</v>
      </c>
      <c r="AK28" s="20">
        <f>SUMIFS('船长每月数据(2023年)'!P:P,'船长每月数据(2023年)'!F:F,$AK$2,'船长每月数据(2023年)'!E:E,C:C)</f>
        <v>0</v>
      </c>
      <c r="AL28" s="21">
        <f>IFERROR(AK28/SUMIF('船长每月数据(2023年)'!$E:$E,$C:$C,'船长每月数据(2023年)'!$P:$P),0)</f>
        <v>0</v>
      </c>
      <c r="AM28" s="38">
        <f>SUMIFS('船长每月数据(2023年)'!$R:$R,'船长每月数据(2023年)'!$F:$F,$AM$2,'船长每月数据(2023年)'!$E:$E,$C:$C)</f>
        <v>0</v>
      </c>
      <c r="AN28" s="21">
        <f>IFERROR(AM28/SUMIF('船长每月数据(2023年)'!$E:$E,$C:$C,'船长每月数据(2023年)'!$R:$R),0)</f>
        <v>0</v>
      </c>
      <c r="AO28" s="20">
        <f>SUMIFS('船长每月数据(2023年)'!P:P,'船长每月数据(2023年)'!F:F,$AO$2,'船长每月数据(2023年)'!E:E,C:C)</f>
        <v>0</v>
      </c>
      <c r="AP28" s="21">
        <f>IFERROR(AO28/SUMIF('船长每月数据(2023年)'!$E:$E,$C:$C,'船长每月数据(2023年)'!$P:$P),0)</f>
        <v>0</v>
      </c>
      <c r="AQ28" s="38">
        <f>SUMIFS('船长每月数据(2023年)'!$R:$R,'船长每月数据(2023年)'!$F:$F,$AQ$2,'船长每月数据(2023年)'!$E:$E,$C:$C)</f>
        <v>0</v>
      </c>
      <c r="AR28" s="21">
        <f>IFERROR(AQ28/SUMIF('船长每月数据(2023年)'!$E:$E,$C:$C,'船长每月数据(2023年)'!$R:$R),0)</f>
        <v>0</v>
      </c>
      <c r="AS28" s="20">
        <f>SUMIFS('船长每月数据(2023年)'!$P:$P,'船长每月数据(2023年)'!$F:$F,$AS$2,'船长每月数据(2023年)'!$E:$E,$C:$C)</f>
        <v>0</v>
      </c>
      <c r="AT28" s="21">
        <f>IFERROR(AS28/SUMIF('船长每月数据(2023年)'!$E:$E,$C:$C,'船长每月数据(2023年)'!$P:$P),0)</f>
        <v>0</v>
      </c>
      <c r="AU28" s="38">
        <f>SUMIFS('船长每月数据(2023年)'!$R:$R,'船长每月数据(2023年)'!$F:$F,$AU$2,'船长每月数据(2023年)'!$E:$E,$C:$C)</f>
        <v>0</v>
      </c>
      <c r="AV28" s="21">
        <f>IFERROR(AU28/SUMIF('船长每月数据(2023年)'!$E:$E,$C:$C,'船长每月数据(2023年)'!$R:$R),0)</f>
        <v>0</v>
      </c>
      <c r="AW28" s="20">
        <f>SUMIFS('船长每月数据(2023年)'!$P:$P,'船长每月数据(2023年)'!$F:$F,$AW$2,'船长每月数据(2023年)'!$E:$E,$C:$C)</f>
        <v>0</v>
      </c>
      <c r="AX28" s="21">
        <f>IFERROR(AW28/SUMIF('船长每月数据(2023年)'!$E:$E,$C:$C,'船长每月数据(2023年)'!$P:$P),0)</f>
        <v>0</v>
      </c>
      <c r="AY28" s="38">
        <f>SUMIFS('船长每月数据(2023年)'!$R:$R,'船长每月数据(2023年)'!$F:$F,$AY$2,'船长每月数据(2023年)'!$E:$E,$C:$C)</f>
        <v>0</v>
      </c>
      <c r="AZ28" s="21">
        <f>IFERROR(AY28/SUMIF('船长每月数据(2023年)'!$E:$E,$C:$C,'船长每月数据(2023年)'!$R:$R),0)</f>
        <v>0</v>
      </c>
      <c r="BA28" s="20">
        <f>SUMIFS('船长每月数据(2023年)'!$P:$P,'船长每月数据(2023年)'!$F:$F,$BA$2,'船长每月数据(2023年)'!$E:$E,$C:$C)</f>
        <v>0</v>
      </c>
      <c r="BB28" s="21">
        <f>IFERROR(BA28/SUMIF('船长每月数据(2023年)'!$E:$E,$C:$C,'船长每月数据(2023年)'!$P:$P),0)</f>
        <v>0</v>
      </c>
      <c r="BC28" s="38">
        <f>SUMIFS('船长每月数据(2023年)'!$R:$R,'船长每月数据(2023年)'!$F:$F,$BC$2,'船长每月数据(2023年)'!$E:$E,$C:$C)</f>
        <v>0</v>
      </c>
      <c r="BD28" s="21">
        <f>IFERROR(BC28/SUMIF('船长每月数据(2023年)'!$E:$E,$C:$C,'船长每月数据(2023年)'!$R:$R),0)</f>
        <v>0</v>
      </c>
      <c r="BE28" s="20">
        <f>SUMIFS('船长每月数据(2023年)'!$P:$P,'船长每月数据(2023年)'!$F:$F,$BE$2,'船长每月数据(2023年)'!$E:$E,$C:$C)</f>
        <v>0</v>
      </c>
      <c r="BF28" s="21">
        <f>IFERROR(BE28/SUMIF('船长每月数据(2023年)'!$E:$E,$C:$C,'船长每月数据(2023年)'!$P:$P),0)</f>
        <v>0</v>
      </c>
      <c r="BG28" s="38">
        <f>SUMIFS('船长每月数据(2023年)'!$R:$R,'船长每月数据(2023年)'!$F:$F,$BG$2,'船长每月数据(2023年)'!$E:$E,$C:$C)</f>
        <v>0</v>
      </c>
      <c r="BH28" s="21">
        <f>IFERROR(BG28/SUMIF('船长每月数据(2023年)'!$E:$E,$C:$C,'船长每月数据(2023年)'!$R:$R),0)</f>
        <v>0</v>
      </c>
      <c r="BI28" s="20">
        <f>SUMIFS('船长每月数据(2023年)'!$P:$P,'船长每月数据(2023年)'!$F:$F,$BI$2,'船长每月数据(2023年)'!$E:$E,$C:$C)</f>
        <v>0</v>
      </c>
      <c r="BJ28" s="21">
        <f>IFERROR(BI28/SUMIF('船长每月数据(2023年)'!$E:$E,$C:$C,'船长每月数据(2023年)'!$P:$P),0)</f>
        <v>0</v>
      </c>
      <c r="BK28" s="38">
        <f>SUMIFS('船长每月数据(2023年)'!$R:$R,'船长每月数据(2023年)'!$F:$F,$BK$2,'船长每月数据(2023年)'!$E:$E,$C:$C)</f>
        <v>0</v>
      </c>
      <c r="BL28" s="21">
        <f>IFERROR(BK28/SUMIF('船长每月数据(2023年)'!$E:$E,$C:$C,'船长每月数据(2023年)'!$R:$R),0)</f>
        <v>0</v>
      </c>
      <c r="BM28" s="20">
        <f>SUMIFS('船长每月数据(2023年)'!$P:$P,'船长每月数据(2023年)'!$F:$F,$BM$2,'船长每月数据(2023年)'!$E:$E,$C:$C)</f>
        <v>0</v>
      </c>
      <c r="BN28" s="21">
        <f>IFERROR(BM28/SUMIF('船长每月数据(2023年)'!$E:$E,$C:$C,'船长每月数据(2023年)'!$P:$P),0)</f>
        <v>0</v>
      </c>
      <c r="BO28" s="38">
        <f>SUMIFS('船长每月数据(2023年)'!$R:$R,'船长每月数据(2023年)'!$F:$F,$BO$2,'船长每月数据(2023年)'!$E:$E,$C:$C)</f>
        <v>0</v>
      </c>
      <c r="BP28" s="21">
        <f>IFERROR(BO28/SUMIF('船长每月数据(2023年)'!$E:$E,$C:$C,'船长每月数据(2023年)'!$R:$R),0)</f>
        <v>0</v>
      </c>
      <c r="BQ28" s="20">
        <f>SUMIFS('船长每月数据(2023年)'!$P:$P,'船长每月数据(2023年)'!$F:$F,$BQ$2,'船长每月数据(2023年)'!$E:$E,$C:$C)</f>
        <v>0</v>
      </c>
      <c r="BR28" s="21">
        <f>IFERROR(BQ28/SUMIF('船长每月数据(2023年)'!$E:$E,$C:$C,'船长每月数据(2023年)'!$P:$P),0)</f>
        <v>0</v>
      </c>
      <c r="BS28" s="38">
        <f>SUMIFS('船长每月数据(2023年)'!$R:$R,'船长每月数据(2023年)'!$F:$F,$BS$2,'船长每月数据(2023年)'!$E:$E,$C:$C)</f>
        <v>0</v>
      </c>
      <c r="BT28" s="21">
        <f>IFERROR(BS28/SUMIF('船长每月数据(2023年)'!$E:$E,$C:$C,'船长每月数据(2023年)'!$R:$R),0)</f>
        <v>0</v>
      </c>
      <c r="BU28" s="20">
        <f>SUMIFS('船长每月数据(2023年)'!$P:$P,'船长每月数据(2023年)'!$F:$F,$BU$2,'船长每月数据(2023年)'!$E:$E,$C:$C)</f>
        <v>0</v>
      </c>
      <c r="BV28" s="21">
        <f>IFERROR(BU28/SUMIF('船长每月数据(2023年)'!$E:$E,$C:$C,'船长每月数据(2023年)'!$P:$P),0)</f>
        <v>0</v>
      </c>
      <c r="BW28" s="38">
        <f>SUMIFS('船长每月数据(2023年)'!$R:$R,'船长每月数据(2023年)'!$F:$F,$BW$2,'船长每月数据(2023年)'!$E:$E,$C:$C)</f>
        <v>0</v>
      </c>
      <c r="BX28" s="21">
        <f>IFERROR(BW28/SUMIF('船长每月数据(2023年)'!$E:$E,$C:$C,'船长每月数据(2023年)'!$R:$R),0)</f>
        <v>0</v>
      </c>
    </row>
    <row r="29" ht="23" customHeight="1" spans="1:76">
      <c r="A29" s="36"/>
      <c r="B29" s="36"/>
      <c r="C29" s="20"/>
      <c r="D29" s="74"/>
      <c r="E29" s="20">
        <f>SUMIFS('船长每月数据(2022年)'!$P:$P,'船长每月数据(2022年)'!$F:$F,$E$2,'船长每月数据(2022年)'!E:E,C:C)</f>
        <v>0</v>
      </c>
      <c r="F29" s="85">
        <f>SUMIFS('船长每月数据(2022年)'!$R:$R,'船长每月数据(2022年)'!$F:$F,$F$2,'船长每月数据(2022年)'!E:E,C:C)</f>
        <v>0</v>
      </c>
      <c r="G29" s="20">
        <f>SUMIFS('船长每月数据(2022年)'!$P:$P,'船长每月数据(2022年)'!$F:$F,$G$2,'船长每月数据(2022年)'!$E:$E,$C:$C)</f>
        <v>0</v>
      </c>
      <c r="H29" s="85">
        <f>SUMIFS('船长每月数据(2022年)'!$R:$R,'船长每月数据(2022年)'!$F:$F,$H$2,'船长每月数据(2022年)'!$E:$E,$C:$C)</f>
        <v>0</v>
      </c>
      <c r="I29" s="20">
        <f>SUMIFS('船长每月数据(2022年)'!$P:$P,'船长每月数据(2022年)'!$F:$F,$I$2,'船长每月数据(2022年)'!$E:$E,$C:$C)</f>
        <v>0</v>
      </c>
      <c r="J29" s="85">
        <f>SUMIFS('船长每月数据(2022年)'!$R:$R,'船长每月数据(2022年)'!$F:$F,$J$2,'船长每月数据(2022年)'!$E:$E,$C:$C)</f>
        <v>0</v>
      </c>
      <c r="K29" s="20">
        <f>SUMIFS('船长每月数据(2022年)'!$P:$P,'船长每月数据(2022年)'!$F:$F,$K$2,'船长每月数据(2022年)'!$E:$E,$C:$C)</f>
        <v>0</v>
      </c>
      <c r="L29" s="85">
        <f>SUMIFS('船长每月数据(2022年)'!$R:$R,'船长每月数据(2022年)'!$F:$F,$L$2,'船长每月数据(2022年)'!$E:$E,$C:$C)</f>
        <v>0</v>
      </c>
      <c r="M29" s="20">
        <f>SUMIFS('船长每月数据(2022年)'!$P:$P,'船长每月数据(2022年)'!$F:$F,$M$2,'船长每月数据(2022年)'!$E:$E,$C:$C)</f>
        <v>0</v>
      </c>
      <c r="N29" s="85">
        <f>SUMIFS('船长每月数据(2022年)'!$R:$R,'船长每月数据(2022年)'!$F:$F,$N$2,'船长每月数据(2022年)'!$E:$E,$C:$C)</f>
        <v>0</v>
      </c>
      <c r="O29" s="20">
        <f>SUMIFS('船长每月数据(2022年)'!$P:$P,'船长每月数据(2022年)'!$F:$F,$O$2,'船长每月数据(2022年)'!$E:$E,$C:$C)</f>
        <v>0</v>
      </c>
      <c r="P29" s="85">
        <f>SUMIFS('船长每月数据(2022年)'!$R:$R,'船长每月数据(2022年)'!$F:$F,$P$2,'船长每月数据(2022年)'!$E:$E,$C:$C)</f>
        <v>0</v>
      </c>
      <c r="Q29" s="20">
        <f>SUMIFS('船长每月数据(2022年)'!$P:$P,'船长每月数据(2022年)'!$F:$F,$Q$2,'船长每月数据(2022年)'!$E:$E,$C:$C)</f>
        <v>0</v>
      </c>
      <c r="R29" s="85">
        <f>SUMIFS('船长每月数据(2022年)'!$R:$R,'船长每月数据(2022年)'!$F:$F,$R$2,'船长每月数据(2022年)'!$E:$E,$C:$C)</f>
        <v>0</v>
      </c>
      <c r="S29" s="20">
        <f>SUMIFS('船长每月数据(2022年)'!$P:$P,'船长每月数据(2022年)'!$F:$F,$S$2,'船长每月数据(2022年)'!$E:$E,$C:$C)</f>
        <v>0</v>
      </c>
      <c r="T29" s="85">
        <f>SUMIFS('船长每月数据(2022年)'!$R:$R,'船长每月数据(2022年)'!$F:$F,$T$2,'船长每月数据(2022年)'!$E:$E,$C:$C)</f>
        <v>0</v>
      </c>
      <c r="U29" s="20">
        <f>SUMIFS('船长每月数据(2022年)'!$P:$P,'船长每月数据(2022年)'!$F:$F,$U$2,'船长每月数据(2022年)'!$E:$E,$C:$C)</f>
        <v>0</v>
      </c>
      <c r="V29" s="85">
        <f>SUMIFS('船长每月数据(2022年)'!$R:$R,'船长每月数据(2022年)'!$F:$F,$V$2,'船长每月数据(2022年)'!$E:$E,$C:$C)</f>
        <v>0</v>
      </c>
      <c r="W29" s="20">
        <f>SUMIFS('船长每月数据(2022年)'!$P:$P,'船长每月数据(2022年)'!$F:$F,$W$2,'船长每月数据(2022年)'!$E:$E,$C:$C)</f>
        <v>0</v>
      </c>
      <c r="X29" s="85">
        <f>SUMIFS('船长每月数据(2022年)'!$R:$R,'船长每月数据(2022年)'!$F:$F,$X$2,'船长每月数据(2022年)'!$E:$E,$C:$C)</f>
        <v>0</v>
      </c>
      <c r="Y29" s="20">
        <f>SUMIFS('船长每月数据(2022年)'!$P:$P,'船长每月数据(2022年)'!$F:$F,$Y$2,'船长每月数据(2022年)'!$E:$E,$C:$C)</f>
        <v>0</v>
      </c>
      <c r="Z29" s="85">
        <f>SUMIFS('船长每月数据(2022年)'!$R:$R,'船长每月数据(2022年)'!$F:$F,$Z$2,'船长每月数据(2022年)'!$E:$E,$C:$C)</f>
        <v>0</v>
      </c>
      <c r="AA29" s="20">
        <f>SUMIFS('船长每月数据(2022年)'!$P:$P,'船长每月数据(2022年)'!$F:$F,$AA$2,'船长每月数据(2022年)'!$E:$E,$C:$C)</f>
        <v>0</v>
      </c>
      <c r="AB29" s="85">
        <f>SUMIFS('船长每月数据(2022年)'!$R:$R,'船长每月数据(2022年)'!$F:$F,$AB$2,'船长每月数据(2022年)'!$E:$E,$C:$C)</f>
        <v>0</v>
      </c>
      <c r="AC29" s="20">
        <f>SUMIFS('船长每月数据(2023年)'!P:P,'船长每月数据(2023年)'!F:F,$AC$2,'船长每月数据(2023年)'!E:E,C:C)</f>
        <v>0</v>
      </c>
      <c r="AD29" s="21">
        <f>IFERROR(AC29/SUMIF('船长每月数据(2023年)'!$E:$E,C:C,'船长每月数据(2023年)'!P:P),0)</f>
        <v>0</v>
      </c>
      <c r="AE29" s="38">
        <f>SUMIFS('船长每月数据(2023年)'!$R:$R,'船长每月数据(2023年)'!$F:$F,$AE$2,'船长每月数据(2023年)'!$E:$E,$C:$C)</f>
        <v>0</v>
      </c>
      <c r="AF29" s="21">
        <f>IFERROR(AE29/SUMIF('船长每月数据(2023年)'!E:E,C:C,'船长每月数据(2023年)'!R:R),0)</f>
        <v>0</v>
      </c>
      <c r="AG29" s="20">
        <f>SUMIFS('船长每月数据(2023年)'!P:P,'船长每月数据(2023年)'!F:F,$AG$2,'船长每月数据(2023年)'!E:E,C:C)</f>
        <v>0</v>
      </c>
      <c r="AH29" s="21">
        <f>IFERROR(AG29/SUMIF('船长每月数据(2023年)'!$E:$E,$C:$C,'船长每月数据(2023年)'!$P:$P),0)</f>
        <v>0</v>
      </c>
      <c r="AI29" s="38">
        <f>SUMIFS('船长每月数据(2023年)'!$R:$R,'船长每月数据(2023年)'!$F:$F,$AI$2,'船长每月数据(2023年)'!$E:$E,$C:$C)</f>
        <v>0</v>
      </c>
      <c r="AJ29" s="21">
        <f>IFERROR(AI29/SUMIF('船长每月数据(2023年)'!$E:$E,$C:$C,'船长每月数据(2023年)'!$R:$R),0)</f>
        <v>0</v>
      </c>
      <c r="AK29" s="20">
        <f>SUMIFS('船长每月数据(2023年)'!P:P,'船长每月数据(2023年)'!F:F,$AK$2,'船长每月数据(2023年)'!E:E,C:C)</f>
        <v>0</v>
      </c>
      <c r="AL29" s="21">
        <f>IFERROR(AK29/SUMIF('船长每月数据(2023年)'!$E:$E,$C:$C,'船长每月数据(2023年)'!$P:$P),0)</f>
        <v>0</v>
      </c>
      <c r="AM29" s="38">
        <f>SUMIFS('船长每月数据(2023年)'!$R:$R,'船长每月数据(2023年)'!$F:$F,$AM$2,'船长每月数据(2023年)'!$E:$E,$C:$C)</f>
        <v>0</v>
      </c>
      <c r="AN29" s="21">
        <f>IFERROR(AM29/SUMIF('船长每月数据(2023年)'!$E:$E,$C:$C,'船长每月数据(2023年)'!$R:$R),0)</f>
        <v>0</v>
      </c>
      <c r="AO29" s="20">
        <f>SUMIFS('船长每月数据(2023年)'!P:P,'船长每月数据(2023年)'!F:F,$AO$2,'船长每月数据(2023年)'!E:E,C:C)</f>
        <v>0</v>
      </c>
      <c r="AP29" s="21">
        <f>IFERROR(AO29/SUMIF('船长每月数据(2023年)'!$E:$E,$C:$C,'船长每月数据(2023年)'!$P:$P),0)</f>
        <v>0</v>
      </c>
      <c r="AQ29" s="38">
        <f>SUMIFS('船长每月数据(2023年)'!$R:$R,'船长每月数据(2023年)'!$F:$F,$AQ$2,'船长每月数据(2023年)'!$E:$E,$C:$C)</f>
        <v>0</v>
      </c>
      <c r="AR29" s="21">
        <f>IFERROR(AQ29/SUMIF('船长每月数据(2023年)'!$E:$E,$C:$C,'船长每月数据(2023年)'!$R:$R),0)</f>
        <v>0</v>
      </c>
      <c r="AS29" s="20">
        <f>SUMIFS('船长每月数据(2023年)'!$P:$P,'船长每月数据(2023年)'!$F:$F,$AS$2,'船长每月数据(2023年)'!$E:$E,$C:$C)</f>
        <v>0</v>
      </c>
      <c r="AT29" s="21">
        <f>IFERROR(AS29/SUMIF('船长每月数据(2023年)'!$E:$E,$C:$C,'船长每月数据(2023年)'!$P:$P),0)</f>
        <v>0</v>
      </c>
      <c r="AU29" s="38">
        <f>SUMIFS('船长每月数据(2023年)'!$R:$R,'船长每月数据(2023年)'!$F:$F,$AU$2,'船长每月数据(2023年)'!$E:$E,$C:$C)</f>
        <v>0</v>
      </c>
      <c r="AV29" s="21">
        <f>IFERROR(AU29/SUMIF('船长每月数据(2023年)'!$E:$E,$C:$C,'船长每月数据(2023年)'!$R:$R),0)</f>
        <v>0</v>
      </c>
      <c r="AW29" s="20">
        <f>SUMIFS('船长每月数据(2023年)'!$P:$P,'船长每月数据(2023年)'!$F:$F,$AW$2,'船长每月数据(2023年)'!$E:$E,$C:$C)</f>
        <v>0</v>
      </c>
      <c r="AX29" s="21">
        <f>IFERROR(AW29/SUMIF('船长每月数据(2023年)'!$E:$E,$C:$C,'船长每月数据(2023年)'!$P:$P),0)</f>
        <v>0</v>
      </c>
      <c r="AY29" s="38">
        <f>SUMIFS('船长每月数据(2023年)'!$R:$R,'船长每月数据(2023年)'!$F:$F,$AY$2,'船长每月数据(2023年)'!$E:$E,$C:$C)</f>
        <v>0</v>
      </c>
      <c r="AZ29" s="21">
        <f>IFERROR(AY29/SUMIF('船长每月数据(2023年)'!$E:$E,$C:$C,'船长每月数据(2023年)'!$R:$R),0)</f>
        <v>0</v>
      </c>
      <c r="BA29" s="20">
        <f>SUMIFS('船长每月数据(2023年)'!$P:$P,'船长每月数据(2023年)'!$F:$F,$BA$2,'船长每月数据(2023年)'!$E:$E,$C:$C)</f>
        <v>0</v>
      </c>
      <c r="BB29" s="21">
        <f>IFERROR(BA29/SUMIF('船长每月数据(2023年)'!$E:$E,$C:$C,'船长每月数据(2023年)'!$P:$P),0)</f>
        <v>0</v>
      </c>
      <c r="BC29" s="38">
        <f>SUMIFS('船长每月数据(2023年)'!$R:$R,'船长每月数据(2023年)'!$F:$F,$BC$2,'船长每月数据(2023年)'!$E:$E,$C:$C)</f>
        <v>0</v>
      </c>
      <c r="BD29" s="21">
        <f>IFERROR(BC29/SUMIF('船长每月数据(2023年)'!$E:$E,$C:$C,'船长每月数据(2023年)'!$R:$R),0)</f>
        <v>0</v>
      </c>
      <c r="BE29" s="20">
        <f>SUMIFS('船长每月数据(2023年)'!$P:$P,'船长每月数据(2023年)'!$F:$F,$BE$2,'船长每月数据(2023年)'!$E:$E,$C:$C)</f>
        <v>0</v>
      </c>
      <c r="BF29" s="21">
        <f>IFERROR(BE29/SUMIF('船长每月数据(2023年)'!$E:$E,$C:$C,'船长每月数据(2023年)'!$P:$P),0)</f>
        <v>0</v>
      </c>
      <c r="BG29" s="38">
        <f>SUMIFS('船长每月数据(2023年)'!$R:$R,'船长每月数据(2023年)'!$F:$F,$BG$2,'船长每月数据(2023年)'!$E:$E,$C:$C)</f>
        <v>0</v>
      </c>
      <c r="BH29" s="21">
        <f>IFERROR(BG29/SUMIF('船长每月数据(2023年)'!$E:$E,$C:$C,'船长每月数据(2023年)'!$R:$R),0)</f>
        <v>0</v>
      </c>
      <c r="BI29" s="20">
        <f>SUMIFS('船长每月数据(2023年)'!$P:$P,'船长每月数据(2023年)'!$F:$F,$BI$2,'船长每月数据(2023年)'!$E:$E,$C:$C)</f>
        <v>0</v>
      </c>
      <c r="BJ29" s="21">
        <f>IFERROR(BI29/SUMIF('船长每月数据(2023年)'!$E:$E,$C:$C,'船长每月数据(2023年)'!$P:$P),0)</f>
        <v>0</v>
      </c>
      <c r="BK29" s="38">
        <f>SUMIFS('船长每月数据(2023年)'!$R:$R,'船长每月数据(2023年)'!$F:$F,$BK$2,'船长每月数据(2023年)'!$E:$E,$C:$C)</f>
        <v>0</v>
      </c>
      <c r="BL29" s="21">
        <f>IFERROR(BK29/SUMIF('船长每月数据(2023年)'!$E:$E,$C:$C,'船长每月数据(2023年)'!$R:$R),0)</f>
        <v>0</v>
      </c>
      <c r="BM29" s="20">
        <f>SUMIFS('船长每月数据(2023年)'!$P:$P,'船长每月数据(2023年)'!$F:$F,$BM$2,'船长每月数据(2023年)'!$E:$E,$C:$C)</f>
        <v>0</v>
      </c>
      <c r="BN29" s="21">
        <f>IFERROR(BM29/SUMIF('船长每月数据(2023年)'!$E:$E,$C:$C,'船长每月数据(2023年)'!$P:$P),0)</f>
        <v>0</v>
      </c>
      <c r="BO29" s="38">
        <f>SUMIFS('船长每月数据(2023年)'!$R:$R,'船长每月数据(2023年)'!$F:$F,$BO$2,'船长每月数据(2023年)'!$E:$E,$C:$C)</f>
        <v>0</v>
      </c>
      <c r="BP29" s="21">
        <f>IFERROR(BO29/SUMIF('船长每月数据(2023年)'!$E:$E,$C:$C,'船长每月数据(2023年)'!$R:$R),0)</f>
        <v>0</v>
      </c>
      <c r="BQ29" s="20">
        <f>SUMIFS('船长每月数据(2023年)'!$P:$P,'船长每月数据(2023年)'!$F:$F,$BQ$2,'船长每月数据(2023年)'!$E:$E,$C:$C)</f>
        <v>0</v>
      </c>
      <c r="BR29" s="21">
        <f>IFERROR(BQ29/SUMIF('船长每月数据(2023年)'!$E:$E,$C:$C,'船长每月数据(2023年)'!$P:$P),0)</f>
        <v>0</v>
      </c>
      <c r="BS29" s="38">
        <f>SUMIFS('船长每月数据(2023年)'!$R:$R,'船长每月数据(2023年)'!$F:$F,$BS$2,'船长每月数据(2023年)'!$E:$E,$C:$C)</f>
        <v>0</v>
      </c>
      <c r="BT29" s="21">
        <f>IFERROR(BS29/SUMIF('船长每月数据(2023年)'!$E:$E,$C:$C,'船长每月数据(2023年)'!$R:$R),0)</f>
        <v>0</v>
      </c>
      <c r="BU29" s="20">
        <f>SUMIFS('船长每月数据(2023年)'!$P:$P,'船长每月数据(2023年)'!$F:$F,$BU$2,'船长每月数据(2023年)'!$E:$E,$C:$C)</f>
        <v>0</v>
      </c>
      <c r="BV29" s="21">
        <f>IFERROR(BU29/SUMIF('船长每月数据(2023年)'!$E:$E,$C:$C,'船长每月数据(2023年)'!$P:$P),0)</f>
        <v>0</v>
      </c>
      <c r="BW29" s="38">
        <f>SUMIFS('船长每月数据(2023年)'!$R:$R,'船长每月数据(2023年)'!$F:$F,$BW$2,'船长每月数据(2023年)'!$E:$E,$C:$C)</f>
        <v>0</v>
      </c>
      <c r="BX29" s="21">
        <f>IFERROR(BW29/SUMIF('船长每月数据(2023年)'!$E:$E,$C:$C,'船长每月数据(2023年)'!$R:$R),0)</f>
        <v>0</v>
      </c>
    </row>
    <row r="30" ht="23" customHeight="1" spans="1:76">
      <c r="A30" s="36"/>
      <c r="B30" s="36"/>
      <c r="C30" s="20"/>
      <c r="D30" s="74"/>
      <c r="E30" s="20">
        <f>SUMIFS('船长每月数据(2022年)'!$P:$P,'船长每月数据(2022年)'!$F:$F,$E$2,'船长每月数据(2022年)'!E:E,C:C)</f>
        <v>0</v>
      </c>
      <c r="F30" s="85">
        <f>SUMIFS('船长每月数据(2022年)'!$R:$R,'船长每月数据(2022年)'!$F:$F,$F$2,'船长每月数据(2022年)'!E:E,C:C)</f>
        <v>0</v>
      </c>
      <c r="G30" s="20">
        <f>SUMIFS('船长每月数据(2022年)'!$P:$P,'船长每月数据(2022年)'!$F:$F,$G$2,'船长每月数据(2022年)'!$E:$E,$C:$C)</f>
        <v>0</v>
      </c>
      <c r="H30" s="85">
        <f>SUMIFS('船长每月数据(2022年)'!$R:$R,'船长每月数据(2022年)'!$F:$F,$H$2,'船长每月数据(2022年)'!$E:$E,$C:$C)</f>
        <v>0</v>
      </c>
      <c r="I30" s="20">
        <f>SUMIFS('船长每月数据(2022年)'!$P:$P,'船长每月数据(2022年)'!$F:$F,$I$2,'船长每月数据(2022年)'!$E:$E,$C:$C)</f>
        <v>0</v>
      </c>
      <c r="J30" s="85">
        <f>SUMIFS('船长每月数据(2022年)'!$R:$R,'船长每月数据(2022年)'!$F:$F,$J$2,'船长每月数据(2022年)'!$E:$E,$C:$C)</f>
        <v>0</v>
      </c>
      <c r="K30" s="20">
        <f>SUMIFS('船长每月数据(2022年)'!$P:$P,'船长每月数据(2022年)'!$F:$F,$K$2,'船长每月数据(2022年)'!$E:$E,$C:$C)</f>
        <v>0</v>
      </c>
      <c r="L30" s="85">
        <f>SUMIFS('船长每月数据(2022年)'!$R:$R,'船长每月数据(2022年)'!$F:$F,$L$2,'船长每月数据(2022年)'!$E:$E,$C:$C)</f>
        <v>0</v>
      </c>
      <c r="M30" s="20">
        <f>SUMIFS('船长每月数据(2022年)'!$P:$P,'船长每月数据(2022年)'!$F:$F,$M$2,'船长每月数据(2022年)'!$E:$E,$C:$C)</f>
        <v>0</v>
      </c>
      <c r="N30" s="85">
        <f>SUMIFS('船长每月数据(2022年)'!$R:$R,'船长每月数据(2022年)'!$F:$F,$N$2,'船长每月数据(2022年)'!$E:$E,$C:$C)</f>
        <v>0</v>
      </c>
      <c r="O30" s="20">
        <f>SUMIFS('船长每月数据(2022年)'!$P:$P,'船长每月数据(2022年)'!$F:$F,$O$2,'船长每月数据(2022年)'!$E:$E,$C:$C)</f>
        <v>0</v>
      </c>
      <c r="P30" s="85">
        <f>SUMIFS('船长每月数据(2022年)'!$R:$R,'船长每月数据(2022年)'!$F:$F,$P$2,'船长每月数据(2022年)'!$E:$E,$C:$C)</f>
        <v>0</v>
      </c>
      <c r="Q30" s="20">
        <f>SUMIFS('船长每月数据(2022年)'!$P:$P,'船长每月数据(2022年)'!$F:$F,$Q$2,'船长每月数据(2022年)'!$E:$E,$C:$C)</f>
        <v>0</v>
      </c>
      <c r="R30" s="85">
        <f>SUMIFS('船长每月数据(2022年)'!$R:$R,'船长每月数据(2022年)'!$F:$F,$R$2,'船长每月数据(2022年)'!$E:$E,$C:$C)</f>
        <v>0</v>
      </c>
      <c r="S30" s="20">
        <f>SUMIFS('船长每月数据(2022年)'!$P:$P,'船长每月数据(2022年)'!$F:$F,$S$2,'船长每月数据(2022年)'!$E:$E,$C:$C)</f>
        <v>0</v>
      </c>
      <c r="T30" s="85">
        <f>SUMIFS('船长每月数据(2022年)'!$R:$R,'船长每月数据(2022年)'!$F:$F,$T$2,'船长每月数据(2022年)'!$E:$E,$C:$C)</f>
        <v>0</v>
      </c>
      <c r="U30" s="20">
        <f>SUMIFS('船长每月数据(2022年)'!$P:$P,'船长每月数据(2022年)'!$F:$F,$U$2,'船长每月数据(2022年)'!$E:$E,$C:$C)</f>
        <v>0</v>
      </c>
      <c r="V30" s="85">
        <f>SUMIFS('船长每月数据(2022年)'!$R:$R,'船长每月数据(2022年)'!$F:$F,$V$2,'船长每月数据(2022年)'!$E:$E,$C:$C)</f>
        <v>0</v>
      </c>
      <c r="W30" s="20">
        <f>SUMIFS('船长每月数据(2022年)'!$P:$P,'船长每月数据(2022年)'!$F:$F,$W$2,'船长每月数据(2022年)'!$E:$E,$C:$C)</f>
        <v>0</v>
      </c>
      <c r="X30" s="85">
        <f>SUMIFS('船长每月数据(2022年)'!$R:$R,'船长每月数据(2022年)'!$F:$F,$X$2,'船长每月数据(2022年)'!$E:$E,$C:$C)</f>
        <v>0</v>
      </c>
      <c r="Y30" s="20">
        <f>SUMIFS('船长每月数据(2022年)'!$P:$P,'船长每月数据(2022年)'!$F:$F,$Y$2,'船长每月数据(2022年)'!$E:$E,$C:$C)</f>
        <v>0</v>
      </c>
      <c r="Z30" s="85">
        <f>SUMIFS('船长每月数据(2022年)'!$R:$R,'船长每月数据(2022年)'!$F:$F,$Z$2,'船长每月数据(2022年)'!$E:$E,$C:$C)</f>
        <v>0</v>
      </c>
      <c r="AA30" s="20">
        <f>SUMIFS('船长每月数据(2022年)'!$P:$P,'船长每月数据(2022年)'!$F:$F,$AA$2,'船长每月数据(2022年)'!$E:$E,$C:$C)</f>
        <v>0</v>
      </c>
      <c r="AB30" s="85">
        <f>SUMIFS('船长每月数据(2022年)'!$R:$R,'船长每月数据(2022年)'!$F:$F,$AB$2,'船长每月数据(2022年)'!$E:$E,$C:$C)</f>
        <v>0</v>
      </c>
      <c r="AC30" s="20">
        <f>SUMIFS('船长每月数据(2023年)'!P:P,'船长每月数据(2023年)'!F:F,$AC$2,'船长每月数据(2023年)'!E:E,C:C)</f>
        <v>0</v>
      </c>
      <c r="AD30" s="21">
        <f>IFERROR(AC30/SUMIF('船长每月数据(2023年)'!$E:$E,C:C,'船长每月数据(2023年)'!P:P),0)</f>
        <v>0</v>
      </c>
      <c r="AE30" s="38">
        <f>SUMIFS('船长每月数据(2023年)'!$R:$R,'船长每月数据(2023年)'!$F:$F,$AE$2,'船长每月数据(2023年)'!$E:$E,$C:$C)</f>
        <v>0</v>
      </c>
      <c r="AF30" s="21">
        <f>IFERROR(AE30/SUMIF('船长每月数据(2023年)'!E:E,C:C,'船长每月数据(2023年)'!R:R),0)</f>
        <v>0</v>
      </c>
      <c r="AG30" s="20">
        <f>SUMIFS('船长每月数据(2023年)'!P:P,'船长每月数据(2023年)'!F:F,$AG$2,'船长每月数据(2023年)'!E:E,C:C)</f>
        <v>0</v>
      </c>
      <c r="AH30" s="21">
        <f>IFERROR(AG30/SUMIF('船长每月数据(2023年)'!$E:$E,$C:$C,'船长每月数据(2023年)'!$P:$P),0)</f>
        <v>0</v>
      </c>
      <c r="AI30" s="38">
        <f>SUMIFS('船长每月数据(2023年)'!$R:$R,'船长每月数据(2023年)'!$F:$F,$AI$2,'船长每月数据(2023年)'!$E:$E,$C:$C)</f>
        <v>0</v>
      </c>
      <c r="AJ30" s="21">
        <f>IFERROR(AI30/SUMIF('船长每月数据(2023年)'!$E:$E,$C:$C,'船长每月数据(2023年)'!$R:$R),0)</f>
        <v>0</v>
      </c>
      <c r="AK30" s="20">
        <f>SUMIFS('船长每月数据(2023年)'!P:P,'船长每月数据(2023年)'!F:F,$AK$2,'船长每月数据(2023年)'!E:E,C:C)</f>
        <v>0</v>
      </c>
      <c r="AL30" s="21">
        <f>IFERROR(AK30/SUMIF('船长每月数据(2023年)'!$E:$E,$C:$C,'船长每月数据(2023年)'!$P:$P),0)</f>
        <v>0</v>
      </c>
      <c r="AM30" s="38">
        <f>SUMIFS('船长每月数据(2023年)'!$R:$R,'船长每月数据(2023年)'!$F:$F,$AM$2,'船长每月数据(2023年)'!$E:$E,$C:$C)</f>
        <v>0</v>
      </c>
      <c r="AN30" s="21">
        <f>IFERROR(AM30/SUMIF('船长每月数据(2023年)'!$E:$E,$C:$C,'船长每月数据(2023年)'!$R:$R),0)</f>
        <v>0</v>
      </c>
      <c r="AO30" s="20">
        <f>SUMIFS('船长每月数据(2023年)'!P:P,'船长每月数据(2023年)'!F:F,$AO$2,'船长每月数据(2023年)'!E:E,C:C)</f>
        <v>0</v>
      </c>
      <c r="AP30" s="21">
        <f>IFERROR(AO30/SUMIF('船长每月数据(2023年)'!$E:$E,$C:$C,'船长每月数据(2023年)'!$P:$P),0)</f>
        <v>0</v>
      </c>
      <c r="AQ30" s="38">
        <f>SUMIFS('船长每月数据(2023年)'!$R:$R,'船长每月数据(2023年)'!$F:$F,$AQ$2,'船长每月数据(2023年)'!$E:$E,$C:$C)</f>
        <v>0</v>
      </c>
      <c r="AR30" s="21">
        <f>IFERROR(AQ30/SUMIF('船长每月数据(2023年)'!$E:$E,$C:$C,'船长每月数据(2023年)'!$R:$R),0)</f>
        <v>0</v>
      </c>
      <c r="AS30" s="20">
        <f>SUMIFS('船长每月数据(2023年)'!$P:$P,'船长每月数据(2023年)'!$F:$F,$AS$2,'船长每月数据(2023年)'!$E:$E,$C:$C)</f>
        <v>0</v>
      </c>
      <c r="AT30" s="21">
        <f>IFERROR(AS30/SUMIF('船长每月数据(2023年)'!$E:$E,$C:$C,'船长每月数据(2023年)'!$P:$P),0)</f>
        <v>0</v>
      </c>
      <c r="AU30" s="38">
        <f>SUMIFS('船长每月数据(2023年)'!$R:$R,'船长每月数据(2023年)'!$F:$F,$AU$2,'船长每月数据(2023年)'!$E:$E,$C:$C)</f>
        <v>0</v>
      </c>
      <c r="AV30" s="21">
        <f>IFERROR(AU30/SUMIF('船长每月数据(2023年)'!$E:$E,$C:$C,'船长每月数据(2023年)'!$R:$R),0)</f>
        <v>0</v>
      </c>
      <c r="AW30" s="20">
        <f>SUMIFS('船长每月数据(2023年)'!$P:$P,'船长每月数据(2023年)'!$F:$F,$AW$2,'船长每月数据(2023年)'!$E:$E,$C:$C)</f>
        <v>0</v>
      </c>
      <c r="AX30" s="21">
        <f>IFERROR(AW30/SUMIF('船长每月数据(2023年)'!$E:$E,$C:$C,'船长每月数据(2023年)'!$P:$P),0)</f>
        <v>0</v>
      </c>
      <c r="AY30" s="38">
        <f>SUMIFS('船长每月数据(2023年)'!$R:$R,'船长每月数据(2023年)'!$F:$F,$AY$2,'船长每月数据(2023年)'!$E:$E,$C:$C)</f>
        <v>0</v>
      </c>
      <c r="AZ30" s="21">
        <f>IFERROR(AY30/SUMIF('船长每月数据(2023年)'!$E:$E,$C:$C,'船长每月数据(2023年)'!$R:$R),0)</f>
        <v>0</v>
      </c>
      <c r="BA30" s="20">
        <f>SUMIFS('船长每月数据(2023年)'!$P:$P,'船长每月数据(2023年)'!$F:$F,$BA$2,'船长每月数据(2023年)'!$E:$E,$C:$C)</f>
        <v>0</v>
      </c>
      <c r="BB30" s="21">
        <f>IFERROR(BA30/SUMIF('船长每月数据(2023年)'!$E:$E,$C:$C,'船长每月数据(2023年)'!$P:$P),0)</f>
        <v>0</v>
      </c>
      <c r="BC30" s="38">
        <f>SUMIFS('船长每月数据(2023年)'!$R:$R,'船长每月数据(2023年)'!$F:$F,$BC$2,'船长每月数据(2023年)'!$E:$E,$C:$C)</f>
        <v>0</v>
      </c>
      <c r="BD30" s="21">
        <f>IFERROR(BC30/SUMIF('船长每月数据(2023年)'!$E:$E,$C:$C,'船长每月数据(2023年)'!$R:$R),0)</f>
        <v>0</v>
      </c>
      <c r="BE30" s="20">
        <f>SUMIFS('船长每月数据(2023年)'!$P:$P,'船长每月数据(2023年)'!$F:$F,$BE$2,'船长每月数据(2023年)'!$E:$E,$C:$C)</f>
        <v>0</v>
      </c>
      <c r="BF30" s="21">
        <f>IFERROR(BE30/SUMIF('船长每月数据(2023年)'!$E:$E,$C:$C,'船长每月数据(2023年)'!$P:$P),0)</f>
        <v>0</v>
      </c>
      <c r="BG30" s="38">
        <f>SUMIFS('船长每月数据(2023年)'!$R:$R,'船长每月数据(2023年)'!$F:$F,$BG$2,'船长每月数据(2023年)'!$E:$E,$C:$C)</f>
        <v>0</v>
      </c>
      <c r="BH30" s="21">
        <f>IFERROR(BG30/SUMIF('船长每月数据(2023年)'!$E:$E,$C:$C,'船长每月数据(2023年)'!$R:$R),0)</f>
        <v>0</v>
      </c>
      <c r="BI30" s="20">
        <f>SUMIFS('船长每月数据(2023年)'!$P:$P,'船长每月数据(2023年)'!$F:$F,$BI$2,'船长每月数据(2023年)'!$E:$E,$C:$C)</f>
        <v>0</v>
      </c>
      <c r="BJ30" s="21">
        <f>IFERROR(BI30/SUMIF('船长每月数据(2023年)'!$E:$E,$C:$C,'船长每月数据(2023年)'!$P:$P),0)</f>
        <v>0</v>
      </c>
      <c r="BK30" s="38">
        <f>SUMIFS('船长每月数据(2023年)'!$R:$R,'船长每月数据(2023年)'!$F:$F,$BK$2,'船长每月数据(2023年)'!$E:$E,$C:$C)</f>
        <v>0</v>
      </c>
      <c r="BL30" s="21">
        <f>IFERROR(BK30/SUMIF('船长每月数据(2023年)'!$E:$E,$C:$C,'船长每月数据(2023年)'!$R:$R),0)</f>
        <v>0</v>
      </c>
      <c r="BM30" s="20">
        <f>SUMIFS('船长每月数据(2023年)'!$P:$P,'船长每月数据(2023年)'!$F:$F,$BM$2,'船长每月数据(2023年)'!$E:$E,$C:$C)</f>
        <v>0</v>
      </c>
      <c r="BN30" s="21">
        <f>IFERROR(BM30/SUMIF('船长每月数据(2023年)'!$E:$E,$C:$C,'船长每月数据(2023年)'!$P:$P),0)</f>
        <v>0</v>
      </c>
      <c r="BO30" s="38">
        <f>SUMIFS('船长每月数据(2023年)'!$R:$R,'船长每月数据(2023年)'!$F:$F,$BO$2,'船长每月数据(2023年)'!$E:$E,$C:$C)</f>
        <v>0</v>
      </c>
      <c r="BP30" s="21">
        <f>IFERROR(BO30/SUMIF('船长每月数据(2023年)'!$E:$E,$C:$C,'船长每月数据(2023年)'!$R:$R),0)</f>
        <v>0</v>
      </c>
      <c r="BQ30" s="20">
        <f>SUMIFS('船长每月数据(2023年)'!$P:$P,'船长每月数据(2023年)'!$F:$F,$BQ$2,'船长每月数据(2023年)'!$E:$E,$C:$C)</f>
        <v>0</v>
      </c>
      <c r="BR30" s="21">
        <f>IFERROR(BQ30/SUMIF('船长每月数据(2023年)'!$E:$E,$C:$C,'船长每月数据(2023年)'!$P:$P),0)</f>
        <v>0</v>
      </c>
      <c r="BS30" s="38">
        <f>SUMIFS('船长每月数据(2023年)'!$R:$R,'船长每月数据(2023年)'!$F:$F,$BS$2,'船长每月数据(2023年)'!$E:$E,$C:$C)</f>
        <v>0</v>
      </c>
      <c r="BT30" s="21">
        <f>IFERROR(BS30/SUMIF('船长每月数据(2023年)'!$E:$E,$C:$C,'船长每月数据(2023年)'!$R:$R),0)</f>
        <v>0</v>
      </c>
      <c r="BU30" s="20">
        <f>SUMIFS('船长每月数据(2023年)'!$P:$P,'船长每月数据(2023年)'!$F:$F,$BU$2,'船长每月数据(2023年)'!$E:$E,$C:$C)</f>
        <v>0</v>
      </c>
      <c r="BV30" s="21">
        <f>IFERROR(BU30/SUMIF('船长每月数据(2023年)'!$E:$E,$C:$C,'船长每月数据(2023年)'!$P:$P),0)</f>
        <v>0</v>
      </c>
      <c r="BW30" s="38">
        <f>SUMIFS('船长每月数据(2023年)'!$R:$R,'船长每月数据(2023年)'!$F:$F,$BW$2,'船长每月数据(2023年)'!$E:$E,$C:$C)</f>
        <v>0</v>
      </c>
      <c r="BX30" s="21">
        <f>IFERROR(BW30/SUMIF('船长每月数据(2023年)'!$E:$E,$C:$C,'船长每月数据(2023年)'!$R:$R),0)</f>
        <v>0</v>
      </c>
    </row>
    <row r="31" ht="23" customHeight="1" spans="1:76">
      <c r="A31" s="36"/>
      <c r="B31" s="36"/>
      <c r="C31" s="20"/>
      <c r="D31" s="74"/>
      <c r="E31" s="20">
        <f>SUMIFS('船长每月数据(2022年)'!$P:$P,'船长每月数据(2022年)'!$F:$F,$E$2,'船长每月数据(2022年)'!E:E,C:C)</f>
        <v>0</v>
      </c>
      <c r="F31" s="85">
        <f>SUMIFS('船长每月数据(2022年)'!$R:$R,'船长每月数据(2022年)'!$F:$F,$F$2,'船长每月数据(2022年)'!E:E,C:C)</f>
        <v>0</v>
      </c>
      <c r="G31" s="20">
        <f>SUMIFS('船长每月数据(2022年)'!$P:$P,'船长每月数据(2022年)'!$F:$F,$G$2,'船长每月数据(2022年)'!$E:$E,$C:$C)</f>
        <v>0</v>
      </c>
      <c r="H31" s="85">
        <f>SUMIFS('船长每月数据(2022年)'!$R:$R,'船长每月数据(2022年)'!$F:$F,$H$2,'船长每月数据(2022年)'!$E:$E,$C:$C)</f>
        <v>0</v>
      </c>
      <c r="I31" s="20">
        <f>SUMIFS('船长每月数据(2022年)'!$P:$P,'船长每月数据(2022年)'!$F:$F,$I$2,'船长每月数据(2022年)'!$E:$E,$C:$C)</f>
        <v>0</v>
      </c>
      <c r="J31" s="85">
        <f>SUMIFS('船长每月数据(2022年)'!$R:$R,'船长每月数据(2022年)'!$F:$F,$J$2,'船长每月数据(2022年)'!$E:$E,$C:$C)</f>
        <v>0</v>
      </c>
      <c r="K31" s="20">
        <f>SUMIFS('船长每月数据(2022年)'!$P:$P,'船长每月数据(2022年)'!$F:$F,$K$2,'船长每月数据(2022年)'!$E:$E,$C:$C)</f>
        <v>0</v>
      </c>
      <c r="L31" s="85">
        <f>SUMIFS('船长每月数据(2022年)'!$R:$R,'船长每月数据(2022年)'!$F:$F,$L$2,'船长每月数据(2022年)'!$E:$E,$C:$C)</f>
        <v>0</v>
      </c>
      <c r="M31" s="20">
        <f>SUMIFS('船长每月数据(2022年)'!$P:$P,'船长每月数据(2022年)'!$F:$F,$M$2,'船长每月数据(2022年)'!$E:$E,$C:$C)</f>
        <v>0</v>
      </c>
      <c r="N31" s="85">
        <f>SUMIFS('船长每月数据(2022年)'!$R:$R,'船长每月数据(2022年)'!$F:$F,$N$2,'船长每月数据(2022年)'!$E:$E,$C:$C)</f>
        <v>0</v>
      </c>
      <c r="O31" s="20">
        <f>SUMIFS('船长每月数据(2022年)'!$P:$P,'船长每月数据(2022年)'!$F:$F,$O$2,'船长每月数据(2022年)'!$E:$E,$C:$C)</f>
        <v>0</v>
      </c>
      <c r="P31" s="85">
        <f>SUMIFS('船长每月数据(2022年)'!$R:$R,'船长每月数据(2022年)'!$F:$F,$P$2,'船长每月数据(2022年)'!$E:$E,$C:$C)</f>
        <v>0</v>
      </c>
      <c r="Q31" s="20">
        <f>SUMIFS('船长每月数据(2022年)'!$P:$P,'船长每月数据(2022年)'!$F:$F,$Q$2,'船长每月数据(2022年)'!$E:$E,$C:$C)</f>
        <v>0</v>
      </c>
      <c r="R31" s="85">
        <f>SUMIFS('船长每月数据(2022年)'!$R:$R,'船长每月数据(2022年)'!$F:$F,$R$2,'船长每月数据(2022年)'!$E:$E,$C:$C)</f>
        <v>0</v>
      </c>
      <c r="S31" s="20">
        <f>SUMIFS('船长每月数据(2022年)'!$P:$P,'船长每月数据(2022年)'!$F:$F,$S$2,'船长每月数据(2022年)'!$E:$E,$C:$C)</f>
        <v>0</v>
      </c>
      <c r="T31" s="85">
        <f>SUMIFS('船长每月数据(2022年)'!$R:$R,'船长每月数据(2022年)'!$F:$F,$T$2,'船长每月数据(2022年)'!$E:$E,$C:$C)</f>
        <v>0</v>
      </c>
      <c r="U31" s="20">
        <f>SUMIFS('船长每月数据(2022年)'!$P:$P,'船长每月数据(2022年)'!$F:$F,$U$2,'船长每月数据(2022年)'!$E:$E,$C:$C)</f>
        <v>0</v>
      </c>
      <c r="V31" s="85">
        <f>SUMIFS('船长每月数据(2022年)'!$R:$R,'船长每月数据(2022年)'!$F:$F,$V$2,'船长每月数据(2022年)'!$E:$E,$C:$C)</f>
        <v>0</v>
      </c>
      <c r="W31" s="20">
        <f>SUMIFS('船长每月数据(2022年)'!$P:$P,'船长每月数据(2022年)'!$F:$F,$W$2,'船长每月数据(2022年)'!$E:$E,$C:$C)</f>
        <v>0</v>
      </c>
      <c r="X31" s="85">
        <f>SUMIFS('船长每月数据(2022年)'!$R:$R,'船长每月数据(2022年)'!$F:$F,$X$2,'船长每月数据(2022年)'!$E:$E,$C:$C)</f>
        <v>0</v>
      </c>
      <c r="Y31" s="20">
        <f>SUMIFS('船长每月数据(2022年)'!$P:$P,'船长每月数据(2022年)'!$F:$F,$Y$2,'船长每月数据(2022年)'!$E:$E,$C:$C)</f>
        <v>0</v>
      </c>
      <c r="Z31" s="85">
        <f>SUMIFS('船长每月数据(2022年)'!$R:$R,'船长每月数据(2022年)'!$F:$F,$Z$2,'船长每月数据(2022年)'!$E:$E,$C:$C)</f>
        <v>0</v>
      </c>
      <c r="AA31" s="20">
        <f>SUMIFS('船长每月数据(2022年)'!$P:$P,'船长每月数据(2022年)'!$F:$F,$AA$2,'船长每月数据(2022年)'!$E:$E,$C:$C)</f>
        <v>0</v>
      </c>
      <c r="AB31" s="85">
        <f>SUMIFS('船长每月数据(2022年)'!$R:$R,'船长每月数据(2022年)'!$F:$F,$AB$2,'船长每月数据(2022年)'!$E:$E,$C:$C)</f>
        <v>0</v>
      </c>
      <c r="AC31" s="20">
        <f>SUMIFS('船长每月数据(2023年)'!P:P,'船长每月数据(2023年)'!F:F,$AC$2,'船长每月数据(2023年)'!E:E,C:C)</f>
        <v>0</v>
      </c>
      <c r="AD31" s="21">
        <f>IFERROR(AC31/SUMIF('船长每月数据(2023年)'!$E:$E,C:C,'船长每月数据(2023年)'!P:P),0)</f>
        <v>0</v>
      </c>
      <c r="AE31" s="38">
        <f>SUMIFS('船长每月数据(2023年)'!$R:$R,'船长每月数据(2023年)'!$F:$F,$AE$2,'船长每月数据(2023年)'!$E:$E,$C:$C)</f>
        <v>0</v>
      </c>
      <c r="AF31" s="21">
        <f>IFERROR(AE31/SUMIF('船长每月数据(2023年)'!E:E,C:C,'船长每月数据(2023年)'!R:R),0)</f>
        <v>0</v>
      </c>
      <c r="AG31" s="20">
        <f>SUMIFS('船长每月数据(2023年)'!P:P,'船长每月数据(2023年)'!F:F,$AG$2,'船长每月数据(2023年)'!E:E,C:C)</f>
        <v>0</v>
      </c>
      <c r="AH31" s="21">
        <f>IFERROR(AG31/SUMIF('船长每月数据(2023年)'!$E:$E,$C:$C,'船长每月数据(2023年)'!$P:$P),0)</f>
        <v>0</v>
      </c>
      <c r="AI31" s="38">
        <f>SUMIFS('船长每月数据(2023年)'!$R:$R,'船长每月数据(2023年)'!$F:$F,$AI$2,'船长每月数据(2023年)'!$E:$E,$C:$C)</f>
        <v>0</v>
      </c>
      <c r="AJ31" s="21">
        <f>IFERROR(AI31/SUMIF('船长每月数据(2023年)'!$E:$E,$C:$C,'船长每月数据(2023年)'!$R:$R),0)</f>
        <v>0</v>
      </c>
      <c r="AK31" s="20">
        <f>SUMIFS('船长每月数据(2023年)'!P:P,'船长每月数据(2023年)'!F:F,$AK$2,'船长每月数据(2023年)'!E:E,C:C)</f>
        <v>0</v>
      </c>
      <c r="AL31" s="21">
        <f>IFERROR(AK31/SUMIF('船长每月数据(2023年)'!$E:$E,$C:$C,'船长每月数据(2023年)'!$P:$P),0)</f>
        <v>0</v>
      </c>
      <c r="AM31" s="38">
        <f>SUMIFS('船长每月数据(2023年)'!$R:$R,'船长每月数据(2023年)'!$F:$F,$AM$2,'船长每月数据(2023年)'!$E:$E,$C:$C)</f>
        <v>0</v>
      </c>
      <c r="AN31" s="21">
        <f>IFERROR(AM31/SUMIF('船长每月数据(2023年)'!$E:$E,$C:$C,'船长每月数据(2023年)'!$R:$R),0)</f>
        <v>0</v>
      </c>
      <c r="AO31" s="20">
        <f>SUMIFS('船长每月数据(2023年)'!P:P,'船长每月数据(2023年)'!F:F,$AO$2,'船长每月数据(2023年)'!E:E,C:C)</f>
        <v>0</v>
      </c>
      <c r="AP31" s="21">
        <f>IFERROR(AO31/SUMIF('船长每月数据(2023年)'!$E:$E,$C:$C,'船长每月数据(2023年)'!$P:$P),0)</f>
        <v>0</v>
      </c>
      <c r="AQ31" s="38">
        <f>SUMIFS('船长每月数据(2023年)'!$R:$R,'船长每月数据(2023年)'!$F:$F,$AQ$2,'船长每月数据(2023年)'!$E:$E,$C:$C)</f>
        <v>0</v>
      </c>
      <c r="AR31" s="21">
        <f>IFERROR(AQ31/SUMIF('船长每月数据(2023年)'!$E:$E,$C:$C,'船长每月数据(2023年)'!$R:$R),0)</f>
        <v>0</v>
      </c>
      <c r="AS31" s="20">
        <f>SUMIFS('船长每月数据(2023年)'!$P:$P,'船长每月数据(2023年)'!$F:$F,$AS$2,'船长每月数据(2023年)'!$E:$E,$C:$C)</f>
        <v>0</v>
      </c>
      <c r="AT31" s="21">
        <f>IFERROR(AS31/SUMIF('船长每月数据(2023年)'!$E:$E,$C:$C,'船长每月数据(2023年)'!$P:$P),0)</f>
        <v>0</v>
      </c>
      <c r="AU31" s="38">
        <f>SUMIFS('船长每月数据(2023年)'!$R:$R,'船长每月数据(2023年)'!$F:$F,$AU$2,'船长每月数据(2023年)'!$E:$E,$C:$C)</f>
        <v>0</v>
      </c>
      <c r="AV31" s="21">
        <f>IFERROR(AU31/SUMIF('船长每月数据(2023年)'!$E:$E,$C:$C,'船长每月数据(2023年)'!$R:$R),0)</f>
        <v>0</v>
      </c>
      <c r="AW31" s="20">
        <f>SUMIFS('船长每月数据(2023年)'!$P:$P,'船长每月数据(2023年)'!$F:$F,$AW$2,'船长每月数据(2023年)'!$E:$E,$C:$C)</f>
        <v>0</v>
      </c>
      <c r="AX31" s="21">
        <f>IFERROR(AW31/SUMIF('船长每月数据(2023年)'!$E:$E,$C:$C,'船长每月数据(2023年)'!$P:$P),0)</f>
        <v>0</v>
      </c>
      <c r="AY31" s="38">
        <f>SUMIFS('船长每月数据(2023年)'!$R:$R,'船长每月数据(2023年)'!$F:$F,$AY$2,'船长每月数据(2023年)'!$E:$E,$C:$C)</f>
        <v>0</v>
      </c>
      <c r="AZ31" s="21">
        <f>IFERROR(AY31/SUMIF('船长每月数据(2023年)'!$E:$E,$C:$C,'船长每月数据(2023年)'!$R:$R),0)</f>
        <v>0</v>
      </c>
      <c r="BA31" s="20">
        <f>SUMIFS('船长每月数据(2023年)'!$P:$P,'船长每月数据(2023年)'!$F:$F,$BA$2,'船长每月数据(2023年)'!$E:$E,$C:$C)</f>
        <v>0</v>
      </c>
      <c r="BB31" s="21">
        <f>IFERROR(BA31/SUMIF('船长每月数据(2023年)'!$E:$E,$C:$C,'船长每月数据(2023年)'!$P:$P),0)</f>
        <v>0</v>
      </c>
      <c r="BC31" s="38">
        <f>SUMIFS('船长每月数据(2023年)'!$R:$R,'船长每月数据(2023年)'!$F:$F,$BC$2,'船长每月数据(2023年)'!$E:$E,$C:$C)</f>
        <v>0</v>
      </c>
      <c r="BD31" s="21">
        <f>IFERROR(BC31/SUMIF('船长每月数据(2023年)'!$E:$E,$C:$C,'船长每月数据(2023年)'!$R:$R),0)</f>
        <v>0</v>
      </c>
      <c r="BE31" s="20">
        <f>SUMIFS('船长每月数据(2023年)'!$P:$P,'船长每月数据(2023年)'!$F:$F,$BE$2,'船长每月数据(2023年)'!$E:$E,$C:$C)</f>
        <v>0</v>
      </c>
      <c r="BF31" s="21">
        <f>IFERROR(BE31/SUMIF('船长每月数据(2023年)'!$E:$E,$C:$C,'船长每月数据(2023年)'!$P:$P),0)</f>
        <v>0</v>
      </c>
      <c r="BG31" s="38">
        <f>SUMIFS('船长每月数据(2023年)'!$R:$R,'船长每月数据(2023年)'!$F:$F,$BG$2,'船长每月数据(2023年)'!$E:$E,$C:$C)</f>
        <v>0</v>
      </c>
      <c r="BH31" s="21">
        <f>IFERROR(BG31/SUMIF('船长每月数据(2023年)'!$E:$E,$C:$C,'船长每月数据(2023年)'!$R:$R),0)</f>
        <v>0</v>
      </c>
      <c r="BI31" s="20">
        <f>SUMIFS('船长每月数据(2023年)'!$P:$P,'船长每月数据(2023年)'!$F:$F,$BI$2,'船长每月数据(2023年)'!$E:$E,$C:$C)</f>
        <v>0</v>
      </c>
      <c r="BJ31" s="21">
        <f>IFERROR(BI31/SUMIF('船长每月数据(2023年)'!$E:$E,$C:$C,'船长每月数据(2023年)'!$P:$P),0)</f>
        <v>0</v>
      </c>
      <c r="BK31" s="38">
        <f>SUMIFS('船长每月数据(2023年)'!$R:$R,'船长每月数据(2023年)'!$F:$F,$BK$2,'船长每月数据(2023年)'!$E:$E,$C:$C)</f>
        <v>0</v>
      </c>
      <c r="BL31" s="21">
        <f>IFERROR(BK31/SUMIF('船长每月数据(2023年)'!$E:$E,$C:$C,'船长每月数据(2023年)'!$R:$R),0)</f>
        <v>0</v>
      </c>
      <c r="BM31" s="20">
        <f>SUMIFS('船长每月数据(2023年)'!$P:$P,'船长每月数据(2023年)'!$F:$F,$BM$2,'船长每月数据(2023年)'!$E:$E,$C:$C)</f>
        <v>0</v>
      </c>
      <c r="BN31" s="21">
        <f>IFERROR(BM31/SUMIF('船长每月数据(2023年)'!$E:$E,$C:$C,'船长每月数据(2023年)'!$P:$P),0)</f>
        <v>0</v>
      </c>
      <c r="BO31" s="38">
        <f>SUMIFS('船长每月数据(2023年)'!$R:$R,'船长每月数据(2023年)'!$F:$F,$BO$2,'船长每月数据(2023年)'!$E:$E,$C:$C)</f>
        <v>0</v>
      </c>
      <c r="BP31" s="21">
        <f>IFERROR(BO31/SUMIF('船长每月数据(2023年)'!$E:$E,$C:$C,'船长每月数据(2023年)'!$R:$R),0)</f>
        <v>0</v>
      </c>
      <c r="BQ31" s="20">
        <f>SUMIFS('船长每月数据(2023年)'!$P:$P,'船长每月数据(2023年)'!$F:$F,$BQ$2,'船长每月数据(2023年)'!$E:$E,$C:$C)</f>
        <v>0</v>
      </c>
      <c r="BR31" s="21">
        <f>IFERROR(BQ31/SUMIF('船长每月数据(2023年)'!$E:$E,$C:$C,'船长每月数据(2023年)'!$P:$P),0)</f>
        <v>0</v>
      </c>
      <c r="BS31" s="38">
        <f>SUMIFS('船长每月数据(2023年)'!$R:$R,'船长每月数据(2023年)'!$F:$F,$BS$2,'船长每月数据(2023年)'!$E:$E,$C:$C)</f>
        <v>0</v>
      </c>
      <c r="BT31" s="21">
        <f>IFERROR(BS31/SUMIF('船长每月数据(2023年)'!$E:$E,$C:$C,'船长每月数据(2023年)'!$R:$R),0)</f>
        <v>0</v>
      </c>
      <c r="BU31" s="20">
        <f>SUMIFS('船长每月数据(2023年)'!$P:$P,'船长每月数据(2023年)'!$F:$F,$BU$2,'船长每月数据(2023年)'!$E:$E,$C:$C)</f>
        <v>0</v>
      </c>
      <c r="BV31" s="21">
        <f>IFERROR(BU31/SUMIF('船长每月数据(2023年)'!$E:$E,$C:$C,'船长每月数据(2023年)'!$P:$P),0)</f>
        <v>0</v>
      </c>
      <c r="BW31" s="38">
        <f>SUMIFS('船长每月数据(2023年)'!$R:$R,'船长每月数据(2023年)'!$F:$F,$BW$2,'船长每月数据(2023年)'!$E:$E,$C:$C)</f>
        <v>0</v>
      </c>
      <c r="BX31" s="21">
        <f>IFERROR(BW31/SUMIF('船长每月数据(2023年)'!$E:$E,$C:$C,'船长每月数据(2023年)'!$R:$R),0)</f>
        <v>0</v>
      </c>
    </row>
    <row r="32" ht="23" customHeight="1" spans="1:76">
      <c r="A32" s="36"/>
      <c r="B32" s="36"/>
      <c r="C32" s="20"/>
      <c r="D32" s="74"/>
      <c r="E32" s="20">
        <f>SUMIFS('船长每月数据(2022年)'!$P:$P,'船长每月数据(2022年)'!$F:$F,$E$2,'船长每月数据(2022年)'!E:E,C:C)</f>
        <v>0</v>
      </c>
      <c r="F32" s="85">
        <f>SUMIFS('船长每月数据(2022年)'!$R:$R,'船长每月数据(2022年)'!$F:$F,$F$2,'船长每月数据(2022年)'!E:E,C:C)</f>
        <v>0</v>
      </c>
      <c r="G32" s="20">
        <f>SUMIFS('船长每月数据(2022年)'!$P:$P,'船长每月数据(2022年)'!$F:$F,$G$2,'船长每月数据(2022年)'!$E:$E,$C:$C)</f>
        <v>0</v>
      </c>
      <c r="H32" s="85">
        <f>SUMIFS('船长每月数据(2022年)'!$R:$R,'船长每月数据(2022年)'!$F:$F,$H$2,'船长每月数据(2022年)'!$E:$E,$C:$C)</f>
        <v>0</v>
      </c>
      <c r="I32" s="20">
        <f>SUMIFS('船长每月数据(2022年)'!$P:$P,'船长每月数据(2022年)'!$F:$F,$I$2,'船长每月数据(2022年)'!$E:$E,$C:$C)</f>
        <v>0</v>
      </c>
      <c r="J32" s="85">
        <f>SUMIFS('船长每月数据(2022年)'!$R:$R,'船长每月数据(2022年)'!$F:$F,$J$2,'船长每月数据(2022年)'!$E:$E,$C:$C)</f>
        <v>0</v>
      </c>
      <c r="K32" s="20">
        <f>SUMIFS('船长每月数据(2022年)'!$P:$P,'船长每月数据(2022年)'!$F:$F,$K$2,'船长每月数据(2022年)'!$E:$E,$C:$C)</f>
        <v>0</v>
      </c>
      <c r="L32" s="85">
        <f>SUMIFS('船长每月数据(2022年)'!$R:$R,'船长每月数据(2022年)'!$F:$F,$L$2,'船长每月数据(2022年)'!$E:$E,$C:$C)</f>
        <v>0</v>
      </c>
      <c r="M32" s="20">
        <f>SUMIFS('船长每月数据(2022年)'!$P:$P,'船长每月数据(2022年)'!$F:$F,$M$2,'船长每月数据(2022年)'!$E:$E,$C:$C)</f>
        <v>0</v>
      </c>
      <c r="N32" s="85">
        <f>SUMIFS('船长每月数据(2022年)'!$R:$R,'船长每月数据(2022年)'!$F:$F,$N$2,'船长每月数据(2022年)'!$E:$E,$C:$C)</f>
        <v>0</v>
      </c>
      <c r="O32" s="20">
        <f>SUMIFS('船长每月数据(2022年)'!$P:$P,'船长每月数据(2022年)'!$F:$F,$O$2,'船长每月数据(2022年)'!$E:$E,$C:$C)</f>
        <v>0</v>
      </c>
      <c r="P32" s="85">
        <f>SUMIFS('船长每月数据(2022年)'!$R:$R,'船长每月数据(2022年)'!$F:$F,$P$2,'船长每月数据(2022年)'!$E:$E,$C:$C)</f>
        <v>0</v>
      </c>
      <c r="Q32" s="20">
        <f>SUMIFS('船长每月数据(2022年)'!$P:$P,'船长每月数据(2022年)'!$F:$F,$Q$2,'船长每月数据(2022年)'!$E:$E,$C:$C)</f>
        <v>0</v>
      </c>
      <c r="R32" s="85">
        <f>SUMIFS('船长每月数据(2022年)'!$R:$R,'船长每月数据(2022年)'!$F:$F,$R$2,'船长每月数据(2022年)'!$E:$E,$C:$C)</f>
        <v>0</v>
      </c>
      <c r="S32" s="20">
        <f>SUMIFS('船长每月数据(2022年)'!$P:$P,'船长每月数据(2022年)'!$F:$F,$S$2,'船长每月数据(2022年)'!$E:$E,$C:$C)</f>
        <v>0</v>
      </c>
      <c r="T32" s="85">
        <f>SUMIFS('船长每月数据(2022年)'!$R:$R,'船长每月数据(2022年)'!$F:$F,$T$2,'船长每月数据(2022年)'!$E:$E,$C:$C)</f>
        <v>0</v>
      </c>
      <c r="U32" s="20">
        <f>SUMIFS('船长每月数据(2022年)'!$P:$P,'船长每月数据(2022年)'!$F:$F,$U$2,'船长每月数据(2022年)'!$E:$E,$C:$C)</f>
        <v>0</v>
      </c>
      <c r="V32" s="85">
        <f>SUMIFS('船长每月数据(2022年)'!$R:$R,'船长每月数据(2022年)'!$F:$F,$V$2,'船长每月数据(2022年)'!$E:$E,$C:$C)</f>
        <v>0</v>
      </c>
      <c r="W32" s="20">
        <f>SUMIFS('船长每月数据(2022年)'!$P:$P,'船长每月数据(2022年)'!$F:$F,$W$2,'船长每月数据(2022年)'!$E:$E,$C:$C)</f>
        <v>0</v>
      </c>
      <c r="X32" s="85">
        <f>SUMIFS('船长每月数据(2022年)'!$R:$R,'船长每月数据(2022年)'!$F:$F,$X$2,'船长每月数据(2022年)'!$E:$E,$C:$C)</f>
        <v>0</v>
      </c>
      <c r="Y32" s="20">
        <f>SUMIFS('船长每月数据(2022年)'!$P:$P,'船长每月数据(2022年)'!$F:$F,$Y$2,'船长每月数据(2022年)'!$E:$E,$C:$C)</f>
        <v>0</v>
      </c>
      <c r="Z32" s="85">
        <f>SUMIFS('船长每月数据(2022年)'!$R:$R,'船长每月数据(2022年)'!$F:$F,$Z$2,'船长每月数据(2022年)'!$E:$E,$C:$C)</f>
        <v>0</v>
      </c>
      <c r="AA32" s="20">
        <f>SUMIFS('船长每月数据(2022年)'!$P:$P,'船长每月数据(2022年)'!$F:$F,$AA$2,'船长每月数据(2022年)'!$E:$E,$C:$C)</f>
        <v>0</v>
      </c>
      <c r="AB32" s="85">
        <f>SUMIFS('船长每月数据(2022年)'!$R:$R,'船长每月数据(2022年)'!$F:$F,$AB$2,'船长每月数据(2022年)'!$E:$E,$C:$C)</f>
        <v>0</v>
      </c>
      <c r="AC32" s="20">
        <f>SUMIFS('船长每月数据(2023年)'!P:P,'船长每月数据(2023年)'!F:F,$AC$2,'船长每月数据(2023年)'!E:E,C:C)</f>
        <v>0</v>
      </c>
      <c r="AD32" s="21">
        <f>IFERROR(AC32/SUMIF('船长每月数据(2023年)'!$E:$E,C:C,'船长每月数据(2023年)'!P:P),0)</f>
        <v>0</v>
      </c>
      <c r="AE32" s="38">
        <f>SUMIFS('船长每月数据(2023年)'!$R:$R,'船长每月数据(2023年)'!$F:$F,$AE$2,'船长每月数据(2023年)'!$E:$E,$C:$C)</f>
        <v>0</v>
      </c>
      <c r="AF32" s="21">
        <f>IFERROR(AE32/SUMIF('船长每月数据(2023年)'!E:E,C:C,'船长每月数据(2023年)'!R:R),0)</f>
        <v>0</v>
      </c>
      <c r="AG32" s="20">
        <f>SUMIFS('船长每月数据(2023年)'!P:P,'船长每月数据(2023年)'!F:F,$AG$2,'船长每月数据(2023年)'!E:E,C:C)</f>
        <v>0</v>
      </c>
      <c r="AH32" s="21">
        <f>IFERROR(AG32/SUMIF('船长每月数据(2023年)'!$E:$E,$C:$C,'船长每月数据(2023年)'!$P:$P),0)</f>
        <v>0</v>
      </c>
      <c r="AI32" s="38">
        <f>SUMIFS('船长每月数据(2023年)'!$R:$R,'船长每月数据(2023年)'!$F:$F,$AI$2,'船长每月数据(2023年)'!$E:$E,$C:$C)</f>
        <v>0</v>
      </c>
      <c r="AJ32" s="21">
        <f>IFERROR(AI32/SUMIF('船长每月数据(2023年)'!$E:$E,$C:$C,'船长每月数据(2023年)'!$R:$R),0)</f>
        <v>0</v>
      </c>
      <c r="AK32" s="20">
        <f>SUMIFS('船长每月数据(2023年)'!P:P,'船长每月数据(2023年)'!F:F,$AK$2,'船长每月数据(2023年)'!E:E,C:C)</f>
        <v>0</v>
      </c>
      <c r="AL32" s="21">
        <f>IFERROR(AK32/SUMIF('船长每月数据(2023年)'!$E:$E,$C:$C,'船长每月数据(2023年)'!$P:$P),0)</f>
        <v>0</v>
      </c>
      <c r="AM32" s="38">
        <f>SUMIFS('船长每月数据(2023年)'!$R:$R,'船长每月数据(2023年)'!$F:$F,$AM$2,'船长每月数据(2023年)'!$E:$E,$C:$C)</f>
        <v>0</v>
      </c>
      <c r="AN32" s="21">
        <f>IFERROR(AM32/SUMIF('船长每月数据(2023年)'!$E:$E,$C:$C,'船长每月数据(2023年)'!$R:$R),0)</f>
        <v>0</v>
      </c>
      <c r="AO32" s="20">
        <f>SUMIFS('船长每月数据(2023年)'!P:P,'船长每月数据(2023年)'!F:F,$AO$2,'船长每月数据(2023年)'!E:E,C:C)</f>
        <v>0</v>
      </c>
      <c r="AP32" s="21">
        <f>IFERROR(AO32/SUMIF('船长每月数据(2023年)'!$E:$E,$C:$C,'船长每月数据(2023年)'!$P:$P),0)</f>
        <v>0</v>
      </c>
      <c r="AQ32" s="38">
        <f>SUMIFS('船长每月数据(2023年)'!$R:$R,'船长每月数据(2023年)'!$F:$F,$AQ$2,'船长每月数据(2023年)'!$E:$E,$C:$C)</f>
        <v>0</v>
      </c>
      <c r="AR32" s="21">
        <f>IFERROR(AQ32/SUMIF('船长每月数据(2023年)'!$E:$E,$C:$C,'船长每月数据(2023年)'!$R:$R),0)</f>
        <v>0</v>
      </c>
      <c r="AS32" s="20">
        <f>SUMIFS('船长每月数据(2023年)'!$P:$P,'船长每月数据(2023年)'!$F:$F,$AS$2,'船长每月数据(2023年)'!$E:$E,$C:$C)</f>
        <v>0</v>
      </c>
      <c r="AT32" s="21">
        <f>IFERROR(AS32/SUMIF('船长每月数据(2023年)'!$E:$E,$C:$C,'船长每月数据(2023年)'!$P:$P),0)</f>
        <v>0</v>
      </c>
      <c r="AU32" s="38">
        <f>SUMIFS('船长每月数据(2023年)'!$R:$R,'船长每月数据(2023年)'!$F:$F,$AU$2,'船长每月数据(2023年)'!$E:$E,$C:$C)</f>
        <v>0</v>
      </c>
      <c r="AV32" s="21">
        <f>IFERROR(AU32/SUMIF('船长每月数据(2023年)'!$E:$E,$C:$C,'船长每月数据(2023年)'!$R:$R),0)</f>
        <v>0</v>
      </c>
      <c r="AW32" s="20">
        <f>SUMIFS('船长每月数据(2023年)'!$P:$P,'船长每月数据(2023年)'!$F:$F,$AW$2,'船长每月数据(2023年)'!$E:$E,$C:$C)</f>
        <v>0</v>
      </c>
      <c r="AX32" s="21">
        <f>IFERROR(AW32/SUMIF('船长每月数据(2023年)'!$E:$E,$C:$C,'船长每月数据(2023年)'!$P:$P),0)</f>
        <v>0</v>
      </c>
      <c r="AY32" s="38">
        <f>SUMIFS('船长每月数据(2023年)'!$R:$R,'船长每月数据(2023年)'!$F:$F,$AY$2,'船长每月数据(2023年)'!$E:$E,$C:$C)</f>
        <v>0</v>
      </c>
      <c r="AZ32" s="21">
        <f>IFERROR(AY32/SUMIF('船长每月数据(2023年)'!$E:$E,$C:$C,'船长每月数据(2023年)'!$R:$R),0)</f>
        <v>0</v>
      </c>
      <c r="BA32" s="20">
        <f>SUMIFS('船长每月数据(2023年)'!$P:$P,'船长每月数据(2023年)'!$F:$F,$BA$2,'船长每月数据(2023年)'!$E:$E,$C:$C)</f>
        <v>0</v>
      </c>
      <c r="BB32" s="21">
        <f>IFERROR(BA32/SUMIF('船长每月数据(2023年)'!$E:$E,$C:$C,'船长每月数据(2023年)'!$P:$P),0)</f>
        <v>0</v>
      </c>
      <c r="BC32" s="38">
        <f>SUMIFS('船长每月数据(2023年)'!$R:$R,'船长每月数据(2023年)'!$F:$F,$BC$2,'船长每月数据(2023年)'!$E:$E,$C:$C)</f>
        <v>0</v>
      </c>
      <c r="BD32" s="21">
        <f>IFERROR(BC32/SUMIF('船长每月数据(2023年)'!$E:$E,$C:$C,'船长每月数据(2023年)'!$R:$R),0)</f>
        <v>0</v>
      </c>
      <c r="BE32" s="20">
        <f>SUMIFS('船长每月数据(2023年)'!$P:$P,'船长每月数据(2023年)'!$F:$F,$BE$2,'船长每月数据(2023年)'!$E:$E,$C:$C)</f>
        <v>0</v>
      </c>
      <c r="BF32" s="21">
        <f>IFERROR(BE32/SUMIF('船长每月数据(2023年)'!$E:$E,$C:$C,'船长每月数据(2023年)'!$P:$P),0)</f>
        <v>0</v>
      </c>
      <c r="BG32" s="38">
        <f>SUMIFS('船长每月数据(2023年)'!$R:$R,'船长每月数据(2023年)'!$F:$F,$BG$2,'船长每月数据(2023年)'!$E:$E,$C:$C)</f>
        <v>0</v>
      </c>
      <c r="BH32" s="21">
        <f>IFERROR(BG32/SUMIF('船长每月数据(2023年)'!$E:$E,$C:$C,'船长每月数据(2023年)'!$R:$R),0)</f>
        <v>0</v>
      </c>
      <c r="BI32" s="20">
        <f>SUMIFS('船长每月数据(2023年)'!$P:$P,'船长每月数据(2023年)'!$F:$F,$BI$2,'船长每月数据(2023年)'!$E:$E,$C:$C)</f>
        <v>0</v>
      </c>
      <c r="BJ32" s="21">
        <f>IFERROR(BI32/SUMIF('船长每月数据(2023年)'!$E:$E,$C:$C,'船长每月数据(2023年)'!$P:$P),0)</f>
        <v>0</v>
      </c>
      <c r="BK32" s="38">
        <f>SUMIFS('船长每月数据(2023年)'!$R:$R,'船长每月数据(2023年)'!$F:$F,$BK$2,'船长每月数据(2023年)'!$E:$E,$C:$C)</f>
        <v>0</v>
      </c>
      <c r="BL32" s="21">
        <f>IFERROR(BK32/SUMIF('船长每月数据(2023年)'!$E:$E,$C:$C,'船长每月数据(2023年)'!$R:$R),0)</f>
        <v>0</v>
      </c>
      <c r="BM32" s="20">
        <f>SUMIFS('船长每月数据(2023年)'!$P:$P,'船长每月数据(2023年)'!$F:$F,$BM$2,'船长每月数据(2023年)'!$E:$E,$C:$C)</f>
        <v>0</v>
      </c>
      <c r="BN32" s="21">
        <f>IFERROR(BM32/SUMIF('船长每月数据(2023年)'!$E:$E,$C:$C,'船长每月数据(2023年)'!$P:$P),0)</f>
        <v>0</v>
      </c>
      <c r="BO32" s="38">
        <f>SUMIFS('船长每月数据(2023年)'!$R:$R,'船长每月数据(2023年)'!$F:$F,$BO$2,'船长每月数据(2023年)'!$E:$E,$C:$C)</f>
        <v>0</v>
      </c>
      <c r="BP32" s="21">
        <f>IFERROR(BO32/SUMIF('船长每月数据(2023年)'!$E:$E,$C:$C,'船长每月数据(2023年)'!$R:$R),0)</f>
        <v>0</v>
      </c>
      <c r="BQ32" s="20">
        <f>SUMIFS('船长每月数据(2023年)'!$P:$P,'船长每月数据(2023年)'!$F:$F,$BQ$2,'船长每月数据(2023年)'!$E:$E,$C:$C)</f>
        <v>0</v>
      </c>
      <c r="BR32" s="21">
        <f>IFERROR(BQ32/SUMIF('船长每月数据(2023年)'!$E:$E,$C:$C,'船长每月数据(2023年)'!$P:$P),0)</f>
        <v>0</v>
      </c>
      <c r="BS32" s="38">
        <f>SUMIFS('船长每月数据(2023年)'!$R:$R,'船长每月数据(2023年)'!$F:$F,$BS$2,'船长每月数据(2023年)'!$E:$E,$C:$C)</f>
        <v>0</v>
      </c>
      <c r="BT32" s="21">
        <f>IFERROR(BS32/SUMIF('船长每月数据(2023年)'!$E:$E,$C:$C,'船长每月数据(2023年)'!$R:$R),0)</f>
        <v>0</v>
      </c>
      <c r="BU32" s="20">
        <f>SUMIFS('船长每月数据(2023年)'!$P:$P,'船长每月数据(2023年)'!$F:$F,$BU$2,'船长每月数据(2023年)'!$E:$E,$C:$C)</f>
        <v>0</v>
      </c>
      <c r="BV32" s="21">
        <f>IFERROR(BU32/SUMIF('船长每月数据(2023年)'!$E:$E,$C:$C,'船长每月数据(2023年)'!$P:$P),0)</f>
        <v>0</v>
      </c>
      <c r="BW32" s="38">
        <f>SUMIFS('船长每月数据(2023年)'!$R:$R,'船长每月数据(2023年)'!$F:$F,$BW$2,'船长每月数据(2023年)'!$E:$E,$C:$C)</f>
        <v>0</v>
      </c>
      <c r="BX32" s="21">
        <f>IFERROR(BW32/SUMIF('船长每月数据(2023年)'!$E:$E,$C:$C,'船长每月数据(2023年)'!$R:$R),0)</f>
        <v>0</v>
      </c>
    </row>
    <row r="33" ht="23" customHeight="1" spans="1:76">
      <c r="A33" s="82"/>
      <c r="B33" s="36"/>
      <c r="C33" s="20"/>
      <c r="D33" s="74"/>
      <c r="E33" s="20">
        <f>SUMIFS('船长每月数据(2022年)'!$P:$P,'船长每月数据(2022年)'!$F:$F,$E$2,'船长每月数据(2022年)'!E:E,C:C)</f>
        <v>0</v>
      </c>
      <c r="F33" s="85">
        <f>SUMIFS('船长每月数据(2022年)'!$R:$R,'船长每月数据(2022年)'!$F:$F,$F$2,'船长每月数据(2022年)'!E:E,C:C)</f>
        <v>0</v>
      </c>
      <c r="G33" s="20">
        <f>SUMIFS('船长每月数据(2022年)'!$P:$P,'船长每月数据(2022年)'!$F:$F,$G$2,'船长每月数据(2022年)'!$E:$E,$C:$C)</f>
        <v>0</v>
      </c>
      <c r="H33" s="85">
        <f>SUMIFS('船长每月数据(2022年)'!$R:$R,'船长每月数据(2022年)'!$F:$F,$H$2,'船长每月数据(2022年)'!$E:$E,$C:$C)</f>
        <v>0</v>
      </c>
      <c r="I33" s="20">
        <f>SUMIFS('船长每月数据(2022年)'!$P:$P,'船长每月数据(2022年)'!$F:$F,$I$2,'船长每月数据(2022年)'!$E:$E,$C:$C)</f>
        <v>0</v>
      </c>
      <c r="J33" s="85">
        <f>SUMIFS('船长每月数据(2022年)'!$R:$R,'船长每月数据(2022年)'!$F:$F,$J$2,'船长每月数据(2022年)'!$E:$E,$C:$C)</f>
        <v>0</v>
      </c>
      <c r="K33" s="20">
        <f>SUMIFS('船长每月数据(2022年)'!$P:$P,'船长每月数据(2022年)'!$F:$F,$K$2,'船长每月数据(2022年)'!$E:$E,$C:$C)</f>
        <v>0</v>
      </c>
      <c r="L33" s="85">
        <f>SUMIFS('船长每月数据(2022年)'!$R:$R,'船长每月数据(2022年)'!$F:$F,$L$2,'船长每月数据(2022年)'!$E:$E,$C:$C)</f>
        <v>0</v>
      </c>
      <c r="M33" s="20">
        <f>SUMIFS('船长每月数据(2022年)'!$P:$P,'船长每月数据(2022年)'!$F:$F,$M$2,'船长每月数据(2022年)'!$E:$E,$C:$C)</f>
        <v>0</v>
      </c>
      <c r="N33" s="85">
        <f>SUMIFS('船长每月数据(2022年)'!$R:$R,'船长每月数据(2022年)'!$F:$F,$N$2,'船长每月数据(2022年)'!$E:$E,$C:$C)</f>
        <v>0</v>
      </c>
      <c r="O33" s="20">
        <f>SUMIFS('船长每月数据(2022年)'!$P:$P,'船长每月数据(2022年)'!$F:$F,$O$2,'船长每月数据(2022年)'!$E:$E,$C:$C)</f>
        <v>0</v>
      </c>
      <c r="P33" s="85">
        <f>SUMIFS('船长每月数据(2022年)'!$R:$R,'船长每月数据(2022年)'!$F:$F,$P$2,'船长每月数据(2022年)'!$E:$E,$C:$C)</f>
        <v>0</v>
      </c>
      <c r="Q33" s="20">
        <f>SUMIFS('船长每月数据(2022年)'!$P:$P,'船长每月数据(2022年)'!$F:$F,$Q$2,'船长每月数据(2022年)'!$E:$E,$C:$C)</f>
        <v>0</v>
      </c>
      <c r="R33" s="85">
        <f>SUMIFS('船长每月数据(2022年)'!$R:$R,'船长每月数据(2022年)'!$F:$F,$R$2,'船长每月数据(2022年)'!$E:$E,$C:$C)</f>
        <v>0</v>
      </c>
      <c r="S33" s="20">
        <f>SUMIFS('船长每月数据(2022年)'!$P:$P,'船长每月数据(2022年)'!$F:$F,$S$2,'船长每月数据(2022年)'!$E:$E,$C:$C)</f>
        <v>0</v>
      </c>
      <c r="T33" s="85">
        <f>SUMIFS('船长每月数据(2022年)'!$R:$R,'船长每月数据(2022年)'!$F:$F,$T$2,'船长每月数据(2022年)'!$E:$E,$C:$C)</f>
        <v>0</v>
      </c>
      <c r="U33" s="20">
        <f>SUMIFS('船长每月数据(2022年)'!$P:$P,'船长每月数据(2022年)'!$F:$F,$U$2,'船长每月数据(2022年)'!$E:$E,$C:$C)</f>
        <v>0</v>
      </c>
      <c r="V33" s="85">
        <f>SUMIFS('船长每月数据(2022年)'!$R:$R,'船长每月数据(2022年)'!$F:$F,$V$2,'船长每月数据(2022年)'!$E:$E,$C:$C)</f>
        <v>0</v>
      </c>
      <c r="W33" s="20">
        <f>SUMIFS('船长每月数据(2022年)'!$P:$P,'船长每月数据(2022年)'!$F:$F,$W$2,'船长每月数据(2022年)'!$E:$E,$C:$C)</f>
        <v>0</v>
      </c>
      <c r="X33" s="85">
        <f>SUMIFS('船长每月数据(2022年)'!$R:$R,'船长每月数据(2022年)'!$F:$F,$X$2,'船长每月数据(2022年)'!$E:$E,$C:$C)</f>
        <v>0</v>
      </c>
      <c r="Y33" s="20">
        <f>SUMIFS('船长每月数据(2022年)'!$P:$P,'船长每月数据(2022年)'!$F:$F,$Y$2,'船长每月数据(2022年)'!$E:$E,$C:$C)</f>
        <v>0</v>
      </c>
      <c r="Z33" s="85">
        <f>SUMIFS('船长每月数据(2022年)'!$R:$R,'船长每月数据(2022年)'!$F:$F,$Z$2,'船长每月数据(2022年)'!$E:$E,$C:$C)</f>
        <v>0</v>
      </c>
      <c r="AA33" s="20">
        <f>SUMIFS('船长每月数据(2022年)'!$P:$P,'船长每月数据(2022年)'!$F:$F,$AA$2,'船长每月数据(2022年)'!$E:$E,$C:$C)</f>
        <v>0</v>
      </c>
      <c r="AB33" s="85">
        <f>SUMIFS('船长每月数据(2022年)'!$R:$R,'船长每月数据(2022年)'!$F:$F,$AB$2,'船长每月数据(2022年)'!$E:$E,$C:$C)</f>
        <v>0</v>
      </c>
      <c r="AC33" s="20">
        <f>SUMIFS('船长每月数据(2023年)'!P:P,'船长每月数据(2023年)'!F:F,$AC$2,'船长每月数据(2023年)'!E:E,C:C)</f>
        <v>0</v>
      </c>
      <c r="AD33" s="21">
        <f>IFERROR(AC33/SUMIF('船长每月数据(2023年)'!$E:$E,C:C,'船长每月数据(2023年)'!P:P),0)</f>
        <v>0</v>
      </c>
      <c r="AE33" s="38">
        <f>SUMIFS('船长每月数据(2023年)'!$R:$R,'船长每月数据(2023年)'!$F:$F,$AE$2,'船长每月数据(2023年)'!$E:$E,$C:$C)</f>
        <v>0</v>
      </c>
      <c r="AF33" s="21">
        <f>IFERROR(AE33/SUMIF('船长每月数据(2023年)'!E:E,C:C,'船长每月数据(2023年)'!R:R),0)</f>
        <v>0</v>
      </c>
      <c r="AG33" s="20">
        <f>SUMIFS('船长每月数据(2023年)'!P:P,'船长每月数据(2023年)'!F:F,$AG$2,'船长每月数据(2023年)'!E:E,C:C)</f>
        <v>0</v>
      </c>
      <c r="AH33" s="21">
        <f>IFERROR(AG33/SUMIF('船长每月数据(2023年)'!$E:$E,$C:$C,'船长每月数据(2023年)'!$P:$P),0)</f>
        <v>0</v>
      </c>
      <c r="AI33" s="38">
        <f>SUMIFS('船长每月数据(2023年)'!$R:$R,'船长每月数据(2023年)'!$F:$F,$AI$2,'船长每月数据(2023年)'!$E:$E,$C:$C)</f>
        <v>0</v>
      </c>
      <c r="AJ33" s="21">
        <f>IFERROR(AI33/SUMIF('船长每月数据(2023年)'!$E:$E,$C:$C,'船长每月数据(2023年)'!$R:$R),0)</f>
        <v>0</v>
      </c>
      <c r="AK33" s="20">
        <f>SUMIFS('船长每月数据(2023年)'!P:P,'船长每月数据(2023年)'!F:F,$AK$2,'船长每月数据(2023年)'!E:E,C:C)</f>
        <v>0</v>
      </c>
      <c r="AL33" s="21">
        <f>IFERROR(AK33/SUMIF('船长每月数据(2023年)'!$E:$E,$C:$C,'船长每月数据(2023年)'!$P:$P),0)</f>
        <v>0</v>
      </c>
      <c r="AM33" s="38">
        <f>SUMIFS('船长每月数据(2023年)'!$R:$R,'船长每月数据(2023年)'!$F:$F,$AM$2,'船长每月数据(2023年)'!$E:$E,$C:$C)</f>
        <v>0</v>
      </c>
      <c r="AN33" s="21">
        <f>IFERROR(AM33/SUMIF('船长每月数据(2023年)'!$E:$E,$C:$C,'船长每月数据(2023年)'!$R:$R),0)</f>
        <v>0</v>
      </c>
      <c r="AO33" s="20">
        <f>SUMIFS('船长每月数据(2023年)'!P:P,'船长每月数据(2023年)'!F:F,$AO$2,'船长每月数据(2023年)'!E:E,C:C)</f>
        <v>0</v>
      </c>
      <c r="AP33" s="21">
        <f>IFERROR(AO33/SUMIF('船长每月数据(2023年)'!$E:$E,$C:$C,'船长每月数据(2023年)'!$P:$P),0)</f>
        <v>0</v>
      </c>
      <c r="AQ33" s="38">
        <f>SUMIFS('船长每月数据(2023年)'!$R:$R,'船长每月数据(2023年)'!$F:$F,$AQ$2,'船长每月数据(2023年)'!$E:$E,$C:$C)</f>
        <v>0</v>
      </c>
      <c r="AR33" s="21">
        <f>IFERROR(AQ33/SUMIF('船长每月数据(2023年)'!$E:$E,$C:$C,'船长每月数据(2023年)'!$R:$R),0)</f>
        <v>0</v>
      </c>
      <c r="AS33" s="20">
        <f>SUMIFS('船长每月数据(2023年)'!$P:$P,'船长每月数据(2023年)'!$F:$F,$AS$2,'船长每月数据(2023年)'!$E:$E,$C:$C)</f>
        <v>0</v>
      </c>
      <c r="AT33" s="21">
        <f>IFERROR(AS33/SUMIF('船长每月数据(2023年)'!$E:$E,$C:$C,'船长每月数据(2023年)'!$P:$P),0)</f>
        <v>0</v>
      </c>
      <c r="AU33" s="38">
        <f>SUMIFS('船长每月数据(2023年)'!$R:$R,'船长每月数据(2023年)'!$F:$F,$AU$2,'船长每月数据(2023年)'!$E:$E,$C:$C)</f>
        <v>0</v>
      </c>
      <c r="AV33" s="21">
        <f>IFERROR(AU33/SUMIF('船长每月数据(2023年)'!$E:$E,$C:$C,'船长每月数据(2023年)'!$R:$R),0)</f>
        <v>0</v>
      </c>
      <c r="AW33" s="20">
        <f>SUMIFS('船长每月数据(2023年)'!$P:$P,'船长每月数据(2023年)'!$F:$F,$AW$2,'船长每月数据(2023年)'!$E:$E,$C:$C)</f>
        <v>0</v>
      </c>
      <c r="AX33" s="21">
        <f>IFERROR(AW33/SUMIF('船长每月数据(2023年)'!$E:$E,$C:$C,'船长每月数据(2023年)'!$P:$P),0)</f>
        <v>0</v>
      </c>
      <c r="AY33" s="38">
        <f>SUMIFS('船长每月数据(2023年)'!$R:$R,'船长每月数据(2023年)'!$F:$F,$AY$2,'船长每月数据(2023年)'!$E:$E,$C:$C)</f>
        <v>0</v>
      </c>
      <c r="AZ33" s="21">
        <f>IFERROR(AY33/SUMIF('船长每月数据(2023年)'!$E:$E,$C:$C,'船长每月数据(2023年)'!$R:$R),0)</f>
        <v>0</v>
      </c>
      <c r="BA33" s="20">
        <f>SUMIFS('船长每月数据(2023年)'!$P:$P,'船长每月数据(2023年)'!$F:$F,$BA$2,'船长每月数据(2023年)'!$E:$E,$C:$C)</f>
        <v>0</v>
      </c>
      <c r="BB33" s="21">
        <f>IFERROR(BA33/SUMIF('船长每月数据(2023年)'!$E:$E,$C:$C,'船长每月数据(2023年)'!$P:$P),0)</f>
        <v>0</v>
      </c>
      <c r="BC33" s="38">
        <f>SUMIFS('船长每月数据(2023年)'!$R:$R,'船长每月数据(2023年)'!$F:$F,$BC$2,'船长每月数据(2023年)'!$E:$E,$C:$C)</f>
        <v>0</v>
      </c>
      <c r="BD33" s="21">
        <f>IFERROR(BC33/SUMIF('船长每月数据(2023年)'!$E:$E,$C:$C,'船长每月数据(2023年)'!$R:$R),0)</f>
        <v>0</v>
      </c>
      <c r="BE33" s="20">
        <f>SUMIFS('船长每月数据(2023年)'!$P:$P,'船长每月数据(2023年)'!$F:$F,$BE$2,'船长每月数据(2023年)'!$E:$E,$C:$C)</f>
        <v>0</v>
      </c>
      <c r="BF33" s="21">
        <f>IFERROR(BE33/SUMIF('船长每月数据(2023年)'!$E:$E,$C:$C,'船长每月数据(2023年)'!$P:$P),0)</f>
        <v>0</v>
      </c>
      <c r="BG33" s="38">
        <f>SUMIFS('船长每月数据(2023年)'!$R:$R,'船长每月数据(2023年)'!$F:$F,$BG$2,'船长每月数据(2023年)'!$E:$E,$C:$C)</f>
        <v>0</v>
      </c>
      <c r="BH33" s="21">
        <f>IFERROR(BG33/SUMIF('船长每月数据(2023年)'!$E:$E,$C:$C,'船长每月数据(2023年)'!$R:$R),0)</f>
        <v>0</v>
      </c>
      <c r="BI33" s="20">
        <f>SUMIFS('船长每月数据(2023年)'!$P:$P,'船长每月数据(2023年)'!$F:$F,$BI$2,'船长每月数据(2023年)'!$E:$E,$C:$C)</f>
        <v>0</v>
      </c>
      <c r="BJ33" s="21">
        <f>IFERROR(BI33/SUMIF('船长每月数据(2023年)'!$E:$E,$C:$C,'船长每月数据(2023年)'!$P:$P),0)</f>
        <v>0</v>
      </c>
      <c r="BK33" s="38">
        <f>SUMIFS('船长每月数据(2023年)'!$R:$R,'船长每月数据(2023年)'!$F:$F,$BK$2,'船长每月数据(2023年)'!$E:$E,$C:$C)</f>
        <v>0</v>
      </c>
      <c r="BL33" s="21">
        <f>IFERROR(BK33/SUMIF('船长每月数据(2023年)'!$E:$E,$C:$C,'船长每月数据(2023年)'!$R:$R),0)</f>
        <v>0</v>
      </c>
      <c r="BM33" s="20">
        <f>SUMIFS('船长每月数据(2023年)'!$P:$P,'船长每月数据(2023年)'!$F:$F,$BM$2,'船长每月数据(2023年)'!$E:$E,$C:$C)</f>
        <v>0</v>
      </c>
      <c r="BN33" s="21">
        <f>IFERROR(BM33/SUMIF('船长每月数据(2023年)'!$E:$E,$C:$C,'船长每月数据(2023年)'!$P:$P),0)</f>
        <v>0</v>
      </c>
      <c r="BO33" s="38">
        <f>SUMIFS('船长每月数据(2023年)'!$R:$R,'船长每月数据(2023年)'!$F:$F,$BO$2,'船长每月数据(2023年)'!$E:$E,$C:$C)</f>
        <v>0</v>
      </c>
      <c r="BP33" s="21">
        <f>IFERROR(BO33/SUMIF('船长每月数据(2023年)'!$E:$E,$C:$C,'船长每月数据(2023年)'!$R:$R),0)</f>
        <v>0</v>
      </c>
      <c r="BQ33" s="20">
        <f>SUMIFS('船长每月数据(2023年)'!$P:$P,'船长每月数据(2023年)'!$F:$F,$BQ$2,'船长每月数据(2023年)'!$E:$E,$C:$C)</f>
        <v>0</v>
      </c>
      <c r="BR33" s="21">
        <f>IFERROR(BQ33/SUMIF('船长每月数据(2023年)'!$E:$E,$C:$C,'船长每月数据(2023年)'!$P:$P),0)</f>
        <v>0</v>
      </c>
      <c r="BS33" s="38">
        <f>SUMIFS('船长每月数据(2023年)'!$R:$R,'船长每月数据(2023年)'!$F:$F,$BS$2,'船长每月数据(2023年)'!$E:$E,$C:$C)</f>
        <v>0</v>
      </c>
      <c r="BT33" s="21">
        <f>IFERROR(BS33/SUMIF('船长每月数据(2023年)'!$E:$E,$C:$C,'船长每月数据(2023年)'!$R:$R),0)</f>
        <v>0</v>
      </c>
      <c r="BU33" s="20">
        <f>SUMIFS('船长每月数据(2023年)'!$P:$P,'船长每月数据(2023年)'!$F:$F,$BU$2,'船长每月数据(2023年)'!$E:$E,$C:$C)</f>
        <v>0</v>
      </c>
      <c r="BV33" s="21">
        <f>IFERROR(BU33/SUMIF('船长每月数据(2023年)'!$E:$E,$C:$C,'船长每月数据(2023年)'!$P:$P),0)</f>
        <v>0</v>
      </c>
      <c r="BW33" s="38">
        <f>SUMIFS('船长每月数据(2023年)'!$R:$R,'船长每月数据(2023年)'!$F:$F,$BW$2,'船长每月数据(2023年)'!$E:$E,$C:$C)</f>
        <v>0</v>
      </c>
      <c r="BX33" s="21">
        <f>IFERROR(BW33/SUMIF('船长每月数据(2023年)'!$E:$E,$C:$C,'船长每月数据(2023年)'!$R:$R),0)</f>
        <v>0</v>
      </c>
    </row>
    <row r="34" ht="23" customHeight="1" spans="1:76">
      <c r="A34" s="82"/>
      <c r="B34" s="36"/>
      <c r="C34" s="20"/>
      <c r="D34" s="74"/>
      <c r="E34" s="20">
        <f>SUMIFS('船长每月数据(2022年)'!$P:$P,'船长每月数据(2022年)'!$F:$F,$E$2,'船长每月数据(2022年)'!E:E,C:C)</f>
        <v>0</v>
      </c>
      <c r="F34" s="85">
        <f>SUMIFS('船长每月数据(2022年)'!$R:$R,'船长每月数据(2022年)'!$F:$F,$F$2,'船长每月数据(2022年)'!E:E,C:C)</f>
        <v>0</v>
      </c>
      <c r="G34" s="20">
        <f>SUMIFS('船长每月数据(2022年)'!$P:$P,'船长每月数据(2022年)'!$F:$F,$G$2,'船长每月数据(2022年)'!$E:$E,$C:$C)</f>
        <v>0</v>
      </c>
      <c r="H34" s="85">
        <f>SUMIFS('船长每月数据(2022年)'!$R:$R,'船长每月数据(2022年)'!$F:$F,$H$2,'船长每月数据(2022年)'!$E:$E,$C:$C)</f>
        <v>0</v>
      </c>
      <c r="I34" s="20">
        <f>SUMIFS('船长每月数据(2022年)'!$P:$P,'船长每月数据(2022年)'!$F:$F,$I$2,'船长每月数据(2022年)'!$E:$E,$C:$C)</f>
        <v>0</v>
      </c>
      <c r="J34" s="85">
        <f>SUMIFS('船长每月数据(2022年)'!$R:$R,'船长每月数据(2022年)'!$F:$F,$J$2,'船长每月数据(2022年)'!$E:$E,$C:$C)</f>
        <v>0</v>
      </c>
      <c r="K34" s="20">
        <f>SUMIFS('船长每月数据(2022年)'!$P:$P,'船长每月数据(2022年)'!$F:$F,$K$2,'船长每月数据(2022年)'!$E:$E,$C:$C)</f>
        <v>0</v>
      </c>
      <c r="L34" s="85">
        <f>SUMIFS('船长每月数据(2022年)'!$R:$R,'船长每月数据(2022年)'!$F:$F,$L$2,'船长每月数据(2022年)'!$E:$E,$C:$C)</f>
        <v>0</v>
      </c>
      <c r="M34" s="20">
        <f>SUMIFS('船长每月数据(2022年)'!$P:$P,'船长每月数据(2022年)'!$F:$F,$M$2,'船长每月数据(2022年)'!$E:$E,$C:$C)</f>
        <v>0</v>
      </c>
      <c r="N34" s="85">
        <f>SUMIFS('船长每月数据(2022年)'!$R:$R,'船长每月数据(2022年)'!$F:$F,$N$2,'船长每月数据(2022年)'!$E:$E,$C:$C)</f>
        <v>0</v>
      </c>
      <c r="O34" s="20">
        <f>SUMIFS('船长每月数据(2022年)'!$P:$P,'船长每月数据(2022年)'!$F:$F,$O$2,'船长每月数据(2022年)'!$E:$E,$C:$C)</f>
        <v>0</v>
      </c>
      <c r="P34" s="85">
        <f>SUMIFS('船长每月数据(2022年)'!$R:$R,'船长每月数据(2022年)'!$F:$F,$P$2,'船长每月数据(2022年)'!$E:$E,$C:$C)</f>
        <v>0</v>
      </c>
      <c r="Q34" s="20">
        <f>SUMIFS('船长每月数据(2022年)'!$P:$P,'船长每月数据(2022年)'!$F:$F,$Q$2,'船长每月数据(2022年)'!$E:$E,$C:$C)</f>
        <v>0</v>
      </c>
      <c r="R34" s="85">
        <f>SUMIFS('船长每月数据(2022年)'!$R:$R,'船长每月数据(2022年)'!$F:$F,$R$2,'船长每月数据(2022年)'!$E:$E,$C:$C)</f>
        <v>0</v>
      </c>
      <c r="S34" s="20">
        <f>SUMIFS('船长每月数据(2022年)'!$P:$P,'船长每月数据(2022年)'!$F:$F,$S$2,'船长每月数据(2022年)'!$E:$E,$C:$C)</f>
        <v>0</v>
      </c>
      <c r="T34" s="85">
        <f>SUMIFS('船长每月数据(2022年)'!$R:$R,'船长每月数据(2022年)'!$F:$F,$T$2,'船长每月数据(2022年)'!$E:$E,$C:$C)</f>
        <v>0</v>
      </c>
      <c r="U34" s="20">
        <f>SUMIFS('船长每月数据(2022年)'!$P:$P,'船长每月数据(2022年)'!$F:$F,$U$2,'船长每月数据(2022年)'!$E:$E,$C:$C)</f>
        <v>0</v>
      </c>
      <c r="V34" s="85">
        <f>SUMIFS('船长每月数据(2022年)'!$R:$R,'船长每月数据(2022年)'!$F:$F,$V$2,'船长每月数据(2022年)'!$E:$E,$C:$C)</f>
        <v>0</v>
      </c>
      <c r="W34" s="20">
        <f>SUMIFS('船长每月数据(2022年)'!$P:$P,'船长每月数据(2022年)'!$F:$F,$W$2,'船长每月数据(2022年)'!$E:$E,$C:$C)</f>
        <v>0</v>
      </c>
      <c r="X34" s="85">
        <f>SUMIFS('船长每月数据(2022年)'!$R:$R,'船长每月数据(2022年)'!$F:$F,$X$2,'船长每月数据(2022年)'!$E:$E,$C:$C)</f>
        <v>0</v>
      </c>
      <c r="Y34" s="20">
        <f>SUMIFS('船长每月数据(2022年)'!$P:$P,'船长每月数据(2022年)'!$F:$F,$Y$2,'船长每月数据(2022年)'!$E:$E,$C:$C)</f>
        <v>0</v>
      </c>
      <c r="Z34" s="85">
        <f>SUMIFS('船长每月数据(2022年)'!$R:$R,'船长每月数据(2022年)'!$F:$F,$Z$2,'船长每月数据(2022年)'!$E:$E,$C:$C)</f>
        <v>0</v>
      </c>
      <c r="AA34" s="20">
        <f>SUMIFS('船长每月数据(2022年)'!$P:$P,'船长每月数据(2022年)'!$F:$F,$AA$2,'船长每月数据(2022年)'!$E:$E,$C:$C)</f>
        <v>0</v>
      </c>
      <c r="AB34" s="85">
        <f>SUMIFS('船长每月数据(2022年)'!$R:$R,'船长每月数据(2022年)'!$F:$F,$AB$2,'船长每月数据(2022年)'!$E:$E,$C:$C)</f>
        <v>0</v>
      </c>
      <c r="AC34" s="20">
        <f>SUMIFS('船长每月数据(2023年)'!P:P,'船长每月数据(2023年)'!F:F,$AC$2,'船长每月数据(2023年)'!E:E,C:C)</f>
        <v>0</v>
      </c>
      <c r="AD34" s="21">
        <f>IFERROR(AC34/SUMIF('船长每月数据(2023年)'!$E:$E,C:C,'船长每月数据(2023年)'!P:P),0)</f>
        <v>0</v>
      </c>
      <c r="AE34" s="38">
        <f>SUMIFS('船长每月数据(2023年)'!$R:$R,'船长每月数据(2023年)'!$F:$F,$AE$2,'船长每月数据(2023年)'!$E:$E,$C:$C)</f>
        <v>0</v>
      </c>
      <c r="AF34" s="21">
        <f>IFERROR(AE34/SUMIF('船长每月数据(2023年)'!E:E,C:C,'船长每月数据(2023年)'!R:R),0)</f>
        <v>0</v>
      </c>
      <c r="AG34" s="20">
        <f>SUMIFS('船长每月数据(2023年)'!P:P,'船长每月数据(2023年)'!F:F,$AG$2,'船长每月数据(2023年)'!E:E,C:C)</f>
        <v>0</v>
      </c>
      <c r="AH34" s="21">
        <f>IFERROR(AG34/SUMIF('船长每月数据(2023年)'!$E:$E,$C:$C,'船长每月数据(2023年)'!$P:$P),0)</f>
        <v>0</v>
      </c>
      <c r="AI34" s="38">
        <f>SUMIFS('船长每月数据(2023年)'!$R:$R,'船长每月数据(2023年)'!$F:$F,$AI$2,'船长每月数据(2023年)'!$E:$E,$C:$C)</f>
        <v>0</v>
      </c>
      <c r="AJ34" s="21">
        <f>IFERROR(AI34/SUMIF('船长每月数据(2023年)'!$E:$E,$C:$C,'船长每月数据(2023年)'!$R:$R),0)</f>
        <v>0</v>
      </c>
      <c r="AK34" s="20">
        <f>SUMIFS('船长每月数据(2023年)'!P:P,'船长每月数据(2023年)'!F:F,$AK$2,'船长每月数据(2023年)'!E:E,C:C)</f>
        <v>0</v>
      </c>
      <c r="AL34" s="21">
        <f>IFERROR(AK34/SUMIF('船长每月数据(2023年)'!$E:$E,$C:$C,'船长每月数据(2023年)'!$P:$P),0)</f>
        <v>0</v>
      </c>
      <c r="AM34" s="38">
        <f>SUMIFS('船长每月数据(2023年)'!$R:$R,'船长每月数据(2023年)'!$F:$F,$AM$2,'船长每月数据(2023年)'!$E:$E,$C:$C)</f>
        <v>0</v>
      </c>
      <c r="AN34" s="21">
        <f>IFERROR(AM34/SUMIF('船长每月数据(2023年)'!$E:$E,$C:$C,'船长每月数据(2023年)'!$R:$R),0)</f>
        <v>0</v>
      </c>
      <c r="AO34" s="20">
        <f>SUMIFS('船长每月数据(2023年)'!P:P,'船长每月数据(2023年)'!F:F,$AO$2,'船长每月数据(2023年)'!E:E,C:C)</f>
        <v>0</v>
      </c>
      <c r="AP34" s="21">
        <f>IFERROR(AO34/SUMIF('船长每月数据(2023年)'!$E:$E,$C:$C,'船长每月数据(2023年)'!$P:$P),0)</f>
        <v>0</v>
      </c>
      <c r="AQ34" s="38">
        <f>SUMIFS('船长每月数据(2023年)'!$R:$R,'船长每月数据(2023年)'!$F:$F,$AQ$2,'船长每月数据(2023年)'!$E:$E,$C:$C)</f>
        <v>0</v>
      </c>
      <c r="AR34" s="21">
        <f>IFERROR(AQ34/SUMIF('船长每月数据(2023年)'!$E:$E,$C:$C,'船长每月数据(2023年)'!$R:$R),0)</f>
        <v>0</v>
      </c>
      <c r="AS34" s="20">
        <f>SUMIFS('船长每月数据(2023年)'!$P:$P,'船长每月数据(2023年)'!$F:$F,$AS$2,'船长每月数据(2023年)'!$E:$E,$C:$C)</f>
        <v>0</v>
      </c>
      <c r="AT34" s="21">
        <f>IFERROR(AS34/SUMIF('船长每月数据(2023年)'!$E:$E,$C:$C,'船长每月数据(2023年)'!$P:$P),0)</f>
        <v>0</v>
      </c>
      <c r="AU34" s="38">
        <f>SUMIFS('船长每月数据(2023年)'!$R:$R,'船长每月数据(2023年)'!$F:$F,$AU$2,'船长每月数据(2023年)'!$E:$E,$C:$C)</f>
        <v>0</v>
      </c>
      <c r="AV34" s="21">
        <f>IFERROR(AU34/SUMIF('船长每月数据(2023年)'!$E:$E,$C:$C,'船长每月数据(2023年)'!$R:$R),0)</f>
        <v>0</v>
      </c>
      <c r="AW34" s="20">
        <f>SUMIFS('船长每月数据(2023年)'!$P:$P,'船长每月数据(2023年)'!$F:$F,$AW$2,'船长每月数据(2023年)'!$E:$E,$C:$C)</f>
        <v>0</v>
      </c>
      <c r="AX34" s="21">
        <f>IFERROR(AW34/SUMIF('船长每月数据(2023年)'!$E:$E,$C:$C,'船长每月数据(2023年)'!$P:$P),0)</f>
        <v>0</v>
      </c>
      <c r="AY34" s="38">
        <f>SUMIFS('船长每月数据(2023年)'!$R:$R,'船长每月数据(2023年)'!$F:$F,$AY$2,'船长每月数据(2023年)'!$E:$E,$C:$C)</f>
        <v>0</v>
      </c>
      <c r="AZ34" s="21">
        <f>IFERROR(AY34/SUMIF('船长每月数据(2023年)'!$E:$E,$C:$C,'船长每月数据(2023年)'!$R:$R),0)</f>
        <v>0</v>
      </c>
      <c r="BA34" s="20">
        <f>SUMIFS('船长每月数据(2023年)'!$P:$P,'船长每月数据(2023年)'!$F:$F,$BA$2,'船长每月数据(2023年)'!$E:$E,$C:$C)</f>
        <v>0</v>
      </c>
      <c r="BB34" s="21">
        <f>IFERROR(BA34/SUMIF('船长每月数据(2023年)'!$E:$E,$C:$C,'船长每月数据(2023年)'!$P:$P),0)</f>
        <v>0</v>
      </c>
      <c r="BC34" s="38">
        <f>SUMIFS('船长每月数据(2023年)'!$R:$R,'船长每月数据(2023年)'!$F:$F,$BC$2,'船长每月数据(2023年)'!$E:$E,$C:$C)</f>
        <v>0</v>
      </c>
      <c r="BD34" s="21">
        <f>IFERROR(BC34/SUMIF('船长每月数据(2023年)'!$E:$E,$C:$C,'船长每月数据(2023年)'!$R:$R),0)</f>
        <v>0</v>
      </c>
      <c r="BE34" s="20">
        <f>SUMIFS('船长每月数据(2023年)'!$P:$P,'船长每月数据(2023年)'!$F:$F,$BE$2,'船长每月数据(2023年)'!$E:$E,$C:$C)</f>
        <v>0</v>
      </c>
      <c r="BF34" s="21">
        <f>IFERROR(BE34/SUMIF('船长每月数据(2023年)'!$E:$E,$C:$C,'船长每月数据(2023年)'!$P:$P),0)</f>
        <v>0</v>
      </c>
      <c r="BG34" s="38">
        <f>SUMIFS('船长每月数据(2023年)'!$R:$R,'船长每月数据(2023年)'!$F:$F,$BG$2,'船长每月数据(2023年)'!$E:$E,$C:$C)</f>
        <v>0</v>
      </c>
      <c r="BH34" s="21">
        <f>IFERROR(BG34/SUMIF('船长每月数据(2023年)'!$E:$E,$C:$C,'船长每月数据(2023年)'!$R:$R),0)</f>
        <v>0</v>
      </c>
      <c r="BI34" s="20">
        <f>SUMIFS('船长每月数据(2023年)'!$P:$P,'船长每月数据(2023年)'!$F:$F,$BI$2,'船长每月数据(2023年)'!$E:$E,$C:$C)</f>
        <v>0</v>
      </c>
      <c r="BJ34" s="21">
        <f>IFERROR(BI34/SUMIF('船长每月数据(2023年)'!$E:$E,$C:$C,'船长每月数据(2023年)'!$P:$P),0)</f>
        <v>0</v>
      </c>
      <c r="BK34" s="38">
        <f>SUMIFS('船长每月数据(2023年)'!$R:$R,'船长每月数据(2023年)'!$F:$F,$BK$2,'船长每月数据(2023年)'!$E:$E,$C:$C)</f>
        <v>0</v>
      </c>
      <c r="BL34" s="21">
        <f>IFERROR(BK34/SUMIF('船长每月数据(2023年)'!$E:$E,$C:$C,'船长每月数据(2023年)'!$R:$R),0)</f>
        <v>0</v>
      </c>
      <c r="BM34" s="20">
        <f>SUMIFS('船长每月数据(2023年)'!$P:$P,'船长每月数据(2023年)'!$F:$F,$BM$2,'船长每月数据(2023年)'!$E:$E,$C:$C)</f>
        <v>0</v>
      </c>
      <c r="BN34" s="21">
        <f>IFERROR(BM34/SUMIF('船长每月数据(2023年)'!$E:$E,$C:$C,'船长每月数据(2023年)'!$P:$P),0)</f>
        <v>0</v>
      </c>
      <c r="BO34" s="38">
        <f>SUMIFS('船长每月数据(2023年)'!$R:$R,'船长每月数据(2023年)'!$F:$F,$BO$2,'船长每月数据(2023年)'!$E:$E,$C:$C)</f>
        <v>0</v>
      </c>
      <c r="BP34" s="21">
        <f>IFERROR(BO34/SUMIF('船长每月数据(2023年)'!$E:$E,$C:$C,'船长每月数据(2023年)'!$R:$R),0)</f>
        <v>0</v>
      </c>
      <c r="BQ34" s="20">
        <f>SUMIFS('船长每月数据(2023年)'!$P:$P,'船长每月数据(2023年)'!$F:$F,$BQ$2,'船长每月数据(2023年)'!$E:$E,$C:$C)</f>
        <v>0</v>
      </c>
      <c r="BR34" s="21">
        <f>IFERROR(BQ34/SUMIF('船长每月数据(2023年)'!$E:$E,$C:$C,'船长每月数据(2023年)'!$P:$P),0)</f>
        <v>0</v>
      </c>
      <c r="BS34" s="38">
        <f>SUMIFS('船长每月数据(2023年)'!$R:$R,'船长每月数据(2023年)'!$F:$F,$BS$2,'船长每月数据(2023年)'!$E:$E,$C:$C)</f>
        <v>0</v>
      </c>
      <c r="BT34" s="21">
        <f>IFERROR(BS34/SUMIF('船长每月数据(2023年)'!$E:$E,$C:$C,'船长每月数据(2023年)'!$R:$R),0)</f>
        <v>0</v>
      </c>
      <c r="BU34" s="20">
        <f>SUMIFS('船长每月数据(2023年)'!$P:$P,'船长每月数据(2023年)'!$F:$F,$BU$2,'船长每月数据(2023年)'!$E:$E,$C:$C)</f>
        <v>0</v>
      </c>
      <c r="BV34" s="21">
        <f>IFERROR(BU34/SUMIF('船长每月数据(2023年)'!$E:$E,$C:$C,'船长每月数据(2023年)'!$P:$P),0)</f>
        <v>0</v>
      </c>
      <c r="BW34" s="38">
        <f>SUMIFS('船长每月数据(2023年)'!$R:$R,'船长每月数据(2023年)'!$F:$F,$BW$2,'船长每月数据(2023年)'!$E:$E,$C:$C)</f>
        <v>0</v>
      </c>
      <c r="BX34" s="21">
        <f>IFERROR(BW34/SUMIF('船长每月数据(2023年)'!$E:$E,$C:$C,'船长每月数据(2023年)'!$R:$R),0)</f>
        <v>0</v>
      </c>
    </row>
    <row r="35" ht="23" customHeight="1" spans="1:76">
      <c r="A35" s="82"/>
      <c r="B35" s="36"/>
      <c r="C35" s="20"/>
      <c r="D35" s="74"/>
      <c r="E35" s="20">
        <f>SUMIFS('船长每月数据(2022年)'!$P:$P,'船长每月数据(2022年)'!$F:$F,$E$2,'船长每月数据(2022年)'!E:E,C:C)</f>
        <v>0</v>
      </c>
      <c r="F35" s="85">
        <f>SUMIFS('船长每月数据(2022年)'!$R:$R,'船长每月数据(2022年)'!$F:$F,$F$2,'船长每月数据(2022年)'!E:E,C:C)</f>
        <v>0</v>
      </c>
      <c r="G35" s="20">
        <f>SUMIFS('船长每月数据(2022年)'!$P:$P,'船长每月数据(2022年)'!$F:$F,$G$2,'船长每月数据(2022年)'!$E:$E,$C:$C)</f>
        <v>0</v>
      </c>
      <c r="H35" s="85">
        <f>SUMIFS('船长每月数据(2022年)'!$R:$R,'船长每月数据(2022年)'!$F:$F,$H$2,'船长每月数据(2022年)'!$E:$E,$C:$C)</f>
        <v>0</v>
      </c>
      <c r="I35" s="20">
        <f>SUMIFS('船长每月数据(2022年)'!$P:$P,'船长每月数据(2022年)'!$F:$F,$I$2,'船长每月数据(2022年)'!$E:$E,$C:$C)</f>
        <v>0</v>
      </c>
      <c r="J35" s="85">
        <f>SUMIFS('船长每月数据(2022年)'!$R:$R,'船长每月数据(2022年)'!$F:$F,$J$2,'船长每月数据(2022年)'!$E:$E,$C:$C)</f>
        <v>0</v>
      </c>
      <c r="K35" s="20">
        <f>SUMIFS('船长每月数据(2022年)'!$P:$P,'船长每月数据(2022年)'!$F:$F,$K$2,'船长每月数据(2022年)'!$E:$E,$C:$C)</f>
        <v>0</v>
      </c>
      <c r="L35" s="85">
        <f>SUMIFS('船长每月数据(2022年)'!$R:$R,'船长每月数据(2022年)'!$F:$F,$L$2,'船长每月数据(2022年)'!$E:$E,$C:$C)</f>
        <v>0</v>
      </c>
      <c r="M35" s="20">
        <f>SUMIFS('船长每月数据(2022年)'!$P:$P,'船长每月数据(2022年)'!$F:$F,$M$2,'船长每月数据(2022年)'!$E:$E,$C:$C)</f>
        <v>0</v>
      </c>
      <c r="N35" s="85">
        <f>SUMIFS('船长每月数据(2022年)'!$R:$R,'船长每月数据(2022年)'!$F:$F,$N$2,'船长每月数据(2022年)'!$E:$E,$C:$C)</f>
        <v>0</v>
      </c>
      <c r="O35" s="20">
        <f>SUMIFS('船长每月数据(2022年)'!$P:$P,'船长每月数据(2022年)'!$F:$F,$O$2,'船长每月数据(2022年)'!$E:$E,$C:$C)</f>
        <v>0</v>
      </c>
      <c r="P35" s="85">
        <f>SUMIFS('船长每月数据(2022年)'!$R:$R,'船长每月数据(2022年)'!$F:$F,$P$2,'船长每月数据(2022年)'!$E:$E,$C:$C)</f>
        <v>0</v>
      </c>
      <c r="Q35" s="20">
        <f>SUMIFS('船长每月数据(2022年)'!$P:$P,'船长每月数据(2022年)'!$F:$F,$Q$2,'船长每月数据(2022年)'!$E:$E,$C:$C)</f>
        <v>0</v>
      </c>
      <c r="R35" s="85">
        <f>SUMIFS('船长每月数据(2022年)'!$R:$R,'船长每月数据(2022年)'!$F:$F,$R$2,'船长每月数据(2022年)'!$E:$E,$C:$C)</f>
        <v>0</v>
      </c>
      <c r="S35" s="20">
        <f>SUMIFS('船长每月数据(2022年)'!$P:$P,'船长每月数据(2022年)'!$F:$F,$S$2,'船长每月数据(2022年)'!$E:$E,$C:$C)</f>
        <v>0</v>
      </c>
      <c r="T35" s="85">
        <f>SUMIFS('船长每月数据(2022年)'!$R:$R,'船长每月数据(2022年)'!$F:$F,$T$2,'船长每月数据(2022年)'!$E:$E,$C:$C)</f>
        <v>0</v>
      </c>
      <c r="U35" s="20">
        <f>SUMIFS('船长每月数据(2022年)'!$P:$P,'船长每月数据(2022年)'!$F:$F,$U$2,'船长每月数据(2022年)'!$E:$E,$C:$C)</f>
        <v>0</v>
      </c>
      <c r="V35" s="85">
        <f>SUMIFS('船长每月数据(2022年)'!$R:$R,'船长每月数据(2022年)'!$F:$F,$V$2,'船长每月数据(2022年)'!$E:$E,$C:$C)</f>
        <v>0</v>
      </c>
      <c r="W35" s="20">
        <f>SUMIFS('船长每月数据(2022年)'!$P:$P,'船长每月数据(2022年)'!$F:$F,$W$2,'船长每月数据(2022年)'!$E:$E,$C:$C)</f>
        <v>0</v>
      </c>
      <c r="X35" s="85">
        <f>SUMIFS('船长每月数据(2022年)'!$R:$R,'船长每月数据(2022年)'!$F:$F,$X$2,'船长每月数据(2022年)'!$E:$E,$C:$C)</f>
        <v>0</v>
      </c>
      <c r="Y35" s="20">
        <f>SUMIFS('船长每月数据(2022年)'!$P:$P,'船长每月数据(2022年)'!$F:$F,$Y$2,'船长每月数据(2022年)'!$E:$E,$C:$C)</f>
        <v>0</v>
      </c>
      <c r="Z35" s="85">
        <f>SUMIFS('船长每月数据(2022年)'!$R:$R,'船长每月数据(2022年)'!$F:$F,$Z$2,'船长每月数据(2022年)'!$E:$E,$C:$C)</f>
        <v>0</v>
      </c>
      <c r="AA35" s="20">
        <f>SUMIFS('船长每月数据(2022年)'!$P:$P,'船长每月数据(2022年)'!$F:$F,$AA$2,'船长每月数据(2022年)'!$E:$E,$C:$C)</f>
        <v>0</v>
      </c>
      <c r="AB35" s="85">
        <f>SUMIFS('船长每月数据(2022年)'!$R:$R,'船长每月数据(2022年)'!$F:$F,$AB$2,'船长每月数据(2022年)'!$E:$E,$C:$C)</f>
        <v>0</v>
      </c>
      <c r="AC35" s="20">
        <f>SUMIFS('船长每月数据(2023年)'!P:P,'船长每月数据(2023年)'!F:F,$AC$2,'船长每月数据(2023年)'!E:E,C:C)</f>
        <v>0</v>
      </c>
      <c r="AD35" s="21">
        <f>IFERROR(AC35/SUMIF('船长每月数据(2023年)'!$E:$E,C:C,'船长每月数据(2023年)'!P:P),0)</f>
        <v>0</v>
      </c>
      <c r="AE35" s="38">
        <f>SUMIFS('船长每月数据(2023年)'!$R:$R,'船长每月数据(2023年)'!$F:$F,$AE$2,'船长每月数据(2023年)'!$E:$E,$C:$C)</f>
        <v>0</v>
      </c>
      <c r="AF35" s="21">
        <f>IFERROR(AE35/SUMIF('船长每月数据(2023年)'!E:E,C:C,'船长每月数据(2023年)'!R:R),0)</f>
        <v>0</v>
      </c>
      <c r="AG35" s="20">
        <f>SUMIFS('船长每月数据(2023年)'!P:P,'船长每月数据(2023年)'!F:F,$AG$2,'船长每月数据(2023年)'!E:E,C:C)</f>
        <v>0</v>
      </c>
      <c r="AH35" s="21">
        <f>IFERROR(AG35/SUMIF('船长每月数据(2023年)'!$E:$E,$C:$C,'船长每月数据(2023年)'!$P:$P),0)</f>
        <v>0</v>
      </c>
      <c r="AI35" s="38">
        <f>SUMIFS('船长每月数据(2023年)'!$R:$R,'船长每月数据(2023年)'!$F:$F,$AI$2,'船长每月数据(2023年)'!$E:$E,$C:$C)</f>
        <v>0</v>
      </c>
      <c r="AJ35" s="21">
        <f>IFERROR(AI35/SUMIF('船长每月数据(2023年)'!$E:$E,$C:$C,'船长每月数据(2023年)'!$R:$R),0)</f>
        <v>0</v>
      </c>
      <c r="AK35" s="20">
        <f>SUMIFS('船长每月数据(2023年)'!P:P,'船长每月数据(2023年)'!F:F,$AK$2,'船长每月数据(2023年)'!E:E,C:C)</f>
        <v>0</v>
      </c>
      <c r="AL35" s="21">
        <f>IFERROR(AK35/SUMIF('船长每月数据(2023年)'!$E:$E,$C:$C,'船长每月数据(2023年)'!$P:$P),0)</f>
        <v>0</v>
      </c>
      <c r="AM35" s="38">
        <f>SUMIFS('船长每月数据(2023年)'!$R:$R,'船长每月数据(2023年)'!$F:$F,$AM$2,'船长每月数据(2023年)'!$E:$E,$C:$C)</f>
        <v>0</v>
      </c>
      <c r="AN35" s="21">
        <f>IFERROR(AM35/SUMIF('船长每月数据(2023年)'!$E:$E,$C:$C,'船长每月数据(2023年)'!$R:$R),0)</f>
        <v>0</v>
      </c>
      <c r="AO35" s="20">
        <f>SUMIFS('船长每月数据(2023年)'!P:P,'船长每月数据(2023年)'!F:F,$AO$2,'船长每月数据(2023年)'!E:E,C:C)</f>
        <v>0</v>
      </c>
      <c r="AP35" s="21">
        <f>IFERROR(AO35/SUMIF('船长每月数据(2023年)'!$E:$E,$C:$C,'船长每月数据(2023年)'!$P:$P),0)</f>
        <v>0</v>
      </c>
      <c r="AQ35" s="38">
        <f>SUMIFS('船长每月数据(2023年)'!$R:$R,'船长每月数据(2023年)'!$F:$F,$AQ$2,'船长每月数据(2023年)'!$E:$E,$C:$C)</f>
        <v>0</v>
      </c>
      <c r="AR35" s="21">
        <f>IFERROR(AQ35/SUMIF('船长每月数据(2023年)'!$E:$E,$C:$C,'船长每月数据(2023年)'!$R:$R),0)</f>
        <v>0</v>
      </c>
      <c r="AS35" s="20">
        <f>SUMIFS('船长每月数据(2023年)'!$P:$P,'船长每月数据(2023年)'!$F:$F,$AS$2,'船长每月数据(2023年)'!$E:$E,$C:$C)</f>
        <v>0</v>
      </c>
      <c r="AT35" s="21">
        <f>IFERROR(AS35/SUMIF('船长每月数据(2023年)'!$E:$E,$C:$C,'船长每月数据(2023年)'!$P:$P),0)</f>
        <v>0</v>
      </c>
      <c r="AU35" s="38">
        <f>SUMIFS('船长每月数据(2023年)'!$R:$R,'船长每月数据(2023年)'!$F:$F,$AU$2,'船长每月数据(2023年)'!$E:$E,$C:$C)</f>
        <v>0</v>
      </c>
      <c r="AV35" s="21">
        <f>IFERROR(AU35/SUMIF('船长每月数据(2023年)'!$E:$E,$C:$C,'船长每月数据(2023年)'!$R:$R),0)</f>
        <v>0</v>
      </c>
      <c r="AW35" s="20">
        <f>SUMIFS('船长每月数据(2023年)'!$P:$P,'船长每月数据(2023年)'!$F:$F,$AW$2,'船长每月数据(2023年)'!$E:$E,$C:$C)</f>
        <v>0</v>
      </c>
      <c r="AX35" s="21">
        <f>IFERROR(AW35/SUMIF('船长每月数据(2023年)'!$E:$E,$C:$C,'船长每月数据(2023年)'!$P:$P),0)</f>
        <v>0</v>
      </c>
      <c r="AY35" s="38">
        <f>SUMIFS('船长每月数据(2023年)'!$R:$R,'船长每月数据(2023年)'!$F:$F,$AY$2,'船长每月数据(2023年)'!$E:$E,$C:$C)</f>
        <v>0</v>
      </c>
      <c r="AZ35" s="21">
        <f>IFERROR(AY35/SUMIF('船长每月数据(2023年)'!$E:$E,$C:$C,'船长每月数据(2023年)'!$R:$R),0)</f>
        <v>0</v>
      </c>
      <c r="BA35" s="20">
        <f>SUMIFS('船长每月数据(2023年)'!$P:$P,'船长每月数据(2023年)'!$F:$F,$BA$2,'船长每月数据(2023年)'!$E:$E,$C:$C)</f>
        <v>0</v>
      </c>
      <c r="BB35" s="21">
        <f>IFERROR(BA35/SUMIF('船长每月数据(2023年)'!$E:$E,$C:$C,'船长每月数据(2023年)'!$P:$P),0)</f>
        <v>0</v>
      </c>
      <c r="BC35" s="38">
        <f>SUMIFS('船长每月数据(2023年)'!$R:$R,'船长每月数据(2023年)'!$F:$F,$BC$2,'船长每月数据(2023年)'!$E:$E,$C:$C)</f>
        <v>0</v>
      </c>
      <c r="BD35" s="21">
        <f>IFERROR(BC35/SUMIF('船长每月数据(2023年)'!$E:$E,$C:$C,'船长每月数据(2023年)'!$R:$R),0)</f>
        <v>0</v>
      </c>
      <c r="BE35" s="20">
        <f>SUMIFS('船长每月数据(2023年)'!$P:$P,'船长每月数据(2023年)'!$F:$F,$BE$2,'船长每月数据(2023年)'!$E:$E,$C:$C)</f>
        <v>0</v>
      </c>
      <c r="BF35" s="21">
        <f>IFERROR(BE35/SUMIF('船长每月数据(2023年)'!$E:$E,$C:$C,'船长每月数据(2023年)'!$P:$P),0)</f>
        <v>0</v>
      </c>
      <c r="BG35" s="38">
        <f>SUMIFS('船长每月数据(2023年)'!$R:$R,'船长每月数据(2023年)'!$F:$F,$BG$2,'船长每月数据(2023年)'!$E:$E,$C:$C)</f>
        <v>0</v>
      </c>
      <c r="BH35" s="21">
        <f>IFERROR(BG35/SUMIF('船长每月数据(2023年)'!$E:$E,$C:$C,'船长每月数据(2023年)'!$R:$R),0)</f>
        <v>0</v>
      </c>
      <c r="BI35" s="20">
        <f>SUMIFS('船长每月数据(2023年)'!$P:$P,'船长每月数据(2023年)'!$F:$F,$BI$2,'船长每月数据(2023年)'!$E:$E,$C:$C)</f>
        <v>0</v>
      </c>
      <c r="BJ35" s="21">
        <f>IFERROR(BI35/SUMIF('船长每月数据(2023年)'!$E:$E,$C:$C,'船长每月数据(2023年)'!$P:$P),0)</f>
        <v>0</v>
      </c>
      <c r="BK35" s="38">
        <f>SUMIFS('船长每月数据(2023年)'!$R:$R,'船长每月数据(2023年)'!$F:$F,$BK$2,'船长每月数据(2023年)'!$E:$E,$C:$C)</f>
        <v>0</v>
      </c>
      <c r="BL35" s="21">
        <f>IFERROR(BK35/SUMIF('船长每月数据(2023年)'!$E:$E,$C:$C,'船长每月数据(2023年)'!$R:$R),0)</f>
        <v>0</v>
      </c>
      <c r="BM35" s="20">
        <f>SUMIFS('船长每月数据(2023年)'!$P:$P,'船长每月数据(2023年)'!$F:$F,$BM$2,'船长每月数据(2023年)'!$E:$E,$C:$C)</f>
        <v>0</v>
      </c>
      <c r="BN35" s="21">
        <f>IFERROR(BM35/SUMIF('船长每月数据(2023年)'!$E:$E,$C:$C,'船长每月数据(2023年)'!$P:$P),0)</f>
        <v>0</v>
      </c>
      <c r="BO35" s="38">
        <f>SUMIFS('船长每月数据(2023年)'!$R:$R,'船长每月数据(2023年)'!$F:$F,$BO$2,'船长每月数据(2023年)'!$E:$E,$C:$C)</f>
        <v>0</v>
      </c>
      <c r="BP35" s="21">
        <f>IFERROR(BO35/SUMIF('船长每月数据(2023年)'!$E:$E,$C:$C,'船长每月数据(2023年)'!$R:$R),0)</f>
        <v>0</v>
      </c>
      <c r="BQ35" s="20">
        <f>SUMIFS('船长每月数据(2023年)'!$P:$P,'船长每月数据(2023年)'!$F:$F,$BQ$2,'船长每月数据(2023年)'!$E:$E,$C:$C)</f>
        <v>0</v>
      </c>
      <c r="BR35" s="21">
        <f>IFERROR(BQ35/SUMIF('船长每月数据(2023年)'!$E:$E,$C:$C,'船长每月数据(2023年)'!$P:$P),0)</f>
        <v>0</v>
      </c>
      <c r="BS35" s="38">
        <f>SUMIFS('船长每月数据(2023年)'!$R:$R,'船长每月数据(2023年)'!$F:$F,$BS$2,'船长每月数据(2023年)'!$E:$E,$C:$C)</f>
        <v>0</v>
      </c>
      <c r="BT35" s="21">
        <f>IFERROR(BS35/SUMIF('船长每月数据(2023年)'!$E:$E,$C:$C,'船长每月数据(2023年)'!$R:$R),0)</f>
        <v>0</v>
      </c>
      <c r="BU35" s="20">
        <f>SUMIFS('船长每月数据(2023年)'!$P:$P,'船长每月数据(2023年)'!$F:$F,$BU$2,'船长每月数据(2023年)'!$E:$E,$C:$C)</f>
        <v>0</v>
      </c>
      <c r="BV35" s="21">
        <f>IFERROR(BU35/SUMIF('船长每月数据(2023年)'!$E:$E,$C:$C,'船长每月数据(2023年)'!$P:$P),0)</f>
        <v>0</v>
      </c>
      <c r="BW35" s="38">
        <f>SUMIFS('船长每月数据(2023年)'!$R:$R,'船长每月数据(2023年)'!$F:$F,$BW$2,'船长每月数据(2023年)'!$E:$E,$C:$C)</f>
        <v>0</v>
      </c>
      <c r="BX35" s="21">
        <f>IFERROR(BW35/SUMIF('船长每月数据(2023年)'!$E:$E,$C:$C,'船长每月数据(2023年)'!$R:$R),0)</f>
        <v>0</v>
      </c>
    </row>
    <row r="36" ht="23" customHeight="1" spans="1:76">
      <c r="A36" s="82"/>
      <c r="B36" s="36"/>
      <c r="C36" s="20"/>
      <c r="D36" s="74"/>
      <c r="E36" s="20">
        <f>SUMIFS('船长每月数据(2022年)'!$P:$P,'船长每月数据(2022年)'!$F:$F,$E$2,'船长每月数据(2022年)'!E:E,C:C)</f>
        <v>0</v>
      </c>
      <c r="F36" s="85">
        <f>SUMIFS('船长每月数据(2022年)'!$R:$R,'船长每月数据(2022年)'!$F:$F,$F$2,'船长每月数据(2022年)'!E:E,C:C)</f>
        <v>0</v>
      </c>
      <c r="G36" s="20">
        <f>SUMIFS('船长每月数据(2022年)'!$P:$P,'船长每月数据(2022年)'!$F:$F,$G$2,'船长每月数据(2022年)'!$E:$E,$C:$C)</f>
        <v>0</v>
      </c>
      <c r="H36" s="85">
        <f>SUMIFS('船长每月数据(2022年)'!$R:$R,'船长每月数据(2022年)'!$F:$F,$H$2,'船长每月数据(2022年)'!$E:$E,$C:$C)</f>
        <v>0</v>
      </c>
      <c r="I36" s="20">
        <f>SUMIFS('船长每月数据(2022年)'!$P:$P,'船长每月数据(2022年)'!$F:$F,$I$2,'船长每月数据(2022年)'!$E:$E,$C:$C)</f>
        <v>0</v>
      </c>
      <c r="J36" s="85">
        <f>SUMIFS('船长每月数据(2022年)'!$R:$R,'船长每月数据(2022年)'!$F:$F,$J$2,'船长每月数据(2022年)'!$E:$E,$C:$C)</f>
        <v>0</v>
      </c>
      <c r="K36" s="20">
        <f>SUMIFS('船长每月数据(2022年)'!$P:$P,'船长每月数据(2022年)'!$F:$F,$K$2,'船长每月数据(2022年)'!$E:$E,$C:$C)</f>
        <v>0</v>
      </c>
      <c r="L36" s="85">
        <f>SUMIFS('船长每月数据(2022年)'!$R:$R,'船长每月数据(2022年)'!$F:$F,$L$2,'船长每月数据(2022年)'!$E:$E,$C:$C)</f>
        <v>0</v>
      </c>
      <c r="M36" s="20">
        <f>SUMIFS('船长每月数据(2022年)'!$P:$P,'船长每月数据(2022年)'!$F:$F,$M$2,'船长每月数据(2022年)'!$E:$E,$C:$C)</f>
        <v>0</v>
      </c>
      <c r="N36" s="85">
        <f>SUMIFS('船长每月数据(2022年)'!$R:$R,'船长每月数据(2022年)'!$F:$F,$N$2,'船长每月数据(2022年)'!$E:$E,$C:$C)</f>
        <v>0</v>
      </c>
      <c r="O36" s="20">
        <f>SUMIFS('船长每月数据(2022年)'!$P:$P,'船长每月数据(2022年)'!$F:$F,$O$2,'船长每月数据(2022年)'!$E:$E,$C:$C)</f>
        <v>0</v>
      </c>
      <c r="P36" s="85">
        <f>SUMIFS('船长每月数据(2022年)'!$R:$R,'船长每月数据(2022年)'!$F:$F,$P$2,'船长每月数据(2022年)'!$E:$E,$C:$C)</f>
        <v>0</v>
      </c>
      <c r="Q36" s="20">
        <f>SUMIFS('船长每月数据(2022年)'!$P:$P,'船长每月数据(2022年)'!$F:$F,$Q$2,'船长每月数据(2022年)'!$E:$E,$C:$C)</f>
        <v>0</v>
      </c>
      <c r="R36" s="85">
        <f>SUMIFS('船长每月数据(2022年)'!$R:$R,'船长每月数据(2022年)'!$F:$F,$R$2,'船长每月数据(2022年)'!$E:$E,$C:$C)</f>
        <v>0</v>
      </c>
      <c r="S36" s="20">
        <f>SUMIFS('船长每月数据(2022年)'!$P:$P,'船长每月数据(2022年)'!$F:$F,$S$2,'船长每月数据(2022年)'!$E:$E,$C:$C)</f>
        <v>0</v>
      </c>
      <c r="T36" s="85">
        <f>SUMIFS('船长每月数据(2022年)'!$R:$R,'船长每月数据(2022年)'!$F:$F,$T$2,'船长每月数据(2022年)'!$E:$E,$C:$C)</f>
        <v>0</v>
      </c>
      <c r="U36" s="20">
        <f>SUMIFS('船长每月数据(2022年)'!$P:$P,'船长每月数据(2022年)'!$F:$F,$U$2,'船长每月数据(2022年)'!$E:$E,$C:$C)</f>
        <v>0</v>
      </c>
      <c r="V36" s="85">
        <f>SUMIFS('船长每月数据(2022年)'!$R:$R,'船长每月数据(2022年)'!$F:$F,$V$2,'船长每月数据(2022年)'!$E:$E,$C:$C)</f>
        <v>0</v>
      </c>
      <c r="W36" s="20">
        <f>SUMIFS('船长每月数据(2022年)'!$P:$P,'船长每月数据(2022年)'!$F:$F,$W$2,'船长每月数据(2022年)'!$E:$E,$C:$C)</f>
        <v>0</v>
      </c>
      <c r="X36" s="85">
        <f>SUMIFS('船长每月数据(2022年)'!$R:$R,'船长每月数据(2022年)'!$F:$F,$X$2,'船长每月数据(2022年)'!$E:$E,$C:$C)</f>
        <v>0</v>
      </c>
      <c r="Y36" s="20">
        <f>SUMIFS('船长每月数据(2022年)'!$P:$P,'船长每月数据(2022年)'!$F:$F,$Y$2,'船长每月数据(2022年)'!$E:$E,$C:$C)</f>
        <v>0</v>
      </c>
      <c r="Z36" s="85">
        <f>SUMIFS('船长每月数据(2022年)'!$R:$R,'船长每月数据(2022年)'!$F:$F,$Z$2,'船长每月数据(2022年)'!$E:$E,$C:$C)</f>
        <v>0</v>
      </c>
      <c r="AA36" s="20">
        <f>SUMIFS('船长每月数据(2022年)'!$P:$P,'船长每月数据(2022年)'!$F:$F,$AA$2,'船长每月数据(2022年)'!$E:$E,$C:$C)</f>
        <v>0</v>
      </c>
      <c r="AB36" s="85">
        <f>SUMIFS('船长每月数据(2022年)'!$R:$R,'船长每月数据(2022年)'!$F:$F,$AB$2,'船长每月数据(2022年)'!$E:$E,$C:$C)</f>
        <v>0</v>
      </c>
      <c r="AC36" s="20">
        <f>SUMIFS('船长每月数据(2023年)'!P:P,'船长每月数据(2023年)'!F:F,$AC$2,'船长每月数据(2023年)'!E:E,C:C)</f>
        <v>0</v>
      </c>
      <c r="AD36" s="21">
        <f>IFERROR(AC36/SUMIF('船长每月数据(2023年)'!$E:$E,C:C,'船长每月数据(2023年)'!P:P),0)</f>
        <v>0</v>
      </c>
      <c r="AE36" s="38">
        <f>SUMIFS('船长每月数据(2023年)'!$R:$R,'船长每月数据(2023年)'!$F:$F,$AE$2,'船长每月数据(2023年)'!$E:$E,$C:$C)</f>
        <v>0</v>
      </c>
      <c r="AF36" s="21">
        <f>IFERROR(AE36/SUMIF('船长每月数据(2023年)'!E:E,C:C,'船长每月数据(2023年)'!R:R),0)</f>
        <v>0</v>
      </c>
      <c r="AG36" s="20">
        <f>SUMIFS('船长每月数据(2023年)'!P:P,'船长每月数据(2023年)'!F:F,$AG$2,'船长每月数据(2023年)'!E:E,C:C)</f>
        <v>0</v>
      </c>
      <c r="AH36" s="21">
        <f>IFERROR(AG36/SUMIF('船长每月数据(2023年)'!$E:$E,$C:$C,'船长每月数据(2023年)'!$P:$P),0)</f>
        <v>0</v>
      </c>
      <c r="AI36" s="38">
        <f>SUMIFS('船长每月数据(2023年)'!$R:$R,'船长每月数据(2023年)'!$F:$F,$AI$2,'船长每月数据(2023年)'!$E:$E,$C:$C)</f>
        <v>0</v>
      </c>
      <c r="AJ36" s="21">
        <f>IFERROR(AI36/SUMIF('船长每月数据(2023年)'!$E:$E,$C:$C,'船长每月数据(2023年)'!$R:$R),0)</f>
        <v>0</v>
      </c>
      <c r="AK36" s="20">
        <f>SUMIFS('船长每月数据(2023年)'!P:P,'船长每月数据(2023年)'!F:F,$AK$2,'船长每月数据(2023年)'!E:E,C:C)</f>
        <v>0</v>
      </c>
      <c r="AL36" s="21">
        <f>IFERROR(AK36/SUMIF('船长每月数据(2023年)'!$E:$E,$C:$C,'船长每月数据(2023年)'!$P:$P),0)</f>
        <v>0</v>
      </c>
      <c r="AM36" s="38">
        <f>SUMIFS('船长每月数据(2023年)'!$R:$R,'船长每月数据(2023年)'!$F:$F,$AM$2,'船长每月数据(2023年)'!$E:$E,$C:$C)</f>
        <v>0</v>
      </c>
      <c r="AN36" s="21">
        <f>IFERROR(AM36/SUMIF('船长每月数据(2023年)'!$E:$E,$C:$C,'船长每月数据(2023年)'!$R:$R),0)</f>
        <v>0</v>
      </c>
      <c r="AO36" s="20">
        <f>SUMIFS('船长每月数据(2023年)'!P:P,'船长每月数据(2023年)'!F:F,$AO$2,'船长每月数据(2023年)'!E:E,C:C)</f>
        <v>0</v>
      </c>
      <c r="AP36" s="21">
        <f>IFERROR(AO36/SUMIF('船长每月数据(2023年)'!$E:$E,$C:$C,'船长每月数据(2023年)'!$P:$P),0)</f>
        <v>0</v>
      </c>
      <c r="AQ36" s="38">
        <f>SUMIFS('船长每月数据(2023年)'!$R:$R,'船长每月数据(2023年)'!$F:$F,$AQ$2,'船长每月数据(2023年)'!$E:$E,$C:$C)</f>
        <v>0</v>
      </c>
      <c r="AR36" s="21">
        <f>IFERROR(AQ36/SUMIF('船长每月数据(2023年)'!$E:$E,$C:$C,'船长每月数据(2023年)'!$R:$R),0)</f>
        <v>0</v>
      </c>
      <c r="AS36" s="20">
        <f>SUMIFS('船长每月数据(2023年)'!$P:$P,'船长每月数据(2023年)'!$F:$F,$AS$2,'船长每月数据(2023年)'!$E:$E,$C:$C)</f>
        <v>0</v>
      </c>
      <c r="AT36" s="21">
        <f>IFERROR(AS36/SUMIF('船长每月数据(2023年)'!$E:$E,$C:$C,'船长每月数据(2023年)'!$P:$P),0)</f>
        <v>0</v>
      </c>
      <c r="AU36" s="38">
        <f>SUMIFS('船长每月数据(2023年)'!$R:$R,'船长每月数据(2023年)'!$F:$F,$AU$2,'船长每月数据(2023年)'!$E:$E,$C:$C)</f>
        <v>0</v>
      </c>
      <c r="AV36" s="21">
        <f>IFERROR(AU36/SUMIF('船长每月数据(2023年)'!$E:$E,$C:$C,'船长每月数据(2023年)'!$R:$R),0)</f>
        <v>0</v>
      </c>
      <c r="AW36" s="20">
        <f>SUMIFS('船长每月数据(2023年)'!$P:$P,'船长每月数据(2023年)'!$F:$F,$AW$2,'船长每月数据(2023年)'!$E:$E,$C:$C)</f>
        <v>0</v>
      </c>
      <c r="AX36" s="21">
        <f>IFERROR(AW36/SUMIF('船长每月数据(2023年)'!$E:$E,$C:$C,'船长每月数据(2023年)'!$P:$P),0)</f>
        <v>0</v>
      </c>
      <c r="AY36" s="38">
        <f>SUMIFS('船长每月数据(2023年)'!$R:$R,'船长每月数据(2023年)'!$F:$F,$AY$2,'船长每月数据(2023年)'!$E:$E,$C:$C)</f>
        <v>0</v>
      </c>
      <c r="AZ36" s="21">
        <f>IFERROR(AY36/SUMIF('船长每月数据(2023年)'!$E:$E,$C:$C,'船长每月数据(2023年)'!$R:$R),0)</f>
        <v>0</v>
      </c>
      <c r="BA36" s="20">
        <f>SUMIFS('船长每月数据(2023年)'!$P:$P,'船长每月数据(2023年)'!$F:$F,$BA$2,'船长每月数据(2023年)'!$E:$E,$C:$C)</f>
        <v>0</v>
      </c>
      <c r="BB36" s="21">
        <f>IFERROR(BA36/SUMIF('船长每月数据(2023年)'!$E:$E,$C:$C,'船长每月数据(2023年)'!$P:$P),0)</f>
        <v>0</v>
      </c>
      <c r="BC36" s="38">
        <f>SUMIFS('船长每月数据(2023年)'!$R:$R,'船长每月数据(2023年)'!$F:$F,$BC$2,'船长每月数据(2023年)'!$E:$E,$C:$C)</f>
        <v>0</v>
      </c>
      <c r="BD36" s="21">
        <f>IFERROR(BC36/SUMIF('船长每月数据(2023年)'!$E:$E,$C:$C,'船长每月数据(2023年)'!$R:$R),0)</f>
        <v>0</v>
      </c>
      <c r="BE36" s="20">
        <f>SUMIFS('船长每月数据(2023年)'!$P:$P,'船长每月数据(2023年)'!$F:$F,$BE$2,'船长每月数据(2023年)'!$E:$E,$C:$C)</f>
        <v>0</v>
      </c>
      <c r="BF36" s="21">
        <f>IFERROR(BE36/SUMIF('船长每月数据(2023年)'!$E:$E,$C:$C,'船长每月数据(2023年)'!$P:$P),0)</f>
        <v>0</v>
      </c>
      <c r="BG36" s="38">
        <f>SUMIFS('船长每月数据(2023年)'!$R:$R,'船长每月数据(2023年)'!$F:$F,$BG$2,'船长每月数据(2023年)'!$E:$E,$C:$C)</f>
        <v>0</v>
      </c>
      <c r="BH36" s="21">
        <f>IFERROR(BG36/SUMIF('船长每月数据(2023年)'!$E:$E,$C:$C,'船长每月数据(2023年)'!$R:$R),0)</f>
        <v>0</v>
      </c>
      <c r="BI36" s="20">
        <f>SUMIFS('船长每月数据(2023年)'!$P:$P,'船长每月数据(2023年)'!$F:$F,$BI$2,'船长每月数据(2023年)'!$E:$E,$C:$C)</f>
        <v>0</v>
      </c>
      <c r="BJ36" s="21">
        <f>IFERROR(BI36/SUMIF('船长每月数据(2023年)'!$E:$E,$C:$C,'船长每月数据(2023年)'!$P:$P),0)</f>
        <v>0</v>
      </c>
      <c r="BK36" s="38">
        <f>SUMIFS('船长每月数据(2023年)'!$R:$R,'船长每月数据(2023年)'!$F:$F,$BK$2,'船长每月数据(2023年)'!$E:$E,$C:$C)</f>
        <v>0</v>
      </c>
      <c r="BL36" s="21">
        <f>IFERROR(BK36/SUMIF('船长每月数据(2023年)'!$E:$E,$C:$C,'船长每月数据(2023年)'!$R:$R),0)</f>
        <v>0</v>
      </c>
      <c r="BM36" s="20">
        <f>SUMIFS('船长每月数据(2023年)'!$P:$P,'船长每月数据(2023年)'!$F:$F,$BM$2,'船长每月数据(2023年)'!$E:$E,$C:$C)</f>
        <v>0</v>
      </c>
      <c r="BN36" s="21">
        <f>IFERROR(BM36/SUMIF('船长每月数据(2023年)'!$E:$E,$C:$C,'船长每月数据(2023年)'!$P:$P),0)</f>
        <v>0</v>
      </c>
      <c r="BO36" s="38">
        <f>SUMIFS('船长每月数据(2023年)'!$R:$R,'船长每月数据(2023年)'!$F:$F,$BO$2,'船长每月数据(2023年)'!$E:$E,$C:$C)</f>
        <v>0</v>
      </c>
      <c r="BP36" s="21">
        <f>IFERROR(BO36/SUMIF('船长每月数据(2023年)'!$E:$E,$C:$C,'船长每月数据(2023年)'!$R:$R),0)</f>
        <v>0</v>
      </c>
      <c r="BQ36" s="20">
        <f>SUMIFS('船长每月数据(2023年)'!$P:$P,'船长每月数据(2023年)'!$F:$F,$BQ$2,'船长每月数据(2023年)'!$E:$E,$C:$C)</f>
        <v>0</v>
      </c>
      <c r="BR36" s="21">
        <f>IFERROR(BQ36/SUMIF('船长每月数据(2023年)'!$E:$E,$C:$C,'船长每月数据(2023年)'!$P:$P),0)</f>
        <v>0</v>
      </c>
      <c r="BS36" s="38">
        <f>SUMIFS('船长每月数据(2023年)'!$R:$R,'船长每月数据(2023年)'!$F:$F,$BS$2,'船长每月数据(2023年)'!$E:$E,$C:$C)</f>
        <v>0</v>
      </c>
      <c r="BT36" s="21">
        <f>IFERROR(BS36/SUMIF('船长每月数据(2023年)'!$E:$E,$C:$C,'船长每月数据(2023年)'!$R:$R),0)</f>
        <v>0</v>
      </c>
      <c r="BU36" s="20">
        <f>SUMIFS('船长每月数据(2023年)'!$P:$P,'船长每月数据(2023年)'!$F:$F,$BU$2,'船长每月数据(2023年)'!$E:$E,$C:$C)</f>
        <v>0</v>
      </c>
      <c r="BV36" s="21">
        <f>IFERROR(BU36/SUMIF('船长每月数据(2023年)'!$E:$E,$C:$C,'船长每月数据(2023年)'!$P:$P),0)</f>
        <v>0</v>
      </c>
      <c r="BW36" s="38">
        <f>SUMIFS('船长每月数据(2023年)'!$R:$R,'船长每月数据(2023年)'!$F:$F,$BW$2,'船长每月数据(2023年)'!$E:$E,$C:$C)</f>
        <v>0</v>
      </c>
      <c r="BX36" s="21">
        <f>IFERROR(BW36/SUMIF('船长每月数据(2023年)'!$E:$E,$C:$C,'船长每月数据(2023年)'!$R:$R),0)</f>
        <v>0</v>
      </c>
    </row>
    <row r="37" ht="23" customHeight="1" spans="1:76">
      <c r="A37" s="82"/>
      <c r="B37" s="36"/>
      <c r="C37" s="20"/>
      <c r="D37" s="74"/>
      <c r="E37" s="20">
        <f>SUMIFS('船长每月数据(2022年)'!$P:$P,'船长每月数据(2022年)'!$F:$F,$E$2,'船长每月数据(2022年)'!E:E,C:C)</f>
        <v>0</v>
      </c>
      <c r="F37" s="85">
        <f>SUMIFS('船长每月数据(2022年)'!$R:$R,'船长每月数据(2022年)'!$F:$F,$F$2,'船长每月数据(2022年)'!E:E,C:C)</f>
        <v>0</v>
      </c>
      <c r="G37" s="20">
        <f>SUMIFS('船长每月数据(2022年)'!$P:$P,'船长每月数据(2022年)'!$F:$F,$G$2,'船长每月数据(2022年)'!$E:$E,$C:$C)</f>
        <v>0</v>
      </c>
      <c r="H37" s="85">
        <f>SUMIFS('船长每月数据(2022年)'!$R:$R,'船长每月数据(2022年)'!$F:$F,$H$2,'船长每月数据(2022年)'!$E:$E,$C:$C)</f>
        <v>0</v>
      </c>
      <c r="I37" s="20">
        <f>SUMIFS('船长每月数据(2022年)'!$P:$P,'船长每月数据(2022年)'!$F:$F,$I$2,'船长每月数据(2022年)'!$E:$E,$C:$C)</f>
        <v>0</v>
      </c>
      <c r="J37" s="85">
        <f>SUMIFS('船长每月数据(2022年)'!$R:$R,'船长每月数据(2022年)'!$F:$F,$J$2,'船长每月数据(2022年)'!$E:$E,$C:$C)</f>
        <v>0</v>
      </c>
      <c r="K37" s="20">
        <f>SUMIFS('船长每月数据(2022年)'!$P:$P,'船长每月数据(2022年)'!$F:$F,$K$2,'船长每月数据(2022年)'!$E:$E,$C:$C)</f>
        <v>0</v>
      </c>
      <c r="L37" s="85">
        <f>SUMIFS('船长每月数据(2022年)'!$R:$R,'船长每月数据(2022年)'!$F:$F,$L$2,'船长每月数据(2022年)'!$E:$E,$C:$C)</f>
        <v>0</v>
      </c>
      <c r="M37" s="20">
        <f>SUMIFS('船长每月数据(2022年)'!$P:$P,'船长每月数据(2022年)'!$F:$F,$M$2,'船长每月数据(2022年)'!$E:$E,$C:$C)</f>
        <v>0</v>
      </c>
      <c r="N37" s="85">
        <f>SUMIFS('船长每月数据(2022年)'!$R:$R,'船长每月数据(2022年)'!$F:$F,$N$2,'船长每月数据(2022年)'!$E:$E,$C:$C)</f>
        <v>0</v>
      </c>
      <c r="O37" s="20">
        <f>SUMIFS('船长每月数据(2022年)'!$P:$P,'船长每月数据(2022年)'!$F:$F,$O$2,'船长每月数据(2022年)'!$E:$E,$C:$C)</f>
        <v>0</v>
      </c>
      <c r="P37" s="85">
        <f>SUMIFS('船长每月数据(2022年)'!$R:$R,'船长每月数据(2022年)'!$F:$F,$P$2,'船长每月数据(2022年)'!$E:$E,$C:$C)</f>
        <v>0</v>
      </c>
      <c r="Q37" s="20">
        <f>SUMIFS('船长每月数据(2022年)'!$P:$P,'船长每月数据(2022年)'!$F:$F,$Q$2,'船长每月数据(2022年)'!$E:$E,$C:$C)</f>
        <v>0</v>
      </c>
      <c r="R37" s="85">
        <f>SUMIFS('船长每月数据(2022年)'!$R:$R,'船长每月数据(2022年)'!$F:$F,$R$2,'船长每月数据(2022年)'!$E:$E,$C:$C)</f>
        <v>0</v>
      </c>
      <c r="S37" s="20">
        <f>SUMIFS('船长每月数据(2022年)'!$P:$P,'船长每月数据(2022年)'!$F:$F,$S$2,'船长每月数据(2022年)'!$E:$E,$C:$C)</f>
        <v>0</v>
      </c>
      <c r="T37" s="85">
        <f>SUMIFS('船长每月数据(2022年)'!$R:$R,'船长每月数据(2022年)'!$F:$F,$T$2,'船长每月数据(2022年)'!$E:$E,$C:$C)</f>
        <v>0</v>
      </c>
      <c r="U37" s="20">
        <f>SUMIFS('船长每月数据(2022年)'!$P:$P,'船长每月数据(2022年)'!$F:$F,$U$2,'船长每月数据(2022年)'!$E:$E,$C:$C)</f>
        <v>0</v>
      </c>
      <c r="V37" s="85">
        <f>SUMIFS('船长每月数据(2022年)'!$R:$R,'船长每月数据(2022年)'!$F:$F,$V$2,'船长每月数据(2022年)'!$E:$E,$C:$C)</f>
        <v>0</v>
      </c>
      <c r="W37" s="20">
        <f>SUMIFS('船长每月数据(2022年)'!$P:$P,'船长每月数据(2022年)'!$F:$F,$W$2,'船长每月数据(2022年)'!$E:$E,$C:$C)</f>
        <v>0</v>
      </c>
      <c r="X37" s="85">
        <f>SUMIFS('船长每月数据(2022年)'!$R:$R,'船长每月数据(2022年)'!$F:$F,$X$2,'船长每月数据(2022年)'!$E:$E,$C:$C)</f>
        <v>0</v>
      </c>
      <c r="Y37" s="20">
        <f>SUMIFS('船长每月数据(2022年)'!$P:$P,'船长每月数据(2022年)'!$F:$F,$Y$2,'船长每月数据(2022年)'!$E:$E,$C:$C)</f>
        <v>0</v>
      </c>
      <c r="Z37" s="85">
        <f>SUMIFS('船长每月数据(2022年)'!$R:$R,'船长每月数据(2022年)'!$F:$F,$Z$2,'船长每月数据(2022年)'!$E:$E,$C:$C)</f>
        <v>0</v>
      </c>
      <c r="AA37" s="20">
        <f>SUMIFS('船长每月数据(2022年)'!$P:$P,'船长每月数据(2022年)'!$F:$F,$AA$2,'船长每月数据(2022年)'!$E:$E,$C:$C)</f>
        <v>0</v>
      </c>
      <c r="AB37" s="85">
        <f>SUMIFS('船长每月数据(2022年)'!$R:$R,'船长每月数据(2022年)'!$F:$F,$AB$2,'船长每月数据(2022年)'!$E:$E,$C:$C)</f>
        <v>0</v>
      </c>
      <c r="AC37" s="20">
        <f>SUMIFS('船长每月数据(2023年)'!P:P,'船长每月数据(2023年)'!F:F,$AC$2,'船长每月数据(2023年)'!E:E,C:C)</f>
        <v>0</v>
      </c>
      <c r="AD37" s="21">
        <f>IFERROR(AC37/SUMIF('船长每月数据(2023年)'!$E:$E,C:C,'船长每月数据(2023年)'!P:P),0)</f>
        <v>0</v>
      </c>
      <c r="AE37" s="38">
        <f>SUMIFS('船长每月数据(2023年)'!$R:$R,'船长每月数据(2023年)'!$F:$F,$AE$2,'船长每月数据(2023年)'!$E:$E,$C:$C)</f>
        <v>0</v>
      </c>
      <c r="AF37" s="21">
        <f>IFERROR(AE37/SUMIF('船长每月数据(2023年)'!E:E,C:C,'船长每月数据(2023年)'!R:R),0)</f>
        <v>0</v>
      </c>
      <c r="AG37" s="20">
        <f>SUMIFS('船长每月数据(2023年)'!P:P,'船长每月数据(2023年)'!F:F,$AG$2,'船长每月数据(2023年)'!E:E,C:C)</f>
        <v>0</v>
      </c>
      <c r="AH37" s="21">
        <f>IFERROR(AG37/SUMIF('船长每月数据(2023年)'!$E:$E,$C:$C,'船长每月数据(2023年)'!$P:$P),0)</f>
        <v>0</v>
      </c>
      <c r="AI37" s="38">
        <f>SUMIFS('船长每月数据(2023年)'!$R:$R,'船长每月数据(2023年)'!$F:$F,$AI$2,'船长每月数据(2023年)'!$E:$E,$C:$C)</f>
        <v>0</v>
      </c>
      <c r="AJ37" s="21">
        <f>IFERROR(AI37/SUMIF('船长每月数据(2023年)'!$E:$E,$C:$C,'船长每月数据(2023年)'!$R:$R),0)</f>
        <v>0</v>
      </c>
      <c r="AK37" s="20">
        <f>SUMIFS('船长每月数据(2023年)'!P:P,'船长每月数据(2023年)'!F:F,$AK$2,'船长每月数据(2023年)'!E:E,C:C)</f>
        <v>0</v>
      </c>
      <c r="AL37" s="21">
        <f>IFERROR(AK37/SUMIF('船长每月数据(2023年)'!$E:$E,$C:$C,'船长每月数据(2023年)'!$P:$P),0)</f>
        <v>0</v>
      </c>
      <c r="AM37" s="38">
        <f>SUMIFS('船长每月数据(2023年)'!$R:$R,'船长每月数据(2023年)'!$F:$F,$AM$2,'船长每月数据(2023年)'!$E:$E,$C:$C)</f>
        <v>0</v>
      </c>
      <c r="AN37" s="21">
        <f>IFERROR(AM37/SUMIF('船长每月数据(2023年)'!$E:$E,$C:$C,'船长每月数据(2023年)'!$R:$R),0)</f>
        <v>0</v>
      </c>
      <c r="AO37" s="20">
        <f>SUMIFS('船长每月数据(2023年)'!P:P,'船长每月数据(2023年)'!F:F,$AO$2,'船长每月数据(2023年)'!E:E,C:C)</f>
        <v>0</v>
      </c>
      <c r="AP37" s="21">
        <f>IFERROR(AO37/SUMIF('船长每月数据(2023年)'!$E:$E,$C:$C,'船长每月数据(2023年)'!$P:$P),0)</f>
        <v>0</v>
      </c>
      <c r="AQ37" s="38">
        <f>SUMIFS('船长每月数据(2023年)'!$R:$R,'船长每月数据(2023年)'!$F:$F,$AQ$2,'船长每月数据(2023年)'!$E:$E,$C:$C)</f>
        <v>0</v>
      </c>
      <c r="AR37" s="21">
        <f>IFERROR(AQ37/SUMIF('船长每月数据(2023年)'!$E:$E,$C:$C,'船长每月数据(2023年)'!$R:$R),0)</f>
        <v>0</v>
      </c>
      <c r="AS37" s="20">
        <f>SUMIFS('船长每月数据(2023年)'!$P:$P,'船长每月数据(2023年)'!$F:$F,$AS$2,'船长每月数据(2023年)'!$E:$E,$C:$C)</f>
        <v>0</v>
      </c>
      <c r="AT37" s="21">
        <f>IFERROR(AS37/SUMIF('船长每月数据(2023年)'!$E:$E,$C:$C,'船长每月数据(2023年)'!$P:$P),0)</f>
        <v>0</v>
      </c>
      <c r="AU37" s="38">
        <f>SUMIFS('船长每月数据(2023年)'!$R:$R,'船长每月数据(2023年)'!$F:$F,$AU$2,'船长每月数据(2023年)'!$E:$E,$C:$C)</f>
        <v>0</v>
      </c>
      <c r="AV37" s="21">
        <f>IFERROR(AU37/SUMIF('船长每月数据(2023年)'!$E:$E,$C:$C,'船长每月数据(2023年)'!$R:$R),0)</f>
        <v>0</v>
      </c>
      <c r="AW37" s="20">
        <f>SUMIFS('船长每月数据(2023年)'!$P:$P,'船长每月数据(2023年)'!$F:$F,$AW$2,'船长每月数据(2023年)'!$E:$E,$C:$C)</f>
        <v>0</v>
      </c>
      <c r="AX37" s="21">
        <f>IFERROR(AW37/SUMIF('船长每月数据(2023年)'!$E:$E,$C:$C,'船长每月数据(2023年)'!$P:$P),0)</f>
        <v>0</v>
      </c>
      <c r="AY37" s="38">
        <f>SUMIFS('船长每月数据(2023年)'!$R:$R,'船长每月数据(2023年)'!$F:$F,$AY$2,'船长每月数据(2023年)'!$E:$E,$C:$C)</f>
        <v>0</v>
      </c>
      <c r="AZ37" s="21">
        <f>IFERROR(AY37/SUMIF('船长每月数据(2023年)'!$E:$E,$C:$C,'船长每月数据(2023年)'!$R:$R),0)</f>
        <v>0</v>
      </c>
      <c r="BA37" s="20">
        <f>SUMIFS('船长每月数据(2023年)'!$P:$P,'船长每月数据(2023年)'!$F:$F,$BA$2,'船长每月数据(2023年)'!$E:$E,$C:$C)</f>
        <v>0</v>
      </c>
      <c r="BB37" s="21">
        <f>IFERROR(BA37/SUMIF('船长每月数据(2023年)'!$E:$E,$C:$C,'船长每月数据(2023年)'!$P:$P),0)</f>
        <v>0</v>
      </c>
      <c r="BC37" s="38">
        <f>SUMIFS('船长每月数据(2023年)'!$R:$R,'船长每月数据(2023年)'!$F:$F,$BC$2,'船长每月数据(2023年)'!$E:$E,$C:$C)</f>
        <v>0</v>
      </c>
      <c r="BD37" s="21">
        <f>IFERROR(BC37/SUMIF('船长每月数据(2023年)'!$E:$E,$C:$C,'船长每月数据(2023年)'!$R:$R),0)</f>
        <v>0</v>
      </c>
      <c r="BE37" s="20">
        <f>SUMIFS('船长每月数据(2023年)'!$P:$P,'船长每月数据(2023年)'!$F:$F,$BE$2,'船长每月数据(2023年)'!$E:$E,$C:$C)</f>
        <v>0</v>
      </c>
      <c r="BF37" s="21">
        <f>IFERROR(BE37/SUMIF('船长每月数据(2023年)'!$E:$E,$C:$C,'船长每月数据(2023年)'!$P:$P),0)</f>
        <v>0</v>
      </c>
      <c r="BG37" s="38">
        <f>SUMIFS('船长每月数据(2023年)'!$R:$R,'船长每月数据(2023年)'!$F:$F,$BG$2,'船长每月数据(2023年)'!$E:$E,$C:$C)</f>
        <v>0</v>
      </c>
      <c r="BH37" s="21">
        <f>IFERROR(BG37/SUMIF('船长每月数据(2023年)'!$E:$E,$C:$C,'船长每月数据(2023年)'!$R:$R),0)</f>
        <v>0</v>
      </c>
      <c r="BI37" s="20">
        <f>SUMIFS('船长每月数据(2023年)'!$P:$P,'船长每月数据(2023年)'!$F:$F,$BI$2,'船长每月数据(2023年)'!$E:$E,$C:$C)</f>
        <v>0</v>
      </c>
      <c r="BJ37" s="21">
        <f>IFERROR(BI37/SUMIF('船长每月数据(2023年)'!$E:$E,$C:$C,'船长每月数据(2023年)'!$P:$P),0)</f>
        <v>0</v>
      </c>
      <c r="BK37" s="38">
        <f>SUMIFS('船长每月数据(2023年)'!$R:$R,'船长每月数据(2023年)'!$F:$F,$BK$2,'船长每月数据(2023年)'!$E:$E,$C:$C)</f>
        <v>0</v>
      </c>
      <c r="BL37" s="21">
        <f>IFERROR(BK37/SUMIF('船长每月数据(2023年)'!$E:$E,$C:$C,'船长每月数据(2023年)'!$R:$R),0)</f>
        <v>0</v>
      </c>
      <c r="BM37" s="20">
        <f>SUMIFS('船长每月数据(2023年)'!$P:$P,'船长每月数据(2023年)'!$F:$F,$BM$2,'船长每月数据(2023年)'!$E:$E,$C:$C)</f>
        <v>0</v>
      </c>
      <c r="BN37" s="21">
        <f>IFERROR(BM37/SUMIF('船长每月数据(2023年)'!$E:$E,$C:$C,'船长每月数据(2023年)'!$P:$P),0)</f>
        <v>0</v>
      </c>
      <c r="BO37" s="38">
        <f>SUMIFS('船长每月数据(2023年)'!$R:$R,'船长每月数据(2023年)'!$F:$F,$BO$2,'船长每月数据(2023年)'!$E:$E,$C:$C)</f>
        <v>0</v>
      </c>
      <c r="BP37" s="21">
        <f>IFERROR(BO37/SUMIF('船长每月数据(2023年)'!$E:$E,$C:$C,'船长每月数据(2023年)'!$R:$R),0)</f>
        <v>0</v>
      </c>
      <c r="BQ37" s="20">
        <f>SUMIFS('船长每月数据(2023年)'!$P:$P,'船长每月数据(2023年)'!$F:$F,$BQ$2,'船长每月数据(2023年)'!$E:$E,$C:$C)</f>
        <v>0</v>
      </c>
      <c r="BR37" s="21">
        <f>IFERROR(BQ37/SUMIF('船长每月数据(2023年)'!$E:$E,$C:$C,'船长每月数据(2023年)'!$P:$P),0)</f>
        <v>0</v>
      </c>
      <c r="BS37" s="38">
        <f>SUMIFS('船长每月数据(2023年)'!$R:$R,'船长每月数据(2023年)'!$F:$F,$BS$2,'船长每月数据(2023年)'!$E:$E,$C:$C)</f>
        <v>0</v>
      </c>
      <c r="BT37" s="21">
        <f>IFERROR(BS37/SUMIF('船长每月数据(2023年)'!$E:$E,$C:$C,'船长每月数据(2023年)'!$R:$R),0)</f>
        <v>0</v>
      </c>
      <c r="BU37" s="20">
        <f>SUMIFS('船长每月数据(2023年)'!$P:$P,'船长每月数据(2023年)'!$F:$F,$BU$2,'船长每月数据(2023年)'!$E:$E,$C:$C)</f>
        <v>0</v>
      </c>
      <c r="BV37" s="21">
        <f>IFERROR(BU37/SUMIF('船长每月数据(2023年)'!$E:$E,$C:$C,'船长每月数据(2023年)'!$P:$P),0)</f>
        <v>0</v>
      </c>
      <c r="BW37" s="38">
        <f>SUMIFS('船长每月数据(2023年)'!$R:$R,'船长每月数据(2023年)'!$F:$F,$BW$2,'船长每月数据(2023年)'!$E:$E,$C:$C)</f>
        <v>0</v>
      </c>
      <c r="BX37" s="21">
        <f>IFERROR(BW37/SUMIF('船长每月数据(2023年)'!$E:$E,$C:$C,'船长每月数据(2023年)'!$R:$R),0)</f>
        <v>0</v>
      </c>
    </row>
    <row r="38" ht="23" customHeight="1" spans="1:76">
      <c r="A38" s="82"/>
      <c r="B38" s="36"/>
      <c r="C38" s="20"/>
      <c r="D38" s="74"/>
      <c r="E38" s="20">
        <f>SUMIFS('船长每月数据(2022年)'!$P:$P,'船长每月数据(2022年)'!$F:$F,$E$2,'船长每月数据(2022年)'!E:E,C:C)</f>
        <v>0</v>
      </c>
      <c r="F38" s="85">
        <f>SUMIFS('船长每月数据(2022年)'!$R:$R,'船长每月数据(2022年)'!$F:$F,$F$2,'船长每月数据(2022年)'!E:E,C:C)</f>
        <v>0</v>
      </c>
      <c r="G38" s="20">
        <f>SUMIFS('船长每月数据(2022年)'!$P:$P,'船长每月数据(2022年)'!$F:$F,$G$2,'船长每月数据(2022年)'!$E:$E,$C:$C)</f>
        <v>0</v>
      </c>
      <c r="H38" s="85">
        <f>SUMIFS('船长每月数据(2022年)'!$R:$R,'船长每月数据(2022年)'!$F:$F,$H$2,'船长每月数据(2022年)'!$E:$E,$C:$C)</f>
        <v>0</v>
      </c>
      <c r="I38" s="20">
        <f>SUMIFS('船长每月数据(2022年)'!$P:$P,'船长每月数据(2022年)'!$F:$F,$I$2,'船长每月数据(2022年)'!$E:$E,$C:$C)</f>
        <v>0</v>
      </c>
      <c r="J38" s="85">
        <f>SUMIFS('船长每月数据(2022年)'!$R:$R,'船长每月数据(2022年)'!$F:$F,$J$2,'船长每月数据(2022年)'!$E:$E,$C:$C)</f>
        <v>0</v>
      </c>
      <c r="K38" s="20">
        <f>SUMIFS('船长每月数据(2022年)'!$P:$P,'船长每月数据(2022年)'!$F:$F,$K$2,'船长每月数据(2022年)'!$E:$E,$C:$C)</f>
        <v>0</v>
      </c>
      <c r="L38" s="85">
        <f>SUMIFS('船长每月数据(2022年)'!$R:$R,'船长每月数据(2022年)'!$F:$F,$L$2,'船长每月数据(2022年)'!$E:$E,$C:$C)</f>
        <v>0</v>
      </c>
      <c r="M38" s="20">
        <f>SUMIFS('船长每月数据(2022年)'!$P:$P,'船长每月数据(2022年)'!$F:$F,$M$2,'船长每月数据(2022年)'!$E:$E,$C:$C)</f>
        <v>0</v>
      </c>
      <c r="N38" s="85">
        <f>SUMIFS('船长每月数据(2022年)'!$R:$R,'船长每月数据(2022年)'!$F:$F,$N$2,'船长每月数据(2022年)'!$E:$E,$C:$C)</f>
        <v>0</v>
      </c>
      <c r="O38" s="20">
        <f>SUMIFS('船长每月数据(2022年)'!$P:$P,'船长每月数据(2022年)'!$F:$F,$O$2,'船长每月数据(2022年)'!$E:$E,$C:$C)</f>
        <v>0</v>
      </c>
      <c r="P38" s="85">
        <f>SUMIFS('船长每月数据(2022年)'!$R:$R,'船长每月数据(2022年)'!$F:$F,$P$2,'船长每月数据(2022年)'!$E:$E,$C:$C)</f>
        <v>0</v>
      </c>
      <c r="Q38" s="20">
        <f>SUMIFS('船长每月数据(2022年)'!$P:$P,'船长每月数据(2022年)'!$F:$F,$Q$2,'船长每月数据(2022年)'!$E:$E,$C:$C)</f>
        <v>0</v>
      </c>
      <c r="R38" s="85">
        <f>SUMIFS('船长每月数据(2022年)'!$R:$R,'船长每月数据(2022年)'!$F:$F,$R$2,'船长每月数据(2022年)'!$E:$E,$C:$C)</f>
        <v>0</v>
      </c>
      <c r="S38" s="20">
        <f>SUMIFS('船长每月数据(2022年)'!$P:$P,'船长每月数据(2022年)'!$F:$F,$S$2,'船长每月数据(2022年)'!$E:$E,$C:$C)</f>
        <v>0</v>
      </c>
      <c r="T38" s="85">
        <f>SUMIFS('船长每月数据(2022年)'!$R:$R,'船长每月数据(2022年)'!$F:$F,$T$2,'船长每月数据(2022年)'!$E:$E,$C:$C)</f>
        <v>0</v>
      </c>
      <c r="U38" s="20">
        <f>SUMIFS('船长每月数据(2022年)'!$P:$P,'船长每月数据(2022年)'!$F:$F,$U$2,'船长每月数据(2022年)'!$E:$E,$C:$C)</f>
        <v>0</v>
      </c>
      <c r="V38" s="85">
        <f>SUMIFS('船长每月数据(2022年)'!$R:$R,'船长每月数据(2022年)'!$F:$F,$V$2,'船长每月数据(2022年)'!$E:$E,$C:$C)</f>
        <v>0</v>
      </c>
      <c r="W38" s="20">
        <f>SUMIFS('船长每月数据(2022年)'!$P:$P,'船长每月数据(2022年)'!$F:$F,$W$2,'船长每月数据(2022年)'!$E:$E,$C:$C)</f>
        <v>0</v>
      </c>
      <c r="X38" s="85">
        <f>SUMIFS('船长每月数据(2022年)'!$R:$R,'船长每月数据(2022年)'!$F:$F,$X$2,'船长每月数据(2022年)'!$E:$E,$C:$C)</f>
        <v>0</v>
      </c>
      <c r="Y38" s="20">
        <f>SUMIFS('船长每月数据(2022年)'!$P:$P,'船长每月数据(2022年)'!$F:$F,$Y$2,'船长每月数据(2022年)'!$E:$E,$C:$C)</f>
        <v>0</v>
      </c>
      <c r="Z38" s="85">
        <f>SUMIFS('船长每月数据(2022年)'!$R:$R,'船长每月数据(2022年)'!$F:$F,$Z$2,'船长每月数据(2022年)'!$E:$E,$C:$C)</f>
        <v>0</v>
      </c>
      <c r="AA38" s="20">
        <f>SUMIFS('船长每月数据(2022年)'!$P:$P,'船长每月数据(2022年)'!$F:$F,$AA$2,'船长每月数据(2022年)'!$E:$E,$C:$C)</f>
        <v>0</v>
      </c>
      <c r="AB38" s="85">
        <f>SUMIFS('船长每月数据(2022年)'!$R:$R,'船长每月数据(2022年)'!$F:$F,$AB$2,'船长每月数据(2022年)'!$E:$E,$C:$C)</f>
        <v>0</v>
      </c>
      <c r="AC38" s="20">
        <f>SUMIFS('船长每月数据(2023年)'!P:P,'船长每月数据(2023年)'!F:F,$AC$2,'船长每月数据(2023年)'!E:E,C:C)</f>
        <v>0</v>
      </c>
      <c r="AD38" s="21">
        <f>IFERROR(AC38/SUMIF('船长每月数据(2023年)'!$E:$E,C:C,'船长每月数据(2023年)'!P:P),0)</f>
        <v>0</v>
      </c>
      <c r="AE38" s="38">
        <f>SUMIFS('船长每月数据(2023年)'!$R:$R,'船长每月数据(2023年)'!$F:$F,$AE$2,'船长每月数据(2023年)'!$E:$E,$C:$C)</f>
        <v>0</v>
      </c>
      <c r="AF38" s="21">
        <f>IFERROR(AE38/SUMIF('船长每月数据(2023年)'!E:E,C:C,'船长每月数据(2023年)'!R:R),0)</f>
        <v>0</v>
      </c>
      <c r="AG38" s="20">
        <f>SUMIFS('船长每月数据(2023年)'!P:P,'船长每月数据(2023年)'!F:F,$AG$2,'船长每月数据(2023年)'!E:E,C:C)</f>
        <v>0</v>
      </c>
      <c r="AH38" s="21">
        <f>IFERROR(AG38/SUMIF('船长每月数据(2023年)'!$E:$E,$C:$C,'船长每月数据(2023年)'!$P:$P),0)</f>
        <v>0</v>
      </c>
      <c r="AI38" s="38">
        <f>SUMIFS('船长每月数据(2023年)'!$R:$R,'船长每月数据(2023年)'!$F:$F,$AI$2,'船长每月数据(2023年)'!$E:$E,$C:$C)</f>
        <v>0</v>
      </c>
      <c r="AJ38" s="21">
        <f>IFERROR(AI38/SUMIF('船长每月数据(2023年)'!$E:$E,$C:$C,'船长每月数据(2023年)'!$R:$R),0)</f>
        <v>0</v>
      </c>
      <c r="AK38" s="20">
        <f>SUMIFS('船长每月数据(2023年)'!P:P,'船长每月数据(2023年)'!F:F,$AK$2,'船长每月数据(2023年)'!E:E,C:C)</f>
        <v>0</v>
      </c>
      <c r="AL38" s="21">
        <f>IFERROR(AK38/SUMIF('船长每月数据(2023年)'!$E:$E,$C:$C,'船长每月数据(2023年)'!$P:$P),0)</f>
        <v>0</v>
      </c>
      <c r="AM38" s="38">
        <f>SUMIFS('船长每月数据(2023年)'!$R:$R,'船长每月数据(2023年)'!$F:$F,$AM$2,'船长每月数据(2023年)'!$E:$E,$C:$C)</f>
        <v>0</v>
      </c>
      <c r="AN38" s="21">
        <f>IFERROR(AM38/SUMIF('船长每月数据(2023年)'!$E:$E,$C:$C,'船长每月数据(2023年)'!$R:$R),0)</f>
        <v>0</v>
      </c>
      <c r="AO38" s="20">
        <f>SUMIFS('船长每月数据(2023年)'!P:P,'船长每月数据(2023年)'!F:F,$AO$2,'船长每月数据(2023年)'!E:E,C:C)</f>
        <v>0</v>
      </c>
      <c r="AP38" s="21">
        <f>IFERROR(AO38/SUMIF('船长每月数据(2023年)'!$E:$E,$C:$C,'船长每月数据(2023年)'!$P:$P),0)</f>
        <v>0</v>
      </c>
      <c r="AQ38" s="38">
        <f>SUMIFS('船长每月数据(2023年)'!$R:$R,'船长每月数据(2023年)'!$F:$F,$AQ$2,'船长每月数据(2023年)'!$E:$E,$C:$C)</f>
        <v>0</v>
      </c>
      <c r="AR38" s="21">
        <f>IFERROR(AQ38/SUMIF('船长每月数据(2023年)'!$E:$E,$C:$C,'船长每月数据(2023年)'!$R:$R),0)</f>
        <v>0</v>
      </c>
      <c r="AS38" s="20">
        <f>SUMIFS('船长每月数据(2023年)'!$P:$P,'船长每月数据(2023年)'!$F:$F,$AS$2,'船长每月数据(2023年)'!$E:$E,$C:$C)</f>
        <v>0</v>
      </c>
      <c r="AT38" s="21">
        <f>IFERROR(AS38/SUMIF('船长每月数据(2023年)'!$E:$E,$C:$C,'船长每月数据(2023年)'!$P:$P),0)</f>
        <v>0</v>
      </c>
      <c r="AU38" s="38">
        <f>SUMIFS('船长每月数据(2023年)'!$R:$R,'船长每月数据(2023年)'!$F:$F,$AU$2,'船长每月数据(2023年)'!$E:$E,$C:$C)</f>
        <v>0</v>
      </c>
      <c r="AV38" s="21">
        <f>IFERROR(AU38/SUMIF('船长每月数据(2023年)'!$E:$E,$C:$C,'船长每月数据(2023年)'!$R:$R),0)</f>
        <v>0</v>
      </c>
      <c r="AW38" s="20">
        <f>SUMIFS('船长每月数据(2023年)'!$P:$P,'船长每月数据(2023年)'!$F:$F,$AW$2,'船长每月数据(2023年)'!$E:$E,$C:$C)</f>
        <v>0</v>
      </c>
      <c r="AX38" s="21">
        <f>IFERROR(AW38/SUMIF('船长每月数据(2023年)'!$E:$E,$C:$C,'船长每月数据(2023年)'!$P:$P),0)</f>
        <v>0</v>
      </c>
      <c r="AY38" s="38">
        <f>SUMIFS('船长每月数据(2023年)'!$R:$R,'船长每月数据(2023年)'!$F:$F,$AY$2,'船长每月数据(2023年)'!$E:$E,$C:$C)</f>
        <v>0</v>
      </c>
      <c r="AZ38" s="21">
        <f>IFERROR(AY38/SUMIF('船长每月数据(2023年)'!$E:$E,$C:$C,'船长每月数据(2023年)'!$R:$R),0)</f>
        <v>0</v>
      </c>
      <c r="BA38" s="20">
        <f>SUMIFS('船长每月数据(2023年)'!$P:$P,'船长每月数据(2023年)'!$F:$F,$BA$2,'船长每月数据(2023年)'!$E:$E,$C:$C)</f>
        <v>0</v>
      </c>
      <c r="BB38" s="21">
        <f>IFERROR(BA38/SUMIF('船长每月数据(2023年)'!$E:$E,$C:$C,'船长每月数据(2023年)'!$P:$P),0)</f>
        <v>0</v>
      </c>
      <c r="BC38" s="38">
        <f>SUMIFS('船长每月数据(2023年)'!$R:$R,'船长每月数据(2023年)'!$F:$F,$BC$2,'船长每月数据(2023年)'!$E:$E,$C:$C)</f>
        <v>0</v>
      </c>
      <c r="BD38" s="21">
        <f>IFERROR(BC38/SUMIF('船长每月数据(2023年)'!$E:$E,$C:$C,'船长每月数据(2023年)'!$R:$R),0)</f>
        <v>0</v>
      </c>
      <c r="BE38" s="20">
        <f>SUMIFS('船长每月数据(2023年)'!$P:$P,'船长每月数据(2023年)'!$F:$F,$BE$2,'船长每月数据(2023年)'!$E:$E,$C:$C)</f>
        <v>0</v>
      </c>
      <c r="BF38" s="21">
        <f>IFERROR(BE38/SUMIF('船长每月数据(2023年)'!$E:$E,$C:$C,'船长每月数据(2023年)'!$P:$P),0)</f>
        <v>0</v>
      </c>
      <c r="BG38" s="38">
        <f>SUMIFS('船长每月数据(2023年)'!$R:$R,'船长每月数据(2023年)'!$F:$F,$BG$2,'船长每月数据(2023年)'!$E:$E,$C:$C)</f>
        <v>0</v>
      </c>
      <c r="BH38" s="21">
        <f>IFERROR(BG38/SUMIF('船长每月数据(2023年)'!$E:$E,$C:$C,'船长每月数据(2023年)'!$R:$R),0)</f>
        <v>0</v>
      </c>
      <c r="BI38" s="20">
        <f>SUMIFS('船长每月数据(2023年)'!$P:$P,'船长每月数据(2023年)'!$F:$F,$BI$2,'船长每月数据(2023年)'!$E:$E,$C:$C)</f>
        <v>0</v>
      </c>
      <c r="BJ38" s="21">
        <f>IFERROR(BI38/SUMIF('船长每月数据(2023年)'!$E:$E,$C:$C,'船长每月数据(2023年)'!$P:$P),0)</f>
        <v>0</v>
      </c>
      <c r="BK38" s="38">
        <f>SUMIFS('船长每月数据(2023年)'!$R:$R,'船长每月数据(2023年)'!$F:$F,$BK$2,'船长每月数据(2023年)'!$E:$E,$C:$C)</f>
        <v>0</v>
      </c>
      <c r="BL38" s="21">
        <f>IFERROR(BK38/SUMIF('船长每月数据(2023年)'!$E:$E,$C:$C,'船长每月数据(2023年)'!$R:$R),0)</f>
        <v>0</v>
      </c>
      <c r="BM38" s="20">
        <f>SUMIFS('船长每月数据(2023年)'!$P:$P,'船长每月数据(2023年)'!$F:$F,$BM$2,'船长每月数据(2023年)'!$E:$E,$C:$C)</f>
        <v>0</v>
      </c>
      <c r="BN38" s="21">
        <f>IFERROR(BM38/SUMIF('船长每月数据(2023年)'!$E:$E,$C:$C,'船长每月数据(2023年)'!$P:$P),0)</f>
        <v>0</v>
      </c>
      <c r="BO38" s="38">
        <f>SUMIFS('船长每月数据(2023年)'!$R:$R,'船长每月数据(2023年)'!$F:$F,$BO$2,'船长每月数据(2023年)'!$E:$E,$C:$C)</f>
        <v>0</v>
      </c>
      <c r="BP38" s="21">
        <f>IFERROR(BO38/SUMIF('船长每月数据(2023年)'!$E:$E,$C:$C,'船长每月数据(2023年)'!$R:$R),0)</f>
        <v>0</v>
      </c>
      <c r="BQ38" s="20">
        <f>SUMIFS('船长每月数据(2023年)'!$P:$P,'船长每月数据(2023年)'!$F:$F,$BQ$2,'船长每月数据(2023年)'!$E:$E,$C:$C)</f>
        <v>0</v>
      </c>
      <c r="BR38" s="21">
        <f>IFERROR(BQ38/SUMIF('船长每月数据(2023年)'!$E:$E,$C:$C,'船长每月数据(2023年)'!$P:$P),0)</f>
        <v>0</v>
      </c>
      <c r="BS38" s="38">
        <f>SUMIFS('船长每月数据(2023年)'!$R:$R,'船长每月数据(2023年)'!$F:$F,$BS$2,'船长每月数据(2023年)'!$E:$E,$C:$C)</f>
        <v>0</v>
      </c>
      <c r="BT38" s="21">
        <f>IFERROR(BS38/SUMIF('船长每月数据(2023年)'!$E:$E,$C:$C,'船长每月数据(2023年)'!$R:$R),0)</f>
        <v>0</v>
      </c>
      <c r="BU38" s="20">
        <f>SUMIFS('船长每月数据(2023年)'!$P:$P,'船长每月数据(2023年)'!$F:$F,$BU$2,'船长每月数据(2023年)'!$E:$E,$C:$C)</f>
        <v>0</v>
      </c>
      <c r="BV38" s="21">
        <f>IFERROR(BU38/SUMIF('船长每月数据(2023年)'!$E:$E,$C:$C,'船长每月数据(2023年)'!$P:$P),0)</f>
        <v>0</v>
      </c>
      <c r="BW38" s="38">
        <f>SUMIFS('船长每月数据(2023年)'!$R:$R,'船长每月数据(2023年)'!$F:$F,$BW$2,'船长每月数据(2023年)'!$E:$E,$C:$C)</f>
        <v>0</v>
      </c>
      <c r="BX38" s="21">
        <f>IFERROR(BW38/SUMIF('船长每月数据(2023年)'!$E:$E,$C:$C,'船长每月数据(2023年)'!$R:$R),0)</f>
        <v>0</v>
      </c>
    </row>
    <row r="39" ht="23" customHeight="1" spans="1:76">
      <c r="A39" s="40"/>
      <c r="B39" s="36"/>
      <c r="C39" s="20"/>
      <c r="D39" s="74"/>
      <c r="E39" s="20">
        <f>SUMIFS('船长每月数据(2022年)'!$P:$P,'船长每月数据(2022年)'!$F:$F,$E$2,'船长每月数据(2022年)'!E:E,C:C)</f>
        <v>0</v>
      </c>
      <c r="F39" s="85">
        <f>SUMIFS('船长每月数据(2022年)'!$R:$R,'船长每月数据(2022年)'!$F:$F,$F$2,'船长每月数据(2022年)'!E:E,C:C)</f>
        <v>0</v>
      </c>
      <c r="G39" s="20">
        <f>SUMIFS('船长每月数据(2022年)'!$P:$P,'船长每月数据(2022年)'!$F:$F,$G$2,'船长每月数据(2022年)'!$E:$E,$C:$C)</f>
        <v>0</v>
      </c>
      <c r="H39" s="85">
        <f>SUMIFS('船长每月数据(2022年)'!$R:$R,'船长每月数据(2022年)'!$F:$F,$H$2,'船长每月数据(2022年)'!$E:$E,$C:$C)</f>
        <v>0</v>
      </c>
      <c r="I39" s="20">
        <f>SUMIFS('船长每月数据(2022年)'!$P:$P,'船长每月数据(2022年)'!$F:$F,$I$2,'船长每月数据(2022年)'!$E:$E,$C:$C)</f>
        <v>0</v>
      </c>
      <c r="J39" s="85">
        <f>SUMIFS('船长每月数据(2022年)'!$R:$R,'船长每月数据(2022年)'!$F:$F,$J$2,'船长每月数据(2022年)'!$E:$E,$C:$C)</f>
        <v>0</v>
      </c>
      <c r="K39" s="20">
        <f>SUMIFS('船长每月数据(2022年)'!$P:$P,'船长每月数据(2022年)'!$F:$F,$K$2,'船长每月数据(2022年)'!$E:$E,$C:$C)</f>
        <v>0</v>
      </c>
      <c r="L39" s="85">
        <f>SUMIFS('船长每月数据(2022年)'!$R:$R,'船长每月数据(2022年)'!$F:$F,$L$2,'船长每月数据(2022年)'!$E:$E,$C:$C)</f>
        <v>0</v>
      </c>
      <c r="M39" s="20">
        <f>SUMIFS('船长每月数据(2022年)'!$P:$P,'船长每月数据(2022年)'!$F:$F,$M$2,'船长每月数据(2022年)'!$E:$E,$C:$C)</f>
        <v>0</v>
      </c>
      <c r="N39" s="85">
        <f>SUMIFS('船长每月数据(2022年)'!$R:$R,'船长每月数据(2022年)'!$F:$F,$N$2,'船长每月数据(2022年)'!$E:$E,$C:$C)</f>
        <v>0</v>
      </c>
      <c r="O39" s="20">
        <f>SUMIFS('船长每月数据(2022年)'!$P:$P,'船长每月数据(2022年)'!$F:$F,$O$2,'船长每月数据(2022年)'!$E:$E,$C:$C)</f>
        <v>0</v>
      </c>
      <c r="P39" s="85">
        <f>SUMIFS('船长每月数据(2022年)'!$R:$R,'船长每月数据(2022年)'!$F:$F,$P$2,'船长每月数据(2022年)'!$E:$E,$C:$C)</f>
        <v>0</v>
      </c>
      <c r="Q39" s="20">
        <f>SUMIFS('船长每月数据(2022年)'!$P:$P,'船长每月数据(2022年)'!$F:$F,$Q$2,'船长每月数据(2022年)'!$E:$E,$C:$C)</f>
        <v>0</v>
      </c>
      <c r="R39" s="85">
        <f>SUMIFS('船长每月数据(2022年)'!$R:$R,'船长每月数据(2022年)'!$F:$F,$R$2,'船长每月数据(2022年)'!$E:$E,$C:$C)</f>
        <v>0</v>
      </c>
      <c r="S39" s="20">
        <f>SUMIFS('船长每月数据(2022年)'!$P:$P,'船长每月数据(2022年)'!$F:$F,$S$2,'船长每月数据(2022年)'!$E:$E,$C:$C)</f>
        <v>0</v>
      </c>
      <c r="T39" s="85">
        <f>SUMIFS('船长每月数据(2022年)'!$R:$R,'船长每月数据(2022年)'!$F:$F,$T$2,'船长每月数据(2022年)'!$E:$E,$C:$C)</f>
        <v>0</v>
      </c>
      <c r="U39" s="20">
        <f>SUMIFS('船长每月数据(2022年)'!$P:$P,'船长每月数据(2022年)'!$F:$F,$U$2,'船长每月数据(2022年)'!$E:$E,$C:$C)</f>
        <v>0</v>
      </c>
      <c r="V39" s="85">
        <f>SUMIFS('船长每月数据(2022年)'!$R:$R,'船长每月数据(2022年)'!$F:$F,$V$2,'船长每月数据(2022年)'!$E:$E,$C:$C)</f>
        <v>0</v>
      </c>
      <c r="W39" s="20">
        <f>SUMIFS('船长每月数据(2022年)'!$P:$P,'船长每月数据(2022年)'!$F:$F,$W$2,'船长每月数据(2022年)'!$E:$E,$C:$C)</f>
        <v>0</v>
      </c>
      <c r="X39" s="85">
        <f>SUMIFS('船长每月数据(2022年)'!$R:$R,'船长每月数据(2022年)'!$F:$F,$X$2,'船长每月数据(2022年)'!$E:$E,$C:$C)</f>
        <v>0</v>
      </c>
      <c r="Y39" s="20">
        <f>SUMIFS('船长每月数据(2022年)'!$P:$P,'船长每月数据(2022年)'!$F:$F,$Y$2,'船长每月数据(2022年)'!$E:$E,$C:$C)</f>
        <v>0</v>
      </c>
      <c r="Z39" s="85">
        <f>SUMIFS('船长每月数据(2022年)'!$R:$R,'船长每月数据(2022年)'!$F:$F,$Z$2,'船长每月数据(2022年)'!$E:$E,$C:$C)</f>
        <v>0</v>
      </c>
      <c r="AA39" s="20">
        <f>SUMIFS('船长每月数据(2022年)'!$P:$P,'船长每月数据(2022年)'!$F:$F,$AA$2,'船长每月数据(2022年)'!$E:$E,$C:$C)</f>
        <v>0</v>
      </c>
      <c r="AB39" s="85">
        <f>SUMIFS('船长每月数据(2022年)'!$R:$R,'船长每月数据(2022年)'!$F:$F,$AB$2,'船长每月数据(2022年)'!$E:$E,$C:$C)</f>
        <v>0</v>
      </c>
      <c r="AC39" s="20">
        <f>SUMIFS('船长每月数据(2023年)'!P:P,'船长每月数据(2023年)'!F:F,$AC$2,'船长每月数据(2023年)'!E:E,C:C)</f>
        <v>0</v>
      </c>
      <c r="AD39" s="21">
        <f>IFERROR(AC39/SUMIF('船长每月数据(2023年)'!$E:$E,C:C,'船长每月数据(2023年)'!P:P),0)</f>
        <v>0</v>
      </c>
      <c r="AE39" s="38">
        <f>SUMIFS('船长每月数据(2023年)'!$R:$R,'船长每月数据(2023年)'!$F:$F,$AE$2,'船长每月数据(2023年)'!$E:$E,$C:$C)</f>
        <v>0</v>
      </c>
      <c r="AF39" s="21">
        <f>IFERROR(AE39/SUMIF('船长每月数据(2023年)'!E:E,C:C,'船长每月数据(2023年)'!R:R),0)</f>
        <v>0</v>
      </c>
      <c r="AG39" s="20">
        <f>SUMIFS('船长每月数据(2023年)'!P:P,'船长每月数据(2023年)'!F:F,$AG$2,'船长每月数据(2023年)'!E:E,C:C)</f>
        <v>0</v>
      </c>
      <c r="AH39" s="21">
        <f>IFERROR(AG39/SUMIF('船长每月数据(2023年)'!$E:$E,$C:$C,'船长每月数据(2023年)'!$P:$P),0)</f>
        <v>0</v>
      </c>
      <c r="AI39" s="38">
        <f>SUMIFS('船长每月数据(2023年)'!$R:$R,'船长每月数据(2023年)'!$F:$F,$AI$2,'船长每月数据(2023年)'!$E:$E,$C:$C)</f>
        <v>0</v>
      </c>
      <c r="AJ39" s="21">
        <f>IFERROR(AI39/SUMIF('船长每月数据(2023年)'!$E:$E,$C:$C,'船长每月数据(2023年)'!$R:$R),0)</f>
        <v>0</v>
      </c>
      <c r="AK39" s="20">
        <f>SUMIFS('船长每月数据(2023年)'!P:P,'船长每月数据(2023年)'!F:F,$AK$2,'船长每月数据(2023年)'!E:E,C:C)</f>
        <v>0</v>
      </c>
      <c r="AL39" s="21">
        <f>IFERROR(AK39/SUMIF('船长每月数据(2023年)'!$E:$E,$C:$C,'船长每月数据(2023年)'!$P:$P),0)</f>
        <v>0</v>
      </c>
      <c r="AM39" s="38">
        <f>SUMIFS('船长每月数据(2023年)'!$R:$R,'船长每月数据(2023年)'!$F:$F,$AM$2,'船长每月数据(2023年)'!$E:$E,$C:$C)</f>
        <v>0</v>
      </c>
      <c r="AN39" s="21">
        <f>IFERROR(AM39/SUMIF('船长每月数据(2023年)'!$E:$E,$C:$C,'船长每月数据(2023年)'!$R:$R),0)</f>
        <v>0</v>
      </c>
      <c r="AO39" s="20">
        <f>SUMIFS('船长每月数据(2023年)'!P:P,'船长每月数据(2023年)'!F:F,$AO$2,'船长每月数据(2023年)'!E:E,C:C)</f>
        <v>0</v>
      </c>
      <c r="AP39" s="21">
        <f>IFERROR(AO39/SUMIF('船长每月数据(2023年)'!$E:$E,$C:$C,'船长每月数据(2023年)'!$P:$P),0)</f>
        <v>0</v>
      </c>
      <c r="AQ39" s="38">
        <f>SUMIFS('船长每月数据(2023年)'!$R:$R,'船长每月数据(2023年)'!$F:$F,$AQ$2,'船长每月数据(2023年)'!$E:$E,$C:$C)</f>
        <v>0</v>
      </c>
      <c r="AR39" s="21">
        <f>IFERROR(AQ39/SUMIF('船长每月数据(2023年)'!$E:$E,$C:$C,'船长每月数据(2023年)'!$R:$R),0)</f>
        <v>0</v>
      </c>
      <c r="AS39" s="20">
        <f>SUMIFS('船长每月数据(2023年)'!$P:$P,'船长每月数据(2023年)'!$F:$F,$AS$2,'船长每月数据(2023年)'!$E:$E,$C:$C)</f>
        <v>0</v>
      </c>
      <c r="AT39" s="21">
        <f>IFERROR(AS39/SUMIF('船长每月数据(2023年)'!$E:$E,$C:$C,'船长每月数据(2023年)'!$P:$P),0)</f>
        <v>0</v>
      </c>
      <c r="AU39" s="38">
        <f>SUMIFS('船长每月数据(2023年)'!$R:$R,'船长每月数据(2023年)'!$F:$F,$AU$2,'船长每月数据(2023年)'!$E:$E,$C:$C)</f>
        <v>0</v>
      </c>
      <c r="AV39" s="21">
        <f>IFERROR(AU39/SUMIF('船长每月数据(2023年)'!$E:$E,$C:$C,'船长每月数据(2023年)'!$R:$R),0)</f>
        <v>0</v>
      </c>
      <c r="AW39" s="20">
        <f>SUMIFS('船长每月数据(2023年)'!$P:$P,'船长每月数据(2023年)'!$F:$F,$AW$2,'船长每月数据(2023年)'!$E:$E,$C:$C)</f>
        <v>0</v>
      </c>
      <c r="AX39" s="21">
        <f>IFERROR(AW39/SUMIF('船长每月数据(2023年)'!$E:$E,$C:$C,'船长每月数据(2023年)'!$P:$P),0)</f>
        <v>0</v>
      </c>
      <c r="AY39" s="38">
        <f>SUMIFS('船长每月数据(2023年)'!$R:$R,'船长每月数据(2023年)'!$F:$F,$AY$2,'船长每月数据(2023年)'!$E:$E,$C:$C)</f>
        <v>0</v>
      </c>
      <c r="AZ39" s="21">
        <f>IFERROR(AY39/SUMIF('船长每月数据(2023年)'!$E:$E,$C:$C,'船长每月数据(2023年)'!$R:$R),0)</f>
        <v>0</v>
      </c>
      <c r="BA39" s="20">
        <f>SUMIFS('船长每月数据(2023年)'!$P:$P,'船长每月数据(2023年)'!$F:$F,$BA$2,'船长每月数据(2023年)'!$E:$E,$C:$C)</f>
        <v>0</v>
      </c>
      <c r="BB39" s="21">
        <f>IFERROR(BA39/SUMIF('船长每月数据(2023年)'!$E:$E,$C:$C,'船长每月数据(2023年)'!$P:$P),0)</f>
        <v>0</v>
      </c>
      <c r="BC39" s="38">
        <f>SUMIFS('船长每月数据(2023年)'!$R:$R,'船长每月数据(2023年)'!$F:$F,$BC$2,'船长每月数据(2023年)'!$E:$E,$C:$C)</f>
        <v>0</v>
      </c>
      <c r="BD39" s="21">
        <f>IFERROR(BC39/SUMIF('船长每月数据(2023年)'!$E:$E,$C:$C,'船长每月数据(2023年)'!$R:$R),0)</f>
        <v>0</v>
      </c>
      <c r="BE39" s="20">
        <f>SUMIFS('船长每月数据(2023年)'!$P:$P,'船长每月数据(2023年)'!$F:$F,$BE$2,'船长每月数据(2023年)'!$E:$E,$C:$C)</f>
        <v>0</v>
      </c>
      <c r="BF39" s="21">
        <f>IFERROR(BE39/SUMIF('船长每月数据(2023年)'!$E:$E,$C:$C,'船长每月数据(2023年)'!$P:$P),0)</f>
        <v>0</v>
      </c>
      <c r="BG39" s="38">
        <f>SUMIFS('船长每月数据(2023年)'!$R:$R,'船长每月数据(2023年)'!$F:$F,$BG$2,'船长每月数据(2023年)'!$E:$E,$C:$C)</f>
        <v>0</v>
      </c>
      <c r="BH39" s="21">
        <f>IFERROR(BG39/SUMIF('船长每月数据(2023年)'!$E:$E,$C:$C,'船长每月数据(2023年)'!$R:$R),0)</f>
        <v>0</v>
      </c>
      <c r="BI39" s="20">
        <f>SUMIFS('船长每月数据(2023年)'!$P:$P,'船长每月数据(2023年)'!$F:$F,$BI$2,'船长每月数据(2023年)'!$E:$E,$C:$C)</f>
        <v>0</v>
      </c>
      <c r="BJ39" s="21">
        <f>IFERROR(BI39/SUMIF('船长每月数据(2023年)'!$E:$E,$C:$C,'船长每月数据(2023年)'!$P:$P),0)</f>
        <v>0</v>
      </c>
      <c r="BK39" s="38">
        <f>SUMIFS('船长每月数据(2023年)'!$R:$R,'船长每月数据(2023年)'!$F:$F,$BK$2,'船长每月数据(2023年)'!$E:$E,$C:$C)</f>
        <v>0</v>
      </c>
      <c r="BL39" s="21">
        <f>IFERROR(BK39/SUMIF('船长每月数据(2023年)'!$E:$E,$C:$C,'船长每月数据(2023年)'!$R:$R),0)</f>
        <v>0</v>
      </c>
      <c r="BM39" s="20">
        <f>SUMIFS('船长每月数据(2023年)'!$P:$P,'船长每月数据(2023年)'!$F:$F,$BM$2,'船长每月数据(2023年)'!$E:$E,$C:$C)</f>
        <v>0</v>
      </c>
      <c r="BN39" s="21">
        <f>IFERROR(BM39/SUMIF('船长每月数据(2023年)'!$E:$E,$C:$C,'船长每月数据(2023年)'!$P:$P),0)</f>
        <v>0</v>
      </c>
      <c r="BO39" s="38">
        <f>SUMIFS('船长每月数据(2023年)'!$R:$R,'船长每月数据(2023年)'!$F:$F,$BO$2,'船长每月数据(2023年)'!$E:$E,$C:$C)</f>
        <v>0</v>
      </c>
      <c r="BP39" s="21">
        <f>IFERROR(BO39/SUMIF('船长每月数据(2023年)'!$E:$E,$C:$C,'船长每月数据(2023年)'!$R:$R),0)</f>
        <v>0</v>
      </c>
      <c r="BQ39" s="20">
        <f>SUMIFS('船长每月数据(2023年)'!$P:$P,'船长每月数据(2023年)'!$F:$F,$BQ$2,'船长每月数据(2023年)'!$E:$E,$C:$C)</f>
        <v>0</v>
      </c>
      <c r="BR39" s="21">
        <f>IFERROR(BQ39/SUMIF('船长每月数据(2023年)'!$E:$E,$C:$C,'船长每月数据(2023年)'!$P:$P),0)</f>
        <v>0</v>
      </c>
      <c r="BS39" s="38">
        <f>SUMIFS('船长每月数据(2023年)'!$R:$R,'船长每月数据(2023年)'!$F:$F,$BS$2,'船长每月数据(2023年)'!$E:$E,$C:$C)</f>
        <v>0</v>
      </c>
      <c r="BT39" s="21">
        <f>IFERROR(BS39/SUMIF('船长每月数据(2023年)'!$E:$E,$C:$C,'船长每月数据(2023年)'!$R:$R),0)</f>
        <v>0</v>
      </c>
      <c r="BU39" s="20">
        <f>SUMIFS('船长每月数据(2023年)'!$P:$P,'船长每月数据(2023年)'!$F:$F,$BU$2,'船长每月数据(2023年)'!$E:$E,$C:$C)</f>
        <v>0</v>
      </c>
      <c r="BV39" s="21">
        <f>IFERROR(BU39/SUMIF('船长每月数据(2023年)'!$E:$E,$C:$C,'船长每月数据(2023年)'!$P:$P),0)</f>
        <v>0</v>
      </c>
      <c r="BW39" s="38">
        <f>SUMIFS('船长每月数据(2023年)'!$R:$R,'船长每月数据(2023年)'!$F:$F,$BW$2,'船长每月数据(2023年)'!$E:$E,$C:$C)</f>
        <v>0</v>
      </c>
      <c r="BX39" s="21">
        <f>IFERROR(BW39/SUMIF('船长每月数据(2023年)'!$E:$E,$C:$C,'船长每月数据(2023年)'!$R:$R),0)</f>
        <v>0</v>
      </c>
    </row>
    <row r="40" ht="23" customHeight="1" spans="1:76">
      <c r="A40" s="82"/>
      <c r="B40" s="36"/>
      <c r="C40" s="20"/>
      <c r="D40" s="74"/>
      <c r="E40" s="20">
        <f>SUMIFS('船长每月数据(2022年)'!$P:$P,'船长每月数据(2022年)'!$F:$F,$E$2,'船长每月数据(2022年)'!E:E,C:C)</f>
        <v>0</v>
      </c>
      <c r="F40" s="85">
        <f>SUMIFS('船长每月数据(2022年)'!$R:$R,'船长每月数据(2022年)'!$F:$F,$F$2,'船长每月数据(2022年)'!E:E,C:C)</f>
        <v>0</v>
      </c>
      <c r="G40" s="20">
        <f>SUMIFS('船长每月数据(2022年)'!$P:$P,'船长每月数据(2022年)'!$F:$F,$G$2,'船长每月数据(2022年)'!$E:$E,$C:$C)</f>
        <v>0</v>
      </c>
      <c r="H40" s="85">
        <f>SUMIFS('船长每月数据(2022年)'!$R:$R,'船长每月数据(2022年)'!$F:$F,$H$2,'船长每月数据(2022年)'!$E:$E,$C:$C)</f>
        <v>0</v>
      </c>
      <c r="I40" s="20">
        <f>SUMIFS('船长每月数据(2022年)'!$P:$P,'船长每月数据(2022年)'!$F:$F,$I$2,'船长每月数据(2022年)'!$E:$E,$C:$C)</f>
        <v>0</v>
      </c>
      <c r="J40" s="85">
        <f>SUMIFS('船长每月数据(2022年)'!$R:$R,'船长每月数据(2022年)'!$F:$F,$J$2,'船长每月数据(2022年)'!$E:$E,$C:$C)</f>
        <v>0</v>
      </c>
      <c r="K40" s="20">
        <f>SUMIFS('船长每月数据(2022年)'!$P:$P,'船长每月数据(2022年)'!$F:$F,$K$2,'船长每月数据(2022年)'!$E:$E,$C:$C)</f>
        <v>0</v>
      </c>
      <c r="L40" s="85">
        <f>SUMIFS('船长每月数据(2022年)'!$R:$R,'船长每月数据(2022年)'!$F:$F,$L$2,'船长每月数据(2022年)'!$E:$E,$C:$C)</f>
        <v>0</v>
      </c>
      <c r="M40" s="20">
        <f>SUMIFS('船长每月数据(2022年)'!$P:$P,'船长每月数据(2022年)'!$F:$F,$M$2,'船长每月数据(2022年)'!$E:$E,$C:$C)</f>
        <v>0</v>
      </c>
      <c r="N40" s="85">
        <f>SUMIFS('船长每月数据(2022年)'!$R:$R,'船长每月数据(2022年)'!$F:$F,$N$2,'船长每月数据(2022年)'!$E:$E,$C:$C)</f>
        <v>0</v>
      </c>
      <c r="O40" s="20">
        <f>SUMIFS('船长每月数据(2022年)'!$P:$P,'船长每月数据(2022年)'!$F:$F,$O$2,'船长每月数据(2022年)'!$E:$E,$C:$C)</f>
        <v>0</v>
      </c>
      <c r="P40" s="85">
        <f>SUMIFS('船长每月数据(2022年)'!$R:$R,'船长每月数据(2022年)'!$F:$F,$P$2,'船长每月数据(2022年)'!$E:$E,$C:$C)</f>
        <v>0</v>
      </c>
      <c r="Q40" s="20">
        <f>SUMIFS('船长每月数据(2022年)'!$P:$P,'船长每月数据(2022年)'!$F:$F,$Q$2,'船长每月数据(2022年)'!$E:$E,$C:$C)</f>
        <v>0</v>
      </c>
      <c r="R40" s="85">
        <f>SUMIFS('船长每月数据(2022年)'!$R:$R,'船长每月数据(2022年)'!$F:$F,$R$2,'船长每月数据(2022年)'!$E:$E,$C:$C)</f>
        <v>0</v>
      </c>
      <c r="S40" s="20">
        <f>SUMIFS('船长每月数据(2022年)'!$P:$P,'船长每月数据(2022年)'!$F:$F,$S$2,'船长每月数据(2022年)'!$E:$E,$C:$C)</f>
        <v>0</v>
      </c>
      <c r="T40" s="85">
        <f>SUMIFS('船长每月数据(2022年)'!$R:$R,'船长每月数据(2022年)'!$F:$F,$T$2,'船长每月数据(2022年)'!$E:$E,$C:$C)</f>
        <v>0</v>
      </c>
      <c r="U40" s="20">
        <f>SUMIFS('船长每月数据(2022年)'!$P:$P,'船长每月数据(2022年)'!$F:$F,$U$2,'船长每月数据(2022年)'!$E:$E,$C:$C)</f>
        <v>0</v>
      </c>
      <c r="V40" s="85">
        <f>SUMIFS('船长每月数据(2022年)'!$R:$R,'船长每月数据(2022年)'!$F:$F,$V$2,'船长每月数据(2022年)'!$E:$E,$C:$C)</f>
        <v>0</v>
      </c>
      <c r="W40" s="20">
        <f>SUMIFS('船长每月数据(2022年)'!$P:$P,'船长每月数据(2022年)'!$F:$F,$W$2,'船长每月数据(2022年)'!$E:$E,$C:$C)</f>
        <v>0</v>
      </c>
      <c r="X40" s="85">
        <f>SUMIFS('船长每月数据(2022年)'!$R:$R,'船长每月数据(2022年)'!$F:$F,$X$2,'船长每月数据(2022年)'!$E:$E,$C:$C)</f>
        <v>0</v>
      </c>
      <c r="Y40" s="20">
        <f>SUMIFS('船长每月数据(2022年)'!$P:$P,'船长每月数据(2022年)'!$F:$F,$Y$2,'船长每月数据(2022年)'!$E:$E,$C:$C)</f>
        <v>0</v>
      </c>
      <c r="Z40" s="85">
        <f>SUMIFS('船长每月数据(2022年)'!$R:$R,'船长每月数据(2022年)'!$F:$F,$Z$2,'船长每月数据(2022年)'!$E:$E,$C:$C)</f>
        <v>0</v>
      </c>
      <c r="AA40" s="20">
        <f>SUMIFS('船长每月数据(2022年)'!$P:$P,'船长每月数据(2022年)'!$F:$F,$AA$2,'船长每月数据(2022年)'!$E:$E,$C:$C)</f>
        <v>0</v>
      </c>
      <c r="AB40" s="85">
        <f>SUMIFS('船长每月数据(2022年)'!$R:$R,'船长每月数据(2022年)'!$F:$F,$AB$2,'船长每月数据(2022年)'!$E:$E,$C:$C)</f>
        <v>0</v>
      </c>
      <c r="AC40" s="20">
        <f>SUMIFS('船长每月数据(2023年)'!P:P,'船长每月数据(2023年)'!F:F,$AC$2,'船长每月数据(2023年)'!E:E,C:C)</f>
        <v>0</v>
      </c>
      <c r="AD40" s="21">
        <f>IFERROR(AC40/SUMIF('船长每月数据(2023年)'!$E:$E,C:C,'船长每月数据(2023年)'!P:P),0)</f>
        <v>0</v>
      </c>
      <c r="AE40" s="38">
        <f>SUMIFS('船长每月数据(2023年)'!$R:$R,'船长每月数据(2023年)'!$F:$F,$AE$2,'船长每月数据(2023年)'!$E:$E,$C:$C)</f>
        <v>0</v>
      </c>
      <c r="AF40" s="21">
        <f>IFERROR(AE40/SUMIF('船长每月数据(2023年)'!E:E,C:C,'船长每月数据(2023年)'!R:R),0)</f>
        <v>0</v>
      </c>
      <c r="AG40" s="20">
        <f>SUMIFS('船长每月数据(2023年)'!P:P,'船长每月数据(2023年)'!F:F,$AG$2,'船长每月数据(2023年)'!E:E,C:C)</f>
        <v>0</v>
      </c>
      <c r="AH40" s="21">
        <f>IFERROR(AG40/SUMIF('船长每月数据(2023年)'!$E:$E,$C:$C,'船长每月数据(2023年)'!$P:$P),0)</f>
        <v>0</v>
      </c>
      <c r="AI40" s="38">
        <f>SUMIFS('船长每月数据(2023年)'!$R:$R,'船长每月数据(2023年)'!$F:$F,$AI$2,'船长每月数据(2023年)'!$E:$E,$C:$C)</f>
        <v>0</v>
      </c>
      <c r="AJ40" s="21">
        <f>IFERROR(AI40/SUMIF('船长每月数据(2023年)'!$E:$E,$C:$C,'船长每月数据(2023年)'!$R:$R),0)</f>
        <v>0</v>
      </c>
      <c r="AK40" s="20">
        <f>SUMIFS('船长每月数据(2023年)'!P:P,'船长每月数据(2023年)'!F:F,$AK$2,'船长每月数据(2023年)'!E:E,C:C)</f>
        <v>0</v>
      </c>
      <c r="AL40" s="21">
        <f>IFERROR(AK40/SUMIF('船长每月数据(2023年)'!$E:$E,$C:$C,'船长每月数据(2023年)'!$P:$P),0)</f>
        <v>0</v>
      </c>
      <c r="AM40" s="38">
        <f>SUMIFS('船长每月数据(2023年)'!$R:$R,'船长每月数据(2023年)'!$F:$F,$AM$2,'船长每月数据(2023年)'!$E:$E,$C:$C)</f>
        <v>0</v>
      </c>
      <c r="AN40" s="21">
        <f>IFERROR(AM40/SUMIF('船长每月数据(2023年)'!$E:$E,$C:$C,'船长每月数据(2023年)'!$R:$R),0)</f>
        <v>0</v>
      </c>
      <c r="AO40" s="20">
        <f>SUMIFS('船长每月数据(2023年)'!P:P,'船长每月数据(2023年)'!F:F,$AO$2,'船长每月数据(2023年)'!E:E,C:C)</f>
        <v>0</v>
      </c>
      <c r="AP40" s="21">
        <f>IFERROR(AO40/SUMIF('船长每月数据(2023年)'!$E:$E,$C:$C,'船长每月数据(2023年)'!$P:$P),0)</f>
        <v>0</v>
      </c>
      <c r="AQ40" s="38">
        <f>SUMIFS('船长每月数据(2023年)'!$R:$R,'船长每月数据(2023年)'!$F:$F,$AQ$2,'船长每月数据(2023年)'!$E:$E,$C:$C)</f>
        <v>0</v>
      </c>
      <c r="AR40" s="21">
        <f>IFERROR(AQ40/SUMIF('船长每月数据(2023年)'!$E:$E,$C:$C,'船长每月数据(2023年)'!$R:$R),0)</f>
        <v>0</v>
      </c>
      <c r="AS40" s="20">
        <f>SUMIFS('船长每月数据(2023年)'!$P:$P,'船长每月数据(2023年)'!$F:$F,$AS$2,'船长每月数据(2023年)'!$E:$E,$C:$C)</f>
        <v>0</v>
      </c>
      <c r="AT40" s="21">
        <f>IFERROR(AS40/SUMIF('船长每月数据(2023年)'!$E:$E,$C:$C,'船长每月数据(2023年)'!$P:$P),0)</f>
        <v>0</v>
      </c>
      <c r="AU40" s="38">
        <f>SUMIFS('船长每月数据(2023年)'!$R:$R,'船长每月数据(2023年)'!$F:$F,$AU$2,'船长每月数据(2023年)'!$E:$E,$C:$C)</f>
        <v>0</v>
      </c>
      <c r="AV40" s="21">
        <f>IFERROR(AU40/SUMIF('船长每月数据(2023年)'!$E:$E,$C:$C,'船长每月数据(2023年)'!$R:$R),0)</f>
        <v>0</v>
      </c>
      <c r="AW40" s="20">
        <f>SUMIFS('船长每月数据(2023年)'!$P:$P,'船长每月数据(2023年)'!$F:$F,$AW$2,'船长每月数据(2023年)'!$E:$E,$C:$C)</f>
        <v>0</v>
      </c>
      <c r="AX40" s="21">
        <f>IFERROR(AW40/SUMIF('船长每月数据(2023年)'!$E:$E,$C:$C,'船长每月数据(2023年)'!$P:$P),0)</f>
        <v>0</v>
      </c>
      <c r="AY40" s="38">
        <f>SUMIFS('船长每月数据(2023年)'!$R:$R,'船长每月数据(2023年)'!$F:$F,$AY$2,'船长每月数据(2023年)'!$E:$E,$C:$C)</f>
        <v>0</v>
      </c>
      <c r="AZ40" s="21">
        <f>IFERROR(AY40/SUMIF('船长每月数据(2023年)'!$E:$E,$C:$C,'船长每月数据(2023年)'!$R:$R),0)</f>
        <v>0</v>
      </c>
      <c r="BA40" s="20">
        <f>SUMIFS('船长每月数据(2023年)'!$P:$P,'船长每月数据(2023年)'!$F:$F,$BA$2,'船长每月数据(2023年)'!$E:$E,$C:$C)</f>
        <v>0</v>
      </c>
      <c r="BB40" s="21">
        <f>IFERROR(BA40/SUMIF('船长每月数据(2023年)'!$E:$E,$C:$C,'船长每月数据(2023年)'!$P:$P),0)</f>
        <v>0</v>
      </c>
      <c r="BC40" s="38">
        <f>SUMIFS('船长每月数据(2023年)'!$R:$R,'船长每月数据(2023年)'!$F:$F,$BC$2,'船长每月数据(2023年)'!$E:$E,$C:$C)</f>
        <v>0</v>
      </c>
      <c r="BD40" s="21">
        <f>IFERROR(BC40/SUMIF('船长每月数据(2023年)'!$E:$E,$C:$C,'船长每月数据(2023年)'!$R:$R),0)</f>
        <v>0</v>
      </c>
      <c r="BE40" s="20">
        <f>SUMIFS('船长每月数据(2023年)'!$P:$P,'船长每月数据(2023年)'!$F:$F,$BE$2,'船长每月数据(2023年)'!$E:$E,$C:$C)</f>
        <v>0</v>
      </c>
      <c r="BF40" s="21">
        <f>IFERROR(BE40/SUMIF('船长每月数据(2023年)'!$E:$E,$C:$C,'船长每月数据(2023年)'!$P:$P),0)</f>
        <v>0</v>
      </c>
      <c r="BG40" s="38">
        <f>SUMIFS('船长每月数据(2023年)'!$R:$R,'船长每月数据(2023年)'!$F:$F,$BG$2,'船长每月数据(2023年)'!$E:$E,$C:$C)</f>
        <v>0</v>
      </c>
      <c r="BH40" s="21">
        <f>IFERROR(BG40/SUMIF('船长每月数据(2023年)'!$E:$E,$C:$C,'船长每月数据(2023年)'!$R:$R),0)</f>
        <v>0</v>
      </c>
      <c r="BI40" s="20">
        <f>SUMIFS('船长每月数据(2023年)'!$P:$P,'船长每月数据(2023年)'!$F:$F,$BI$2,'船长每月数据(2023年)'!$E:$E,$C:$C)</f>
        <v>0</v>
      </c>
      <c r="BJ40" s="21">
        <f>IFERROR(BI40/SUMIF('船长每月数据(2023年)'!$E:$E,$C:$C,'船长每月数据(2023年)'!$P:$P),0)</f>
        <v>0</v>
      </c>
      <c r="BK40" s="38">
        <f>SUMIFS('船长每月数据(2023年)'!$R:$R,'船长每月数据(2023年)'!$F:$F,$BK$2,'船长每月数据(2023年)'!$E:$E,$C:$C)</f>
        <v>0</v>
      </c>
      <c r="BL40" s="21">
        <f>IFERROR(BK40/SUMIF('船长每月数据(2023年)'!$E:$E,$C:$C,'船长每月数据(2023年)'!$R:$R),0)</f>
        <v>0</v>
      </c>
      <c r="BM40" s="20">
        <f>SUMIFS('船长每月数据(2023年)'!$P:$P,'船长每月数据(2023年)'!$F:$F,$BM$2,'船长每月数据(2023年)'!$E:$E,$C:$C)</f>
        <v>0</v>
      </c>
      <c r="BN40" s="21">
        <f>IFERROR(BM40/SUMIF('船长每月数据(2023年)'!$E:$E,$C:$C,'船长每月数据(2023年)'!$P:$P),0)</f>
        <v>0</v>
      </c>
      <c r="BO40" s="38">
        <f>SUMIFS('船长每月数据(2023年)'!$R:$R,'船长每月数据(2023年)'!$F:$F,$BO$2,'船长每月数据(2023年)'!$E:$E,$C:$C)</f>
        <v>0</v>
      </c>
      <c r="BP40" s="21">
        <f>IFERROR(BO40/SUMIF('船长每月数据(2023年)'!$E:$E,$C:$C,'船长每月数据(2023年)'!$R:$R),0)</f>
        <v>0</v>
      </c>
      <c r="BQ40" s="20">
        <f>SUMIFS('船长每月数据(2023年)'!$P:$P,'船长每月数据(2023年)'!$F:$F,$BQ$2,'船长每月数据(2023年)'!$E:$E,$C:$C)</f>
        <v>0</v>
      </c>
      <c r="BR40" s="21">
        <f>IFERROR(BQ40/SUMIF('船长每月数据(2023年)'!$E:$E,$C:$C,'船长每月数据(2023年)'!$P:$P),0)</f>
        <v>0</v>
      </c>
      <c r="BS40" s="38">
        <f>SUMIFS('船长每月数据(2023年)'!$R:$R,'船长每月数据(2023年)'!$F:$F,$BS$2,'船长每月数据(2023年)'!$E:$E,$C:$C)</f>
        <v>0</v>
      </c>
      <c r="BT40" s="21">
        <f>IFERROR(BS40/SUMIF('船长每月数据(2023年)'!$E:$E,$C:$C,'船长每月数据(2023年)'!$R:$R),0)</f>
        <v>0</v>
      </c>
      <c r="BU40" s="20">
        <f>SUMIFS('船长每月数据(2023年)'!$P:$P,'船长每月数据(2023年)'!$F:$F,$BU$2,'船长每月数据(2023年)'!$E:$E,$C:$C)</f>
        <v>0</v>
      </c>
      <c r="BV40" s="21">
        <f>IFERROR(BU40/SUMIF('船长每月数据(2023年)'!$E:$E,$C:$C,'船长每月数据(2023年)'!$P:$P),0)</f>
        <v>0</v>
      </c>
      <c r="BW40" s="38">
        <f>SUMIFS('船长每月数据(2023年)'!$R:$R,'船长每月数据(2023年)'!$F:$F,$BW$2,'船长每月数据(2023年)'!$E:$E,$C:$C)</f>
        <v>0</v>
      </c>
      <c r="BX40" s="21">
        <f>IFERROR(BW40/SUMIF('船长每月数据(2023年)'!$E:$E,$C:$C,'船长每月数据(2023年)'!$R:$R),0)</f>
        <v>0</v>
      </c>
    </row>
    <row r="41" ht="23" customHeight="1" spans="1:76">
      <c r="A41" s="82"/>
      <c r="B41" s="36"/>
      <c r="C41" s="20"/>
      <c r="D41" s="74"/>
      <c r="E41" s="20">
        <f>SUMIFS('船长每月数据(2022年)'!$P:$P,'船长每月数据(2022年)'!$F:$F,$E$2,'船长每月数据(2022年)'!E:E,C:C)</f>
        <v>0</v>
      </c>
      <c r="F41" s="85">
        <f>SUMIFS('船长每月数据(2022年)'!$R:$R,'船长每月数据(2022年)'!$F:$F,$F$2,'船长每月数据(2022年)'!E:E,C:C)</f>
        <v>0</v>
      </c>
      <c r="G41" s="20">
        <f>SUMIFS('船长每月数据(2022年)'!$P:$P,'船长每月数据(2022年)'!$F:$F,$G$2,'船长每月数据(2022年)'!$E:$E,$C:$C)</f>
        <v>0</v>
      </c>
      <c r="H41" s="85">
        <f>SUMIFS('船长每月数据(2022年)'!$R:$R,'船长每月数据(2022年)'!$F:$F,$H$2,'船长每月数据(2022年)'!$E:$E,$C:$C)</f>
        <v>0</v>
      </c>
      <c r="I41" s="20">
        <f>SUMIFS('船长每月数据(2022年)'!$P:$P,'船长每月数据(2022年)'!$F:$F,$I$2,'船长每月数据(2022年)'!$E:$E,$C:$C)</f>
        <v>0</v>
      </c>
      <c r="J41" s="85">
        <f>SUMIFS('船长每月数据(2022年)'!$R:$R,'船长每月数据(2022年)'!$F:$F,$J$2,'船长每月数据(2022年)'!$E:$E,$C:$C)</f>
        <v>0</v>
      </c>
      <c r="K41" s="20">
        <f>SUMIFS('船长每月数据(2022年)'!$P:$P,'船长每月数据(2022年)'!$F:$F,$K$2,'船长每月数据(2022年)'!$E:$E,$C:$C)</f>
        <v>0</v>
      </c>
      <c r="L41" s="85">
        <f>SUMIFS('船长每月数据(2022年)'!$R:$R,'船长每月数据(2022年)'!$F:$F,$L$2,'船长每月数据(2022年)'!$E:$E,$C:$C)</f>
        <v>0</v>
      </c>
      <c r="M41" s="20">
        <f>SUMIFS('船长每月数据(2022年)'!$P:$P,'船长每月数据(2022年)'!$F:$F,$M$2,'船长每月数据(2022年)'!$E:$E,$C:$C)</f>
        <v>0</v>
      </c>
      <c r="N41" s="85">
        <f>SUMIFS('船长每月数据(2022年)'!$R:$R,'船长每月数据(2022年)'!$F:$F,$N$2,'船长每月数据(2022年)'!$E:$E,$C:$C)</f>
        <v>0</v>
      </c>
      <c r="O41" s="20">
        <f>SUMIFS('船长每月数据(2022年)'!$P:$P,'船长每月数据(2022年)'!$F:$F,$O$2,'船长每月数据(2022年)'!$E:$E,$C:$C)</f>
        <v>0</v>
      </c>
      <c r="P41" s="85">
        <f>SUMIFS('船长每月数据(2022年)'!$R:$R,'船长每月数据(2022年)'!$F:$F,$P$2,'船长每月数据(2022年)'!$E:$E,$C:$C)</f>
        <v>0</v>
      </c>
      <c r="Q41" s="20">
        <f>SUMIFS('船长每月数据(2022年)'!$P:$P,'船长每月数据(2022年)'!$F:$F,$Q$2,'船长每月数据(2022年)'!$E:$E,$C:$C)</f>
        <v>0</v>
      </c>
      <c r="R41" s="85">
        <f>SUMIFS('船长每月数据(2022年)'!$R:$R,'船长每月数据(2022年)'!$F:$F,$R$2,'船长每月数据(2022年)'!$E:$E,$C:$C)</f>
        <v>0</v>
      </c>
      <c r="S41" s="20">
        <f>SUMIFS('船长每月数据(2022年)'!$P:$P,'船长每月数据(2022年)'!$F:$F,$S$2,'船长每月数据(2022年)'!$E:$E,$C:$C)</f>
        <v>0</v>
      </c>
      <c r="T41" s="85">
        <f>SUMIFS('船长每月数据(2022年)'!$R:$R,'船长每月数据(2022年)'!$F:$F,$T$2,'船长每月数据(2022年)'!$E:$E,$C:$C)</f>
        <v>0</v>
      </c>
      <c r="U41" s="20">
        <f>SUMIFS('船长每月数据(2022年)'!$P:$P,'船长每月数据(2022年)'!$F:$F,$U$2,'船长每月数据(2022年)'!$E:$E,$C:$C)</f>
        <v>0</v>
      </c>
      <c r="V41" s="85">
        <f>SUMIFS('船长每月数据(2022年)'!$R:$R,'船长每月数据(2022年)'!$F:$F,$V$2,'船长每月数据(2022年)'!$E:$E,$C:$C)</f>
        <v>0</v>
      </c>
      <c r="W41" s="20">
        <f>SUMIFS('船长每月数据(2022年)'!$P:$P,'船长每月数据(2022年)'!$F:$F,$W$2,'船长每月数据(2022年)'!$E:$E,$C:$C)</f>
        <v>0</v>
      </c>
      <c r="X41" s="85">
        <f>SUMIFS('船长每月数据(2022年)'!$R:$R,'船长每月数据(2022年)'!$F:$F,$X$2,'船长每月数据(2022年)'!$E:$E,$C:$C)</f>
        <v>0</v>
      </c>
      <c r="Y41" s="20">
        <f>SUMIFS('船长每月数据(2022年)'!$P:$P,'船长每月数据(2022年)'!$F:$F,$Y$2,'船长每月数据(2022年)'!$E:$E,$C:$C)</f>
        <v>0</v>
      </c>
      <c r="Z41" s="85">
        <f>SUMIFS('船长每月数据(2022年)'!$R:$R,'船长每月数据(2022年)'!$F:$F,$Z$2,'船长每月数据(2022年)'!$E:$E,$C:$C)</f>
        <v>0</v>
      </c>
      <c r="AA41" s="20">
        <f>SUMIFS('船长每月数据(2022年)'!$P:$P,'船长每月数据(2022年)'!$F:$F,$AA$2,'船长每月数据(2022年)'!$E:$E,$C:$C)</f>
        <v>0</v>
      </c>
      <c r="AB41" s="85">
        <f>SUMIFS('船长每月数据(2022年)'!$R:$R,'船长每月数据(2022年)'!$F:$F,$AB$2,'船长每月数据(2022年)'!$E:$E,$C:$C)</f>
        <v>0</v>
      </c>
      <c r="AC41" s="20">
        <f>SUMIFS('船长每月数据(2023年)'!P:P,'船长每月数据(2023年)'!F:F,$AC$2,'船长每月数据(2023年)'!E:E,C:C)</f>
        <v>0</v>
      </c>
      <c r="AD41" s="21">
        <f>IFERROR(AC41/SUMIF('船长每月数据(2023年)'!$E:$E,C:C,'船长每月数据(2023年)'!P:P),0)</f>
        <v>0</v>
      </c>
      <c r="AE41" s="38">
        <f>SUMIFS('船长每月数据(2023年)'!$R:$R,'船长每月数据(2023年)'!$F:$F,$AE$2,'船长每月数据(2023年)'!$E:$E,$C:$C)</f>
        <v>0</v>
      </c>
      <c r="AF41" s="21">
        <f>IFERROR(AE41/SUMIF('船长每月数据(2023年)'!E:E,C:C,'船长每月数据(2023年)'!R:R),0)</f>
        <v>0</v>
      </c>
      <c r="AG41" s="20">
        <f>SUMIFS('船长每月数据(2023年)'!P:P,'船长每月数据(2023年)'!F:F,$AG$2,'船长每月数据(2023年)'!E:E,C:C)</f>
        <v>0</v>
      </c>
      <c r="AH41" s="21">
        <f>IFERROR(AG41/SUMIF('船长每月数据(2023年)'!$E:$E,$C:$C,'船长每月数据(2023年)'!$P:$P),0)</f>
        <v>0</v>
      </c>
      <c r="AI41" s="38">
        <f>SUMIFS('船长每月数据(2023年)'!$R:$R,'船长每月数据(2023年)'!$F:$F,$AI$2,'船长每月数据(2023年)'!$E:$E,$C:$C)</f>
        <v>0</v>
      </c>
      <c r="AJ41" s="21">
        <f>IFERROR(AI41/SUMIF('船长每月数据(2023年)'!$E:$E,$C:$C,'船长每月数据(2023年)'!$R:$R),0)</f>
        <v>0</v>
      </c>
      <c r="AK41" s="20">
        <f>SUMIFS('船长每月数据(2023年)'!P:P,'船长每月数据(2023年)'!F:F,$AK$2,'船长每月数据(2023年)'!E:E,C:C)</f>
        <v>0</v>
      </c>
      <c r="AL41" s="21">
        <f>IFERROR(AK41/SUMIF('船长每月数据(2023年)'!$E:$E,$C:$C,'船长每月数据(2023年)'!$P:$P),0)</f>
        <v>0</v>
      </c>
      <c r="AM41" s="38">
        <f>SUMIFS('船长每月数据(2023年)'!$R:$R,'船长每月数据(2023年)'!$F:$F,$AM$2,'船长每月数据(2023年)'!$E:$E,$C:$C)</f>
        <v>0</v>
      </c>
      <c r="AN41" s="21">
        <f>IFERROR(AM41/SUMIF('船长每月数据(2023年)'!$E:$E,$C:$C,'船长每月数据(2023年)'!$R:$R),0)</f>
        <v>0</v>
      </c>
      <c r="AO41" s="20">
        <f>SUMIFS('船长每月数据(2023年)'!P:P,'船长每月数据(2023年)'!F:F,$AO$2,'船长每月数据(2023年)'!E:E,C:C)</f>
        <v>0</v>
      </c>
      <c r="AP41" s="21">
        <f>IFERROR(AO41/SUMIF('船长每月数据(2023年)'!$E:$E,$C:$C,'船长每月数据(2023年)'!$P:$P),0)</f>
        <v>0</v>
      </c>
      <c r="AQ41" s="38">
        <f>SUMIFS('船长每月数据(2023年)'!$R:$R,'船长每月数据(2023年)'!$F:$F,$AQ$2,'船长每月数据(2023年)'!$E:$E,$C:$C)</f>
        <v>0</v>
      </c>
      <c r="AR41" s="21">
        <f>IFERROR(AQ41/SUMIF('船长每月数据(2023年)'!$E:$E,$C:$C,'船长每月数据(2023年)'!$R:$R),0)</f>
        <v>0</v>
      </c>
      <c r="AS41" s="20">
        <f>SUMIFS('船长每月数据(2023年)'!$P:$P,'船长每月数据(2023年)'!$F:$F,$AS$2,'船长每月数据(2023年)'!$E:$E,$C:$C)</f>
        <v>0</v>
      </c>
      <c r="AT41" s="21">
        <f>IFERROR(AS41/SUMIF('船长每月数据(2023年)'!$E:$E,$C:$C,'船长每月数据(2023年)'!$P:$P),0)</f>
        <v>0</v>
      </c>
      <c r="AU41" s="38">
        <f>SUMIFS('船长每月数据(2023年)'!$R:$R,'船长每月数据(2023年)'!$F:$F,$AU$2,'船长每月数据(2023年)'!$E:$E,$C:$C)</f>
        <v>0</v>
      </c>
      <c r="AV41" s="21">
        <f>IFERROR(AU41/SUMIF('船长每月数据(2023年)'!$E:$E,$C:$C,'船长每月数据(2023年)'!$R:$R),0)</f>
        <v>0</v>
      </c>
      <c r="AW41" s="20">
        <f>SUMIFS('船长每月数据(2023年)'!$P:$P,'船长每月数据(2023年)'!$F:$F,$AW$2,'船长每月数据(2023年)'!$E:$E,$C:$C)</f>
        <v>0</v>
      </c>
      <c r="AX41" s="21">
        <f>IFERROR(AW41/SUMIF('船长每月数据(2023年)'!$E:$E,$C:$C,'船长每月数据(2023年)'!$P:$P),0)</f>
        <v>0</v>
      </c>
      <c r="AY41" s="38">
        <f>SUMIFS('船长每月数据(2023年)'!$R:$R,'船长每月数据(2023年)'!$F:$F,$AY$2,'船长每月数据(2023年)'!$E:$E,$C:$C)</f>
        <v>0</v>
      </c>
      <c r="AZ41" s="21">
        <f>IFERROR(AY41/SUMIF('船长每月数据(2023年)'!$E:$E,$C:$C,'船长每月数据(2023年)'!$R:$R),0)</f>
        <v>0</v>
      </c>
      <c r="BA41" s="20">
        <f>SUMIFS('船长每月数据(2023年)'!$P:$P,'船长每月数据(2023年)'!$F:$F,$BA$2,'船长每月数据(2023年)'!$E:$E,$C:$C)</f>
        <v>0</v>
      </c>
      <c r="BB41" s="21">
        <f>IFERROR(BA41/SUMIF('船长每月数据(2023年)'!$E:$E,$C:$C,'船长每月数据(2023年)'!$P:$P),0)</f>
        <v>0</v>
      </c>
      <c r="BC41" s="38">
        <f>SUMIFS('船长每月数据(2023年)'!$R:$R,'船长每月数据(2023年)'!$F:$F,$BC$2,'船长每月数据(2023年)'!$E:$E,$C:$C)</f>
        <v>0</v>
      </c>
      <c r="BD41" s="21">
        <f>IFERROR(BC41/SUMIF('船长每月数据(2023年)'!$E:$E,$C:$C,'船长每月数据(2023年)'!$R:$R),0)</f>
        <v>0</v>
      </c>
      <c r="BE41" s="20">
        <f>SUMIFS('船长每月数据(2023年)'!$P:$P,'船长每月数据(2023年)'!$F:$F,$BE$2,'船长每月数据(2023年)'!$E:$E,$C:$C)</f>
        <v>0</v>
      </c>
      <c r="BF41" s="21">
        <f>IFERROR(BE41/SUMIF('船长每月数据(2023年)'!$E:$E,$C:$C,'船长每月数据(2023年)'!$P:$P),0)</f>
        <v>0</v>
      </c>
      <c r="BG41" s="38">
        <f>SUMIFS('船长每月数据(2023年)'!$R:$R,'船长每月数据(2023年)'!$F:$F,$BG$2,'船长每月数据(2023年)'!$E:$E,$C:$C)</f>
        <v>0</v>
      </c>
      <c r="BH41" s="21">
        <f>IFERROR(BG41/SUMIF('船长每月数据(2023年)'!$E:$E,$C:$C,'船长每月数据(2023年)'!$R:$R),0)</f>
        <v>0</v>
      </c>
      <c r="BI41" s="20">
        <f>SUMIFS('船长每月数据(2023年)'!$P:$P,'船长每月数据(2023年)'!$F:$F,$BI$2,'船长每月数据(2023年)'!$E:$E,$C:$C)</f>
        <v>0</v>
      </c>
      <c r="BJ41" s="21">
        <f>IFERROR(BI41/SUMIF('船长每月数据(2023年)'!$E:$E,$C:$C,'船长每月数据(2023年)'!$P:$P),0)</f>
        <v>0</v>
      </c>
      <c r="BK41" s="38">
        <f>SUMIFS('船长每月数据(2023年)'!$R:$R,'船长每月数据(2023年)'!$F:$F,$BK$2,'船长每月数据(2023年)'!$E:$E,$C:$C)</f>
        <v>0</v>
      </c>
      <c r="BL41" s="21">
        <f>IFERROR(BK41/SUMIF('船长每月数据(2023年)'!$E:$E,$C:$C,'船长每月数据(2023年)'!$R:$R),0)</f>
        <v>0</v>
      </c>
      <c r="BM41" s="20">
        <f>SUMIFS('船长每月数据(2023年)'!$P:$P,'船长每月数据(2023年)'!$F:$F,$BM$2,'船长每月数据(2023年)'!$E:$E,$C:$C)</f>
        <v>0</v>
      </c>
      <c r="BN41" s="21">
        <f>IFERROR(BM41/SUMIF('船长每月数据(2023年)'!$E:$E,$C:$C,'船长每月数据(2023年)'!$P:$P),0)</f>
        <v>0</v>
      </c>
      <c r="BO41" s="38">
        <f>SUMIFS('船长每月数据(2023年)'!$R:$R,'船长每月数据(2023年)'!$F:$F,$BO$2,'船长每月数据(2023年)'!$E:$E,$C:$C)</f>
        <v>0</v>
      </c>
      <c r="BP41" s="21">
        <f>IFERROR(BO41/SUMIF('船长每月数据(2023年)'!$E:$E,$C:$C,'船长每月数据(2023年)'!$R:$R),0)</f>
        <v>0</v>
      </c>
      <c r="BQ41" s="20">
        <f>SUMIFS('船长每月数据(2023年)'!$P:$P,'船长每月数据(2023年)'!$F:$F,$BQ$2,'船长每月数据(2023年)'!$E:$E,$C:$C)</f>
        <v>0</v>
      </c>
      <c r="BR41" s="21">
        <f>IFERROR(BQ41/SUMIF('船长每月数据(2023年)'!$E:$E,$C:$C,'船长每月数据(2023年)'!$P:$P),0)</f>
        <v>0</v>
      </c>
      <c r="BS41" s="38">
        <f>SUMIFS('船长每月数据(2023年)'!$R:$R,'船长每月数据(2023年)'!$F:$F,$BS$2,'船长每月数据(2023年)'!$E:$E,$C:$C)</f>
        <v>0</v>
      </c>
      <c r="BT41" s="21">
        <f>IFERROR(BS41/SUMIF('船长每月数据(2023年)'!$E:$E,$C:$C,'船长每月数据(2023年)'!$R:$R),0)</f>
        <v>0</v>
      </c>
      <c r="BU41" s="20">
        <f>SUMIFS('船长每月数据(2023年)'!$P:$P,'船长每月数据(2023年)'!$F:$F,$BU$2,'船长每月数据(2023年)'!$E:$E,$C:$C)</f>
        <v>0</v>
      </c>
      <c r="BV41" s="21">
        <f>IFERROR(BU41/SUMIF('船长每月数据(2023年)'!$E:$E,$C:$C,'船长每月数据(2023年)'!$P:$P),0)</f>
        <v>0</v>
      </c>
      <c r="BW41" s="38">
        <f>SUMIFS('船长每月数据(2023年)'!$R:$R,'船长每月数据(2023年)'!$F:$F,$BW$2,'船长每月数据(2023年)'!$E:$E,$C:$C)</f>
        <v>0</v>
      </c>
      <c r="BX41" s="21">
        <f>IFERROR(BW41/SUMIF('船长每月数据(2023年)'!$E:$E,$C:$C,'船长每月数据(2023年)'!$R:$R),0)</f>
        <v>0</v>
      </c>
    </row>
    <row r="42" ht="23" customHeight="1" spans="1:76">
      <c r="A42" s="82"/>
      <c r="B42" s="36"/>
      <c r="C42" s="20"/>
      <c r="D42" s="74"/>
      <c r="E42" s="20">
        <f>SUMIFS('船长每月数据(2022年)'!$P:$P,'船长每月数据(2022年)'!$F:$F,$E$2,'船长每月数据(2022年)'!E:E,C:C)</f>
        <v>0</v>
      </c>
      <c r="F42" s="85">
        <f>SUMIFS('船长每月数据(2022年)'!$R:$R,'船长每月数据(2022年)'!$F:$F,$F$2,'船长每月数据(2022年)'!E:E,C:C)</f>
        <v>0</v>
      </c>
      <c r="G42" s="20">
        <f>SUMIFS('船长每月数据(2022年)'!$P:$P,'船长每月数据(2022年)'!$F:$F,$G$2,'船长每月数据(2022年)'!$E:$E,$C:$C)</f>
        <v>0</v>
      </c>
      <c r="H42" s="85">
        <f>SUMIFS('船长每月数据(2022年)'!$R:$R,'船长每月数据(2022年)'!$F:$F,$H$2,'船长每月数据(2022年)'!$E:$E,$C:$C)</f>
        <v>0</v>
      </c>
      <c r="I42" s="20">
        <f>SUMIFS('船长每月数据(2022年)'!$P:$P,'船长每月数据(2022年)'!$F:$F,$I$2,'船长每月数据(2022年)'!$E:$E,$C:$C)</f>
        <v>0</v>
      </c>
      <c r="J42" s="85">
        <f>SUMIFS('船长每月数据(2022年)'!$R:$R,'船长每月数据(2022年)'!$F:$F,$J$2,'船长每月数据(2022年)'!$E:$E,$C:$C)</f>
        <v>0</v>
      </c>
      <c r="K42" s="20">
        <f>SUMIFS('船长每月数据(2022年)'!$P:$P,'船长每月数据(2022年)'!$F:$F,$K$2,'船长每月数据(2022年)'!$E:$E,$C:$C)</f>
        <v>0</v>
      </c>
      <c r="L42" s="85">
        <f>SUMIFS('船长每月数据(2022年)'!$R:$R,'船长每月数据(2022年)'!$F:$F,$L$2,'船长每月数据(2022年)'!$E:$E,$C:$C)</f>
        <v>0</v>
      </c>
      <c r="M42" s="20">
        <f>SUMIFS('船长每月数据(2022年)'!$P:$P,'船长每月数据(2022年)'!$F:$F,$M$2,'船长每月数据(2022年)'!$E:$E,$C:$C)</f>
        <v>0</v>
      </c>
      <c r="N42" s="85">
        <f>SUMIFS('船长每月数据(2022年)'!$R:$R,'船长每月数据(2022年)'!$F:$F,$N$2,'船长每月数据(2022年)'!$E:$E,$C:$C)</f>
        <v>0</v>
      </c>
      <c r="O42" s="20">
        <f>SUMIFS('船长每月数据(2022年)'!$P:$P,'船长每月数据(2022年)'!$F:$F,$O$2,'船长每月数据(2022年)'!$E:$E,$C:$C)</f>
        <v>0</v>
      </c>
      <c r="P42" s="85">
        <f>SUMIFS('船长每月数据(2022年)'!$R:$R,'船长每月数据(2022年)'!$F:$F,$P$2,'船长每月数据(2022年)'!$E:$E,$C:$C)</f>
        <v>0</v>
      </c>
      <c r="Q42" s="20">
        <f>SUMIFS('船长每月数据(2022年)'!$P:$P,'船长每月数据(2022年)'!$F:$F,$Q$2,'船长每月数据(2022年)'!$E:$E,$C:$C)</f>
        <v>0</v>
      </c>
      <c r="R42" s="85">
        <f>SUMIFS('船长每月数据(2022年)'!$R:$R,'船长每月数据(2022年)'!$F:$F,$R$2,'船长每月数据(2022年)'!$E:$E,$C:$C)</f>
        <v>0</v>
      </c>
      <c r="S42" s="20">
        <f>SUMIFS('船长每月数据(2022年)'!$P:$P,'船长每月数据(2022年)'!$F:$F,$S$2,'船长每月数据(2022年)'!$E:$E,$C:$C)</f>
        <v>0</v>
      </c>
      <c r="T42" s="85">
        <f>SUMIFS('船长每月数据(2022年)'!$R:$R,'船长每月数据(2022年)'!$F:$F,$T$2,'船长每月数据(2022年)'!$E:$E,$C:$C)</f>
        <v>0</v>
      </c>
      <c r="U42" s="20">
        <f>SUMIFS('船长每月数据(2022年)'!$P:$P,'船长每月数据(2022年)'!$F:$F,$U$2,'船长每月数据(2022年)'!$E:$E,$C:$C)</f>
        <v>0</v>
      </c>
      <c r="V42" s="85">
        <f>SUMIFS('船长每月数据(2022年)'!$R:$R,'船长每月数据(2022年)'!$F:$F,$V$2,'船长每月数据(2022年)'!$E:$E,$C:$C)</f>
        <v>0</v>
      </c>
      <c r="W42" s="20">
        <f>SUMIFS('船长每月数据(2022年)'!$P:$P,'船长每月数据(2022年)'!$F:$F,$W$2,'船长每月数据(2022年)'!$E:$E,$C:$C)</f>
        <v>0</v>
      </c>
      <c r="X42" s="85">
        <f>SUMIFS('船长每月数据(2022年)'!$R:$R,'船长每月数据(2022年)'!$F:$F,$X$2,'船长每月数据(2022年)'!$E:$E,$C:$C)</f>
        <v>0</v>
      </c>
      <c r="Y42" s="20">
        <f>SUMIFS('船长每月数据(2022年)'!$P:$P,'船长每月数据(2022年)'!$F:$F,$Y$2,'船长每月数据(2022年)'!$E:$E,$C:$C)</f>
        <v>0</v>
      </c>
      <c r="Z42" s="85">
        <f>SUMIFS('船长每月数据(2022年)'!$R:$R,'船长每月数据(2022年)'!$F:$F,$Z$2,'船长每月数据(2022年)'!$E:$E,$C:$C)</f>
        <v>0</v>
      </c>
      <c r="AA42" s="20">
        <f>SUMIFS('船长每月数据(2022年)'!$P:$P,'船长每月数据(2022年)'!$F:$F,$AA$2,'船长每月数据(2022年)'!$E:$E,$C:$C)</f>
        <v>0</v>
      </c>
      <c r="AB42" s="85">
        <f>SUMIFS('船长每月数据(2022年)'!$R:$R,'船长每月数据(2022年)'!$F:$F,$AB$2,'船长每月数据(2022年)'!$E:$E,$C:$C)</f>
        <v>0</v>
      </c>
      <c r="AC42" s="20">
        <f>SUMIFS('船长每月数据(2023年)'!P:P,'船长每月数据(2023年)'!F:F,$AC$2,'船长每月数据(2023年)'!E:E,C:C)</f>
        <v>0</v>
      </c>
      <c r="AD42" s="21">
        <f>IFERROR(AC42/SUMIF('船长每月数据(2023年)'!$E:$E,C:C,'船长每月数据(2023年)'!P:P),0)</f>
        <v>0</v>
      </c>
      <c r="AE42" s="38">
        <f>SUMIFS('船长每月数据(2023年)'!$R:$R,'船长每月数据(2023年)'!$F:$F,$AE$2,'船长每月数据(2023年)'!$E:$E,$C:$C)</f>
        <v>0</v>
      </c>
      <c r="AF42" s="21">
        <f>IFERROR(AE42/SUMIF('船长每月数据(2023年)'!E:E,C:C,'船长每月数据(2023年)'!R:R),0)</f>
        <v>0</v>
      </c>
      <c r="AG42" s="20">
        <f>SUMIFS('船长每月数据(2023年)'!P:P,'船长每月数据(2023年)'!F:F,$AG$2,'船长每月数据(2023年)'!E:E,C:C)</f>
        <v>0</v>
      </c>
      <c r="AH42" s="21">
        <f>IFERROR(AG42/SUMIF('船长每月数据(2023年)'!$E:$E,$C:$C,'船长每月数据(2023年)'!$P:$P),0)</f>
        <v>0</v>
      </c>
      <c r="AI42" s="38">
        <f>SUMIFS('船长每月数据(2023年)'!$R:$R,'船长每月数据(2023年)'!$F:$F,$AI$2,'船长每月数据(2023年)'!$E:$E,$C:$C)</f>
        <v>0</v>
      </c>
      <c r="AJ42" s="21">
        <f>IFERROR(AI42/SUMIF('船长每月数据(2023年)'!$E:$E,$C:$C,'船长每月数据(2023年)'!$R:$R),0)</f>
        <v>0</v>
      </c>
      <c r="AK42" s="20">
        <f>SUMIFS('船长每月数据(2023年)'!P:P,'船长每月数据(2023年)'!F:F,$AK$2,'船长每月数据(2023年)'!E:E,C:C)</f>
        <v>0</v>
      </c>
      <c r="AL42" s="21">
        <f>IFERROR(AK42/SUMIF('船长每月数据(2023年)'!$E:$E,$C:$C,'船长每月数据(2023年)'!$P:$P),0)</f>
        <v>0</v>
      </c>
      <c r="AM42" s="38">
        <f>SUMIFS('船长每月数据(2023年)'!$R:$R,'船长每月数据(2023年)'!$F:$F,$AM$2,'船长每月数据(2023年)'!$E:$E,$C:$C)</f>
        <v>0</v>
      </c>
      <c r="AN42" s="21">
        <f>IFERROR(AM42/SUMIF('船长每月数据(2023年)'!$E:$E,$C:$C,'船长每月数据(2023年)'!$R:$R),0)</f>
        <v>0</v>
      </c>
      <c r="AO42" s="20">
        <f>SUMIFS('船长每月数据(2023年)'!P:P,'船长每月数据(2023年)'!F:F,$AO$2,'船长每月数据(2023年)'!E:E,C:C)</f>
        <v>0</v>
      </c>
      <c r="AP42" s="21">
        <f>IFERROR(AO42/SUMIF('船长每月数据(2023年)'!$E:$E,$C:$C,'船长每月数据(2023年)'!$P:$P),0)</f>
        <v>0</v>
      </c>
      <c r="AQ42" s="38">
        <f>SUMIFS('船长每月数据(2023年)'!$R:$R,'船长每月数据(2023年)'!$F:$F,$AQ$2,'船长每月数据(2023年)'!$E:$E,$C:$C)</f>
        <v>0</v>
      </c>
      <c r="AR42" s="21">
        <f>IFERROR(AQ42/SUMIF('船长每月数据(2023年)'!$E:$E,$C:$C,'船长每月数据(2023年)'!$R:$R),0)</f>
        <v>0</v>
      </c>
      <c r="AS42" s="20">
        <f>SUMIFS('船长每月数据(2023年)'!$P:$P,'船长每月数据(2023年)'!$F:$F,$AS$2,'船长每月数据(2023年)'!$E:$E,$C:$C)</f>
        <v>0</v>
      </c>
      <c r="AT42" s="21">
        <f>IFERROR(AS42/SUMIF('船长每月数据(2023年)'!$E:$E,$C:$C,'船长每月数据(2023年)'!$P:$P),0)</f>
        <v>0</v>
      </c>
      <c r="AU42" s="38">
        <f>SUMIFS('船长每月数据(2023年)'!$R:$R,'船长每月数据(2023年)'!$F:$F,$AU$2,'船长每月数据(2023年)'!$E:$E,$C:$C)</f>
        <v>0</v>
      </c>
      <c r="AV42" s="21">
        <f>IFERROR(AU42/SUMIF('船长每月数据(2023年)'!$E:$E,$C:$C,'船长每月数据(2023年)'!$R:$R),0)</f>
        <v>0</v>
      </c>
      <c r="AW42" s="20">
        <f>SUMIFS('船长每月数据(2023年)'!$P:$P,'船长每月数据(2023年)'!$F:$F,$AW$2,'船长每月数据(2023年)'!$E:$E,$C:$C)</f>
        <v>0</v>
      </c>
      <c r="AX42" s="21">
        <f>IFERROR(AW42/SUMIF('船长每月数据(2023年)'!$E:$E,$C:$C,'船长每月数据(2023年)'!$P:$P),0)</f>
        <v>0</v>
      </c>
      <c r="AY42" s="38">
        <f>SUMIFS('船长每月数据(2023年)'!$R:$R,'船长每月数据(2023年)'!$F:$F,$AY$2,'船长每月数据(2023年)'!$E:$E,$C:$C)</f>
        <v>0</v>
      </c>
      <c r="AZ42" s="21">
        <f>IFERROR(AY42/SUMIF('船长每月数据(2023年)'!$E:$E,$C:$C,'船长每月数据(2023年)'!$R:$R),0)</f>
        <v>0</v>
      </c>
      <c r="BA42" s="20">
        <f>SUMIFS('船长每月数据(2023年)'!$P:$P,'船长每月数据(2023年)'!$F:$F,$BA$2,'船长每月数据(2023年)'!$E:$E,$C:$C)</f>
        <v>0</v>
      </c>
      <c r="BB42" s="21">
        <f>IFERROR(BA42/SUMIF('船长每月数据(2023年)'!$E:$E,$C:$C,'船长每月数据(2023年)'!$P:$P),0)</f>
        <v>0</v>
      </c>
      <c r="BC42" s="38">
        <f>SUMIFS('船长每月数据(2023年)'!$R:$R,'船长每月数据(2023年)'!$F:$F,$BC$2,'船长每月数据(2023年)'!$E:$E,$C:$C)</f>
        <v>0</v>
      </c>
      <c r="BD42" s="21">
        <f>IFERROR(BC42/SUMIF('船长每月数据(2023年)'!$E:$E,$C:$C,'船长每月数据(2023年)'!$R:$R),0)</f>
        <v>0</v>
      </c>
      <c r="BE42" s="20">
        <f>SUMIFS('船长每月数据(2023年)'!$P:$P,'船长每月数据(2023年)'!$F:$F,$BE$2,'船长每月数据(2023年)'!$E:$E,$C:$C)</f>
        <v>0</v>
      </c>
      <c r="BF42" s="21">
        <f>IFERROR(BE42/SUMIF('船长每月数据(2023年)'!$E:$E,$C:$C,'船长每月数据(2023年)'!$P:$P),0)</f>
        <v>0</v>
      </c>
      <c r="BG42" s="38">
        <f>SUMIFS('船长每月数据(2023年)'!$R:$R,'船长每月数据(2023年)'!$F:$F,$BG$2,'船长每月数据(2023年)'!$E:$E,$C:$C)</f>
        <v>0</v>
      </c>
      <c r="BH42" s="21">
        <f>IFERROR(BG42/SUMIF('船长每月数据(2023年)'!$E:$E,$C:$C,'船长每月数据(2023年)'!$R:$R),0)</f>
        <v>0</v>
      </c>
      <c r="BI42" s="20">
        <f>SUMIFS('船长每月数据(2023年)'!$P:$P,'船长每月数据(2023年)'!$F:$F,$BI$2,'船长每月数据(2023年)'!$E:$E,$C:$C)</f>
        <v>0</v>
      </c>
      <c r="BJ42" s="21">
        <f>IFERROR(BI42/SUMIF('船长每月数据(2023年)'!$E:$E,$C:$C,'船长每月数据(2023年)'!$P:$P),0)</f>
        <v>0</v>
      </c>
      <c r="BK42" s="38">
        <f>SUMIFS('船长每月数据(2023年)'!$R:$R,'船长每月数据(2023年)'!$F:$F,$BK$2,'船长每月数据(2023年)'!$E:$E,$C:$C)</f>
        <v>0</v>
      </c>
      <c r="BL42" s="21">
        <f>IFERROR(BK42/SUMIF('船长每月数据(2023年)'!$E:$E,$C:$C,'船长每月数据(2023年)'!$R:$R),0)</f>
        <v>0</v>
      </c>
      <c r="BM42" s="20">
        <f>SUMIFS('船长每月数据(2023年)'!$P:$P,'船长每月数据(2023年)'!$F:$F,$BM$2,'船长每月数据(2023年)'!$E:$E,$C:$C)</f>
        <v>0</v>
      </c>
      <c r="BN42" s="21">
        <f>IFERROR(BM42/SUMIF('船长每月数据(2023年)'!$E:$E,$C:$C,'船长每月数据(2023年)'!$P:$P),0)</f>
        <v>0</v>
      </c>
      <c r="BO42" s="38">
        <f>SUMIFS('船长每月数据(2023年)'!$R:$R,'船长每月数据(2023年)'!$F:$F,$BO$2,'船长每月数据(2023年)'!$E:$E,$C:$C)</f>
        <v>0</v>
      </c>
      <c r="BP42" s="21">
        <f>IFERROR(BO42/SUMIF('船长每月数据(2023年)'!$E:$E,$C:$C,'船长每月数据(2023年)'!$R:$R),0)</f>
        <v>0</v>
      </c>
      <c r="BQ42" s="20">
        <f>SUMIFS('船长每月数据(2023年)'!$P:$P,'船长每月数据(2023年)'!$F:$F,$BQ$2,'船长每月数据(2023年)'!$E:$E,$C:$C)</f>
        <v>0</v>
      </c>
      <c r="BR42" s="21">
        <f>IFERROR(BQ42/SUMIF('船长每月数据(2023年)'!$E:$E,$C:$C,'船长每月数据(2023年)'!$P:$P),0)</f>
        <v>0</v>
      </c>
      <c r="BS42" s="38">
        <f>SUMIFS('船长每月数据(2023年)'!$R:$R,'船长每月数据(2023年)'!$F:$F,$BS$2,'船长每月数据(2023年)'!$E:$E,$C:$C)</f>
        <v>0</v>
      </c>
      <c r="BT42" s="21">
        <f>IFERROR(BS42/SUMIF('船长每月数据(2023年)'!$E:$E,$C:$C,'船长每月数据(2023年)'!$R:$R),0)</f>
        <v>0</v>
      </c>
      <c r="BU42" s="20">
        <f>SUMIFS('船长每月数据(2023年)'!$P:$P,'船长每月数据(2023年)'!$F:$F,$BU$2,'船长每月数据(2023年)'!$E:$E,$C:$C)</f>
        <v>0</v>
      </c>
      <c r="BV42" s="21">
        <f>IFERROR(BU42/SUMIF('船长每月数据(2023年)'!$E:$E,$C:$C,'船长每月数据(2023年)'!$P:$P),0)</f>
        <v>0</v>
      </c>
      <c r="BW42" s="38">
        <f>SUMIFS('船长每月数据(2023年)'!$R:$R,'船长每月数据(2023年)'!$F:$F,$BW$2,'船长每月数据(2023年)'!$E:$E,$C:$C)</f>
        <v>0</v>
      </c>
      <c r="BX42" s="21">
        <f>IFERROR(BW42/SUMIF('船长每月数据(2023年)'!$E:$E,$C:$C,'船长每月数据(2023年)'!$R:$R),0)</f>
        <v>0</v>
      </c>
    </row>
    <row r="43" ht="23" customHeight="1" spans="1:76">
      <c r="A43" s="82"/>
      <c r="B43" s="36"/>
      <c r="C43" s="20"/>
      <c r="D43" s="74"/>
      <c r="E43" s="20">
        <f>SUMIFS('船长每月数据(2022年)'!$P:$P,'船长每月数据(2022年)'!$F:$F,$E$2,'船长每月数据(2022年)'!E:E,C:C)</f>
        <v>0</v>
      </c>
      <c r="F43" s="85">
        <f>SUMIFS('船长每月数据(2022年)'!$R:$R,'船长每月数据(2022年)'!$F:$F,$F$2,'船长每月数据(2022年)'!E:E,C:C)</f>
        <v>0</v>
      </c>
      <c r="G43" s="20">
        <f>SUMIFS('船长每月数据(2022年)'!$P:$P,'船长每月数据(2022年)'!$F:$F,$G$2,'船长每月数据(2022年)'!$E:$E,$C:$C)</f>
        <v>0</v>
      </c>
      <c r="H43" s="85">
        <f>SUMIFS('船长每月数据(2022年)'!$R:$R,'船长每月数据(2022年)'!$F:$F,$H$2,'船长每月数据(2022年)'!$E:$E,$C:$C)</f>
        <v>0</v>
      </c>
      <c r="I43" s="20">
        <f>SUMIFS('船长每月数据(2022年)'!$P:$P,'船长每月数据(2022年)'!$F:$F,$I$2,'船长每月数据(2022年)'!$E:$E,$C:$C)</f>
        <v>0</v>
      </c>
      <c r="J43" s="85">
        <f>SUMIFS('船长每月数据(2022年)'!$R:$R,'船长每月数据(2022年)'!$F:$F,$J$2,'船长每月数据(2022年)'!$E:$E,$C:$C)</f>
        <v>0</v>
      </c>
      <c r="K43" s="20">
        <f>SUMIFS('船长每月数据(2022年)'!$P:$P,'船长每月数据(2022年)'!$F:$F,$K$2,'船长每月数据(2022年)'!$E:$E,$C:$C)</f>
        <v>0</v>
      </c>
      <c r="L43" s="85">
        <f>SUMIFS('船长每月数据(2022年)'!$R:$R,'船长每月数据(2022年)'!$F:$F,$L$2,'船长每月数据(2022年)'!$E:$E,$C:$C)</f>
        <v>0</v>
      </c>
      <c r="M43" s="20">
        <f>SUMIFS('船长每月数据(2022年)'!$P:$P,'船长每月数据(2022年)'!$F:$F,$M$2,'船长每月数据(2022年)'!$E:$E,$C:$C)</f>
        <v>0</v>
      </c>
      <c r="N43" s="85">
        <f>SUMIFS('船长每月数据(2022年)'!$R:$R,'船长每月数据(2022年)'!$F:$F,$N$2,'船长每月数据(2022年)'!$E:$E,$C:$C)</f>
        <v>0</v>
      </c>
      <c r="O43" s="20">
        <f>SUMIFS('船长每月数据(2022年)'!$P:$P,'船长每月数据(2022年)'!$F:$F,$O$2,'船长每月数据(2022年)'!$E:$E,$C:$C)</f>
        <v>0</v>
      </c>
      <c r="P43" s="85">
        <f>SUMIFS('船长每月数据(2022年)'!$R:$R,'船长每月数据(2022年)'!$F:$F,$P$2,'船长每月数据(2022年)'!$E:$E,$C:$C)</f>
        <v>0</v>
      </c>
      <c r="Q43" s="20">
        <f>SUMIFS('船长每月数据(2022年)'!$P:$P,'船长每月数据(2022年)'!$F:$F,$Q$2,'船长每月数据(2022年)'!$E:$E,$C:$C)</f>
        <v>0</v>
      </c>
      <c r="R43" s="85">
        <f>SUMIFS('船长每月数据(2022年)'!$R:$R,'船长每月数据(2022年)'!$F:$F,$R$2,'船长每月数据(2022年)'!$E:$E,$C:$C)</f>
        <v>0</v>
      </c>
      <c r="S43" s="20">
        <f>SUMIFS('船长每月数据(2022年)'!$P:$P,'船长每月数据(2022年)'!$F:$F,$S$2,'船长每月数据(2022年)'!$E:$E,$C:$C)</f>
        <v>0</v>
      </c>
      <c r="T43" s="85">
        <f>SUMIFS('船长每月数据(2022年)'!$R:$R,'船长每月数据(2022年)'!$F:$F,$T$2,'船长每月数据(2022年)'!$E:$E,$C:$C)</f>
        <v>0</v>
      </c>
      <c r="U43" s="20">
        <f>SUMIFS('船长每月数据(2022年)'!$P:$P,'船长每月数据(2022年)'!$F:$F,$U$2,'船长每月数据(2022年)'!$E:$E,$C:$C)</f>
        <v>0</v>
      </c>
      <c r="V43" s="85">
        <f>SUMIFS('船长每月数据(2022年)'!$R:$R,'船长每月数据(2022年)'!$F:$F,$V$2,'船长每月数据(2022年)'!$E:$E,$C:$C)</f>
        <v>0</v>
      </c>
      <c r="W43" s="20">
        <f>SUMIFS('船长每月数据(2022年)'!$P:$P,'船长每月数据(2022年)'!$F:$F,$W$2,'船长每月数据(2022年)'!$E:$E,$C:$C)</f>
        <v>0</v>
      </c>
      <c r="X43" s="85">
        <f>SUMIFS('船长每月数据(2022年)'!$R:$R,'船长每月数据(2022年)'!$F:$F,$X$2,'船长每月数据(2022年)'!$E:$E,$C:$C)</f>
        <v>0</v>
      </c>
      <c r="Y43" s="20">
        <f>SUMIFS('船长每月数据(2022年)'!$P:$P,'船长每月数据(2022年)'!$F:$F,$Y$2,'船长每月数据(2022年)'!$E:$E,$C:$C)</f>
        <v>0</v>
      </c>
      <c r="Z43" s="85">
        <f>SUMIFS('船长每月数据(2022年)'!$R:$R,'船长每月数据(2022年)'!$F:$F,$Z$2,'船长每月数据(2022年)'!$E:$E,$C:$C)</f>
        <v>0</v>
      </c>
      <c r="AA43" s="20">
        <f>SUMIFS('船长每月数据(2022年)'!$P:$P,'船长每月数据(2022年)'!$F:$F,$AA$2,'船长每月数据(2022年)'!$E:$E,$C:$C)</f>
        <v>0</v>
      </c>
      <c r="AB43" s="85">
        <f>SUMIFS('船长每月数据(2022年)'!$R:$R,'船长每月数据(2022年)'!$F:$F,$AB$2,'船长每月数据(2022年)'!$E:$E,$C:$C)</f>
        <v>0</v>
      </c>
      <c r="AC43" s="20">
        <f>SUMIFS('船长每月数据(2023年)'!P:P,'船长每月数据(2023年)'!F:F,$AC$2,'船长每月数据(2023年)'!E:E,C:C)</f>
        <v>0</v>
      </c>
      <c r="AD43" s="21">
        <f>IFERROR(AC43/SUMIF('船长每月数据(2023年)'!$E:$E,C:C,'船长每月数据(2023年)'!P:P),0)</f>
        <v>0</v>
      </c>
      <c r="AE43" s="38">
        <f>SUMIFS('船长每月数据(2023年)'!$R:$R,'船长每月数据(2023年)'!$F:$F,$AE$2,'船长每月数据(2023年)'!$E:$E,$C:$C)</f>
        <v>0</v>
      </c>
      <c r="AF43" s="21">
        <f>IFERROR(AE43/SUMIF('船长每月数据(2023年)'!E:E,C:C,'船长每月数据(2023年)'!R:R),0)</f>
        <v>0</v>
      </c>
      <c r="AG43" s="20">
        <f>SUMIFS('船长每月数据(2023年)'!P:P,'船长每月数据(2023年)'!F:F,$AG$2,'船长每月数据(2023年)'!E:E,C:C)</f>
        <v>0</v>
      </c>
      <c r="AH43" s="21">
        <f>IFERROR(AG43/SUMIF('船长每月数据(2023年)'!$E:$E,$C:$C,'船长每月数据(2023年)'!$P:$P),0)</f>
        <v>0</v>
      </c>
      <c r="AI43" s="38">
        <f>SUMIFS('船长每月数据(2023年)'!$R:$R,'船长每月数据(2023年)'!$F:$F,$AI$2,'船长每月数据(2023年)'!$E:$E,$C:$C)</f>
        <v>0</v>
      </c>
      <c r="AJ43" s="21">
        <f>IFERROR(AI43/SUMIF('船长每月数据(2023年)'!$E:$E,$C:$C,'船长每月数据(2023年)'!$R:$R),0)</f>
        <v>0</v>
      </c>
      <c r="AK43" s="20">
        <f>SUMIFS('船长每月数据(2023年)'!P:P,'船长每月数据(2023年)'!F:F,$AK$2,'船长每月数据(2023年)'!E:E,C:C)</f>
        <v>0</v>
      </c>
      <c r="AL43" s="21">
        <f>IFERROR(AK43/SUMIF('船长每月数据(2023年)'!$E:$E,$C:$C,'船长每月数据(2023年)'!$P:$P),0)</f>
        <v>0</v>
      </c>
      <c r="AM43" s="38">
        <f>SUMIFS('船长每月数据(2023年)'!$R:$R,'船长每月数据(2023年)'!$F:$F,$AM$2,'船长每月数据(2023年)'!$E:$E,$C:$C)</f>
        <v>0</v>
      </c>
      <c r="AN43" s="21">
        <f>IFERROR(AM43/SUMIF('船长每月数据(2023年)'!$E:$E,$C:$C,'船长每月数据(2023年)'!$R:$R),0)</f>
        <v>0</v>
      </c>
      <c r="AO43" s="20">
        <f>SUMIFS('船长每月数据(2023年)'!P:P,'船长每月数据(2023年)'!F:F,$AO$2,'船长每月数据(2023年)'!E:E,C:C)</f>
        <v>0</v>
      </c>
      <c r="AP43" s="21">
        <f>IFERROR(AO43/SUMIF('船长每月数据(2023年)'!$E:$E,$C:$C,'船长每月数据(2023年)'!$P:$P),0)</f>
        <v>0</v>
      </c>
      <c r="AQ43" s="38">
        <f>SUMIFS('船长每月数据(2023年)'!$R:$R,'船长每月数据(2023年)'!$F:$F,$AQ$2,'船长每月数据(2023年)'!$E:$E,$C:$C)</f>
        <v>0</v>
      </c>
      <c r="AR43" s="21">
        <f>IFERROR(AQ43/SUMIF('船长每月数据(2023年)'!$E:$E,$C:$C,'船长每月数据(2023年)'!$R:$R),0)</f>
        <v>0</v>
      </c>
      <c r="AS43" s="20">
        <f>SUMIFS('船长每月数据(2023年)'!$P:$P,'船长每月数据(2023年)'!$F:$F,$AS$2,'船长每月数据(2023年)'!$E:$E,$C:$C)</f>
        <v>0</v>
      </c>
      <c r="AT43" s="21">
        <f>IFERROR(AS43/SUMIF('船长每月数据(2023年)'!$E:$E,$C:$C,'船长每月数据(2023年)'!$P:$P),0)</f>
        <v>0</v>
      </c>
      <c r="AU43" s="38">
        <f>SUMIFS('船长每月数据(2023年)'!$R:$R,'船长每月数据(2023年)'!$F:$F,$AU$2,'船长每月数据(2023年)'!$E:$E,$C:$C)</f>
        <v>0</v>
      </c>
      <c r="AV43" s="21">
        <f>IFERROR(AU43/SUMIF('船长每月数据(2023年)'!$E:$E,$C:$C,'船长每月数据(2023年)'!$R:$R),0)</f>
        <v>0</v>
      </c>
      <c r="AW43" s="20">
        <f>SUMIFS('船长每月数据(2023年)'!$P:$P,'船长每月数据(2023年)'!$F:$F,$AW$2,'船长每月数据(2023年)'!$E:$E,$C:$C)</f>
        <v>0</v>
      </c>
      <c r="AX43" s="21">
        <f>IFERROR(AW43/SUMIF('船长每月数据(2023年)'!$E:$E,$C:$C,'船长每月数据(2023年)'!$P:$P),0)</f>
        <v>0</v>
      </c>
      <c r="AY43" s="38">
        <f>SUMIFS('船长每月数据(2023年)'!$R:$R,'船长每月数据(2023年)'!$F:$F,$AY$2,'船长每月数据(2023年)'!$E:$E,$C:$C)</f>
        <v>0</v>
      </c>
      <c r="AZ43" s="21">
        <f>IFERROR(AY43/SUMIF('船长每月数据(2023年)'!$E:$E,$C:$C,'船长每月数据(2023年)'!$R:$R),0)</f>
        <v>0</v>
      </c>
      <c r="BA43" s="20">
        <f>SUMIFS('船长每月数据(2023年)'!$P:$P,'船长每月数据(2023年)'!$F:$F,$BA$2,'船长每月数据(2023年)'!$E:$E,$C:$C)</f>
        <v>0</v>
      </c>
      <c r="BB43" s="21">
        <f>IFERROR(BA43/SUMIF('船长每月数据(2023年)'!$E:$E,$C:$C,'船长每月数据(2023年)'!$P:$P),0)</f>
        <v>0</v>
      </c>
      <c r="BC43" s="38">
        <f>SUMIFS('船长每月数据(2023年)'!$R:$R,'船长每月数据(2023年)'!$F:$F,$BC$2,'船长每月数据(2023年)'!$E:$E,$C:$C)</f>
        <v>0</v>
      </c>
      <c r="BD43" s="21">
        <f>IFERROR(BC43/SUMIF('船长每月数据(2023年)'!$E:$E,$C:$C,'船长每月数据(2023年)'!$R:$R),0)</f>
        <v>0</v>
      </c>
      <c r="BE43" s="20">
        <f>SUMIFS('船长每月数据(2023年)'!$P:$P,'船长每月数据(2023年)'!$F:$F,$BE$2,'船长每月数据(2023年)'!$E:$E,$C:$C)</f>
        <v>0</v>
      </c>
      <c r="BF43" s="21">
        <f>IFERROR(BE43/SUMIF('船长每月数据(2023年)'!$E:$E,$C:$C,'船长每月数据(2023年)'!$P:$P),0)</f>
        <v>0</v>
      </c>
      <c r="BG43" s="38">
        <f>SUMIFS('船长每月数据(2023年)'!$R:$R,'船长每月数据(2023年)'!$F:$F,$BG$2,'船长每月数据(2023年)'!$E:$E,$C:$C)</f>
        <v>0</v>
      </c>
      <c r="BH43" s="21">
        <f>IFERROR(BG43/SUMIF('船长每月数据(2023年)'!$E:$E,$C:$C,'船长每月数据(2023年)'!$R:$R),0)</f>
        <v>0</v>
      </c>
      <c r="BI43" s="20">
        <f>SUMIFS('船长每月数据(2023年)'!$P:$P,'船长每月数据(2023年)'!$F:$F,$BI$2,'船长每月数据(2023年)'!$E:$E,$C:$C)</f>
        <v>0</v>
      </c>
      <c r="BJ43" s="21">
        <f>IFERROR(BI43/SUMIF('船长每月数据(2023年)'!$E:$E,$C:$C,'船长每月数据(2023年)'!$P:$P),0)</f>
        <v>0</v>
      </c>
      <c r="BK43" s="38">
        <f>SUMIFS('船长每月数据(2023年)'!$R:$R,'船长每月数据(2023年)'!$F:$F,$BK$2,'船长每月数据(2023年)'!$E:$E,$C:$C)</f>
        <v>0</v>
      </c>
      <c r="BL43" s="21">
        <f>IFERROR(BK43/SUMIF('船长每月数据(2023年)'!$E:$E,$C:$C,'船长每月数据(2023年)'!$R:$R),0)</f>
        <v>0</v>
      </c>
      <c r="BM43" s="20">
        <f>SUMIFS('船长每月数据(2023年)'!$P:$P,'船长每月数据(2023年)'!$F:$F,$BM$2,'船长每月数据(2023年)'!$E:$E,$C:$C)</f>
        <v>0</v>
      </c>
      <c r="BN43" s="21">
        <f>IFERROR(BM43/SUMIF('船长每月数据(2023年)'!$E:$E,$C:$C,'船长每月数据(2023年)'!$P:$P),0)</f>
        <v>0</v>
      </c>
      <c r="BO43" s="38">
        <f>SUMIFS('船长每月数据(2023年)'!$R:$R,'船长每月数据(2023年)'!$F:$F,$BO$2,'船长每月数据(2023年)'!$E:$E,$C:$C)</f>
        <v>0</v>
      </c>
      <c r="BP43" s="21">
        <f>IFERROR(BO43/SUMIF('船长每月数据(2023年)'!$E:$E,$C:$C,'船长每月数据(2023年)'!$R:$R),0)</f>
        <v>0</v>
      </c>
      <c r="BQ43" s="20">
        <f>SUMIFS('船长每月数据(2023年)'!$P:$P,'船长每月数据(2023年)'!$F:$F,$BQ$2,'船长每月数据(2023年)'!$E:$E,$C:$C)</f>
        <v>0</v>
      </c>
      <c r="BR43" s="21">
        <f>IFERROR(BQ43/SUMIF('船长每月数据(2023年)'!$E:$E,$C:$C,'船长每月数据(2023年)'!$P:$P),0)</f>
        <v>0</v>
      </c>
      <c r="BS43" s="38">
        <f>SUMIFS('船长每月数据(2023年)'!$R:$R,'船长每月数据(2023年)'!$F:$F,$BS$2,'船长每月数据(2023年)'!$E:$E,$C:$C)</f>
        <v>0</v>
      </c>
      <c r="BT43" s="21">
        <f>IFERROR(BS43/SUMIF('船长每月数据(2023年)'!$E:$E,$C:$C,'船长每月数据(2023年)'!$R:$R),0)</f>
        <v>0</v>
      </c>
      <c r="BU43" s="20">
        <f>SUMIFS('船长每月数据(2023年)'!$P:$P,'船长每月数据(2023年)'!$F:$F,$BU$2,'船长每月数据(2023年)'!$E:$E,$C:$C)</f>
        <v>0</v>
      </c>
      <c r="BV43" s="21">
        <f>IFERROR(BU43/SUMIF('船长每月数据(2023年)'!$E:$E,$C:$C,'船长每月数据(2023年)'!$P:$P),0)</f>
        <v>0</v>
      </c>
      <c r="BW43" s="38">
        <f>SUMIFS('船长每月数据(2023年)'!$R:$R,'船长每月数据(2023年)'!$F:$F,$BW$2,'船长每月数据(2023年)'!$E:$E,$C:$C)</f>
        <v>0</v>
      </c>
      <c r="BX43" s="21">
        <f>IFERROR(BW43/SUMIF('船长每月数据(2023年)'!$E:$E,$C:$C,'船长每月数据(2023年)'!$R:$R),0)</f>
        <v>0</v>
      </c>
    </row>
    <row r="44" ht="23" customHeight="1" spans="1:76">
      <c r="A44" s="82"/>
      <c r="B44" s="36"/>
      <c r="C44" s="20"/>
      <c r="D44" s="74"/>
      <c r="E44" s="20">
        <f>SUMIFS('船长每月数据(2022年)'!$P:$P,'船长每月数据(2022年)'!$F:$F,$E$2,'船长每月数据(2022年)'!E:E,C:C)</f>
        <v>0</v>
      </c>
      <c r="F44" s="85">
        <f>SUMIFS('船长每月数据(2022年)'!$R:$R,'船长每月数据(2022年)'!$F:$F,$F$2,'船长每月数据(2022年)'!E:E,C:C)</f>
        <v>0</v>
      </c>
      <c r="G44" s="20">
        <f>SUMIFS('船长每月数据(2022年)'!$P:$P,'船长每月数据(2022年)'!$F:$F,$G$2,'船长每月数据(2022年)'!$E:$E,$C:$C)</f>
        <v>0</v>
      </c>
      <c r="H44" s="85">
        <f>SUMIFS('船长每月数据(2022年)'!$R:$R,'船长每月数据(2022年)'!$F:$F,$H$2,'船长每月数据(2022年)'!$E:$E,$C:$C)</f>
        <v>0</v>
      </c>
      <c r="I44" s="20">
        <f>SUMIFS('船长每月数据(2022年)'!$P:$P,'船长每月数据(2022年)'!$F:$F,$I$2,'船长每月数据(2022年)'!$E:$E,$C:$C)</f>
        <v>0</v>
      </c>
      <c r="J44" s="85">
        <f>SUMIFS('船长每月数据(2022年)'!$R:$R,'船长每月数据(2022年)'!$F:$F,$J$2,'船长每月数据(2022年)'!$E:$E,$C:$C)</f>
        <v>0</v>
      </c>
      <c r="K44" s="20">
        <f>SUMIFS('船长每月数据(2022年)'!$P:$P,'船长每月数据(2022年)'!$F:$F,$K$2,'船长每月数据(2022年)'!$E:$E,$C:$C)</f>
        <v>0</v>
      </c>
      <c r="L44" s="85">
        <f>SUMIFS('船长每月数据(2022年)'!$R:$R,'船长每月数据(2022年)'!$F:$F,$L$2,'船长每月数据(2022年)'!$E:$E,$C:$C)</f>
        <v>0</v>
      </c>
      <c r="M44" s="20">
        <f>SUMIFS('船长每月数据(2022年)'!$P:$P,'船长每月数据(2022年)'!$F:$F,$M$2,'船长每月数据(2022年)'!$E:$E,$C:$C)</f>
        <v>0</v>
      </c>
      <c r="N44" s="85">
        <f>SUMIFS('船长每月数据(2022年)'!$R:$R,'船长每月数据(2022年)'!$F:$F,$N$2,'船长每月数据(2022年)'!$E:$E,$C:$C)</f>
        <v>0</v>
      </c>
      <c r="O44" s="20">
        <f>SUMIFS('船长每月数据(2022年)'!$P:$P,'船长每月数据(2022年)'!$F:$F,$O$2,'船长每月数据(2022年)'!$E:$E,$C:$C)</f>
        <v>0</v>
      </c>
      <c r="P44" s="85">
        <f>SUMIFS('船长每月数据(2022年)'!$R:$R,'船长每月数据(2022年)'!$F:$F,$P$2,'船长每月数据(2022年)'!$E:$E,$C:$C)</f>
        <v>0</v>
      </c>
      <c r="Q44" s="20">
        <f>SUMIFS('船长每月数据(2022年)'!$P:$P,'船长每月数据(2022年)'!$F:$F,$Q$2,'船长每月数据(2022年)'!$E:$E,$C:$C)</f>
        <v>0</v>
      </c>
      <c r="R44" s="85">
        <f>SUMIFS('船长每月数据(2022年)'!$R:$R,'船长每月数据(2022年)'!$F:$F,$R$2,'船长每月数据(2022年)'!$E:$E,$C:$C)</f>
        <v>0</v>
      </c>
      <c r="S44" s="20">
        <f>SUMIFS('船长每月数据(2022年)'!$P:$P,'船长每月数据(2022年)'!$F:$F,$S$2,'船长每月数据(2022年)'!$E:$E,$C:$C)</f>
        <v>0</v>
      </c>
      <c r="T44" s="85">
        <f>SUMIFS('船长每月数据(2022年)'!$R:$R,'船长每月数据(2022年)'!$F:$F,$T$2,'船长每月数据(2022年)'!$E:$E,$C:$C)</f>
        <v>0</v>
      </c>
      <c r="U44" s="20">
        <f>SUMIFS('船长每月数据(2022年)'!$P:$P,'船长每月数据(2022年)'!$F:$F,$U$2,'船长每月数据(2022年)'!$E:$E,$C:$C)</f>
        <v>0</v>
      </c>
      <c r="V44" s="85">
        <f>SUMIFS('船长每月数据(2022年)'!$R:$R,'船长每月数据(2022年)'!$F:$F,$V$2,'船长每月数据(2022年)'!$E:$E,$C:$C)</f>
        <v>0</v>
      </c>
      <c r="W44" s="20">
        <f>SUMIFS('船长每月数据(2022年)'!$P:$P,'船长每月数据(2022年)'!$F:$F,$W$2,'船长每月数据(2022年)'!$E:$E,$C:$C)</f>
        <v>0</v>
      </c>
      <c r="X44" s="85">
        <f>SUMIFS('船长每月数据(2022年)'!$R:$R,'船长每月数据(2022年)'!$F:$F,$X$2,'船长每月数据(2022年)'!$E:$E,$C:$C)</f>
        <v>0</v>
      </c>
      <c r="Y44" s="20">
        <f>SUMIFS('船长每月数据(2022年)'!$P:$P,'船长每月数据(2022年)'!$F:$F,$Y$2,'船长每月数据(2022年)'!$E:$E,$C:$C)</f>
        <v>0</v>
      </c>
      <c r="Z44" s="85">
        <f>SUMIFS('船长每月数据(2022年)'!$R:$R,'船长每月数据(2022年)'!$F:$F,$Z$2,'船长每月数据(2022年)'!$E:$E,$C:$C)</f>
        <v>0</v>
      </c>
      <c r="AA44" s="20">
        <f>SUMIFS('船长每月数据(2022年)'!$P:$P,'船长每月数据(2022年)'!$F:$F,$AA$2,'船长每月数据(2022年)'!$E:$E,$C:$C)</f>
        <v>0</v>
      </c>
      <c r="AB44" s="85">
        <f>SUMIFS('船长每月数据(2022年)'!$R:$R,'船长每月数据(2022年)'!$F:$F,$AB$2,'船长每月数据(2022年)'!$E:$E,$C:$C)</f>
        <v>0</v>
      </c>
      <c r="AC44" s="20">
        <f>SUMIFS('船长每月数据(2023年)'!P:P,'船长每月数据(2023年)'!F:F,$AC$2,'船长每月数据(2023年)'!E:E,C:C)</f>
        <v>0</v>
      </c>
      <c r="AD44" s="21">
        <f>IFERROR(AC44/SUMIF('船长每月数据(2023年)'!$E:$E,C:C,'船长每月数据(2023年)'!P:P),0)</f>
        <v>0</v>
      </c>
      <c r="AE44" s="38">
        <f>SUMIFS('船长每月数据(2023年)'!$R:$R,'船长每月数据(2023年)'!$F:$F,$AE$2,'船长每月数据(2023年)'!$E:$E,$C:$C)</f>
        <v>0</v>
      </c>
      <c r="AF44" s="21">
        <f>IFERROR(AE44/SUMIF('船长每月数据(2023年)'!E:E,C:C,'船长每月数据(2023年)'!R:R),0)</f>
        <v>0</v>
      </c>
      <c r="AG44" s="20">
        <f>SUMIFS('船长每月数据(2023年)'!P:P,'船长每月数据(2023年)'!F:F,$AG$2,'船长每月数据(2023年)'!E:E,C:C)</f>
        <v>0</v>
      </c>
      <c r="AH44" s="21">
        <f>IFERROR(AG44/SUMIF('船长每月数据(2023年)'!$E:$E,$C:$C,'船长每月数据(2023年)'!$P:$P),0)</f>
        <v>0</v>
      </c>
      <c r="AI44" s="38">
        <f>SUMIFS('船长每月数据(2023年)'!$R:$R,'船长每月数据(2023年)'!$F:$F,$AI$2,'船长每月数据(2023年)'!$E:$E,$C:$C)</f>
        <v>0</v>
      </c>
      <c r="AJ44" s="21">
        <f>IFERROR(AI44/SUMIF('船长每月数据(2023年)'!$E:$E,$C:$C,'船长每月数据(2023年)'!$R:$R),0)</f>
        <v>0</v>
      </c>
      <c r="AK44" s="20">
        <f>SUMIFS('船长每月数据(2023年)'!P:P,'船长每月数据(2023年)'!F:F,$AK$2,'船长每月数据(2023年)'!E:E,C:C)</f>
        <v>0</v>
      </c>
      <c r="AL44" s="21">
        <f>IFERROR(AK44/SUMIF('船长每月数据(2023年)'!$E:$E,$C:$C,'船长每月数据(2023年)'!$P:$P),0)</f>
        <v>0</v>
      </c>
      <c r="AM44" s="38">
        <f>SUMIFS('船长每月数据(2023年)'!$R:$R,'船长每月数据(2023年)'!$F:$F,$AM$2,'船长每月数据(2023年)'!$E:$E,$C:$C)</f>
        <v>0</v>
      </c>
      <c r="AN44" s="21">
        <f>IFERROR(AM44/SUMIF('船长每月数据(2023年)'!$E:$E,$C:$C,'船长每月数据(2023年)'!$R:$R),0)</f>
        <v>0</v>
      </c>
      <c r="AO44" s="20">
        <f>SUMIFS('船长每月数据(2023年)'!P:P,'船长每月数据(2023年)'!F:F,$AO$2,'船长每月数据(2023年)'!E:E,C:C)</f>
        <v>0</v>
      </c>
      <c r="AP44" s="21">
        <f>IFERROR(AO44/SUMIF('船长每月数据(2023年)'!$E:$E,$C:$C,'船长每月数据(2023年)'!$P:$P),0)</f>
        <v>0</v>
      </c>
      <c r="AQ44" s="38">
        <f>SUMIFS('船长每月数据(2023年)'!$R:$R,'船长每月数据(2023年)'!$F:$F,$AQ$2,'船长每月数据(2023年)'!$E:$E,$C:$C)</f>
        <v>0</v>
      </c>
      <c r="AR44" s="21">
        <f>IFERROR(AQ44/SUMIF('船长每月数据(2023年)'!$E:$E,$C:$C,'船长每月数据(2023年)'!$R:$R),0)</f>
        <v>0</v>
      </c>
      <c r="AS44" s="20">
        <f>SUMIFS('船长每月数据(2023年)'!$P:$P,'船长每月数据(2023年)'!$F:$F,$AS$2,'船长每月数据(2023年)'!$E:$E,$C:$C)</f>
        <v>0</v>
      </c>
      <c r="AT44" s="21">
        <f>IFERROR(AS44/SUMIF('船长每月数据(2023年)'!$E:$E,$C:$C,'船长每月数据(2023年)'!$P:$P),0)</f>
        <v>0</v>
      </c>
      <c r="AU44" s="38">
        <f>SUMIFS('船长每月数据(2023年)'!$R:$R,'船长每月数据(2023年)'!$F:$F,$AU$2,'船长每月数据(2023年)'!$E:$E,$C:$C)</f>
        <v>0</v>
      </c>
      <c r="AV44" s="21">
        <f>IFERROR(AU44/SUMIF('船长每月数据(2023年)'!$E:$E,$C:$C,'船长每月数据(2023年)'!$R:$R),0)</f>
        <v>0</v>
      </c>
      <c r="AW44" s="20">
        <f>SUMIFS('船长每月数据(2023年)'!$P:$P,'船长每月数据(2023年)'!$F:$F,$AW$2,'船长每月数据(2023年)'!$E:$E,$C:$C)</f>
        <v>0</v>
      </c>
      <c r="AX44" s="21">
        <f>IFERROR(AW44/SUMIF('船长每月数据(2023年)'!$E:$E,$C:$C,'船长每月数据(2023年)'!$P:$P),0)</f>
        <v>0</v>
      </c>
      <c r="AY44" s="38">
        <f>SUMIFS('船长每月数据(2023年)'!$R:$R,'船长每月数据(2023年)'!$F:$F,$AY$2,'船长每月数据(2023年)'!$E:$E,$C:$C)</f>
        <v>0</v>
      </c>
      <c r="AZ44" s="21">
        <f>IFERROR(AY44/SUMIF('船长每月数据(2023年)'!$E:$E,$C:$C,'船长每月数据(2023年)'!$R:$R),0)</f>
        <v>0</v>
      </c>
      <c r="BA44" s="20">
        <f>SUMIFS('船长每月数据(2023年)'!$P:$P,'船长每月数据(2023年)'!$F:$F,$BA$2,'船长每月数据(2023年)'!$E:$E,$C:$C)</f>
        <v>0</v>
      </c>
      <c r="BB44" s="21">
        <f>IFERROR(BA44/SUMIF('船长每月数据(2023年)'!$E:$E,$C:$C,'船长每月数据(2023年)'!$P:$P),0)</f>
        <v>0</v>
      </c>
      <c r="BC44" s="38">
        <f>SUMIFS('船长每月数据(2023年)'!$R:$R,'船长每月数据(2023年)'!$F:$F,$BC$2,'船长每月数据(2023年)'!$E:$E,$C:$C)</f>
        <v>0</v>
      </c>
      <c r="BD44" s="21">
        <f>IFERROR(BC44/SUMIF('船长每月数据(2023年)'!$E:$E,$C:$C,'船长每月数据(2023年)'!$R:$R),0)</f>
        <v>0</v>
      </c>
      <c r="BE44" s="20">
        <f>SUMIFS('船长每月数据(2023年)'!$P:$P,'船长每月数据(2023年)'!$F:$F,$BE$2,'船长每月数据(2023年)'!$E:$E,$C:$C)</f>
        <v>0</v>
      </c>
      <c r="BF44" s="21">
        <f>IFERROR(BE44/SUMIF('船长每月数据(2023年)'!$E:$E,$C:$C,'船长每月数据(2023年)'!$P:$P),0)</f>
        <v>0</v>
      </c>
      <c r="BG44" s="38">
        <f>SUMIFS('船长每月数据(2023年)'!$R:$R,'船长每月数据(2023年)'!$F:$F,$BG$2,'船长每月数据(2023年)'!$E:$E,$C:$C)</f>
        <v>0</v>
      </c>
      <c r="BH44" s="21">
        <f>IFERROR(BG44/SUMIF('船长每月数据(2023年)'!$E:$E,$C:$C,'船长每月数据(2023年)'!$R:$R),0)</f>
        <v>0</v>
      </c>
      <c r="BI44" s="20">
        <f>SUMIFS('船长每月数据(2023年)'!$P:$P,'船长每月数据(2023年)'!$F:$F,$BI$2,'船长每月数据(2023年)'!$E:$E,$C:$C)</f>
        <v>0</v>
      </c>
      <c r="BJ44" s="21">
        <f>IFERROR(BI44/SUMIF('船长每月数据(2023年)'!$E:$E,$C:$C,'船长每月数据(2023年)'!$P:$P),0)</f>
        <v>0</v>
      </c>
      <c r="BK44" s="38">
        <f>SUMIFS('船长每月数据(2023年)'!$R:$R,'船长每月数据(2023年)'!$F:$F,$BK$2,'船长每月数据(2023年)'!$E:$E,$C:$C)</f>
        <v>0</v>
      </c>
      <c r="BL44" s="21">
        <f>IFERROR(BK44/SUMIF('船长每月数据(2023年)'!$E:$E,$C:$C,'船长每月数据(2023年)'!$R:$R),0)</f>
        <v>0</v>
      </c>
      <c r="BM44" s="20">
        <f>SUMIFS('船长每月数据(2023年)'!$P:$P,'船长每月数据(2023年)'!$F:$F,$BM$2,'船长每月数据(2023年)'!$E:$E,$C:$C)</f>
        <v>0</v>
      </c>
      <c r="BN44" s="21">
        <f>IFERROR(BM44/SUMIF('船长每月数据(2023年)'!$E:$E,$C:$C,'船长每月数据(2023年)'!$P:$P),0)</f>
        <v>0</v>
      </c>
      <c r="BO44" s="38">
        <f>SUMIFS('船长每月数据(2023年)'!$R:$R,'船长每月数据(2023年)'!$F:$F,$BO$2,'船长每月数据(2023年)'!$E:$E,$C:$C)</f>
        <v>0</v>
      </c>
      <c r="BP44" s="21">
        <f>IFERROR(BO44/SUMIF('船长每月数据(2023年)'!$E:$E,$C:$C,'船长每月数据(2023年)'!$R:$R),0)</f>
        <v>0</v>
      </c>
      <c r="BQ44" s="20">
        <f>SUMIFS('船长每月数据(2023年)'!$P:$P,'船长每月数据(2023年)'!$F:$F,$BQ$2,'船长每月数据(2023年)'!$E:$E,$C:$C)</f>
        <v>0</v>
      </c>
      <c r="BR44" s="21">
        <f>IFERROR(BQ44/SUMIF('船长每月数据(2023年)'!$E:$E,$C:$C,'船长每月数据(2023年)'!$P:$P),0)</f>
        <v>0</v>
      </c>
      <c r="BS44" s="38">
        <f>SUMIFS('船长每月数据(2023年)'!$R:$R,'船长每月数据(2023年)'!$F:$F,$BS$2,'船长每月数据(2023年)'!$E:$E,$C:$C)</f>
        <v>0</v>
      </c>
      <c r="BT44" s="21">
        <f>IFERROR(BS44/SUMIF('船长每月数据(2023年)'!$E:$E,$C:$C,'船长每月数据(2023年)'!$R:$R),0)</f>
        <v>0</v>
      </c>
      <c r="BU44" s="20">
        <f>SUMIFS('船长每月数据(2023年)'!$P:$P,'船长每月数据(2023年)'!$F:$F,$BU$2,'船长每月数据(2023年)'!$E:$E,$C:$C)</f>
        <v>0</v>
      </c>
      <c r="BV44" s="21">
        <f>IFERROR(BU44/SUMIF('船长每月数据(2023年)'!$E:$E,$C:$C,'船长每月数据(2023年)'!$P:$P),0)</f>
        <v>0</v>
      </c>
      <c r="BW44" s="38">
        <f>SUMIFS('船长每月数据(2023年)'!$R:$R,'船长每月数据(2023年)'!$F:$F,$BW$2,'船长每月数据(2023年)'!$E:$E,$C:$C)</f>
        <v>0</v>
      </c>
      <c r="BX44" s="21">
        <f>IFERROR(BW44/SUMIF('船长每月数据(2023年)'!$E:$E,$C:$C,'船长每月数据(2023年)'!$R:$R),0)</f>
        <v>0</v>
      </c>
    </row>
    <row r="45" ht="23" customHeight="1" spans="1:76">
      <c r="A45" s="82"/>
      <c r="B45" s="36"/>
      <c r="C45" s="20"/>
      <c r="D45" s="74"/>
      <c r="E45" s="20">
        <f>SUMIFS('船长每月数据(2022年)'!$P:$P,'船长每月数据(2022年)'!$F:$F,$E$2,'船长每月数据(2022年)'!E:E,C:C)</f>
        <v>0</v>
      </c>
      <c r="F45" s="85">
        <f>SUMIFS('船长每月数据(2022年)'!$R:$R,'船长每月数据(2022年)'!$F:$F,$F$2,'船长每月数据(2022年)'!E:E,C:C)</f>
        <v>0</v>
      </c>
      <c r="G45" s="20">
        <f>SUMIFS('船长每月数据(2022年)'!$P:$P,'船长每月数据(2022年)'!$F:$F,$G$2,'船长每月数据(2022年)'!$E:$E,$C:$C)</f>
        <v>0</v>
      </c>
      <c r="H45" s="85">
        <f>SUMIFS('船长每月数据(2022年)'!$R:$R,'船长每月数据(2022年)'!$F:$F,$H$2,'船长每月数据(2022年)'!$E:$E,$C:$C)</f>
        <v>0</v>
      </c>
      <c r="I45" s="20">
        <f>SUMIFS('船长每月数据(2022年)'!$P:$P,'船长每月数据(2022年)'!$F:$F,$I$2,'船长每月数据(2022年)'!$E:$E,$C:$C)</f>
        <v>0</v>
      </c>
      <c r="J45" s="85">
        <f>SUMIFS('船长每月数据(2022年)'!$R:$R,'船长每月数据(2022年)'!$F:$F,$J$2,'船长每月数据(2022年)'!$E:$E,$C:$C)</f>
        <v>0</v>
      </c>
      <c r="K45" s="20">
        <f>SUMIFS('船长每月数据(2022年)'!$P:$P,'船长每月数据(2022年)'!$F:$F,$K$2,'船长每月数据(2022年)'!$E:$E,$C:$C)</f>
        <v>0</v>
      </c>
      <c r="L45" s="85">
        <f>SUMIFS('船长每月数据(2022年)'!$R:$R,'船长每月数据(2022年)'!$F:$F,$L$2,'船长每月数据(2022年)'!$E:$E,$C:$C)</f>
        <v>0</v>
      </c>
      <c r="M45" s="20">
        <f>SUMIFS('船长每月数据(2022年)'!$P:$P,'船长每月数据(2022年)'!$F:$F,$M$2,'船长每月数据(2022年)'!$E:$E,$C:$C)</f>
        <v>0</v>
      </c>
      <c r="N45" s="85">
        <f>SUMIFS('船长每月数据(2022年)'!$R:$R,'船长每月数据(2022年)'!$F:$F,$N$2,'船长每月数据(2022年)'!$E:$E,$C:$C)</f>
        <v>0</v>
      </c>
      <c r="O45" s="20">
        <f>SUMIFS('船长每月数据(2022年)'!$P:$P,'船长每月数据(2022年)'!$F:$F,$O$2,'船长每月数据(2022年)'!$E:$E,$C:$C)</f>
        <v>0</v>
      </c>
      <c r="P45" s="85">
        <f>SUMIFS('船长每月数据(2022年)'!$R:$R,'船长每月数据(2022年)'!$F:$F,$P$2,'船长每月数据(2022年)'!$E:$E,$C:$C)</f>
        <v>0</v>
      </c>
      <c r="Q45" s="20">
        <f>SUMIFS('船长每月数据(2022年)'!$P:$P,'船长每月数据(2022年)'!$F:$F,$Q$2,'船长每月数据(2022年)'!$E:$E,$C:$C)</f>
        <v>0</v>
      </c>
      <c r="R45" s="85">
        <f>SUMIFS('船长每月数据(2022年)'!$R:$R,'船长每月数据(2022年)'!$F:$F,$R$2,'船长每月数据(2022年)'!$E:$E,$C:$C)</f>
        <v>0</v>
      </c>
      <c r="S45" s="20">
        <f>SUMIFS('船长每月数据(2022年)'!$P:$P,'船长每月数据(2022年)'!$F:$F,$S$2,'船长每月数据(2022年)'!$E:$E,$C:$C)</f>
        <v>0</v>
      </c>
      <c r="T45" s="85">
        <f>SUMIFS('船长每月数据(2022年)'!$R:$R,'船长每月数据(2022年)'!$F:$F,$T$2,'船长每月数据(2022年)'!$E:$E,$C:$C)</f>
        <v>0</v>
      </c>
      <c r="U45" s="20">
        <f>SUMIFS('船长每月数据(2022年)'!$P:$P,'船长每月数据(2022年)'!$F:$F,$U$2,'船长每月数据(2022年)'!$E:$E,$C:$C)</f>
        <v>0</v>
      </c>
      <c r="V45" s="85">
        <f>SUMIFS('船长每月数据(2022年)'!$R:$R,'船长每月数据(2022年)'!$F:$F,$V$2,'船长每月数据(2022年)'!$E:$E,$C:$C)</f>
        <v>0</v>
      </c>
      <c r="W45" s="20">
        <f>SUMIFS('船长每月数据(2022年)'!$P:$P,'船长每月数据(2022年)'!$F:$F,$W$2,'船长每月数据(2022年)'!$E:$E,$C:$C)</f>
        <v>0</v>
      </c>
      <c r="X45" s="85">
        <f>SUMIFS('船长每月数据(2022年)'!$R:$R,'船长每月数据(2022年)'!$F:$F,$X$2,'船长每月数据(2022年)'!$E:$E,$C:$C)</f>
        <v>0</v>
      </c>
      <c r="Y45" s="20">
        <f>SUMIFS('船长每月数据(2022年)'!$P:$P,'船长每月数据(2022年)'!$F:$F,$Y$2,'船长每月数据(2022年)'!$E:$E,$C:$C)</f>
        <v>0</v>
      </c>
      <c r="Z45" s="85">
        <f>SUMIFS('船长每月数据(2022年)'!$R:$R,'船长每月数据(2022年)'!$F:$F,$Z$2,'船长每月数据(2022年)'!$E:$E,$C:$C)</f>
        <v>0</v>
      </c>
      <c r="AA45" s="20">
        <f>SUMIFS('船长每月数据(2022年)'!$P:$P,'船长每月数据(2022年)'!$F:$F,$AA$2,'船长每月数据(2022年)'!$E:$E,$C:$C)</f>
        <v>0</v>
      </c>
      <c r="AB45" s="85">
        <f>SUMIFS('船长每月数据(2022年)'!$R:$R,'船长每月数据(2022年)'!$F:$F,$AB$2,'船长每月数据(2022年)'!$E:$E,$C:$C)</f>
        <v>0</v>
      </c>
      <c r="AC45" s="20">
        <f>SUMIFS('船长每月数据(2023年)'!P:P,'船长每月数据(2023年)'!F:F,$AC$2,'船长每月数据(2023年)'!E:E,C:C)</f>
        <v>0</v>
      </c>
      <c r="AD45" s="21">
        <f>IFERROR(AC45/SUMIF('船长每月数据(2023年)'!$E:$E,C:C,'船长每月数据(2023年)'!P:P),0)</f>
        <v>0</v>
      </c>
      <c r="AE45" s="38">
        <f>SUMIFS('船长每月数据(2023年)'!$R:$R,'船长每月数据(2023年)'!$F:$F,$AE$2,'船长每月数据(2023年)'!$E:$E,$C:$C)</f>
        <v>0</v>
      </c>
      <c r="AF45" s="21">
        <f>IFERROR(AE45/SUMIF('船长每月数据(2023年)'!E:E,C:C,'船长每月数据(2023年)'!R:R),0)</f>
        <v>0</v>
      </c>
      <c r="AG45" s="20">
        <f>SUMIFS('船长每月数据(2023年)'!P:P,'船长每月数据(2023年)'!F:F,$AG$2,'船长每月数据(2023年)'!E:E,C:C)</f>
        <v>0</v>
      </c>
      <c r="AH45" s="21">
        <f>IFERROR(AG45/SUMIF('船长每月数据(2023年)'!$E:$E,$C:$C,'船长每月数据(2023年)'!$P:$P),0)</f>
        <v>0</v>
      </c>
      <c r="AI45" s="38">
        <f>SUMIFS('船长每月数据(2023年)'!$R:$R,'船长每月数据(2023年)'!$F:$F,$AI$2,'船长每月数据(2023年)'!$E:$E,$C:$C)</f>
        <v>0</v>
      </c>
      <c r="AJ45" s="21">
        <f>IFERROR(AI45/SUMIF('船长每月数据(2023年)'!$E:$E,$C:$C,'船长每月数据(2023年)'!$R:$R),0)</f>
        <v>0</v>
      </c>
      <c r="AK45" s="20">
        <f>SUMIFS('船长每月数据(2023年)'!P:P,'船长每月数据(2023年)'!F:F,$AK$2,'船长每月数据(2023年)'!E:E,C:C)</f>
        <v>0</v>
      </c>
      <c r="AL45" s="21">
        <f>IFERROR(AK45/SUMIF('船长每月数据(2023年)'!$E:$E,$C:$C,'船长每月数据(2023年)'!$P:$P),0)</f>
        <v>0</v>
      </c>
      <c r="AM45" s="38">
        <f>SUMIFS('船长每月数据(2023年)'!$R:$R,'船长每月数据(2023年)'!$F:$F,$AM$2,'船长每月数据(2023年)'!$E:$E,$C:$C)</f>
        <v>0</v>
      </c>
      <c r="AN45" s="21">
        <f>IFERROR(AM45/SUMIF('船长每月数据(2023年)'!$E:$E,$C:$C,'船长每月数据(2023年)'!$R:$R),0)</f>
        <v>0</v>
      </c>
      <c r="AO45" s="20">
        <f>SUMIFS('船长每月数据(2023年)'!P:P,'船长每月数据(2023年)'!F:F,$AO$2,'船长每月数据(2023年)'!E:E,C:C)</f>
        <v>0</v>
      </c>
      <c r="AP45" s="21">
        <f>IFERROR(AO45/SUMIF('船长每月数据(2023年)'!$E:$E,$C:$C,'船长每月数据(2023年)'!$P:$P),0)</f>
        <v>0</v>
      </c>
      <c r="AQ45" s="38">
        <f>SUMIFS('船长每月数据(2023年)'!$R:$R,'船长每月数据(2023年)'!$F:$F,$AQ$2,'船长每月数据(2023年)'!$E:$E,$C:$C)</f>
        <v>0</v>
      </c>
      <c r="AR45" s="21">
        <f>IFERROR(AQ45/SUMIF('船长每月数据(2023年)'!$E:$E,$C:$C,'船长每月数据(2023年)'!$R:$R),0)</f>
        <v>0</v>
      </c>
      <c r="AS45" s="20">
        <f>SUMIFS('船长每月数据(2023年)'!$P:$P,'船长每月数据(2023年)'!$F:$F,$AS$2,'船长每月数据(2023年)'!$E:$E,$C:$C)</f>
        <v>0</v>
      </c>
      <c r="AT45" s="21">
        <f>IFERROR(AS45/SUMIF('船长每月数据(2023年)'!$E:$E,$C:$C,'船长每月数据(2023年)'!$P:$P),0)</f>
        <v>0</v>
      </c>
      <c r="AU45" s="38">
        <f>SUMIFS('船长每月数据(2023年)'!$R:$R,'船长每月数据(2023年)'!$F:$F,$AU$2,'船长每月数据(2023年)'!$E:$E,$C:$C)</f>
        <v>0</v>
      </c>
      <c r="AV45" s="21">
        <f>IFERROR(AU45/SUMIF('船长每月数据(2023年)'!$E:$E,$C:$C,'船长每月数据(2023年)'!$R:$R),0)</f>
        <v>0</v>
      </c>
      <c r="AW45" s="20">
        <f>SUMIFS('船长每月数据(2023年)'!$P:$P,'船长每月数据(2023年)'!$F:$F,$AW$2,'船长每月数据(2023年)'!$E:$E,$C:$C)</f>
        <v>0</v>
      </c>
      <c r="AX45" s="21">
        <f>IFERROR(AW45/SUMIF('船长每月数据(2023年)'!$E:$E,$C:$C,'船长每月数据(2023年)'!$P:$P),0)</f>
        <v>0</v>
      </c>
      <c r="AY45" s="38">
        <f>SUMIFS('船长每月数据(2023年)'!$R:$R,'船长每月数据(2023年)'!$F:$F,$AY$2,'船长每月数据(2023年)'!$E:$E,$C:$C)</f>
        <v>0</v>
      </c>
      <c r="AZ45" s="21">
        <f>IFERROR(AY45/SUMIF('船长每月数据(2023年)'!$E:$E,$C:$C,'船长每月数据(2023年)'!$R:$R),0)</f>
        <v>0</v>
      </c>
      <c r="BA45" s="20">
        <f>SUMIFS('船长每月数据(2023年)'!$P:$P,'船长每月数据(2023年)'!$F:$F,$BA$2,'船长每月数据(2023年)'!$E:$E,$C:$C)</f>
        <v>0</v>
      </c>
      <c r="BB45" s="21">
        <f>IFERROR(BA45/SUMIF('船长每月数据(2023年)'!$E:$E,$C:$C,'船长每月数据(2023年)'!$P:$P),0)</f>
        <v>0</v>
      </c>
      <c r="BC45" s="38">
        <f>SUMIFS('船长每月数据(2023年)'!$R:$R,'船长每月数据(2023年)'!$F:$F,$BC$2,'船长每月数据(2023年)'!$E:$E,$C:$C)</f>
        <v>0</v>
      </c>
      <c r="BD45" s="21">
        <f>IFERROR(BC45/SUMIF('船长每月数据(2023年)'!$E:$E,$C:$C,'船长每月数据(2023年)'!$R:$R),0)</f>
        <v>0</v>
      </c>
      <c r="BE45" s="20">
        <f>SUMIFS('船长每月数据(2023年)'!$P:$P,'船长每月数据(2023年)'!$F:$F,$BE$2,'船长每月数据(2023年)'!$E:$E,$C:$C)</f>
        <v>0</v>
      </c>
      <c r="BF45" s="21">
        <f>IFERROR(BE45/SUMIF('船长每月数据(2023年)'!$E:$E,$C:$C,'船长每月数据(2023年)'!$P:$P),0)</f>
        <v>0</v>
      </c>
      <c r="BG45" s="38">
        <f>SUMIFS('船长每月数据(2023年)'!$R:$R,'船长每月数据(2023年)'!$F:$F,$BG$2,'船长每月数据(2023年)'!$E:$E,$C:$C)</f>
        <v>0</v>
      </c>
      <c r="BH45" s="21">
        <f>IFERROR(BG45/SUMIF('船长每月数据(2023年)'!$E:$E,$C:$C,'船长每月数据(2023年)'!$R:$R),0)</f>
        <v>0</v>
      </c>
      <c r="BI45" s="20">
        <f>SUMIFS('船长每月数据(2023年)'!$P:$P,'船长每月数据(2023年)'!$F:$F,$BI$2,'船长每月数据(2023年)'!$E:$E,$C:$C)</f>
        <v>0</v>
      </c>
      <c r="BJ45" s="21">
        <f>IFERROR(BI45/SUMIF('船长每月数据(2023年)'!$E:$E,$C:$C,'船长每月数据(2023年)'!$P:$P),0)</f>
        <v>0</v>
      </c>
      <c r="BK45" s="38">
        <f>SUMIFS('船长每月数据(2023年)'!$R:$R,'船长每月数据(2023年)'!$F:$F,$BK$2,'船长每月数据(2023年)'!$E:$E,$C:$C)</f>
        <v>0</v>
      </c>
      <c r="BL45" s="21">
        <f>IFERROR(BK45/SUMIF('船长每月数据(2023年)'!$E:$E,$C:$C,'船长每月数据(2023年)'!$R:$R),0)</f>
        <v>0</v>
      </c>
      <c r="BM45" s="20">
        <f>SUMIFS('船长每月数据(2023年)'!$P:$P,'船长每月数据(2023年)'!$F:$F,$BM$2,'船长每月数据(2023年)'!$E:$E,$C:$C)</f>
        <v>0</v>
      </c>
      <c r="BN45" s="21">
        <f>IFERROR(BM45/SUMIF('船长每月数据(2023年)'!$E:$E,$C:$C,'船长每月数据(2023年)'!$P:$P),0)</f>
        <v>0</v>
      </c>
      <c r="BO45" s="38">
        <f>SUMIFS('船长每月数据(2023年)'!$R:$R,'船长每月数据(2023年)'!$F:$F,$BO$2,'船长每月数据(2023年)'!$E:$E,$C:$C)</f>
        <v>0</v>
      </c>
      <c r="BP45" s="21">
        <f>IFERROR(BO45/SUMIF('船长每月数据(2023年)'!$E:$E,$C:$C,'船长每月数据(2023年)'!$R:$R),0)</f>
        <v>0</v>
      </c>
      <c r="BQ45" s="20">
        <f>SUMIFS('船长每月数据(2023年)'!$P:$P,'船长每月数据(2023年)'!$F:$F,$BQ$2,'船长每月数据(2023年)'!$E:$E,$C:$C)</f>
        <v>0</v>
      </c>
      <c r="BR45" s="21">
        <f>IFERROR(BQ45/SUMIF('船长每月数据(2023年)'!$E:$E,$C:$C,'船长每月数据(2023年)'!$P:$P),0)</f>
        <v>0</v>
      </c>
      <c r="BS45" s="38">
        <f>SUMIFS('船长每月数据(2023年)'!$R:$R,'船长每月数据(2023年)'!$F:$F,$BS$2,'船长每月数据(2023年)'!$E:$E,$C:$C)</f>
        <v>0</v>
      </c>
      <c r="BT45" s="21">
        <f>IFERROR(BS45/SUMIF('船长每月数据(2023年)'!$E:$E,$C:$C,'船长每月数据(2023年)'!$R:$R),0)</f>
        <v>0</v>
      </c>
      <c r="BU45" s="20">
        <f>SUMIFS('船长每月数据(2023年)'!$P:$P,'船长每月数据(2023年)'!$F:$F,$BU$2,'船长每月数据(2023年)'!$E:$E,$C:$C)</f>
        <v>0</v>
      </c>
      <c r="BV45" s="21">
        <f>IFERROR(BU45/SUMIF('船长每月数据(2023年)'!$E:$E,$C:$C,'船长每月数据(2023年)'!$P:$P),0)</f>
        <v>0</v>
      </c>
      <c r="BW45" s="38">
        <f>SUMIFS('船长每月数据(2023年)'!$R:$R,'船长每月数据(2023年)'!$F:$F,$BW$2,'船长每月数据(2023年)'!$E:$E,$C:$C)</f>
        <v>0</v>
      </c>
      <c r="BX45" s="21">
        <f>IFERROR(BW45/SUMIF('船长每月数据(2023年)'!$E:$E,$C:$C,'船长每月数据(2023年)'!$R:$R),0)</f>
        <v>0</v>
      </c>
    </row>
    <row r="46" ht="23" customHeight="1" spans="1:76">
      <c r="A46" s="82"/>
      <c r="B46" s="84"/>
      <c r="C46" s="20"/>
      <c r="D46" s="74"/>
      <c r="E46" s="20">
        <f>SUMIFS('船长每月数据(2022年)'!$P:$P,'船长每月数据(2022年)'!$F:$F,$E$2,'船长每月数据(2022年)'!E:E,C:C)</f>
        <v>0</v>
      </c>
      <c r="F46" s="85">
        <f>SUMIFS('船长每月数据(2022年)'!$R:$R,'船长每月数据(2022年)'!$F:$F,$F$2,'船长每月数据(2022年)'!E:E,C:C)</f>
        <v>0</v>
      </c>
      <c r="G46" s="20">
        <f>SUMIFS('船长每月数据(2022年)'!$P:$P,'船长每月数据(2022年)'!$F:$F,$G$2,'船长每月数据(2022年)'!$E:$E,$C:$C)</f>
        <v>0</v>
      </c>
      <c r="H46" s="85">
        <f>SUMIFS('船长每月数据(2022年)'!$R:$R,'船长每月数据(2022年)'!$F:$F,$H$2,'船长每月数据(2022年)'!$E:$E,$C:$C)</f>
        <v>0</v>
      </c>
      <c r="I46" s="20">
        <f>SUMIFS('船长每月数据(2022年)'!$P:$P,'船长每月数据(2022年)'!$F:$F,$I$2,'船长每月数据(2022年)'!$E:$E,$C:$C)</f>
        <v>0</v>
      </c>
      <c r="J46" s="85">
        <f>SUMIFS('船长每月数据(2022年)'!$R:$R,'船长每月数据(2022年)'!$F:$F,$J$2,'船长每月数据(2022年)'!$E:$E,$C:$C)</f>
        <v>0</v>
      </c>
      <c r="K46" s="20">
        <f>SUMIFS('船长每月数据(2022年)'!$P:$P,'船长每月数据(2022年)'!$F:$F,$K$2,'船长每月数据(2022年)'!$E:$E,$C:$C)</f>
        <v>0</v>
      </c>
      <c r="L46" s="85">
        <f>SUMIFS('船长每月数据(2022年)'!$R:$R,'船长每月数据(2022年)'!$F:$F,$L$2,'船长每月数据(2022年)'!$E:$E,$C:$C)</f>
        <v>0</v>
      </c>
      <c r="M46" s="20">
        <f>SUMIFS('船长每月数据(2022年)'!$P:$P,'船长每月数据(2022年)'!$F:$F,$M$2,'船长每月数据(2022年)'!$E:$E,$C:$C)</f>
        <v>0</v>
      </c>
      <c r="N46" s="85">
        <f>SUMIFS('船长每月数据(2022年)'!$R:$R,'船长每月数据(2022年)'!$F:$F,$N$2,'船长每月数据(2022年)'!$E:$E,$C:$C)</f>
        <v>0</v>
      </c>
      <c r="O46" s="20">
        <f>SUMIFS('船长每月数据(2022年)'!$P:$P,'船长每月数据(2022年)'!$F:$F,$O$2,'船长每月数据(2022年)'!$E:$E,$C:$C)</f>
        <v>0</v>
      </c>
      <c r="P46" s="85">
        <f>SUMIFS('船长每月数据(2022年)'!$R:$R,'船长每月数据(2022年)'!$F:$F,$P$2,'船长每月数据(2022年)'!$E:$E,$C:$C)</f>
        <v>0</v>
      </c>
      <c r="Q46" s="20">
        <f>SUMIFS('船长每月数据(2022年)'!$P:$P,'船长每月数据(2022年)'!$F:$F,$Q$2,'船长每月数据(2022年)'!$E:$E,$C:$C)</f>
        <v>0</v>
      </c>
      <c r="R46" s="85">
        <f>SUMIFS('船长每月数据(2022年)'!$R:$R,'船长每月数据(2022年)'!$F:$F,$R$2,'船长每月数据(2022年)'!$E:$E,$C:$C)</f>
        <v>0</v>
      </c>
      <c r="S46" s="20">
        <f>SUMIFS('船长每月数据(2022年)'!$P:$P,'船长每月数据(2022年)'!$F:$F,$S$2,'船长每月数据(2022年)'!$E:$E,$C:$C)</f>
        <v>0</v>
      </c>
      <c r="T46" s="85">
        <f>SUMIFS('船长每月数据(2022年)'!$R:$R,'船长每月数据(2022年)'!$F:$F,$T$2,'船长每月数据(2022年)'!$E:$E,$C:$C)</f>
        <v>0</v>
      </c>
      <c r="U46" s="20">
        <f>SUMIFS('船长每月数据(2022年)'!$P:$P,'船长每月数据(2022年)'!$F:$F,$U$2,'船长每月数据(2022年)'!$E:$E,$C:$C)</f>
        <v>0</v>
      </c>
      <c r="V46" s="85">
        <f>SUMIFS('船长每月数据(2022年)'!$R:$R,'船长每月数据(2022年)'!$F:$F,$V$2,'船长每月数据(2022年)'!$E:$E,$C:$C)</f>
        <v>0</v>
      </c>
      <c r="W46" s="20">
        <f>SUMIFS('船长每月数据(2022年)'!$P:$P,'船长每月数据(2022年)'!$F:$F,$W$2,'船长每月数据(2022年)'!$E:$E,$C:$C)</f>
        <v>0</v>
      </c>
      <c r="X46" s="85">
        <f>SUMIFS('船长每月数据(2022年)'!$R:$R,'船长每月数据(2022年)'!$F:$F,$X$2,'船长每月数据(2022年)'!$E:$E,$C:$C)</f>
        <v>0</v>
      </c>
      <c r="Y46" s="20">
        <f>SUMIFS('船长每月数据(2022年)'!$P:$P,'船长每月数据(2022年)'!$F:$F,$Y$2,'船长每月数据(2022年)'!$E:$E,$C:$C)</f>
        <v>0</v>
      </c>
      <c r="Z46" s="85">
        <f>SUMIFS('船长每月数据(2022年)'!$R:$R,'船长每月数据(2022年)'!$F:$F,$Z$2,'船长每月数据(2022年)'!$E:$E,$C:$C)</f>
        <v>0</v>
      </c>
      <c r="AA46" s="20">
        <f>SUMIFS('船长每月数据(2022年)'!$P:$P,'船长每月数据(2022年)'!$F:$F,$AA$2,'船长每月数据(2022年)'!$E:$E,$C:$C)</f>
        <v>0</v>
      </c>
      <c r="AB46" s="85">
        <f>SUMIFS('船长每月数据(2022年)'!$R:$R,'船长每月数据(2022年)'!$F:$F,$AB$2,'船长每月数据(2022年)'!$E:$E,$C:$C)</f>
        <v>0</v>
      </c>
      <c r="AC46" s="20">
        <f>SUMIFS('船长每月数据(2023年)'!P:P,'船长每月数据(2023年)'!F:F,$AC$2,'船长每月数据(2023年)'!E:E,C:C)</f>
        <v>0</v>
      </c>
      <c r="AD46" s="21">
        <f>IFERROR(AC46/SUMIF('船长每月数据(2023年)'!$E:$E,C:C,'船长每月数据(2023年)'!P:P),0)</f>
        <v>0</v>
      </c>
      <c r="AE46" s="38">
        <f>SUMIFS('船长每月数据(2023年)'!$R:$R,'船长每月数据(2023年)'!$F:$F,$AE$2,'船长每月数据(2023年)'!$E:$E,$C:$C)</f>
        <v>0</v>
      </c>
      <c r="AF46" s="21">
        <f>IFERROR(AE46/SUMIF('船长每月数据(2023年)'!E:E,C:C,'船长每月数据(2023年)'!R:R),0)</f>
        <v>0</v>
      </c>
      <c r="AG46" s="20">
        <f>SUMIFS('船长每月数据(2023年)'!P:P,'船长每月数据(2023年)'!F:F,$AG$2,'船长每月数据(2023年)'!E:E,C:C)</f>
        <v>0</v>
      </c>
      <c r="AH46" s="21">
        <f>IFERROR(AG46/SUMIF('船长每月数据(2023年)'!$E:$E,$C:$C,'船长每月数据(2023年)'!$P:$P),0)</f>
        <v>0</v>
      </c>
      <c r="AI46" s="38">
        <f>SUMIFS('船长每月数据(2023年)'!$R:$R,'船长每月数据(2023年)'!$F:$F,$AI$2,'船长每月数据(2023年)'!$E:$E,$C:$C)</f>
        <v>0</v>
      </c>
      <c r="AJ46" s="21">
        <f>IFERROR(AI46/SUMIF('船长每月数据(2023年)'!$E:$E,$C:$C,'船长每月数据(2023年)'!$R:$R),0)</f>
        <v>0</v>
      </c>
      <c r="AK46" s="20">
        <f>SUMIFS('船长每月数据(2023年)'!P:P,'船长每月数据(2023年)'!F:F,$AK$2,'船长每月数据(2023年)'!E:E,C:C)</f>
        <v>0</v>
      </c>
      <c r="AL46" s="21">
        <f>IFERROR(AK46/SUMIF('船长每月数据(2023年)'!$E:$E,$C:$C,'船长每月数据(2023年)'!$P:$P),0)</f>
        <v>0</v>
      </c>
      <c r="AM46" s="38">
        <f>SUMIFS('船长每月数据(2023年)'!$R:$R,'船长每月数据(2023年)'!$F:$F,$AM$2,'船长每月数据(2023年)'!$E:$E,$C:$C)</f>
        <v>0</v>
      </c>
      <c r="AN46" s="21">
        <f>IFERROR(AM46/SUMIF('船长每月数据(2023年)'!$E:$E,$C:$C,'船长每月数据(2023年)'!$R:$R),0)</f>
        <v>0</v>
      </c>
      <c r="AO46" s="20">
        <f>SUMIFS('船长每月数据(2023年)'!P:P,'船长每月数据(2023年)'!F:F,$AO$2,'船长每月数据(2023年)'!E:E,C:C)</f>
        <v>0</v>
      </c>
      <c r="AP46" s="21">
        <f>IFERROR(AO46/SUMIF('船长每月数据(2023年)'!$E:$E,$C:$C,'船长每月数据(2023年)'!$P:$P),0)</f>
        <v>0</v>
      </c>
      <c r="AQ46" s="38">
        <f>SUMIFS('船长每月数据(2023年)'!$R:$R,'船长每月数据(2023年)'!$F:$F,$AQ$2,'船长每月数据(2023年)'!$E:$E,$C:$C)</f>
        <v>0</v>
      </c>
      <c r="AR46" s="21">
        <f>IFERROR(AQ46/SUMIF('船长每月数据(2023年)'!$E:$E,$C:$C,'船长每月数据(2023年)'!$R:$R),0)</f>
        <v>0</v>
      </c>
      <c r="AS46" s="20">
        <f>SUMIFS('船长每月数据(2023年)'!$P:$P,'船长每月数据(2023年)'!$F:$F,$AS$2,'船长每月数据(2023年)'!$E:$E,$C:$C)</f>
        <v>0</v>
      </c>
      <c r="AT46" s="21">
        <f>IFERROR(AS46/SUMIF('船长每月数据(2023年)'!$E:$E,$C:$C,'船长每月数据(2023年)'!$P:$P),0)</f>
        <v>0</v>
      </c>
      <c r="AU46" s="38">
        <f>SUMIFS('船长每月数据(2023年)'!$R:$R,'船长每月数据(2023年)'!$F:$F,$AU$2,'船长每月数据(2023年)'!$E:$E,$C:$C)</f>
        <v>0</v>
      </c>
      <c r="AV46" s="21">
        <f>IFERROR(AU46/SUMIF('船长每月数据(2023年)'!$E:$E,$C:$C,'船长每月数据(2023年)'!$R:$R),0)</f>
        <v>0</v>
      </c>
      <c r="AW46" s="20">
        <f>SUMIFS('船长每月数据(2023年)'!$P:$P,'船长每月数据(2023年)'!$F:$F,$AW$2,'船长每月数据(2023年)'!$E:$E,$C:$C)</f>
        <v>0</v>
      </c>
      <c r="AX46" s="21">
        <f>IFERROR(AW46/SUMIF('船长每月数据(2023年)'!$E:$E,$C:$C,'船长每月数据(2023年)'!$P:$P),0)</f>
        <v>0</v>
      </c>
      <c r="AY46" s="38">
        <f>SUMIFS('船长每月数据(2023年)'!$R:$R,'船长每月数据(2023年)'!$F:$F,$AY$2,'船长每月数据(2023年)'!$E:$E,$C:$C)</f>
        <v>0</v>
      </c>
      <c r="AZ46" s="21">
        <f>IFERROR(AY46/SUMIF('船长每月数据(2023年)'!$E:$E,$C:$C,'船长每月数据(2023年)'!$R:$R),0)</f>
        <v>0</v>
      </c>
      <c r="BA46" s="20">
        <f>SUMIFS('船长每月数据(2023年)'!$P:$P,'船长每月数据(2023年)'!$F:$F,$BA$2,'船长每月数据(2023年)'!$E:$E,$C:$C)</f>
        <v>0</v>
      </c>
      <c r="BB46" s="21">
        <f>IFERROR(BA46/SUMIF('船长每月数据(2023年)'!$E:$E,$C:$C,'船长每月数据(2023年)'!$P:$P),0)</f>
        <v>0</v>
      </c>
      <c r="BC46" s="38">
        <f>SUMIFS('船长每月数据(2023年)'!$R:$R,'船长每月数据(2023年)'!$F:$F,$BC$2,'船长每月数据(2023年)'!$E:$E,$C:$C)</f>
        <v>0</v>
      </c>
      <c r="BD46" s="21">
        <f>IFERROR(BC46/SUMIF('船长每月数据(2023年)'!$E:$E,$C:$C,'船长每月数据(2023年)'!$R:$R),0)</f>
        <v>0</v>
      </c>
      <c r="BE46" s="20">
        <f>SUMIFS('船长每月数据(2023年)'!$P:$P,'船长每月数据(2023年)'!$F:$F,$BE$2,'船长每月数据(2023年)'!$E:$E,$C:$C)</f>
        <v>0</v>
      </c>
      <c r="BF46" s="21">
        <f>IFERROR(BE46/SUMIF('船长每月数据(2023年)'!$E:$E,$C:$C,'船长每月数据(2023年)'!$P:$P),0)</f>
        <v>0</v>
      </c>
      <c r="BG46" s="38">
        <f>SUMIFS('船长每月数据(2023年)'!$R:$R,'船长每月数据(2023年)'!$F:$F,$BG$2,'船长每月数据(2023年)'!$E:$E,$C:$C)</f>
        <v>0</v>
      </c>
      <c r="BH46" s="21">
        <f>IFERROR(BG46/SUMIF('船长每月数据(2023年)'!$E:$E,$C:$C,'船长每月数据(2023年)'!$R:$R),0)</f>
        <v>0</v>
      </c>
      <c r="BI46" s="20">
        <f>SUMIFS('船长每月数据(2023年)'!$P:$P,'船长每月数据(2023年)'!$F:$F,$BI$2,'船长每月数据(2023年)'!$E:$E,$C:$C)</f>
        <v>0</v>
      </c>
      <c r="BJ46" s="21">
        <f>IFERROR(BI46/SUMIF('船长每月数据(2023年)'!$E:$E,$C:$C,'船长每月数据(2023年)'!$P:$P),0)</f>
        <v>0</v>
      </c>
      <c r="BK46" s="38">
        <f>SUMIFS('船长每月数据(2023年)'!$R:$R,'船长每月数据(2023年)'!$F:$F,$BK$2,'船长每月数据(2023年)'!$E:$E,$C:$C)</f>
        <v>0</v>
      </c>
      <c r="BL46" s="21">
        <f>IFERROR(BK46/SUMIF('船长每月数据(2023年)'!$E:$E,$C:$C,'船长每月数据(2023年)'!$R:$R),0)</f>
        <v>0</v>
      </c>
      <c r="BM46" s="20">
        <f>SUMIFS('船长每月数据(2023年)'!$P:$P,'船长每月数据(2023年)'!$F:$F,$BM$2,'船长每月数据(2023年)'!$E:$E,$C:$C)</f>
        <v>0</v>
      </c>
      <c r="BN46" s="21">
        <f>IFERROR(BM46/SUMIF('船长每月数据(2023年)'!$E:$E,$C:$C,'船长每月数据(2023年)'!$P:$P),0)</f>
        <v>0</v>
      </c>
      <c r="BO46" s="38">
        <f>SUMIFS('船长每月数据(2023年)'!$R:$R,'船长每月数据(2023年)'!$F:$F,$BO$2,'船长每月数据(2023年)'!$E:$E,$C:$C)</f>
        <v>0</v>
      </c>
      <c r="BP46" s="21">
        <f>IFERROR(BO46/SUMIF('船长每月数据(2023年)'!$E:$E,$C:$C,'船长每月数据(2023年)'!$R:$R),0)</f>
        <v>0</v>
      </c>
      <c r="BQ46" s="20">
        <f>SUMIFS('船长每月数据(2023年)'!$P:$P,'船长每月数据(2023年)'!$F:$F,$BQ$2,'船长每月数据(2023年)'!$E:$E,$C:$C)</f>
        <v>0</v>
      </c>
      <c r="BR46" s="21">
        <f>IFERROR(BQ46/SUMIF('船长每月数据(2023年)'!$E:$E,$C:$C,'船长每月数据(2023年)'!$P:$P),0)</f>
        <v>0</v>
      </c>
      <c r="BS46" s="38">
        <f>SUMIFS('船长每月数据(2023年)'!$R:$R,'船长每月数据(2023年)'!$F:$F,$BS$2,'船长每月数据(2023年)'!$E:$E,$C:$C)</f>
        <v>0</v>
      </c>
      <c r="BT46" s="21">
        <f>IFERROR(BS46/SUMIF('船长每月数据(2023年)'!$E:$E,$C:$C,'船长每月数据(2023年)'!$R:$R),0)</f>
        <v>0</v>
      </c>
      <c r="BU46" s="20">
        <f>SUMIFS('船长每月数据(2023年)'!$P:$P,'船长每月数据(2023年)'!$F:$F,$BU$2,'船长每月数据(2023年)'!$E:$E,$C:$C)</f>
        <v>0</v>
      </c>
      <c r="BV46" s="21">
        <f>IFERROR(BU46/SUMIF('船长每月数据(2023年)'!$E:$E,$C:$C,'船长每月数据(2023年)'!$P:$P),0)</f>
        <v>0</v>
      </c>
      <c r="BW46" s="38">
        <f>SUMIFS('船长每月数据(2023年)'!$R:$R,'船长每月数据(2023年)'!$F:$F,$BW$2,'船长每月数据(2023年)'!$E:$E,$C:$C)</f>
        <v>0</v>
      </c>
      <c r="BX46" s="21">
        <f>IFERROR(BW46/SUMIF('船长每月数据(2023年)'!$E:$E,$C:$C,'船长每月数据(2023年)'!$R:$R),0)</f>
        <v>0</v>
      </c>
    </row>
    <row r="47" ht="23" customHeight="1" spans="1:76">
      <c r="A47" s="82"/>
      <c r="B47" s="36"/>
      <c r="C47" s="20"/>
      <c r="D47" s="74"/>
      <c r="E47" s="20">
        <f>SUMIFS('船长每月数据(2022年)'!$P:$P,'船长每月数据(2022年)'!$F:$F,$E$2,'船长每月数据(2022年)'!E:E,C:C)</f>
        <v>0</v>
      </c>
      <c r="F47" s="85">
        <f>SUMIFS('船长每月数据(2022年)'!$R:$R,'船长每月数据(2022年)'!$F:$F,$F$2,'船长每月数据(2022年)'!E:E,C:C)</f>
        <v>0</v>
      </c>
      <c r="G47" s="20">
        <f>SUMIFS('船长每月数据(2022年)'!$P:$P,'船长每月数据(2022年)'!$F:$F,$G$2,'船长每月数据(2022年)'!$E:$E,$C:$C)</f>
        <v>0</v>
      </c>
      <c r="H47" s="85">
        <f>SUMIFS('船长每月数据(2022年)'!$R:$R,'船长每月数据(2022年)'!$F:$F,$H$2,'船长每月数据(2022年)'!$E:$E,$C:$C)</f>
        <v>0</v>
      </c>
      <c r="I47" s="20">
        <f>SUMIFS('船长每月数据(2022年)'!$P:$P,'船长每月数据(2022年)'!$F:$F,$I$2,'船长每月数据(2022年)'!$E:$E,$C:$C)</f>
        <v>0</v>
      </c>
      <c r="J47" s="85">
        <f>SUMIFS('船长每月数据(2022年)'!$R:$R,'船长每月数据(2022年)'!$F:$F,$J$2,'船长每月数据(2022年)'!$E:$E,$C:$C)</f>
        <v>0</v>
      </c>
      <c r="K47" s="20">
        <f>SUMIFS('船长每月数据(2022年)'!$P:$P,'船长每月数据(2022年)'!$F:$F,$K$2,'船长每月数据(2022年)'!$E:$E,$C:$C)</f>
        <v>0</v>
      </c>
      <c r="L47" s="85">
        <f>SUMIFS('船长每月数据(2022年)'!$R:$R,'船长每月数据(2022年)'!$F:$F,$L$2,'船长每月数据(2022年)'!$E:$E,$C:$C)</f>
        <v>0</v>
      </c>
      <c r="M47" s="20">
        <f>SUMIFS('船长每月数据(2022年)'!$P:$P,'船长每月数据(2022年)'!$F:$F,$M$2,'船长每月数据(2022年)'!$E:$E,$C:$C)</f>
        <v>0</v>
      </c>
      <c r="N47" s="85">
        <f>SUMIFS('船长每月数据(2022年)'!$R:$R,'船长每月数据(2022年)'!$F:$F,$N$2,'船长每月数据(2022年)'!$E:$E,$C:$C)</f>
        <v>0</v>
      </c>
      <c r="O47" s="20">
        <f>SUMIFS('船长每月数据(2022年)'!$P:$P,'船长每月数据(2022年)'!$F:$F,$O$2,'船长每月数据(2022年)'!$E:$E,$C:$C)</f>
        <v>0</v>
      </c>
      <c r="P47" s="85">
        <f>SUMIFS('船长每月数据(2022年)'!$R:$R,'船长每月数据(2022年)'!$F:$F,$P$2,'船长每月数据(2022年)'!$E:$E,$C:$C)</f>
        <v>0</v>
      </c>
      <c r="Q47" s="20">
        <f>SUMIFS('船长每月数据(2022年)'!$P:$P,'船长每月数据(2022年)'!$F:$F,$Q$2,'船长每月数据(2022年)'!$E:$E,$C:$C)</f>
        <v>0</v>
      </c>
      <c r="R47" s="85">
        <f>SUMIFS('船长每月数据(2022年)'!$R:$R,'船长每月数据(2022年)'!$F:$F,$R$2,'船长每月数据(2022年)'!$E:$E,$C:$C)</f>
        <v>0</v>
      </c>
      <c r="S47" s="20">
        <f>SUMIFS('船长每月数据(2022年)'!$P:$P,'船长每月数据(2022年)'!$F:$F,$S$2,'船长每月数据(2022年)'!$E:$E,$C:$C)</f>
        <v>0</v>
      </c>
      <c r="T47" s="85">
        <f>SUMIFS('船长每月数据(2022年)'!$R:$R,'船长每月数据(2022年)'!$F:$F,$T$2,'船长每月数据(2022年)'!$E:$E,$C:$C)</f>
        <v>0</v>
      </c>
      <c r="U47" s="20">
        <f>SUMIFS('船长每月数据(2022年)'!$P:$P,'船长每月数据(2022年)'!$F:$F,$U$2,'船长每月数据(2022年)'!$E:$E,$C:$C)</f>
        <v>0</v>
      </c>
      <c r="V47" s="85">
        <f>SUMIFS('船长每月数据(2022年)'!$R:$R,'船长每月数据(2022年)'!$F:$F,$V$2,'船长每月数据(2022年)'!$E:$E,$C:$C)</f>
        <v>0</v>
      </c>
      <c r="W47" s="20">
        <f>SUMIFS('船长每月数据(2022年)'!$P:$P,'船长每月数据(2022年)'!$F:$F,$W$2,'船长每月数据(2022年)'!$E:$E,$C:$C)</f>
        <v>0</v>
      </c>
      <c r="X47" s="85">
        <f>SUMIFS('船长每月数据(2022年)'!$R:$R,'船长每月数据(2022年)'!$F:$F,$X$2,'船长每月数据(2022年)'!$E:$E,$C:$C)</f>
        <v>0</v>
      </c>
      <c r="Y47" s="20">
        <f>SUMIFS('船长每月数据(2022年)'!$P:$P,'船长每月数据(2022年)'!$F:$F,$Y$2,'船长每月数据(2022年)'!$E:$E,$C:$C)</f>
        <v>0</v>
      </c>
      <c r="Z47" s="85">
        <f>SUMIFS('船长每月数据(2022年)'!$R:$R,'船长每月数据(2022年)'!$F:$F,$Z$2,'船长每月数据(2022年)'!$E:$E,$C:$C)</f>
        <v>0</v>
      </c>
      <c r="AA47" s="20">
        <f>SUMIFS('船长每月数据(2022年)'!$P:$P,'船长每月数据(2022年)'!$F:$F,$AA$2,'船长每月数据(2022年)'!$E:$E,$C:$C)</f>
        <v>0</v>
      </c>
      <c r="AB47" s="85">
        <f>SUMIFS('船长每月数据(2022年)'!$R:$R,'船长每月数据(2022年)'!$F:$F,$AB$2,'船长每月数据(2022年)'!$E:$E,$C:$C)</f>
        <v>0</v>
      </c>
      <c r="AC47" s="20">
        <f>SUMIFS('船长每月数据(2023年)'!P:P,'船长每月数据(2023年)'!F:F,$AC$2,'船长每月数据(2023年)'!E:E,C:C)</f>
        <v>0</v>
      </c>
      <c r="AD47" s="21">
        <f>IFERROR(AC47/SUMIF('船长每月数据(2023年)'!$E:$E,C:C,'船长每月数据(2023年)'!P:P),0)</f>
        <v>0</v>
      </c>
      <c r="AE47" s="38">
        <f>SUMIFS('船长每月数据(2023年)'!$R:$R,'船长每月数据(2023年)'!$F:$F,$AE$2,'船长每月数据(2023年)'!$E:$E,$C:$C)</f>
        <v>0</v>
      </c>
      <c r="AF47" s="21">
        <f>IFERROR(AE47/SUMIF('船长每月数据(2023年)'!E:E,C:C,'船长每月数据(2023年)'!R:R),0)</f>
        <v>0</v>
      </c>
      <c r="AG47" s="20">
        <f>SUMIFS('船长每月数据(2023年)'!P:P,'船长每月数据(2023年)'!F:F,$AG$2,'船长每月数据(2023年)'!E:E,C:C)</f>
        <v>0</v>
      </c>
      <c r="AH47" s="21">
        <f>IFERROR(AG47/SUMIF('船长每月数据(2023年)'!$E:$E,$C:$C,'船长每月数据(2023年)'!$P:$P),0)</f>
        <v>0</v>
      </c>
      <c r="AI47" s="38">
        <f>SUMIFS('船长每月数据(2023年)'!$R:$R,'船长每月数据(2023年)'!$F:$F,$AI$2,'船长每月数据(2023年)'!$E:$E,$C:$C)</f>
        <v>0</v>
      </c>
      <c r="AJ47" s="21">
        <f>IFERROR(AI47/SUMIF('船长每月数据(2023年)'!$E:$E,$C:$C,'船长每月数据(2023年)'!$R:$R),0)</f>
        <v>0</v>
      </c>
      <c r="AK47" s="20">
        <f>SUMIFS('船长每月数据(2023年)'!P:P,'船长每月数据(2023年)'!F:F,$AK$2,'船长每月数据(2023年)'!E:E,C:C)</f>
        <v>0</v>
      </c>
      <c r="AL47" s="21">
        <f>IFERROR(AK47/SUMIF('船长每月数据(2023年)'!$E:$E,$C:$C,'船长每月数据(2023年)'!$P:$P),0)</f>
        <v>0</v>
      </c>
      <c r="AM47" s="38">
        <f>SUMIFS('船长每月数据(2023年)'!$R:$R,'船长每月数据(2023年)'!$F:$F,$AM$2,'船长每月数据(2023年)'!$E:$E,$C:$C)</f>
        <v>0</v>
      </c>
      <c r="AN47" s="21">
        <f>IFERROR(AM47/SUMIF('船长每月数据(2023年)'!$E:$E,$C:$C,'船长每月数据(2023年)'!$R:$R),0)</f>
        <v>0</v>
      </c>
      <c r="AO47" s="20">
        <f>SUMIFS('船长每月数据(2023年)'!P:P,'船长每月数据(2023年)'!F:F,$AO$2,'船长每月数据(2023年)'!E:E,C:C)</f>
        <v>0</v>
      </c>
      <c r="AP47" s="21">
        <f>IFERROR(AO47/SUMIF('船长每月数据(2023年)'!$E:$E,$C:$C,'船长每月数据(2023年)'!$P:$P),0)</f>
        <v>0</v>
      </c>
      <c r="AQ47" s="38">
        <f>SUMIFS('船长每月数据(2023年)'!$R:$R,'船长每月数据(2023年)'!$F:$F,$AQ$2,'船长每月数据(2023年)'!$E:$E,$C:$C)</f>
        <v>0</v>
      </c>
      <c r="AR47" s="21">
        <f>IFERROR(AQ47/SUMIF('船长每月数据(2023年)'!$E:$E,$C:$C,'船长每月数据(2023年)'!$R:$R),0)</f>
        <v>0</v>
      </c>
      <c r="AS47" s="20">
        <f>SUMIFS('船长每月数据(2023年)'!$P:$P,'船长每月数据(2023年)'!$F:$F,$AS$2,'船长每月数据(2023年)'!$E:$E,$C:$C)</f>
        <v>0</v>
      </c>
      <c r="AT47" s="21">
        <f>IFERROR(AS47/SUMIF('船长每月数据(2023年)'!$E:$E,$C:$C,'船长每月数据(2023年)'!$P:$P),0)</f>
        <v>0</v>
      </c>
      <c r="AU47" s="38">
        <f>SUMIFS('船长每月数据(2023年)'!$R:$R,'船长每月数据(2023年)'!$F:$F,$AU$2,'船长每月数据(2023年)'!$E:$E,$C:$C)</f>
        <v>0</v>
      </c>
      <c r="AV47" s="21">
        <f>IFERROR(AU47/SUMIF('船长每月数据(2023年)'!$E:$E,$C:$C,'船长每月数据(2023年)'!$R:$R),0)</f>
        <v>0</v>
      </c>
      <c r="AW47" s="20">
        <f>SUMIFS('船长每月数据(2023年)'!$P:$P,'船长每月数据(2023年)'!$F:$F,$AW$2,'船长每月数据(2023年)'!$E:$E,$C:$C)</f>
        <v>0</v>
      </c>
      <c r="AX47" s="21">
        <f>IFERROR(AW47/SUMIF('船长每月数据(2023年)'!$E:$E,$C:$C,'船长每月数据(2023年)'!$P:$P),0)</f>
        <v>0</v>
      </c>
      <c r="AY47" s="38">
        <f>SUMIFS('船长每月数据(2023年)'!$R:$R,'船长每月数据(2023年)'!$F:$F,$AY$2,'船长每月数据(2023年)'!$E:$E,$C:$C)</f>
        <v>0</v>
      </c>
      <c r="AZ47" s="21">
        <f>IFERROR(AY47/SUMIF('船长每月数据(2023年)'!$E:$E,$C:$C,'船长每月数据(2023年)'!$R:$R),0)</f>
        <v>0</v>
      </c>
      <c r="BA47" s="20">
        <f>SUMIFS('船长每月数据(2023年)'!$P:$P,'船长每月数据(2023年)'!$F:$F,$BA$2,'船长每月数据(2023年)'!$E:$E,$C:$C)</f>
        <v>0</v>
      </c>
      <c r="BB47" s="21">
        <f>IFERROR(BA47/SUMIF('船长每月数据(2023年)'!$E:$E,$C:$C,'船长每月数据(2023年)'!$P:$P),0)</f>
        <v>0</v>
      </c>
      <c r="BC47" s="38">
        <f>SUMIFS('船长每月数据(2023年)'!$R:$R,'船长每月数据(2023年)'!$F:$F,$BC$2,'船长每月数据(2023年)'!$E:$E,$C:$C)</f>
        <v>0</v>
      </c>
      <c r="BD47" s="21">
        <f>IFERROR(BC47/SUMIF('船长每月数据(2023年)'!$E:$E,$C:$C,'船长每月数据(2023年)'!$R:$R),0)</f>
        <v>0</v>
      </c>
      <c r="BE47" s="20">
        <f>SUMIFS('船长每月数据(2023年)'!$P:$P,'船长每月数据(2023年)'!$F:$F,$BE$2,'船长每月数据(2023年)'!$E:$E,$C:$C)</f>
        <v>0</v>
      </c>
      <c r="BF47" s="21">
        <f>IFERROR(BE47/SUMIF('船长每月数据(2023年)'!$E:$E,$C:$C,'船长每月数据(2023年)'!$P:$P),0)</f>
        <v>0</v>
      </c>
      <c r="BG47" s="38">
        <f>SUMIFS('船长每月数据(2023年)'!$R:$R,'船长每月数据(2023年)'!$F:$F,$BG$2,'船长每月数据(2023年)'!$E:$E,$C:$C)</f>
        <v>0</v>
      </c>
      <c r="BH47" s="21">
        <f>IFERROR(BG47/SUMIF('船长每月数据(2023年)'!$E:$E,$C:$C,'船长每月数据(2023年)'!$R:$R),0)</f>
        <v>0</v>
      </c>
      <c r="BI47" s="20">
        <f>SUMIFS('船长每月数据(2023年)'!$P:$P,'船长每月数据(2023年)'!$F:$F,$BI$2,'船长每月数据(2023年)'!$E:$E,$C:$C)</f>
        <v>0</v>
      </c>
      <c r="BJ47" s="21">
        <f>IFERROR(BI47/SUMIF('船长每月数据(2023年)'!$E:$E,$C:$C,'船长每月数据(2023年)'!$P:$P),0)</f>
        <v>0</v>
      </c>
      <c r="BK47" s="38">
        <f>SUMIFS('船长每月数据(2023年)'!$R:$R,'船长每月数据(2023年)'!$F:$F,$BK$2,'船长每月数据(2023年)'!$E:$E,$C:$C)</f>
        <v>0</v>
      </c>
      <c r="BL47" s="21">
        <f>IFERROR(BK47/SUMIF('船长每月数据(2023年)'!$E:$E,$C:$C,'船长每月数据(2023年)'!$R:$R),0)</f>
        <v>0</v>
      </c>
      <c r="BM47" s="20">
        <f>SUMIFS('船长每月数据(2023年)'!$P:$P,'船长每月数据(2023年)'!$F:$F,$BM$2,'船长每月数据(2023年)'!$E:$E,$C:$C)</f>
        <v>0</v>
      </c>
      <c r="BN47" s="21">
        <f>IFERROR(BM47/SUMIF('船长每月数据(2023年)'!$E:$E,$C:$C,'船长每月数据(2023年)'!$P:$P),0)</f>
        <v>0</v>
      </c>
      <c r="BO47" s="38">
        <f>SUMIFS('船长每月数据(2023年)'!$R:$R,'船长每月数据(2023年)'!$F:$F,$BO$2,'船长每月数据(2023年)'!$E:$E,$C:$C)</f>
        <v>0</v>
      </c>
      <c r="BP47" s="21">
        <f>IFERROR(BO47/SUMIF('船长每月数据(2023年)'!$E:$E,$C:$C,'船长每月数据(2023年)'!$R:$R),0)</f>
        <v>0</v>
      </c>
      <c r="BQ47" s="20">
        <f>SUMIFS('船长每月数据(2023年)'!$P:$P,'船长每月数据(2023年)'!$F:$F,$BQ$2,'船长每月数据(2023年)'!$E:$E,$C:$C)</f>
        <v>0</v>
      </c>
      <c r="BR47" s="21">
        <f>IFERROR(BQ47/SUMIF('船长每月数据(2023年)'!$E:$E,$C:$C,'船长每月数据(2023年)'!$P:$P),0)</f>
        <v>0</v>
      </c>
      <c r="BS47" s="38">
        <f>SUMIFS('船长每月数据(2023年)'!$R:$R,'船长每月数据(2023年)'!$F:$F,$BS$2,'船长每月数据(2023年)'!$E:$E,$C:$C)</f>
        <v>0</v>
      </c>
      <c r="BT47" s="21">
        <f>IFERROR(BS47/SUMIF('船长每月数据(2023年)'!$E:$E,$C:$C,'船长每月数据(2023年)'!$R:$R),0)</f>
        <v>0</v>
      </c>
      <c r="BU47" s="20">
        <f>SUMIFS('船长每月数据(2023年)'!$P:$P,'船长每月数据(2023年)'!$F:$F,$BU$2,'船长每月数据(2023年)'!$E:$E,$C:$C)</f>
        <v>0</v>
      </c>
      <c r="BV47" s="21">
        <f>IFERROR(BU47/SUMIF('船长每月数据(2023年)'!$E:$E,$C:$C,'船长每月数据(2023年)'!$P:$P),0)</f>
        <v>0</v>
      </c>
      <c r="BW47" s="38">
        <f>SUMIFS('船长每月数据(2023年)'!$R:$R,'船长每月数据(2023年)'!$F:$F,$BW$2,'船长每月数据(2023年)'!$E:$E,$C:$C)</f>
        <v>0</v>
      </c>
      <c r="BX47" s="21">
        <f>IFERROR(BW47/SUMIF('船长每月数据(2023年)'!$E:$E,$C:$C,'船长每月数据(2023年)'!$R:$R),0)</f>
        <v>0</v>
      </c>
    </row>
    <row r="48" ht="23" customHeight="1" spans="1:76">
      <c r="A48" s="82"/>
      <c r="B48" s="36"/>
      <c r="C48" s="20"/>
      <c r="D48" s="74"/>
      <c r="E48" s="20">
        <f>SUMIFS('船长每月数据(2022年)'!$P:$P,'船长每月数据(2022年)'!$F:$F,$E$2,'船长每月数据(2022年)'!E:E,C:C)</f>
        <v>0</v>
      </c>
      <c r="F48" s="85">
        <f>SUMIFS('船长每月数据(2022年)'!$R:$R,'船长每月数据(2022年)'!$F:$F,$F$2,'船长每月数据(2022年)'!E:E,C:C)</f>
        <v>0</v>
      </c>
      <c r="G48" s="20">
        <f>SUMIFS('船长每月数据(2022年)'!$P:$P,'船长每月数据(2022年)'!$F:$F,$G$2,'船长每月数据(2022年)'!$E:$E,$C:$C)</f>
        <v>0</v>
      </c>
      <c r="H48" s="85">
        <f>SUMIFS('船长每月数据(2022年)'!$R:$R,'船长每月数据(2022年)'!$F:$F,$H$2,'船长每月数据(2022年)'!$E:$E,$C:$C)</f>
        <v>0</v>
      </c>
      <c r="I48" s="20">
        <f>SUMIFS('船长每月数据(2022年)'!$P:$P,'船长每月数据(2022年)'!$F:$F,$I$2,'船长每月数据(2022年)'!$E:$E,$C:$C)</f>
        <v>0</v>
      </c>
      <c r="J48" s="85">
        <f>SUMIFS('船长每月数据(2022年)'!$R:$R,'船长每月数据(2022年)'!$F:$F,$J$2,'船长每月数据(2022年)'!$E:$E,$C:$C)</f>
        <v>0</v>
      </c>
      <c r="K48" s="20">
        <f>SUMIFS('船长每月数据(2022年)'!$P:$P,'船长每月数据(2022年)'!$F:$F,$K$2,'船长每月数据(2022年)'!$E:$E,$C:$C)</f>
        <v>0</v>
      </c>
      <c r="L48" s="85">
        <f>SUMIFS('船长每月数据(2022年)'!$R:$R,'船长每月数据(2022年)'!$F:$F,$L$2,'船长每月数据(2022年)'!$E:$E,$C:$C)</f>
        <v>0</v>
      </c>
      <c r="M48" s="20">
        <f>SUMIFS('船长每月数据(2022年)'!$P:$P,'船长每月数据(2022年)'!$F:$F,$M$2,'船长每月数据(2022年)'!$E:$E,$C:$C)</f>
        <v>0</v>
      </c>
      <c r="N48" s="85">
        <f>SUMIFS('船长每月数据(2022年)'!$R:$R,'船长每月数据(2022年)'!$F:$F,$N$2,'船长每月数据(2022年)'!$E:$E,$C:$C)</f>
        <v>0</v>
      </c>
      <c r="O48" s="20">
        <f>SUMIFS('船长每月数据(2022年)'!$P:$P,'船长每月数据(2022年)'!$F:$F,$O$2,'船长每月数据(2022年)'!$E:$E,$C:$C)</f>
        <v>0</v>
      </c>
      <c r="P48" s="85">
        <f>SUMIFS('船长每月数据(2022年)'!$R:$R,'船长每月数据(2022年)'!$F:$F,$P$2,'船长每月数据(2022年)'!$E:$E,$C:$C)</f>
        <v>0</v>
      </c>
      <c r="Q48" s="20">
        <f>SUMIFS('船长每月数据(2022年)'!$P:$P,'船长每月数据(2022年)'!$F:$F,$Q$2,'船长每月数据(2022年)'!$E:$E,$C:$C)</f>
        <v>0</v>
      </c>
      <c r="R48" s="85">
        <f>SUMIFS('船长每月数据(2022年)'!$R:$R,'船长每月数据(2022年)'!$F:$F,$R$2,'船长每月数据(2022年)'!$E:$E,$C:$C)</f>
        <v>0</v>
      </c>
      <c r="S48" s="20">
        <f>SUMIFS('船长每月数据(2022年)'!$P:$P,'船长每月数据(2022年)'!$F:$F,$S$2,'船长每月数据(2022年)'!$E:$E,$C:$C)</f>
        <v>0</v>
      </c>
      <c r="T48" s="85">
        <f>SUMIFS('船长每月数据(2022年)'!$R:$R,'船长每月数据(2022年)'!$F:$F,$T$2,'船长每月数据(2022年)'!$E:$E,$C:$C)</f>
        <v>0</v>
      </c>
      <c r="U48" s="20">
        <f>SUMIFS('船长每月数据(2022年)'!$P:$P,'船长每月数据(2022年)'!$F:$F,$U$2,'船长每月数据(2022年)'!$E:$E,$C:$C)</f>
        <v>0</v>
      </c>
      <c r="V48" s="85">
        <f>SUMIFS('船长每月数据(2022年)'!$R:$R,'船长每月数据(2022年)'!$F:$F,$V$2,'船长每月数据(2022年)'!$E:$E,$C:$C)</f>
        <v>0</v>
      </c>
      <c r="W48" s="20">
        <f>SUMIFS('船长每月数据(2022年)'!$P:$P,'船长每月数据(2022年)'!$F:$F,$W$2,'船长每月数据(2022年)'!$E:$E,$C:$C)</f>
        <v>0</v>
      </c>
      <c r="X48" s="85">
        <f>SUMIFS('船长每月数据(2022年)'!$R:$R,'船长每月数据(2022年)'!$F:$F,$X$2,'船长每月数据(2022年)'!$E:$E,$C:$C)</f>
        <v>0</v>
      </c>
      <c r="Y48" s="20">
        <f>SUMIFS('船长每月数据(2022年)'!$P:$P,'船长每月数据(2022年)'!$F:$F,$Y$2,'船长每月数据(2022年)'!$E:$E,$C:$C)</f>
        <v>0</v>
      </c>
      <c r="Z48" s="85">
        <f>SUMIFS('船长每月数据(2022年)'!$R:$R,'船长每月数据(2022年)'!$F:$F,$Z$2,'船长每月数据(2022年)'!$E:$E,$C:$C)</f>
        <v>0</v>
      </c>
      <c r="AA48" s="20">
        <f>SUMIFS('船长每月数据(2022年)'!$P:$P,'船长每月数据(2022年)'!$F:$F,$AA$2,'船长每月数据(2022年)'!$E:$E,$C:$C)</f>
        <v>0</v>
      </c>
      <c r="AB48" s="85">
        <f>SUMIFS('船长每月数据(2022年)'!$R:$R,'船长每月数据(2022年)'!$F:$F,$AB$2,'船长每月数据(2022年)'!$E:$E,$C:$C)</f>
        <v>0</v>
      </c>
      <c r="AC48" s="20">
        <f>SUMIFS('船长每月数据(2023年)'!P:P,'船长每月数据(2023年)'!F:F,$AC$2,'船长每月数据(2023年)'!E:E,C:C)</f>
        <v>0</v>
      </c>
      <c r="AD48" s="21">
        <f>IFERROR(AC48/SUMIF('船长每月数据(2023年)'!$E:$E,C:C,'船长每月数据(2023年)'!P:P),0)</f>
        <v>0</v>
      </c>
      <c r="AE48" s="38">
        <f>SUMIFS('船长每月数据(2023年)'!$R:$R,'船长每月数据(2023年)'!$F:$F,$AE$2,'船长每月数据(2023年)'!$E:$E,$C:$C)</f>
        <v>0</v>
      </c>
      <c r="AF48" s="21">
        <f>IFERROR(AE48/SUMIF('船长每月数据(2023年)'!E:E,C:C,'船长每月数据(2023年)'!R:R),0)</f>
        <v>0</v>
      </c>
      <c r="AG48" s="20">
        <f>SUMIFS('船长每月数据(2023年)'!P:P,'船长每月数据(2023年)'!F:F,$AG$2,'船长每月数据(2023年)'!E:E,C:C)</f>
        <v>0</v>
      </c>
      <c r="AH48" s="21">
        <f>IFERROR(AG48/SUMIF('船长每月数据(2023年)'!$E:$E,$C:$C,'船长每月数据(2023年)'!$P:$P),0)</f>
        <v>0</v>
      </c>
      <c r="AI48" s="38">
        <f>SUMIFS('船长每月数据(2023年)'!$R:$R,'船长每月数据(2023年)'!$F:$F,$AI$2,'船长每月数据(2023年)'!$E:$E,$C:$C)</f>
        <v>0</v>
      </c>
      <c r="AJ48" s="21">
        <f>IFERROR(AI48/SUMIF('船长每月数据(2023年)'!$E:$E,$C:$C,'船长每月数据(2023年)'!$R:$R),0)</f>
        <v>0</v>
      </c>
      <c r="AK48" s="20">
        <f>SUMIFS('船长每月数据(2023年)'!P:P,'船长每月数据(2023年)'!F:F,$AK$2,'船长每月数据(2023年)'!E:E,C:C)</f>
        <v>0</v>
      </c>
      <c r="AL48" s="21">
        <f>IFERROR(AK48/SUMIF('船长每月数据(2023年)'!$E:$E,$C:$C,'船长每月数据(2023年)'!$P:$P),0)</f>
        <v>0</v>
      </c>
      <c r="AM48" s="38">
        <f>SUMIFS('船长每月数据(2023年)'!$R:$R,'船长每月数据(2023年)'!$F:$F,$AM$2,'船长每月数据(2023年)'!$E:$E,$C:$C)</f>
        <v>0</v>
      </c>
      <c r="AN48" s="21">
        <f>IFERROR(AM48/SUMIF('船长每月数据(2023年)'!$E:$E,$C:$C,'船长每月数据(2023年)'!$R:$R),0)</f>
        <v>0</v>
      </c>
      <c r="AO48" s="20">
        <f>SUMIFS('船长每月数据(2023年)'!P:P,'船长每月数据(2023年)'!F:F,$AO$2,'船长每月数据(2023年)'!E:E,C:C)</f>
        <v>0</v>
      </c>
      <c r="AP48" s="21">
        <f>IFERROR(AO48/SUMIF('船长每月数据(2023年)'!$E:$E,$C:$C,'船长每月数据(2023年)'!$P:$P),0)</f>
        <v>0</v>
      </c>
      <c r="AQ48" s="38">
        <f>SUMIFS('船长每月数据(2023年)'!$R:$R,'船长每月数据(2023年)'!$F:$F,$AQ$2,'船长每月数据(2023年)'!$E:$E,$C:$C)</f>
        <v>0</v>
      </c>
      <c r="AR48" s="21">
        <f>IFERROR(AQ48/SUMIF('船长每月数据(2023年)'!$E:$E,$C:$C,'船长每月数据(2023年)'!$R:$R),0)</f>
        <v>0</v>
      </c>
      <c r="AS48" s="20">
        <f>SUMIFS('船长每月数据(2023年)'!$P:$P,'船长每月数据(2023年)'!$F:$F,$AS$2,'船长每月数据(2023年)'!$E:$E,$C:$C)</f>
        <v>0</v>
      </c>
      <c r="AT48" s="21">
        <f>IFERROR(AS48/SUMIF('船长每月数据(2023年)'!$E:$E,$C:$C,'船长每月数据(2023年)'!$P:$P),0)</f>
        <v>0</v>
      </c>
      <c r="AU48" s="38">
        <f>SUMIFS('船长每月数据(2023年)'!$R:$R,'船长每月数据(2023年)'!$F:$F,$AU$2,'船长每月数据(2023年)'!$E:$E,$C:$C)</f>
        <v>0</v>
      </c>
      <c r="AV48" s="21">
        <f>IFERROR(AU48/SUMIF('船长每月数据(2023年)'!$E:$E,$C:$C,'船长每月数据(2023年)'!$R:$R),0)</f>
        <v>0</v>
      </c>
      <c r="AW48" s="20">
        <f>SUMIFS('船长每月数据(2023年)'!$P:$P,'船长每月数据(2023年)'!$F:$F,$AW$2,'船长每月数据(2023年)'!$E:$E,$C:$C)</f>
        <v>0</v>
      </c>
      <c r="AX48" s="21">
        <f>IFERROR(AW48/SUMIF('船长每月数据(2023年)'!$E:$E,$C:$C,'船长每月数据(2023年)'!$P:$P),0)</f>
        <v>0</v>
      </c>
      <c r="AY48" s="38">
        <f>SUMIFS('船长每月数据(2023年)'!$R:$R,'船长每月数据(2023年)'!$F:$F,$AY$2,'船长每月数据(2023年)'!$E:$E,$C:$C)</f>
        <v>0</v>
      </c>
      <c r="AZ48" s="21">
        <f>IFERROR(AY48/SUMIF('船长每月数据(2023年)'!$E:$E,$C:$C,'船长每月数据(2023年)'!$R:$R),0)</f>
        <v>0</v>
      </c>
      <c r="BA48" s="20">
        <f>SUMIFS('船长每月数据(2023年)'!$P:$P,'船长每月数据(2023年)'!$F:$F,$BA$2,'船长每月数据(2023年)'!$E:$E,$C:$C)</f>
        <v>0</v>
      </c>
      <c r="BB48" s="21">
        <f>IFERROR(BA48/SUMIF('船长每月数据(2023年)'!$E:$E,$C:$C,'船长每月数据(2023年)'!$P:$P),0)</f>
        <v>0</v>
      </c>
      <c r="BC48" s="38">
        <f>SUMIFS('船长每月数据(2023年)'!$R:$R,'船长每月数据(2023年)'!$F:$F,$BC$2,'船长每月数据(2023年)'!$E:$E,$C:$C)</f>
        <v>0</v>
      </c>
      <c r="BD48" s="21">
        <f>IFERROR(BC48/SUMIF('船长每月数据(2023年)'!$E:$E,$C:$C,'船长每月数据(2023年)'!$R:$R),0)</f>
        <v>0</v>
      </c>
      <c r="BE48" s="20">
        <f>SUMIFS('船长每月数据(2023年)'!$P:$P,'船长每月数据(2023年)'!$F:$F,$BE$2,'船长每月数据(2023年)'!$E:$E,$C:$C)</f>
        <v>0</v>
      </c>
      <c r="BF48" s="21">
        <f>IFERROR(BE48/SUMIF('船长每月数据(2023年)'!$E:$E,$C:$C,'船长每月数据(2023年)'!$P:$P),0)</f>
        <v>0</v>
      </c>
      <c r="BG48" s="38">
        <f>SUMIFS('船长每月数据(2023年)'!$R:$R,'船长每月数据(2023年)'!$F:$F,$BG$2,'船长每月数据(2023年)'!$E:$E,$C:$C)</f>
        <v>0</v>
      </c>
      <c r="BH48" s="21">
        <f>IFERROR(BG48/SUMIF('船长每月数据(2023年)'!$E:$E,$C:$C,'船长每月数据(2023年)'!$R:$R),0)</f>
        <v>0</v>
      </c>
      <c r="BI48" s="20">
        <f>SUMIFS('船长每月数据(2023年)'!$P:$P,'船长每月数据(2023年)'!$F:$F,$BI$2,'船长每月数据(2023年)'!$E:$E,$C:$C)</f>
        <v>0</v>
      </c>
      <c r="BJ48" s="21">
        <f>IFERROR(BI48/SUMIF('船长每月数据(2023年)'!$E:$E,$C:$C,'船长每月数据(2023年)'!$P:$P),0)</f>
        <v>0</v>
      </c>
      <c r="BK48" s="38">
        <f>SUMIFS('船长每月数据(2023年)'!$R:$R,'船长每月数据(2023年)'!$F:$F,$BK$2,'船长每月数据(2023年)'!$E:$E,$C:$C)</f>
        <v>0</v>
      </c>
      <c r="BL48" s="21">
        <f>IFERROR(BK48/SUMIF('船长每月数据(2023年)'!$E:$E,$C:$C,'船长每月数据(2023年)'!$R:$R),0)</f>
        <v>0</v>
      </c>
      <c r="BM48" s="20">
        <f>SUMIFS('船长每月数据(2023年)'!$P:$P,'船长每月数据(2023年)'!$F:$F,$BM$2,'船长每月数据(2023年)'!$E:$E,$C:$C)</f>
        <v>0</v>
      </c>
      <c r="BN48" s="21">
        <f>IFERROR(BM48/SUMIF('船长每月数据(2023年)'!$E:$E,$C:$C,'船长每月数据(2023年)'!$P:$P),0)</f>
        <v>0</v>
      </c>
      <c r="BO48" s="38">
        <f>SUMIFS('船长每月数据(2023年)'!$R:$R,'船长每月数据(2023年)'!$F:$F,$BO$2,'船长每月数据(2023年)'!$E:$E,$C:$C)</f>
        <v>0</v>
      </c>
      <c r="BP48" s="21">
        <f>IFERROR(BO48/SUMIF('船长每月数据(2023年)'!$E:$E,$C:$C,'船长每月数据(2023年)'!$R:$R),0)</f>
        <v>0</v>
      </c>
      <c r="BQ48" s="20">
        <f>SUMIFS('船长每月数据(2023年)'!$P:$P,'船长每月数据(2023年)'!$F:$F,$BQ$2,'船长每月数据(2023年)'!$E:$E,$C:$C)</f>
        <v>0</v>
      </c>
      <c r="BR48" s="21">
        <f>IFERROR(BQ48/SUMIF('船长每月数据(2023年)'!$E:$E,$C:$C,'船长每月数据(2023年)'!$P:$P),0)</f>
        <v>0</v>
      </c>
      <c r="BS48" s="38">
        <f>SUMIFS('船长每月数据(2023年)'!$R:$R,'船长每月数据(2023年)'!$F:$F,$BS$2,'船长每月数据(2023年)'!$E:$E,$C:$C)</f>
        <v>0</v>
      </c>
      <c r="BT48" s="21">
        <f>IFERROR(BS48/SUMIF('船长每月数据(2023年)'!$E:$E,$C:$C,'船长每月数据(2023年)'!$R:$R),0)</f>
        <v>0</v>
      </c>
      <c r="BU48" s="20">
        <f>SUMIFS('船长每月数据(2023年)'!$P:$P,'船长每月数据(2023年)'!$F:$F,$BU$2,'船长每月数据(2023年)'!$E:$E,$C:$C)</f>
        <v>0</v>
      </c>
      <c r="BV48" s="21">
        <f>IFERROR(BU48/SUMIF('船长每月数据(2023年)'!$E:$E,$C:$C,'船长每月数据(2023年)'!$P:$P),0)</f>
        <v>0</v>
      </c>
      <c r="BW48" s="38">
        <f>SUMIFS('船长每月数据(2023年)'!$R:$R,'船长每月数据(2023年)'!$F:$F,$BW$2,'船长每月数据(2023年)'!$E:$E,$C:$C)</f>
        <v>0</v>
      </c>
      <c r="BX48" s="21">
        <f>IFERROR(BW48/SUMIF('船长每月数据(2023年)'!$E:$E,$C:$C,'船长每月数据(2023年)'!$R:$R),0)</f>
        <v>0</v>
      </c>
    </row>
    <row r="49" ht="23" customHeight="1" spans="1:76">
      <c r="A49" s="82"/>
      <c r="B49" s="82"/>
      <c r="C49" s="20"/>
      <c r="D49" s="74"/>
      <c r="E49" s="20">
        <f>SUMIFS('船长每月数据(2022年)'!$P:$P,'船长每月数据(2022年)'!$F:$F,$E$2,'船长每月数据(2022年)'!E:E,C:C)</f>
        <v>0</v>
      </c>
      <c r="F49" s="85">
        <f>SUMIFS('船长每月数据(2022年)'!$R:$R,'船长每月数据(2022年)'!$F:$F,$F$2,'船长每月数据(2022年)'!E:E,C:C)</f>
        <v>0</v>
      </c>
      <c r="G49" s="20">
        <f>SUMIFS('船长每月数据(2022年)'!$P:$P,'船长每月数据(2022年)'!$F:$F,$G$2,'船长每月数据(2022年)'!$E:$E,$C:$C)</f>
        <v>0</v>
      </c>
      <c r="H49" s="85">
        <f>SUMIFS('船长每月数据(2022年)'!$R:$R,'船长每月数据(2022年)'!$F:$F,$H$2,'船长每月数据(2022年)'!$E:$E,$C:$C)</f>
        <v>0</v>
      </c>
      <c r="I49" s="20">
        <f>SUMIFS('船长每月数据(2022年)'!$P:$P,'船长每月数据(2022年)'!$F:$F,$I$2,'船长每月数据(2022年)'!$E:$E,$C:$C)</f>
        <v>0</v>
      </c>
      <c r="J49" s="85">
        <f>SUMIFS('船长每月数据(2022年)'!$R:$R,'船长每月数据(2022年)'!$F:$F,$J$2,'船长每月数据(2022年)'!$E:$E,$C:$C)</f>
        <v>0</v>
      </c>
      <c r="K49" s="20">
        <f>SUMIFS('船长每月数据(2022年)'!$P:$P,'船长每月数据(2022年)'!$F:$F,$K$2,'船长每月数据(2022年)'!$E:$E,$C:$C)</f>
        <v>0</v>
      </c>
      <c r="L49" s="85">
        <f>SUMIFS('船长每月数据(2022年)'!$R:$R,'船长每月数据(2022年)'!$F:$F,$L$2,'船长每月数据(2022年)'!$E:$E,$C:$C)</f>
        <v>0</v>
      </c>
      <c r="M49" s="20">
        <f>SUMIFS('船长每月数据(2022年)'!$P:$P,'船长每月数据(2022年)'!$F:$F,$M$2,'船长每月数据(2022年)'!$E:$E,$C:$C)</f>
        <v>0</v>
      </c>
      <c r="N49" s="85">
        <f>SUMIFS('船长每月数据(2022年)'!$R:$R,'船长每月数据(2022年)'!$F:$F,$N$2,'船长每月数据(2022年)'!$E:$E,$C:$C)</f>
        <v>0</v>
      </c>
      <c r="O49" s="20">
        <f>SUMIFS('船长每月数据(2022年)'!$P:$P,'船长每月数据(2022年)'!$F:$F,$O$2,'船长每月数据(2022年)'!$E:$E,$C:$C)</f>
        <v>0</v>
      </c>
      <c r="P49" s="85">
        <f>SUMIFS('船长每月数据(2022年)'!$R:$R,'船长每月数据(2022年)'!$F:$F,$P$2,'船长每月数据(2022年)'!$E:$E,$C:$C)</f>
        <v>0</v>
      </c>
      <c r="Q49" s="20">
        <f>SUMIFS('船长每月数据(2022年)'!$P:$P,'船长每月数据(2022年)'!$F:$F,$Q$2,'船长每月数据(2022年)'!$E:$E,$C:$C)</f>
        <v>0</v>
      </c>
      <c r="R49" s="85">
        <f>SUMIFS('船长每月数据(2022年)'!$R:$R,'船长每月数据(2022年)'!$F:$F,$R$2,'船长每月数据(2022年)'!$E:$E,$C:$C)</f>
        <v>0</v>
      </c>
      <c r="S49" s="20">
        <f>SUMIFS('船长每月数据(2022年)'!$P:$P,'船长每月数据(2022年)'!$F:$F,$S$2,'船长每月数据(2022年)'!$E:$E,$C:$C)</f>
        <v>0</v>
      </c>
      <c r="T49" s="85">
        <f>SUMIFS('船长每月数据(2022年)'!$R:$R,'船长每月数据(2022年)'!$F:$F,$T$2,'船长每月数据(2022年)'!$E:$E,$C:$C)</f>
        <v>0</v>
      </c>
      <c r="U49" s="20">
        <f>SUMIFS('船长每月数据(2022年)'!$P:$P,'船长每月数据(2022年)'!$F:$F,$U$2,'船长每月数据(2022年)'!$E:$E,$C:$C)</f>
        <v>0</v>
      </c>
      <c r="V49" s="85">
        <f>SUMIFS('船长每月数据(2022年)'!$R:$R,'船长每月数据(2022年)'!$F:$F,$V$2,'船长每月数据(2022年)'!$E:$E,$C:$C)</f>
        <v>0</v>
      </c>
      <c r="W49" s="20">
        <f>SUMIFS('船长每月数据(2022年)'!$P:$P,'船长每月数据(2022年)'!$F:$F,$W$2,'船长每月数据(2022年)'!$E:$E,$C:$C)</f>
        <v>0</v>
      </c>
      <c r="X49" s="85">
        <f>SUMIFS('船长每月数据(2022年)'!$R:$R,'船长每月数据(2022年)'!$F:$F,$X$2,'船长每月数据(2022年)'!$E:$E,$C:$C)</f>
        <v>0</v>
      </c>
      <c r="Y49" s="20">
        <f>SUMIFS('船长每月数据(2022年)'!$P:$P,'船长每月数据(2022年)'!$F:$F,$Y$2,'船长每月数据(2022年)'!$E:$E,$C:$C)</f>
        <v>0</v>
      </c>
      <c r="Z49" s="85">
        <f>SUMIFS('船长每月数据(2022年)'!$R:$R,'船长每月数据(2022年)'!$F:$F,$Z$2,'船长每月数据(2022年)'!$E:$E,$C:$C)</f>
        <v>0</v>
      </c>
      <c r="AA49" s="20">
        <f>SUMIFS('船长每月数据(2022年)'!$P:$P,'船长每月数据(2022年)'!$F:$F,$AA$2,'船长每月数据(2022年)'!$E:$E,$C:$C)</f>
        <v>0</v>
      </c>
      <c r="AB49" s="85">
        <f>SUMIFS('船长每月数据(2022年)'!$R:$R,'船长每月数据(2022年)'!$F:$F,$AB$2,'船长每月数据(2022年)'!$E:$E,$C:$C)</f>
        <v>0</v>
      </c>
      <c r="AC49" s="20">
        <f>SUMIFS('船长每月数据(2023年)'!P:P,'船长每月数据(2023年)'!F:F,$AC$2,'船长每月数据(2023年)'!E:E,C:C)</f>
        <v>0</v>
      </c>
      <c r="AD49" s="21">
        <f>IFERROR(AC49/SUMIF('船长每月数据(2023年)'!$E:$E,C:C,'船长每月数据(2023年)'!P:P),0)</f>
        <v>0</v>
      </c>
      <c r="AE49" s="38">
        <f>SUMIFS('船长每月数据(2023年)'!$R:$R,'船长每月数据(2023年)'!$F:$F,$AE$2,'船长每月数据(2023年)'!$E:$E,$C:$C)</f>
        <v>0</v>
      </c>
      <c r="AF49" s="21">
        <f>IFERROR(AE49/SUMIF('船长每月数据(2023年)'!E:E,C:C,'船长每月数据(2023年)'!R:R),0)</f>
        <v>0</v>
      </c>
      <c r="AG49" s="20">
        <f>SUMIFS('船长每月数据(2023年)'!P:P,'船长每月数据(2023年)'!F:F,$AG$2,'船长每月数据(2023年)'!E:E,C:C)</f>
        <v>0</v>
      </c>
      <c r="AH49" s="21">
        <f>IFERROR(AG49/SUMIF('船长每月数据(2023年)'!$E:$E,$C:$C,'船长每月数据(2023年)'!$P:$P),0)</f>
        <v>0</v>
      </c>
      <c r="AI49" s="38">
        <f>SUMIFS('船长每月数据(2023年)'!$R:$R,'船长每月数据(2023年)'!$F:$F,$AI$2,'船长每月数据(2023年)'!$E:$E,$C:$C)</f>
        <v>0</v>
      </c>
      <c r="AJ49" s="21">
        <f>IFERROR(AI49/SUMIF('船长每月数据(2023年)'!$E:$E,$C:$C,'船长每月数据(2023年)'!$R:$R),0)</f>
        <v>0</v>
      </c>
      <c r="AK49" s="20">
        <f>SUMIFS('船长每月数据(2023年)'!P:P,'船长每月数据(2023年)'!F:F,$AK$2,'船长每月数据(2023年)'!E:E,C:C)</f>
        <v>0</v>
      </c>
      <c r="AL49" s="21">
        <f>IFERROR(AK49/SUMIF('船长每月数据(2023年)'!$E:$E,$C:$C,'船长每月数据(2023年)'!$P:$P),0)</f>
        <v>0</v>
      </c>
      <c r="AM49" s="38">
        <f>SUMIFS('船长每月数据(2023年)'!$R:$R,'船长每月数据(2023年)'!$F:$F,$AM$2,'船长每月数据(2023年)'!$E:$E,$C:$C)</f>
        <v>0</v>
      </c>
      <c r="AN49" s="21">
        <f>IFERROR(AM49/SUMIF('船长每月数据(2023年)'!$E:$E,$C:$C,'船长每月数据(2023年)'!$R:$R),0)</f>
        <v>0</v>
      </c>
      <c r="AO49" s="20">
        <f>SUMIFS('船长每月数据(2023年)'!P:P,'船长每月数据(2023年)'!F:F,$AO$2,'船长每月数据(2023年)'!E:E,C:C)</f>
        <v>0</v>
      </c>
      <c r="AP49" s="21">
        <f>IFERROR(AO49/SUMIF('船长每月数据(2023年)'!$E:$E,$C:$C,'船长每月数据(2023年)'!$P:$P),0)</f>
        <v>0</v>
      </c>
      <c r="AQ49" s="38">
        <f>SUMIFS('船长每月数据(2023年)'!$R:$R,'船长每月数据(2023年)'!$F:$F,$AQ$2,'船长每月数据(2023年)'!$E:$E,$C:$C)</f>
        <v>0</v>
      </c>
      <c r="AR49" s="21">
        <f>IFERROR(AQ49/SUMIF('船长每月数据(2023年)'!$E:$E,$C:$C,'船长每月数据(2023年)'!$R:$R),0)</f>
        <v>0</v>
      </c>
      <c r="AS49" s="20">
        <f>SUMIFS('船长每月数据(2023年)'!$P:$P,'船长每月数据(2023年)'!$F:$F,$AS$2,'船长每月数据(2023年)'!$E:$E,$C:$C)</f>
        <v>0</v>
      </c>
      <c r="AT49" s="21">
        <f>IFERROR(AS49/SUMIF('船长每月数据(2023年)'!$E:$E,$C:$C,'船长每月数据(2023年)'!$P:$P),0)</f>
        <v>0</v>
      </c>
      <c r="AU49" s="38">
        <f>SUMIFS('船长每月数据(2023年)'!$R:$R,'船长每月数据(2023年)'!$F:$F,$AU$2,'船长每月数据(2023年)'!$E:$E,$C:$C)</f>
        <v>0</v>
      </c>
      <c r="AV49" s="21">
        <f>IFERROR(AU49/SUMIF('船长每月数据(2023年)'!$E:$E,$C:$C,'船长每月数据(2023年)'!$R:$R),0)</f>
        <v>0</v>
      </c>
      <c r="AW49" s="20">
        <f>SUMIFS('船长每月数据(2023年)'!$P:$P,'船长每月数据(2023年)'!$F:$F,$AW$2,'船长每月数据(2023年)'!$E:$E,$C:$C)</f>
        <v>0</v>
      </c>
      <c r="AX49" s="21">
        <f>IFERROR(AW49/SUMIF('船长每月数据(2023年)'!$E:$E,$C:$C,'船长每月数据(2023年)'!$P:$P),0)</f>
        <v>0</v>
      </c>
      <c r="AY49" s="38">
        <f>SUMIFS('船长每月数据(2023年)'!$R:$R,'船长每月数据(2023年)'!$F:$F,$AY$2,'船长每月数据(2023年)'!$E:$E,$C:$C)</f>
        <v>0</v>
      </c>
      <c r="AZ49" s="21">
        <f>IFERROR(AY49/SUMIF('船长每月数据(2023年)'!$E:$E,$C:$C,'船长每月数据(2023年)'!$R:$R),0)</f>
        <v>0</v>
      </c>
      <c r="BA49" s="20">
        <f>SUMIFS('船长每月数据(2023年)'!$P:$P,'船长每月数据(2023年)'!$F:$F,$BA$2,'船长每月数据(2023年)'!$E:$E,$C:$C)</f>
        <v>0</v>
      </c>
      <c r="BB49" s="21">
        <f>IFERROR(BA49/SUMIF('船长每月数据(2023年)'!$E:$E,$C:$C,'船长每月数据(2023年)'!$P:$P),0)</f>
        <v>0</v>
      </c>
      <c r="BC49" s="38">
        <f>SUMIFS('船长每月数据(2023年)'!$R:$R,'船长每月数据(2023年)'!$F:$F,$BC$2,'船长每月数据(2023年)'!$E:$E,$C:$C)</f>
        <v>0</v>
      </c>
      <c r="BD49" s="21">
        <f>IFERROR(BC49/SUMIF('船长每月数据(2023年)'!$E:$E,$C:$C,'船长每月数据(2023年)'!$R:$R),0)</f>
        <v>0</v>
      </c>
      <c r="BE49" s="20">
        <f>SUMIFS('船长每月数据(2023年)'!$P:$P,'船长每月数据(2023年)'!$F:$F,$BE$2,'船长每月数据(2023年)'!$E:$E,$C:$C)</f>
        <v>0</v>
      </c>
      <c r="BF49" s="21">
        <f>IFERROR(BE49/SUMIF('船长每月数据(2023年)'!$E:$E,$C:$C,'船长每月数据(2023年)'!$P:$P),0)</f>
        <v>0</v>
      </c>
      <c r="BG49" s="38">
        <f>SUMIFS('船长每月数据(2023年)'!$R:$R,'船长每月数据(2023年)'!$F:$F,$BG$2,'船长每月数据(2023年)'!$E:$E,$C:$C)</f>
        <v>0</v>
      </c>
      <c r="BH49" s="21">
        <f>IFERROR(BG49/SUMIF('船长每月数据(2023年)'!$E:$E,$C:$C,'船长每月数据(2023年)'!$R:$R),0)</f>
        <v>0</v>
      </c>
      <c r="BI49" s="20">
        <f>SUMIFS('船长每月数据(2023年)'!$P:$P,'船长每月数据(2023年)'!$F:$F,$BI$2,'船长每月数据(2023年)'!$E:$E,$C:$C)</f>
        <v>0</v>
      </c>
      <c r="BJ49" s="21">
        <f>IFERROR(BI49/SUMIF('船长每月数据(2023年)'!$E:$E,$C:$C,'船长每月数据(2023年)'!$P:$P),0)</f>
        <v>0</v>
      </c>
      <c r="BK49" s="38">
        <f>SUMIFS('船长每月数据(2023年)'!$R:$R,'船长每月数据(2023年)'!$F:$F,$BK$2,'船长每月数据(2023年)'!$E:$E,$C:$C)</f>
        <v>0</v>
      </c>
      <c r="BL49" s="21">
        <f>IFERROR(BK49/SUMIF('船长每月数据(2023年)'!$E:$E,$C:$C,'船长每月数据(2023年)'!$R:$R),0)</f>
        <v>0</v>
      </c>
      <c r="BM49" s="20">
        <f>SUMIFS('船长每月数据(2023年)'!$P:$P,'船长每月数据(2023年)'!$F:$F,$BM$2,'船长每月数据(2023年)'!$E:$E,$C:$C)</f>
        <v>0</v>
      </c>
      <c r="BN49" s="21">
        <f>IFERROR(BM49/SUMIF('船长每月数据(2023年)'!$E:$E,$C:$C,'船长每月数据(2023年)'!$P:$P),0)</f>
        <v>0</v>
      </c>
      <c r="BO49" s="38">
        <f>SUMIFS('船长每月数据(2023年)'!$R:$R,'船长每月数据(2023年)'!$F:$F,$BO$2,'船长每月数据(2023年)'!$E:$E,$C:$C)</f>
        <v>0</v>
      </c>
      <c r="BP49" s="21">
        <f>IFERROR(BO49/SUMIF('船长每月数据(2023年)'!$E:$E,$C:$C,'船长每月数据(2023年)'!$R:$R),0)</f>
        <v>0</v>
      </c>
      <c r="BQ49" s="20">
        <f>SUMIFS('船长每月数据(2023年)'!$P:$P,'船长每月数据(2023年)'!$F:$F,$BQ$2,'船长每月数据(2023年)'!$E:$E,$C:$C)</f>
        <v>0</v>
      </c>
      <c r="BR49" s="21">
        <f>IFERROR(BQ49/SUMIF('船长每月数据(2023年)'!$E:$E,$C:$C,'船长每月数据(2023年)'!$P:$P),0)</f>
        <v>0</v>
      </c>
      <c r="BS49" s="38">
        <f>SUMIFS('船长每月数据(2023年)'!$R:$R,'船长每月数据(2023年)'!$F:$F,$BS$2,'船长每月数据(2023年)'!$E:$E,$C:$C)</f>
        <v>0</v>
      </c>
      <c r="BT49" s="21">
        <f>IFERROR(BS49/SUMIF('船长每月数据(2023年)'!$E:$E,$C:$C,'船长每月数据(2023年)'!$R:$R),0)</f>
        <v>0</v>
      </c>
      <c r="BU49" s="20">
        <f>SUMIFS('船长每月数据(2023年)'!$P:$P,'船长每月数据(2023年)'!$F:$F,$BU$2,'船长每月数据(2023年)'!$E:$E,$C:$C)</f>
        <v>0</v>
      </c>
      <c r="BV49" s="21">
        <f>IFERROR(BU49/SUMIF('船长每月数据(2023年)'!$E:$E,$C:$C,'船长每月数据(2023年)'!$P:$P),0)</f>
        <v>0</v>
      </c>
      <c r="BW49" s="38">
        <f>SUMIFS('船长每月数据(2023年)'!$R:$R,'船长每月数据(2023年)'!$F:$F,$BW$2,'船长每月数据(2023年)'!$E:$E,$C:$C)</f>
        <v>0</v>
      </c>
      <c r="BX49" s="21">
        <f>IFERROR(BW49/SUMIF('船长每月数据(2023年)'!$E:$E,$C:$C,'船长每月数据(2023年)'!$R:$R),0)</f>
        <v>0</v>
      </c>
    </row>
    <row r="50" ht="23" customHeight="1" spans="1:76">
      <c r="A50" s="40"/>
      <c r="B50" s="36"/>
      <c r="C50" s="20"/>
      <c r="D50" s="74"/>
      <c r="E50" s="20">
        <f>SUMIFS('船长每月数据(2022年)'!$P:$P,'船长每月数据(2022年)'!$F:$F,$E$2,'船长每月数据(2022年)'!E:E,C:C)</f>
        <v>0</v>
      </c>
      <c r="F50" s="85">
        <f>SUMIFS('船长每月数据(2022年)'!$R:$R,'船长每月数据(2022年)'!$F:$F,$F$2,'船长每月数据(2022年)'!E:E,C:C)</f>
        <v>0</v>
      </c>
      <c r="G50" s="20">
        <f>SUMIFS('船长每月数据(2022年)'!$P:$P,'船长每月数据(2022年)'!$F:$F,$G$2,'船长每月数据(2022年)'!$E:$E,$C:$C)</f>
        <v>0</v>
      </c>
      <c r="H50" s="85">
        <f>SUMIFS('船长每月数据(2022年)'!$R:$R,'船长每月数据(2022年)'!$F:$F,$H$2,'船长每月数据(2022年)'!$E:$E,$C:$C)</f>
        <v>0</v>
      </c>
      <c r="I50" s="20">
        <f>SUMIFS('船长每月数据(2022年)'!$P:$P,'船长每月数据(2022年)'!$F:$F,$I$2,'船长每月数据(2022年)'!$E:$E,$C:$C)</f>
        <v>0</v>
      </c>
      <c r="J50" s="85">
        <f>SUMIFS('船长每月数据(2022年)'!$R:$R,'船长每月数据(2022年)'!$F:$F,$J$2,'船长每月数据(2022年)'!$E:$E,$C:$C)</f>
        <v>0</v>
      </c>
      <c r="K50" s="20">
        <f>SUMIFS('船长每月数据(2022年)'!$P:$P,'船长每月数据(2022年)'!$F:$F,$K$2,'船长每月数据(2022年)'!$E:$E,$C:$C)</f>
        <v>0</v>
      </c>
      <c r="L50" s="85">
        <f>SUMIFS('船长每月数据(2022年)'!$R:$R,'船长每月数据(2022年)'!$F:$F,$L$2,'船长每月数据(2022年)'!$E:$E,$C:$C)</f>
        <v>0</v>
      </c>
      <c r="M50" s="20">
        <f>SUMIFS('船长每月数据(2022年)'!$P:$P,'船长每月数据(2022年)'!$F:$F,$M$2,'船长每月数据(2022年)'!$E:$E,$C:$C)</f>
        <v>0</v>
      </c>
      <c r="N50" s="85">
        <f>SUMIFS('船长每月数据(2022年)'!$R:$R,'船长每月数据(2022年)'!$F:$F,$N$2,'船长每月数据(2022年)'!$E:$E,$C:$C)</f>
        <v>0</v>
      </c>
      <c r="O50" s="20">
        <f>SUMIFS('船长每月数据(2022年)'!$P:$P,'船长每月数据(2022年)'!$F:$F,$O$2,'船长每月数据(2022年)'!$E:$E,$C:$C)</f>
        <v>0</v>
      </c>
      <c r="P50" s="85">
        <f>SUMIFS('船长每月数据(2022年)'!$R:$R,'船长每月数据(2022年)'!$F:$F,$P$2,'船长每月数据(2022年)'!$E:$E,$C:$C)</f>
        <v>0</v>
      </c>
      <c r="Q50" s="20">
        <f>SUMIFS('船长每月数据(2022年)'!$P:$P,'船长每月数据(2022年)'!$F:$F,$Q$2,'船长每月数据(2022年)'!$E:$E,$C:$C)</f>
        <v>0</v>
      </c>
      <c r="R50" s="85">
        <f>SUMIFS('船长每月数据(2022年)'!$R:$R,'船长每月数据(2022年)'!$F:$F,$R$2,'船长每月数据(2022年)'!$E:$E,$C:$C)</f>
        <v>0</v>
      </c>
      <c r="S50" s="20">
        <f>SUMIFS('船长每月数据(2022年)'!$P:$P,'船长每月数据(2022年)'!$F:$F,$S$2,'船长每月数据(2022年)'!$E:$E,$C:$C)</f>
        <v>0</v>
      </c>
      <c r="T50" s="85">
        <f>SUMIFS('船长每月数据(2022年)'!$R:$R,'船长每月数据(2022年)'!$F:$F,$T$2,'船长每月数据(2022年)'!$E:$E,$C:$C)</f>
        <v>0</v>
      </c>
      <c r="U50" s="20">
        <f>SUMIFS('船长每月数据(2022年)'!$P:$P,'船长每月数据(2022年)'!$F:$F,$U$2,'船长每月数据(2022年)'!$E:$E,$C:$C)</f>
        <v>0</v>
      </c>
      <c r="V50" s="85">
        <f>SUMIFS('船长每月数据(2022年)'!$R:$R,'船长每月数据(2022年)'!$F:$F,$V$2,'船长每月数据(2022年)'!$E:$E,$C:$C)</f>
        <v>0</v>
      </c>
      <c r="W50" s="20">
        <f>SUMIFS('船长每月数据(2022年)'!$P:$P,'船长每月数据(2022年)'!$F:$F,$W$2,'船长每月数据(2022年)'!$E:$E,$C:$C)</f>
        <v>0</v>
      </c>
      <c r="X50" s="85">
        <f>SUMIFS('船长每月数据(2022年)'!$R:$R,'船长每月数据(2022年)'!$F:$F,$X$2,'船长每月数据(2022年)'!$E:$E,$C:$C)</f>
        <v>0</v>
      </c>
      <c r="Y50" s="20">
        <f>SUMIFS('船长每月数据(2022年)'!$P:$P,'船长每月数据(2022年)'!$F:$F,$Y$2,'船长每月数据(2022年)'!$E:$E,$C:$C)</f>
        <v>0</v>
      </c>
      <c r="Z50" s="85">
        <f>SUMIFS('船长每月数据(2022年)'!$R:$R,'船长每月数据(2022年)'!$F:$F,$Z$2,'船长每月数据(2022年)'!$E:$E,$C:$C)</f>
        <v>0</v>
      </c>
      <c r="AA50" s="20">
        <f>SUMIFS('船长每月数据(2022年)'!$P:$P,'船长每月数据(2022年)'!$F:$F,$AA$2,'船长每月数据(2022年)'!$E:$E,$C:$C)</f>
        <v>0</v>
      </c>
      <c r="AB50" s="85">
        <f>SUMIFS('船长每月数据(2022年)'!$R:$R,'船长每月数据(2022年)'!$F:$F,$AB$2,'船长每月数据(2022年)'!$E:$E,$C:$C)</f>
        <v>0</v>
      </c>
      <c r="AC50" s="20">
        <f>SUMIFS('船长每月数据(2023年)'!P:P,'船长每月数据(2023年)'!F:F,$AC$2,'船长每月数据(2023年)'!E:E,C:C)</f>
        <v>0</v>
      </c>
      <c r="AD50" s="21">
        <f>IFERROR(AC50/SUMIF('船长每月数据(2023年)'!$E:$E,C:C,'船长每月数据(2023年)'!P:P),0)</f>
        <v>0</v>
      </c>
      <c r="AE50" s="38">
        <f>SUMIFS('船长每月数据(2023年)'!$R:$R,'船长每月数据(2023年)'!$F:$F,$AE$2,'船长每月数据(2023年)'!$E:$E,$C:$C)</f>
        <v>0</v>
      </c>
      <c r="AF50" s="21">
        <f>IFERROR(AE50/SUMIF('船长每月数据(2023年)'!E:E,C:C,'船长每月数据(2023年)'!R:R),0)</f>
        <v>0</v>
      </c>
      <c r="AG50" s="20">
        <f>SUMIFS('船长每月数据(2023年)'!P:P,'船长每月数据(2023年)'!F:F,$AG$2,'船长每月数据(2023年)'!E:E,C:C)</f>
        <v>0</v>
      </c>
      <c r="AH50" s="21">
        <f>IFERROR(AG50/SUMIF('船长每月数据(2023年)'!$E:$E,$C:$C,'船长每月数据(2023年)'!$P:$P),0)</f>
        <v>0</v>
      </c>
      <c r="AI50" s="38">
        <f>SUMIFS('船长每月数据(2023年)'!$R:$R,'船长每月数据(2023年)'!$F:$F,$AI$2,'船长每月数据(2023年)'!$E:$E,$C:$C)</f>
        <v>0</v>
      </c>
      <c r="AJ50" s="21">
        <f>IFERROR(AI50/SUMIF('船长每月数据(2023年)'!$E:$E,$C:$C,'船长每月数据(2023年)'!$R:$R),0)</f>
        <v>0</v>
      </c>
      <c r="AK50" s="20">
        <f>SUMIFS('船长每月数据(2023年)'!P:P,'船长每月数据(2023年)'!F:F,$AK$2,'船长每月数据(2023年)'!E:E,C:C)</f>
        <v>0</v>
      </c>
      <c r="AL50" s="21">
        <f>IFERROR(AK50/SUMIF('船长每月数据(2023年)'!$E:$E,$C:$C,'船长每月数据(2023年)'!$P:$P),0)</f>
        <v>0</v>
      </c>
      <c r="AM50" s="38">
        <f>SUMIFS('船长每月数据(2023年)'!$R:$R,'船长每月数据(2023年)'!$F:$F,$AM$2,'船长每月数据(2023年)'!$E:$E,$C:$C)</f>
        <v>0</v>
      </c>
      <c r="AN50" s="21">
        <f>IFERROR(AM50/SUMIF('船长每月数据(2023年)'!$E:$E,$C:$C,'船长每月数据(2023年)'!$R:$R),0)</f>
        <v>0</v>
      </c>
      <c r="AO50" s="20">
        <f>SUMIFS('船长每月数据(2023年)'!P:P,'船长每月数据(2023年)'!F:F,$AO$2,'船长每月数据(2023年)'!E:E,C:C)</f>
        <v>0</v>
      </c>
      <c r="AP50" s="21">
        <f>IFERROR(AO50/SUMIF('船长每月数据(2023年)'!$E:$E,$C:$C,'船长每月数据(2023年)'!$P:$P),0)</f>
        <v>0</v>
      </c>
      <c r="AQ50" s="38">
        <f>SUMIFS('船长每月数据(2023年)'!$R:$R,'船长每月数据(2023年)'!$F:$F,$AQ$2,'船长每月数据(2023年)'!$E:$E,$C:$C)</f>
        <v>0</v>
      </c>
      <c r="AR50" s="21">
        <f>IFERROR(AQ50/SUMIF('船长每月数据(2023年)'!$E:$E,$C:$C,'船长每月数据(2023年)'!$R:$R),0)</f>
        <v>0</v>
      </c>
      <c r="AS50" s="20">
        <f>SUMIFS('船长每月数据(2023年)'!$P:$P,'船长每月数据(2023年)'!$F:$F,$AS$2,'船长每月数据(2023年)'!$E:$E,$C:$C)</f>
        <v>0</v>
      </c>
      <c r="AT50" s="21">
        <f>IFERROR(AS50/SUMIF('船长每月数据(2023年)'!$E:$E,$C:$C,'船长每月数据(2023年)'!$P:$P),0)</f>
        <v>0</v>
      </c>
      <c r="AU50" s="38">
        <f>SUMIFS('船长每月数据(2023年)'!$R:$R,'船长每月数据(2023年)'!$F:$F,$AU$2,'船长每月数据(2023年)'!$E:$E,$C:$C)</f>
        <v>0</v>
      </c>
      <c r="AV50" s="21">
        <f>IFERROR(AU50/SUMIF('船长每月数据(2023年)'!$E:$E,$C:$C,'船长每月数据(2023年)'!$R:$R),0)</f>
        <v>0</v>
      </c>
      <c r="AW50" s="20">
        <f>SUMIFS('船长每月数据(2023年)'!$P:$P,'船长每月数据(2023年)'!$F:$F,$AW$2,'船长每月数据(2023年)'!$E:$E,$C:$C)</f>
        <v>0</v>
      </c>
      <c r="AX50" s="21">
        <f>IFERROR(AW50/SUMIF('船长每月数据(2023年)'!$E:$E,$C:$C,'船长每月数据(2023年)'!$P:$P),0)</f>
        <v>0</v>
      </c>
      <c r="AY50" s="38">
        <f>SUMIFS('船长每月数据(2023年)'!$R:$R,'船长每月数据(2023年)'!$F:$F,$AY$2,'船长每月数据(2023年)'!$E:$E,$C:$C)</f>
        <v>0</v>
      </c>
      <c r="AZ50" s="21">
        <f>IFERROR(AY50/SUMIF('船长每月数据(2023年)'!$E:$E,$C:$C,'船长每月数据(2023年)'!$R:$R),0)</f>
        <v>0</v>
      </c>
      <c r="BA50" s="20">
        <f>SUMIFS('船长每月数据(2023年)'!$P:$P,'船长每月数据(2023年)'!$F:$F,$BA$2,'船长每月数据(2023年)'!$E:$E,$C:$C)</f>
        <v>0</v>
      </c>
      <c r="BB50" s="21">
        <f>IFERROR(BA50/SUMIF('船长每月数据(2023年)'!$E:$E,$C:$C,'船长每月数据(2023年)'!$P:$P),0)</f>
        <v>0</v>
      </c>
      <c r="BC50" s="38">
        <f>SUMIFS('船长每月数据(2023年)'!$R:$R,'船长每月数据(2023年)'!$F:$F,$BC$2,'船长每月数据(2023年)'!$E:$E,$C:$C)</f>
        <v>0</v>
      </c>
      <c r="BD50" s="21">
        <f>IFERROR(BC50/SUMIF('船长每月数据(2023年)'!$E:$E,$C:$C,'船长每月数据(2023年)'!$R:$R),0)</f>
        <v>0</v>
      </c>
      <c r="BE50" s="20">
        <f>SUMIFS('船长每月数据(2023年)'!$P:$P,'船长每月数据(2023年)'!$F:$F,$BE$2,'船长每月数据(2023年)'!$E:$E,$C:$C)</f>
        <v>0</v>
      </c>
      <c r="BF50" s="21">
        <f>IFERROR(BE50/SUMIF('船长每月数据(2023年)'!$E:$E,$C:$C,'船长每月数据(2023年)'!$P:$P),0)</f>
        <v>0</v>
      </c>
      <c r="BG50" s="38">
        <f>SUMIFS('船长每月数据(2023年)'!$R:$R,'船长每月数据(2023年)'!$F:$F,$BG$2,'船长每月数据(2023年)'!$E:$E,$C:$C)</f>
        <v>0</v>
      </c>
      <c r="BH50" s="21">
        <f>IFERROR(BG50/SUMIF('船长每月数据(2023年)'!$E:$E,$C:$C,'船长每月数据(2023年)'!$R:$R),0)</f>
        <v>0</v>
      </c>
      <c r="BI50" s="20">
        <f>SUMIFS('船长每月数据(2023年)'!$P:$P,'船长每月数据(2023年)'!$F:$F,$BI$2,'船长每月数据(2023年)'!$E:$E,$C:$C)</f>
        <v>0</v>
      </c>
      <c r="BJ50" s="21">
        <f>IFERROR(BI50/SUMIF('船长每月数据(2023年)'!$E:$E,$C:$C,'船长每月数据(2023年)'!$P:$P),0)</f>
        <v>0</v>
      </c>
      <c r="BK50" s="38">
        <f>SUMIFS('船长每月数据(2023年)'!$R:$R,'船长每月数据(2023年)'!$F:$F,$BK$2,'船长每月数据(2023年)'!$E:$E,$C:$C)</f>
        <v>0</v>
      </c>
      <c r="BL50" s="21">
        <f>IFERROR(BK50/SUMIF('船长每月数据(2023年)'!$E:$E,$C:$C,'船长每月数据(2023年)'!$R:$R),0)</f>
        <v>0</v>
      </c>
      <c r="BM50" s="20">
        <f>SUMIFS('船长每月数据(2023年)'!$P:$P,'船长每月数据(2023年)'!$F:$F,$BM$2,'船长每月数据(2023年)'!$E:$E,$C:$C)</f>
        <v>0</v>
      </c>
      <c r="BN50" s="21">
        <f>IFERROR(BM50/SUMIF('船长每月数据(2023年)'!$E:$E,$C:$C,'船长每月数据(2023年)'!$P:$P),0)</f>
        <v>0</v>
      </c>
      <c r="BO50" s="38">
        <f>SUMIFS('船长每月数据(2023年)'!$R:$R,'船长每月数据(2023年)'!$F:$F,$BO$2,'船长每月数据(2023年)'!$E:$E,$C:$C)</f>
        <v>0</v>
      </c>
      <c r="BP50" s="21">
        <f>IFERROR(BO50/SUMIF('船长每月数据(2023年)'!$E:$E,$C:$C,'船长每月数据(2023年)'!$R:$R),0)</f>
        <v>0</v>
      </c>
      <c r="BQ50" s="20">
        <f>SUMIFS('船长每月数据(2023年)'!$P:$P,'船长每月数据(2023年)'!$F:$F,$BQ$2,'船长每月数据(2023年)'!$E:$E,$C:$C)</f>
        <v>0</v>
      </c>
      <c r="BR50" s="21">
        <f>IFERROR(BQ50/SUMIF('船长每月数据(2023年)'!$E:$E,$C:$C,'船长每月数据(2023年)'!$P:$P),0)</f>
        <v>0</v>
      </c>
      <c r="BS50" s="38">
        <f>SUMIFS('船长每月数据(2023年)'!$R:$R,'船长每月数据(2023年)'!$F:$F,$BS$2,'船长每月数据(2023年)'!$E:$E,$C:$C)</f>
        <v>0</v>
      </c>
      <c r="BT50" s="21">
        <f>IFERROR(BS50/SUMIF('船长每月数据(2023年)'!$E:$E,$C:$C,'船长每月数据(2023年)'!$R:$R),0)</f>
        <v>0</v>
      </c>
      <c r="BU50" s="20">
        <f>SUMIFS('船长每月数据(2023年)'!$P:$P,'船长每月数据(2023年)'!$F:$F,$BU$2,'船长每月数据(2023年)'!$E:$E,$C:$C)</f>
        <v>0</v>
      </c>
      <c r="BV50" s="21">
        <f>IFERROR(BU50/SUMIF('船长每月数据(2023年)'!$E:$E,$C:$C,'船长每月数据(2023年)'!$P:$P),0)</f>
        <v>0</v>
      </c>
      <c r="BW50" s="38">
        <f>SUMIFS('船长每月数据(2023年)'!$R:$R,'船长每月数据(2023年)'!$F:$F,$BW$2,'船长每月数据(2023年)'!$E:$E,$C:$C)</f>
        <v>0</v>
      </c>
      <c r="BX50" s="21">
        <f>IFERROR(BW50/SUMIF('船长每月数据(2023年)'!$E:$E,$C:$C,'船长每月数据(2023年)'!$R:$R),0)</f>
        <v>0</v>
      </c>
    </row>
    <row r="51" ht="23" customHeight="1" spans="1:76">
      <c r="A51" s="40"/>
      <c r="B51" s="36"/>
      <c r="C51" s="20"/>
      <c r="D51" s="74"/>
      <c r="E51" s="20">
        <f>SUMIFS('船长每月数据(2022年)'!$P:$P,'船长每月数据(2022年)'!$F:$F,$E$2,'船长每月数据(2022年)'!E:E,C:C)</f>
        <v>0</v>
      </c>
      <c r="F51" s="85">
        <f>SUMIFS('船长每月数据(2022年)'!$R:$R,'船长每月数据(2022年)'!$F:$F,$F$2,'船长每月数据(2022年)'!E:E,C:C)</f>
        <v>0</v>
      </c>
      <c r="G51" s="20">
        <f>SUMIFS('船长每月数据(2022年)'!$P:$P,'船长每月数据(2022年)'!$F:$F,$G$2,'船长每月数据(2022年)'!$E:$E,$C:$C)</f>
        <v>0</v>
      </c>
      <c r="H51" s="85">
        <f>SUMIFS('船长每月数据(2022年)'!$R:$R,'船长每月数据(2022年)'!$F:$F,$H$2,'船长每月数据(2022年)'!$E:$E,$C:$C)</f>
        <v>0</v>
      </c>
      <c r="I51" s="20">
        <f>SUMIFS('船长每月数据(2022年)'!$P:$P,'船长每月数据(2022年)'!$F:$F,$I$2,'船长每月数据(2022年)'!$E:$E,$C:$C)</f>
        <v>0</v>
      </c>
      <c r="J51" s="85">
        <f>SUMIFS('船长每月数据(2022年)'!$R:$R,'船长每月数据(2022年)'!$F:$F,$J$2,'船长每月数据(2022年)'!$E:$E,$C:$C)</f>
        <v>0</v>
      </c>
      <c r="K51" s="20">
        <f>SUMIFS('船长每月数据(2022年)'!$P:$P,'船长每月数据(2022年)'!$F:$F,$K$2,'船长每月数据(2022年)'!$E:$E,$C:$C)</f>
        <v>0</v>
      </c>
      <c r="L51" s="85">
        <f>SUMIFS('船长每月数据(2022年)'!$R:$R,'船长每月数据(2022年)'!$F:$F,$L$2,'船长每月数据(2022年)'!$E:$E,$C:$C)</f>
        <v>0</v>
      </c>
      <c r="M51" s="20">
        <f>SUMIFS('船长每月数据(2022年)'!$P:$P,'船长每月数据(2022年)'!$F:$F,$M$2,'船长每月数据(2022年)'!$E:$E,$C:$C)</f>
        <v>0</v>
      </c>
      <c r="N51" s="85">
        <f>SUMIFS('船长每月数据(2022年)'!$R:$R,'船长每月数据(2022年)'!$F:$F,$N$2,'船长每月数据(2022年)'!$E:$E,$C:$C)</f>
        <v>0</v>
      </c>
      <c r="O51" s="20">
        <f>SUMIFS('船长每月数据(2022年)'!$P:$P,'船长每月数据(2022年)'!$F:$F,$O$2,'船长每月数据(2022年)'!$E:$E,$C:$C)</f>
        <v>0</v>
      </c>
      <c r="P51" s="85">
        <f>SUMIFS('船长每月数据(2022年)'!$R:$R,'船长每月数据(2022年)'!$F:$F,$P$2,'船长每月数据(2022年)'!$E:$E,$C:$C)</f>
        <v>0</v>
      </c>
      <c r="Q51" s="20">
        <f>SUMIFS('船长每月数据(2022年)'!$P:$P,'船长每月数据(2022年)'!$F:$F,$Q$2,'船长每月数据(2022年)'!$E:$E,$C:$C)</f>
        <v>0</v>
      </c>
      <c r="R51" s="85">
        <f>SUMIFS('船长每月数据(2022年)'!$R:$R,'船长每月数据(2022年)'!$F:$F,$R$2,'船长每月数据(2022年)'!$E:$E,$C:$C)</f>
        <v>0</v>
      </c>
      <c r="S51" s="20">
        <f>SUMIFS('船长每月数据(2022年)'!$P:$P,'船长每月数据(2022年)'!$F:$F,$S$2,'船长每月数据(2022年)'!$E:$E,$C:$C)</f>
        <v>0</v>
      </c>
      <c r="T51" s="85">
        <f>SUMIFS('船长每月数据(2022年)'!$R:$R,'船长每月数据(2022年)'!$F:$F,$T$2,'船长每月数据(2022年)'!$E:$E,$C:$C)</f>
        <v>0</v>
      </c>
      <c r="U51" s="20">
        <f>SUMIFS('船长每月数据(2022年)'!$P:$P,'船长每月数据(2022年)'!$F:$F,$U$2,'船长每月数据(2022年)'!$E:$E,$C:$C)</f>
        <v>0</v>
      </c>
      <c r="V51" s="85">
        <f>SUMIFS('船长每月数据(2022年)'!$R:$R,'船长每月数据(2022年)'!$F:$F,$V$2,'船长每月数据(2022年)'!$E:$E,$C:$C)</f>
        <v>0</v>
      </c>
      <c r="W51" s="20">
        <f>SUMIFS('船长每月数据(2022年)'!$P:$P,'船长每月数据(2022年)'!$F:$F,$W$2,'船长每月数据(2022年)'!$E:$E,$C:$C)</f>
        <v>0</v>
      </c>
      <c r="X51" s="85">
        <f>SUMIFS('船长每月数据(2022年)'!$R:$R,'船长每月数据(2022年)'!$F:$F,$X$2,'船长每月数据(2022年)'!$E:$E,$C:$C)</f>
        <v>0</v>
      </c>
      <c r="Y51" s="20">
        <f>SUMIFS('船长每月数据(2022年)'!$P:$P,'船长每月数据(2022年)'!$F:$F,$Y$2,'船长每月数据(2022年)'!$E:$E,$C:$C)</f>
        <v>0</v>
      </c>
      <c r="Z51" s="85">
        <f>SUMIFS('船长每月数据(2022年)'!$R:$R,'船长每月数据(2022年)'!$F:$F,$Z$2,'船长每月数据(2022年)'!$E:$E,$C:$C)</f>
        <v>0</v>
      </c>
      <c r="AA51" s="20">
        <f>SUMIFS('船长每月数据(2022年)'!$P:$P,'船长每月数据(2022年)'!$F:$F,$AA$2,'船长每月数据(2022年)'!$E:$E,$C:$C)</f>
        <v>0</v>
      </c>
      <c r="AB51" s="85">
        <f>SUMIFS('船长每月数据(2022年)'!$R:$R,'船长每月数据(2022年)'!$F:$F,$AB$2,'船长每月数据(2022年)'!$E:$E,$C:$C)</f>
        <v>0</v>
      </c>
      <c r="AC51" s="20">
        <f>SUMIFS('船长每月数据(2023年)'!P:P,'船长每月数据(2023年)'!F:F,$AC$2,'船长每月数据(2023年)'!E:E,C:C)</f>
        <v>0</v>
      </c>
      <c r="AD51" s="21">
        <f>IFERROR(AC51/SUMIF('船长每月数据(2023年)'!$E:$E,C:C,'船长每月数据(2023年)'!P:P),0)</f>
        <v>0</v>
      </c>
      <c r="AE51" s="38">
        <f>SUMIFS('船长每月数据(2023年)'!$R:$R,'船长每月数据(2023年)'!$F:$F,$AE$2,'船长每月数据(2023年)'!$E:$E,$C:$C)</f>
        <v>0</v>
      </c>
      <c r="AF51" s="21">
        <f>IFERROR(AE51/SUMIF('船长每月数据(2023年)'!E:E,C:C,'船长每月数据(2023年)'!R:R),0)</f>
        <v>0</v>
      </c>
      <c r="AG51" s="20">
        <f>SUMIFS('船长每月数据(2023年)'!P:P,'船长每月数据(2023年)'!F:F,$AG$2,'船长每月数据(2023年)'!E:E,C:C)</f>
        <v>0</v>
      </c>
      <c r="AH51" s="21">
        <f>IFERROR(AG51/SUMIF('船长每月数据(2023年)'!$E:$E,$C:$C,'船长每月数据(2023年)'!$P:$P),0)</f>
        <v>0</v>
      </c>
      <c r="AI51" s="38">
        <f>SUMIFS('船长每月数据(2023年)'!$R:$R,'船长每月数据(2023年)'!$F:$F,$AI$2,'船长每月数据(2023年)'!$E:$E,$C:$C)</f>
        <v>0</v>
      </c>
      <c r="AJ51" s="21">
        <f>IFERROR(AI51/SUMIF('船长每月数据(2023年)'!$E:$E,$C:$C,'船长每月数据(2023年)'!$R:$R),0)</f>
        <v>0</v>
      </c>
      <c r="AK51" s="20">
        <f>SUMIFS('船长每月数据(2023年)'!P:P,'船长每月数据(2023年)'!F:F,$AK$2,'船长每月数据(2023年)'!E:E,C:C)</f>
        <v>0</v>
      </c>
      <c r="AL51" s="21">
        <f>IFERROR(AK51/SUMIF('船长每月数据(2023年)'!$E:$E,$C:$C,'船长每月数据(2023年)'!$P:$P),0)</f>
        <v>0</v>
      </c>
      <c r="AM51" s="38">
        <f>SUMIFS('船长每月数据(2023年)'!$R:$R,'船长每月数据(2023年)'!$F:$F,$AM$2,'船长每月数据(2023年)'!$E:$E,$C:$C)</f>
        <v>0</v>
      </c>
      <c r="AN51" s="21">
        <f>IFERROR(AM51/SUMIF('船长每月数据(2023年)'!$E:$E,$C:$C,'船长每月数据(2023年)'!$R:$R),0)</f>
        <v>0</v>
      </c>
      <c r="AO51" s="20">
        <f>SUMIFS('船长每月数据(2023年)'!P:P,'船长每月数据(2023年)'!F:F,$AO$2,'船长每月数据(2023年)'!E:E,C:C)</f>
        <v>0</v>
      </c>
      <c r="AP51" s="21">
        <f>IFERROR(AO51/SUMIF('船长每月数据(2023年)'!$E:$E,$C:$C,'船长每月数据(2023年)'!$P:$P),0)</f>
        <v>0</v>
      </c>
      <c r="AQ51" s="38">
        <f>SUMIFS('船长每月数据(2023年)'!$R:$R,'船长每月数据(2023年)'!$F:$F,$AQ$2,'船长每月数据(2023年)'!$E:$E,$C:$C)</f>
        <v>0</v>
      </c>
      <c r="AR51" s="21">
        <f>IFERROR(AQ51/SUMIF('船长每月数据(2023年)'!$E:$E,$C:$C,'船长每月数据(2023年)'!$R:$R),0)</f>
        <v>0</v>
      </c>
      <c r="AS51" s="20">
        <f>SUMIFS('船长每月数据(2023年)'!$P:$P,'船长每月数据(2023年)'!$F:$F,$AS$2,'船长每月数据(2023年)'!$E:$E,$C:$C)</f>
        <v>0</v>
      </c>
      <c r="AT51" s="21">
        <f>IFERROR(AS51/SUMIF('船长每月数据(2023年)'!$E:$E,$C:$C,'船长每月数据(2023年)'!$P:$P),0)</f>
        <v>0</v>
      </c>
      <c r="AU51" s="38">
        <f>SUMIFS('船长每月数据(2023年)'!$R:$R,'船长每月数据(2023年)'!$F:$F,$AU$2,'船长每月数据(2023年)'!$E:$E,$C:$C)</f>
        <v>0</v>
      </c>
      <c r="AV51" s="21">
        <f>IFERROR(AU51/SUMIF('船长每月数据(2023年)'!$E:$E,$C:$C,'船长每月数据(2023年)'!$R:$R),0)</f>
        <v>0</v>
      </c>
      <c r="AW51" s="20">
        <f>SUMIFS('船长每月数据(2023年)'!$P:$P,'船长每月数据(2023年)'!$F:$F,$AW$2,'船长每月数据(2023年)'!$E:$E,$C:$C)</f>
        <v>0</v>
      </c>
      <c r="AX51" s="21">
        <f>IFERROR(AW51/SUMIF('船长每月数据(2023年)'!$E:$E,$C:$C,'船长每月数据(2023年)'!$P:$P),0)</f>
        <v>0</v>
      </c>
      <c r="AY51" s="38">
        <f>SUMIFS('船长每月数据(2023年)'!$R:$R,'船长每月数据(2023年)'!$F:$F,$AY$2,'船长每月数据(2023年)'!$E:$E,$C:$C)</f>
        <v>0</v>
      </c>
      <c r="AZ51" s="21">
        <f>IFERROR(AY51/SUMIF('船长每月数据(2023年)'!$E:$E,$C:$C,'船长每月数据(2023年)'!$R:$R),0)</f>
        <v>0</v>
      </c>
      <c r="BA51" s="20">
        <f>SUMIFS('船长每月数据(2023年)'!$P:$P,'船长每月数据(2023年)'!$F:$F,$BA$2,'船长每月数据(2023年)'!$E:$E,$C:$C)</f>
        <v>0</v>
      </c>
      <c r="BB51" s="21">
        <f>IFERROR(BA51/SUMIF('船长每月数据(2023年)'!$E:$E,$C:$C,'船长每月数据(2023年)'!$P:$P),0)</f>
        <v>0</v>
      </c>
      <c r="BC51" s="38">
        <f>SUMIFS('船长每月数据(2023年)'!$R:$R,'船长每月数据(2023年)'!$F:$F,$BC$2,'船长每月数据(2023年)'!$E:$E,$C:$C)</f>
        <v>0</v>
      </c>
      <c r="BD51" s="21">
        <f>IFERROR(BC51/SUMIF('船长每月数据(2023年)'!$E:$E,$C:$C,'船长每月数据(2023年)'!$R:$R),0)</f>
        <v>0</v>
      </c>
      <c r="BE51" s="20">
        <f>SUMIFS('船长每月数据(2023年)'!$P:$P,'船长每月数据(2023年)'!$F:$F,$BE$2,'船长每月数据(2023年)'!$E:$E,$C:$C)</f>
        <v>0</v>
      </c>
      <c r="BF51" s="21">
        <f>IFERROR(BE51/SUMIF('船长每月数据(2023年)'!$E:$E,$C:$C,'船长每月数据(2023年)'!$P:$P),0)</f>
        <v>0</v>
      </c>
      <c r="BG51" s="38">
        <f>SUMIFS('船长每月数据(2023年)'!$R:$R,'船长每月数据(2023年)'!$F:$F,$BG$2,'船长每月数据(2023年)'!$E:$E,$C:$C)</f>
        <v>0</v>
      </c>
      <c r="BH51" s="21">
        <f>IFERROR(BG51/SUMIF('船长每月数据(2023年)'!$E:$E,$C:$C,'船长每月数据(2023年)'!$R:$R),0)</f>
        <v>0</v>
      </c>
      <c r="BI51" s="20">
        <f>SUMIFS('船长每月数据(2023年)'!$P:$P,'船长每月数据(2023年)'!$F:$F,$BI$2,'船长每月数据(2023年)'!$E:$E,$C:$C)</f>
        <v>0</v>
      </c>
      <c r="BJ51" s="21">
        <f>IFERROR(BI51/SUMIF('船长每月数据(2023年)'!$E:$E,$C:$C,'船长每月数据(2023年)'!$P:$P),0)</f>
        <v>0</v>
      </c>
      <c r="BK51" s="38">
        <f>SUMIFS('船长每月数据(2023年)'!$R:$R,'船长每月数据(2023年)'!$F:$F,$BK$2,'船长每月数据(2023年)'!$E:$E,$C:$C)</f>
        <v>0</v>
      </c>
      <c r="BL51" s="21">
        <f>IFERROR(BK51/SUMIF('船长每月数据(2023年)'!$E:$E,$C:$C,'船长每月数据(2023年)'!$R:$R),0)</f>
        <v>0</v>
      </c>
      <c r="BM51" s="20">
        <f>SUMIFS('船长每月数据(2023年)'!$P:$P,'船长每月数据(2023年)'!$F:$F,$BM$2,'船长每月数据(2023年)'!$E:$E,$C:$C)</f>
        <v>0</v>
      </c>
      <c r="BN51" s="21">
        <f>IFERROR(BM51/SUMIF('船长每月数据(2023年)'!$E:$E,$C:$C,'船长每月数据(2023年)'!$P:$P),0)</f>
        <v>0</v>
      </c>
      <c r="BO51" s="38">
        <f>SUMIFS('船长每月数据(2023年)'!$R:$R,'船长每月数据(2023年)'!$F:$F,$BO$2,'船长每月数据(2023年)'!$E:$E,$C:$C)</f>
        <v>0</v>
      </c>
      <c r="BP51" s="21">
        <f>IFERROR(BO51/SUMIF('船长每月数据(2023年)'!$E:$E,$C:$C,'船长每月数据(2023年)'!$R:$R),0)</f>
        <v>0</v>
      </c>
      <c r="BQ51" s="20">
        <f>SUMIFS('船长每月数据(2023年)'!$P:$P,'船长每月数据(2023年)'!$F:$F,$BQ$2,'船长每月数据(2023年)'!$E:$E,$C:$C)</f>
        <v>0</v>
      </c>
      <c r="BR51" s="21">
        <f>IFERROR(BQ51/SUMIF('船长每月数据(2023年)'!$E:$E,$C:$C,'船长每月数据(2023年)'!$P:$P),0)</f>
        <v>0</v>
      </c>
      <c r="BS51" s="38">
        <f>SUMIFS('船长每月数据(2023年)'!$R:$R,'船长每月数据(2023年)'!$F:$F,$BS$2,'船长每月数据(2023年)'!$E:$E,$C:$C)</f>
        <v>0</v>
      </c>
      <c r="BT51" s="21">
        <f>IFERROR(BS51/SUMIF('船长每月数据(2023年)'!$E:$E,$C:$C,'船长每月数据(2023年)'!$R:$R),0)</f>
        <v>0</v>
      </c>
      <c r="BU51" s="20">
        <f>SUMIFS('船长每月数据(2023年)'!$P:$P,'船长每月数据(2023年)'!$F:$F,$BU$2,'船长每月数据(2023年)'!$E:$E,$C:$C)</f>
        <v>0</v>
      </c>
      <c r="BV51" s="21">
        <f>IFERROR(BU51/SUMIF('船长每月数据(2023年)'!$E:$E,$C:$C,'船长每月数据(2023年)'!$P:$P),0)</f>
        <v>0</v>
      </c>
      <c r="BW51" s="38">
        <f>SUMIFS('船长每月数据(2023年)'!$R:$R,'船长每月数据(2023年)'!$F:$F,$BW$2,'船长每月数据(2023年)'!$E:$E,$C:$C)</f>
        <v>0</v>
      </c>
      <c r="BX51" s="21">
        <f>IFERROR(BW51/SUMIF('船长每月数据(2023年)'!$E:$E,$C:$C,'船长每月数据(2023年)'!$R:$R),0)</f>
        <v>0</v>
      </c>
    </row>
    <row r="52" ht="23" customHeight="1" spans="1:76">
      <c r="A52" s="82"/>
      <c r="B52" s="36"/>
      <c r="C52" s="20"/>
      <c r="D52" s="74"/>
      <c r="E52" s="20">
        <f>SUMIFS('船长每月数据(2022年)'!$P:$P,'船长每月数据(2022年)'!$F:$F,$E$2,'船长每月数据(2022年)'!E:E,C:C)</f>
        <v>0</v>
      </c>
      <c r="F52" s="85">
        <f>SUMIFS('船长每月数据(2022年)'!$R:$R,'船长每月数据(2022年)'!$F:$F,$F$2,'船长每月数据(2022年)'!E:E,C:C)</f>
        <v>0</v>
      </c>
      <c r="G52" s="20">
        <f>SUMIFS('船长每月数据(2022年)'!$P:$P,'船长每月数据(2022年)'!$F:$F,$G$2,'船长每月数据(2022年)'!$E:$E,$C:$C)</f>
        <v>0</v>
      </c>
      <c r="H52" s="85">
        <f>SUMIFS('船长每月数据(2022年)'!$R:$R,'船长每月数据(2022年)'!$F:$F,$H$2,'船长每月数据(2022年)'!$E:$E,$C:$C)</f>
        <v>0</v>
      </c>
      <c r="I52" s="20">
        <f>SUMIFS('船长每月数据(2022年)'!$P:$P,'船长每月数据(2022年)'!$F:$F,$I$2,'船长每月数据(2022年)'!$E:$E,$C:$C)</f>
        <v>0</v>
      </c>
      <c r="J52" s="85">
        <f>SUMIFS('船长每月数据(2022年)'!$R:$R,'船长每月数据(2022年)'!$F:$F,$J$2,'船长每月数据(2022年)'!$E:$E,$C:$C)</f>
        <v>0</v>
      </c>
      <c r="K52" s="20">
        <f>SUMIFS('船长每月数据(2022年)'!$P:$P,'船长每月数据(2022年)'!$F:$F,$K$2,'船长每月数据(2022年)'!$E:$E,$C:$C)</f>
        <v>0</v>
      </c>
      <c r="L52" s="85">
        <f>SUMIFS('船长每月数据(2022年)'!$R:$R,'船长每月数据(2022年)'!$F:$F,$L$2,'船长每月数据(2022年)'!$E:$E,$C:$C)</f>
        <v>0</v>
      </c>
      <c r="M52" s="20">
        <f>SUMIFS('船长每月数据(2022年)'!$P:$P,'船长每月数据(2022年)'!$F:$F,$M$2,'船长每月数据(2022年)'!$E:$E,$C:$C)</f>
        <v>0</v>
      </c>
      <c r="N52" s="85">
        <f>SUMIFS('船长每月数据(2022年)'!$R:$R,'船长每月数据(2022年)'!$F:$F,$N$2,'船长每月数据(2022年)'!$E:$E,$C:$C)</f>
        <v>0</v>
      </c>
      <c r="O52" s="20">
        <f>SUMIFS('船长每月数据(2022年)'!$P:$P,'船长每月数据(2022年)'!$F:$F,$O$2,'船长每月数据(2022年)'!$E:$E,$C:$C)</f>
        <v>0</v>
      </c>
      <c r="P52" s="85">
        <f>SUMIFS('船长每月数据(2022年)'!$R:$R,'船长每月数据(2022年)'!$F:$F,$P$2,'船长每月数据(2022年)'!$E:$E,$C:$C)</f>
        <v>0</v>
      </c>
      <c r="Q52" s="20">
        <f>SUMIFS('船长每月数据(2022年)'!$P:$P,'船长每月数据(2022年)'!$F:$F,$Q$2,'船长每月数据(2022年)'!$E:$E,$C:$C)</f>
        <v>0</v>
      </c>
      <c r="R52" s="85">
        <f>SUMIFS('船长每月数据(2022年)'!$R:$R,'船长每月数据(2022年)'!$F:$F,$R$2,'船长每月数据(2022年)'!$E:$E,$C:$C)</f>
        <v>0</v>
      </c>
      <c r="S52" s="20">
        <f>SUMIFS('船长每月数据(2022年)'!$P:$P,'船长每月数据(2022年)'!$F:$F,$S$2,'船长每月数据(2022年)'!$E:$E,$C:$C)</f>
        <v>0</v>
      </c>
      <c r="T52" s="85">
        <f>SUMIFS('船长每月数据(2022年)'!$R:$R,'船长每月数据(2022年)'!$F:$F,$T$2,'船长每月数据(2022年)'!$E:$E,$C:$C)</f>
        <v>0</v>
      </c>
      <c r="U52" s="20">
        <f>SUMIFS('船长每月数据(2022年)'!$P:$P,'船长每月数据(2022年)'!$F:$F,$U$2,'船长每月数据(2022年)'!$E:$E,$C:$C)</f>
        <v>0</v>
      </c>
      <c r="V52" s="85">
        <f>SUMIFS('船长每月数据(2022年)'!$R:$R,'船长每月数据(2022年)'!$F:$F,$V$2,'船长每月数据(2022年)'!$E:$E,$C:$C)</f>
        <v>0</v>
      </c>
      <c r="W52" s="20">
        <f>SUMIFS('船长每月数据(2022年)'!$P:$P,'船长每月数据(2022年)'!$F:$F,$W$2,'船长每月数据(2022年)'!$E:$E,$C:$C)</f>
        <v>0</v>
      </c>
      <c r="X52" s="85">
        <f>SUMIFS('船长每月数据(2022年)'!$R:$R,'船长每月数据(2022年)'!$F:$F,$X$2,'船长每月数据(2022年)'!$E:$E,$C:$C)</f>
        <v>0</v>
      </c>
      <c r="Y52" s="20">
        <f>SUMIFS('船长每月数据(2022年)'!$P:$P,'船长每月数据(2022年)'!$F:$F,$Y$2,'船长每月数据(2022年)'!$E:$E,$C:$C)</f>
        <v>0</v>
      </c>
      <c r="Z52" s="85">
        <f>SUMIFS('船长每月数据(2022年)'!$R:$R,'船长每月数据(2022年)'!$F:$F,$Z$2,'船长每月数据(2022年)'!$E:$E,$C:$C)</f>
        <v>0</v>
      </c>
      <c r="AA52" s="20">
        <f>SUMIFS('船长每月数据(2022年)'!$P:$P,'船长每月数据(2022年)'!$F:$F,$AA$2,'船长每月数据(2022年)'!$E:$E,$C:$C)</f>
        <v>0</v>
      </c>
      <c r="AB52" s="85">
        <f>SUMIFS('船长每月数据(2022年)'!$R:$R,'船长每月数据(2022年)'!$F:$F,$AB$2,'船长每月数据(2022年)'!$E:$E,$C:$C)</f>
        <v>0</v>
      </c>
      <c r="AC52" s="20">
        <f>SUMIFS('船长每月数据(2023年)'!P:P,'船长每月数据(2023年)'!F:F,$AC$2,'船长每月数据(2023年)'!E:E,C:C)</f>
        <v>0</v>
      </c>
      <c r="AD52" s="21">
        <f>IFERROR(AC52/SUMIF('船长每月数据(2023年)'!$E:$E,C:C,'船长每月数据(2023年)'!P:P),0)</f>
        <v>0</v>
      </c>
      <c r="AE52" s="38">
        <f>SUMIFS('船长每月数据(2023年)'!$R:$R,'船长每月数据(2023年)'!$F:$F,$AE$2,'船长每月数据(2023年)'!$E:$E,$C:$C)</f>
        <v>0</v>
      </c>
      <c r="AF52" s="21">
        <f>IFERROR(AE52/SUMIF('船长每月数据(2023年)'!E:E,C:C,'船长每月数据(2023年)'!R:R),0)</f>
        <v>0</v>
      </c>
      <c r="AG52" s="20">
        <f>SUMIFS('船长每月数据(2023年)'!P:P,'船长每月数据(2023年)'!F:F,$AG$2,'船长每月数据(2023年)'!E:E,C:C)</f>
        <v>0</v>
      </c>
      <c r="AH52" s="21">
        <f>IFERROR(AG52/SUMIF('船长每月数据(2023年)'!$E:$E,$C:$C,'船长每月数据(2023年)'!$P:$P),0)</f>
        <v>0</v>
      </c>
      <c r="AI52" s="38">
        <f>SUMIFS('船长每月数据(2023年)'!$R:$R,'船长每月数据(2023年)'!$F:$F,$AI$2,'船长每月数据(2023年)'!$E:$E,$C:$C)</f>
        <v>0</v>
      </c>
      <c r="AJ52" s="21">
        <f>IFERROR(AI52/SUMIF('船长每月数据(2023年)'!$E:$E,$C:$C,'船长每月数据(2023年)'!$R:$R),0)</f>
        <v>0</v>
      </c>
      <c r="AK52" s="20">
        <f>SUMIFS('船长每月数据(2023年)'!P:P,'船长每月数据(2023年)'!F:F,$AK$2,'船长每月数据(2023年)'!E:E,C:C)</f>
        <v>0</v>
      </c>
      <c r="AL52" s="21">
        <f>IFERROR(AK52/SUMIF('船长每月数据(2023年)'!$E:$E,$C:$C,'船长每月数据(2023年)'!$P:$P),0)</f>
        <v>0</v>
      </c>
      <c r="AM52" s="38">
        <f>SUMIFS('船长每月数据(2023年)'!$R:$R,'船长每月数据(2023年)'!$F:$F,$AM$2,'船长每月数据(2023年)'!$E:$E,$C:$C)</f>
        <v>0</v>
      </c>
      <c r="AN52" s="21">
        <f>IFERROR(AM52/SUMIF('船长每月数据(2023年)'!$E:$E,$C:$C,'船长每月数据(2023年)'!$R:$R),0)</f>
        <v>0</v>
      </c>
      <c r="AO52" s="20">
        <f>SUMIFS('船长每月数据(2023年)'!P:P,'船长每月数据(2023年)'!F:F,$AO$2,'船长每月数据(2023年)'!E:E,C:C)</f>
        <v>0</v>
      </c>
      <c r="AP52" s="21">
        <f>IFERROR(AO52/SUMIF('船长每月数据(2023年)'!$E:$E,$C:$C,'船长每月数据(2023年)'!$P:$P),0)</f>
        <v>0</v>
      </c>
      <c r="AQ52" s="38">
        <f>SUMIFS('船长每月数据(2023年)'!$R:$R,'船长每月数据(2023年)'!$F:$F,$AQ$2,'船长每月数据(2023年)'!$E:$E,$C:$C)</f>
        <v>0</v>
      </c>
      <c r="AR52" s="21">
        <f>IFERROR(AQ52/SUMIF('船长每月数据(2023年)'!$E:$E,$C:$C,'船长每月数据(2023年)'!$R:$R),0)</f>
        <v>0</v>
      </c>
      <c r="AS52" s="20">
        <f>SUMIFS('船长每月数据(2023年)'!$P:$P,'船长每月数据(2023年)'!$F:$F,$AS$2,'船长每月数据(2023年)'!$E:$E,$C:$C)</f>
        <v>0</v>
      </c>
      <c r="AT52" s="21">
        <f>IFERROR(AS52/SUMIF('船长每月数据(2023年)'!$E:$E,$C:$C,'船长每月数据(2023年)'!$P:$P),0)</f>
        <v>0</v>
      </c>
      <c r="AU52" s="38">
        <f>SUMIFS('船长每月数据(2023年)'!$R:$R,'船长每月数据(2023年)'!$F:$F,$AU$2,'船长每月数据(2023年)'!$E:$E,$C:$C)</f>
        <v>0</v>
      </c>
      <c r="AV52" s="21">
        <f>IFERROR(AU52/SUMIF('船长每月数据(2023年)'!$E:$E,$C:$C,'船长每月数据(2023年)'!$R:$R),0)</f>
        <v>0</v>
      </c>
      <c r="AW52" s="20">
        <f>SUMIFS('船长每月数据(2023年)'!$P:$P,'船长每月数据(2023年)'!$F:$F,$AW$2,'船长每月数据(2023年)'!$E:$E,$C:$C)</f>
        <v>0</v>
      </c>
      <c r="AX52" s="21">
        <f>IFERROR(AW52/SUMIF('船长每月数据(2023年)'!$E:$E,$C:$C,'船长每月数据(2023年)'!$P:$P),0)</f>
        <v>0</v>
      </c>
      <c r="AY52" s="38">
        <f>SUMIFS('船长每月数据(2023年)'!$R:$R,'船长每月数据(2023年)'!$F:$F,$AY$2,'船长每月数据(2023年)'!$E:$E,$C:$C)</f>
        <v>0</v>
      </c>
      <c r="AZ52" s="21">
        <f>IFERROR(AY52/SUMIF('船长每月数据(2023年)'!$E:$E,$C:$C,'船长每月数据(2023年)'!$R:$R),0)</f>
        <v>0</v>
      </c>
      <c r="BA52" s="20">
        <f>SUMIFS('船长每月数据(2023年)'!$P:$P,'船长每月数据(2023年)'!$F:$F,$BA$2,'船长每月数据(2023年)'!$E:$E,$C:$C)</f>
        <v>0</v>
      </c>
      <c r="BB52" s="21">
        <f>IFERROR(BA52/SUMIF('船长每月数据(2023年)'!$E:$E,$C:$C,'船长每月数据(2023年)'!$P:$P),0)</f>
        <v>0</v>
      </c>
      <c r="BC52" s="38">
        <f>SUMIFS('船长每月数据(2023年)'!$R:$R,'船长每月数据(2023年)'!$F:$F,$BC$2,'船长每月数据(2023年)'!$E:$E,$C:$C)</f>
        <v>0</v>
      </c>
      <c r="BD52" s="21">
        <f>IFERROR(BC52/SUMIF('船长每月数据(2023年)'!$E:$E,$C:$C,'船长每月数据(2023年)'!$R:$R),0)</f>
        <v>0</v>
      </c>
      <c r="BE52" s="20">
        <f>SUMIFS('船长每月数据(2023年)'!$P:$P,'船长每月数据(2023年)'!$F:$F,$BE$2,'船长每月数据(2023年)'!$E:$E,$C:$C)</f>
        <v>0</v>
      </c>
      <c r="BF52" s="21">
        <f>IFERROR(BE52/SUMIF('船长每月数据(2023年)'!$E:$E,$C:$C,'船长每月数据(2023年)'!$P:$P),0)</f>
        <v>0</v>
      </c>
      <c r="BG52" s="38">
        <f>SUMIFS('船长每月数据(2023年)'!$R:$R,'船长每月数据(2023年)'!$F:$F,$BG$2,'船长每月数据(2023年)'!$E:$E,$C:$C)</f>
        <v>0</v>
      </c>
      <c r="BH52" s="21">
        <f>IFERROR(BG52/SUMIF('船长每月数据(2023年)'!$E:$E,$C:$C,'船长每月数据(2023年)'!$R:$R),0)</f>
        <v>0</v>
      </c>
      <c r="BI52" s="20">
        <f>SUMIFS('船长每月数据(2023年)'!$P:$P,'船长每月数据(2023年)'!$F:$F,$BI$2,'船长每月数据(2023年)'!$E:$E,$C:$C)</f>
        <v>0</v>
      </c>
      <c r="BJ52" s="21">
        <f>IFERROR(BI52/SUMIF('船长每月数据(2023年)'!$E:$E,$C:$C,'船长每月数据(2023年)'!$P:$P),0)</f>
        <v>0</v>
      </c>
      <c r="BK52" s="38">
        <f>SUMIFS('船长每月数据(2023年)'!$R:$R,'船长每月数据(2023年)'!$F:$F,$BK$2,'船长每月数据(2023年)'!$E:$E,$C:$C)</f>
        <v>0</v>
      </c>
      <c r="BL52" s="21">
        <f>IFERROR(BK52/SUMIF('船长每月数据(2023年)'!$E:$E,$C:$C,'船长每月数据(2023年)'!$R:$R),0)</f>
        <v>0</v>
      </c>
      <c r="BM52" s="20">
        <f>SUMIFS('船长每月数据(2023年)'!$P:$P,'船长每月数据(2023年)'!$F:$F,$BM$2,'船长每月数据(2023年)'!$E:$E,$C:$C)</f>
        <v>0</v>
      </c>
      <c r="BN52" s="21">
        <f>IFERROR(BM52/SUMIF('船长每月数据(2023年)'!$E:$E,$C:$C,'船长每月数据(2023年)'!$P:$P),0)</f>
        <v>0</v>
      </c>
      <c r="BO52" s="38">
        <f>SUMIFS('船长每月数据(2023年)'!$R:$R,'船长每月数据(2023年)'!$F:$F,$BO$2,'船长每月数据(2023年)'!$E:$E,$C:$C)</f>
        <v>0</v>
      </c>
      <c r="BP52" s="21">
        <f>IFERROR(BO52/SUMIF('船长每月数据(2023年)'!$E:$E,$C:$C,'船长每月数据(2023年)'!$R:$R),0)</f>
        <v>0</v>
      </c>
      <c r="BQ52" s="20">
        <f>SUMIFS('船长每月数据(2023年)'!$P:$P,'船长每月数据(2023年)'!$F:$F,$BQ$2,'船长每月数据(2023年)'!$E:$E,$C:$C)</f>
        <v>0</v>
      </c>
      <c r="BR52" s="21">
        <f>IFERROR(BQ52/SUMIF('船长每月数据(2023年)'!$E:$E,$C:$C,'船长每月数据(2023年)'!$P:$P),0)</f>
        <v>0</v>
      </c>
      <c r="BS52" s="38">
        <f>SUMIFS('船长每月数据(2023年)'!$R:$R,'船长每月数据(2023年)'!$F:$F,$BS$2,'船长每月数据(2023年)'!$E:$E,$C:$C)</f>
        <v>0</v>
      </c>
      <c r="BT52" s="21">
        <f>IFERROR(BS52/SUMIF('船长每月数据(2023年)'!$E:$E,$C:$C,'船长每月数据(2023年)'!$R:$R),0)</f>
        <v>0</v>
      </c>
      <c r="BU52" s="20">
        <f>SUMIFS('船长每月数据(2023年)'!$P:$P,'船长每月数据(2023年)'!$F:$F,$BU$2,'船长每月数据(2023年)'!$E:$E,$C:$C)</f>
        <v>0</v>
      </c>
      <c r="BV52" s="21">
        <f>IFERROR(BU52/SUMIF('船长每月数据(2023年)'!$E:$E,$C:$C,'船长每月数据(2023年)'!$P:$P),0)</f>
        <v>0</v>
      </c>
      <c r="BW52" s="38">
        <f>SUMIFS('船长每月数据(2023年)'!$R:$R,'船长每月数据(2023年)'!$F:$F,$BW$2,'船长每月数据(2023年)'!$E:$E,$C:$C)</f>
        <v>0</v>
      </c>
      <c r="BX52" s="21">
        <f>IFERROR(BW52/SUMIF('船长每月数据(2023年)'!$E:$E,$C:$C,'船长每月数据(2023年)'!$R:$R),0)</f>
        <v>0</v>
      </c>
    </row>
    <row r="53" ht="23" customHeight="1" spans="1:76">
      <c r="A53" s="82"/>
      <c r="B53" s="36"/>
      <c r="C53" s="20"/>
      <c r="D53" s="74"/>
      <c r="E53" s="20">
        <f>SUMIFS('船长每月数据(2022年)'!$P:$P,'船长每月数据(2022年)'!$F:$F,$E$2,'船长每月数据(2022年)'!E:E,C:C)</f>
        <v>0</v>
      </c>
      <c r="F53" s="85">
        <f>SUMIFS('船长每月数据(2022年)'!$R:$R,'船长每月数据(2022年)'!$F:$F,$F$2,'船长每月数据(2022年)'!E:E,C:C)</f>
        <v>0</v>
      </c>
      <c r="G53" s="20">
        <f>SUMIFS('船长每月数据(2022年)'!$P:$P,'船长每月数据(2022年)'!$F:$F,$G$2,'船长每月数据(2022年)'!$E:$E,$C:$C)</f>
        <v>0</v>
      </c>
      <c r="H53" s="85">
        <f>SUMIFS('船长每月数据(2022年)'!$R:$R,'船长每月数据(2022年)'!$F:$F,$H$2,'船长每月数据(2022年)'!$E:$E,$C:$C)</f>
        <v>0</v>
      </c>
      <c r="I53" s="20">
        <f>SUMIFS('船长每月数据(2022年)'!$P:$P,'船长每月数据(2022年)'!$F:$F,$I$2,'船长每月数据(2022年)'!$E:$E,$C:$C)</f>
        <v>0</v>
      </c>
      <c r="J53" s="85">
        <f>SUMIFS('船长每月数据(2022年)'!$R:$R,'船长每月数据(2022年)'!$F:$F,$J$2,'船长每月数据(2022年)'!$E:$E,$C:$C)</f>
        <v>0</v>
      </c>
      <c r="K53" s="20">
        <f>SUMIFS('船长每月数据(2022年)'!$P:$P,'船长每月数据(2022年)'!$F:$F,$K$2,'船长每月数据(2022年)'!$E:$E,$C:$C)</f>
        <v>0</v>
      </c>
      <c r="L53" s="85">
        <f>SUMIFS('船长每月数据(2022年)'!$R:$R,'船长每月数据(2022年)'!$F:$F,$L$2,'船长每月数据(2022年)'!$E:$E,$C:$C)</f>
        <v>0</v>
      </c>
      <c r="M53" s="20">
        <f>SUMIFS('船长每月数据(2022年)'!$P:$P,'船长每月数据(2022年)'!$F:$F,$M$2,'船长每月数据(2022年)'!$E:$E,$C:$C)</f>
        <v>0</v>
      </c>
      <c r="N53" s="85">
        <f>SUMIFS('船长每月数据(2022年)'!$R:$R,'船长每月数据(2022年)'!$F:$F,$N$2,'船长每月数据(2022年)'!$E:$E,$C:$C)</f>
        <v>0</v>
      </c>
      <c r="O53" s="20">
        <f>SUMIFS('船长每月数据(2022年)'!$P:$P,'船长每月数据(2022年)'!$F:$F,$O$2,'船长每月数据(2022年)'!$E:$E,$C:$C)</f>
        <v>0</v>
      </c>
      <c r="P53" s="85">
        <f>SUMIFS('船长每月数据(2022年)'!$R:$R,'船长每月数据(2022年)'!$F:$F,$P$2,'船长每月数据(2022年)'!$E:$E,$C:$C)</f>
        <v>0</v>
      </c>
      <c r="Q53" s="20">
        <f>SUMIFS('船长每月数据(2022年)'!$P:$P,'船长每月数据(2022年)'!$F:$F,$Q$2,'船长每月数据(2022年)'!$E:$E,$C:$C)</f>
        <v>0</v>
      </c>
      <c r="R53" s="85">
        <f>SUMIFS('船长每月数据(2022年)'!$R:$R,'船长每月数据(2022年)'!$F:$F,$R$2,'船长每月数据(2022年)'!$E:$E,$C:$C)</f>
        <v>0</v>
      </c>
      <c r="S53" s="20">
        <f>SUMIFS('船长每月数据(2022年)'!$P:$P,'船长每月数据(2022年)'!$F:$F,$S$2,'船长每月数据(2022年)'!$E:$E,$C:$C)</f>
        <v>0</v>
      </c>
      <c r="T53" s="85">
        <f>SUMIFS('船长每月数据(2022年)'!$R:$R,'船长每月数据(2022年)'!$F:$F,$T$2,'船长每月数据(2022年)'!$E:$E,$C:$C)</f>
        <v>0</v>
      </c>
      <c r="U53" s="20">
        <f>SUMIFS('船长每月数据(2022年)'!$P:$P,'船长每月数据(2022年)'!$F:$F,$U$2,'船长每月数据(2022年)'!$E:$E,$C:$C)</f>
        <v>0</v>
      </c>
      <c r="V53" s="85">
        <f>SUMIFS('船长每月数据(2022年)'!$R:$R,'船长每月数据(2022年)'!$F:$F,$V$2,'船长每月数据(2022年)'!$E:$E,$C:$C)</f>
        <v>0</v>
      </c>
      <c r="W53" s="20">
        <f>SUMIFS('船长每月数据(2022年)'!$P:$P,'船长每月数据(2022年)'!$F:$F,$W$2,'船长每月数据(2022年)'!$E:$E,$C:$C)</f>
        <v>0</v>
      </c>
      <c r="X53" s="85">
        <f>SUMIFS('船长每月数据(2022年)'!$R:$R,'船长每月数据(2022年)'!$F:$F,$X$2,'船长每月数据(2022年)'!$E:$E,$C:$C)</f>
        <v>0</v>
      </c>
      <c r="Y53" s="20">
        <f>SUMIFS('船长每月数据(2022年)'!$P:$P,'船长每月数据(2022年)'!$F:$F,$Y$2,'船长每月数据(2022年)'!$E:$E,$C:$C)</f>
        <v>0</v>
      </c>
      <c r="Z53" s="85">
        <f>SUMIFS('船长每月数据(2022年)'!$R:$R,'船长每月数据(2022年)'!$F:$F,$Z$2,'船长每月数据(2022年)'!$E:$E,$C:$C)</f>
        <v>0</v>
      </c>
      <c r="AA53" s="20">
        <f>SUMIFS('船长每月数据(2022年)'!$P:$P,'船长每月数据(2022年)'!$F:$F,$AA$2,'船长每月数据(2022年)'!$E:$E,$C:$C)</f>
        <v>0</v>
      </c>
      <c r="AB53" s="85">
        <f>SUMIFS('船长每月数据(2022年)'!$R:$R,'船长每月数据(2022年)'!$F:$F,$AB$2,'船长每月数据(2022年)'!$E:$E,$C:$C)</f>
        <v>0</v>
      </c>
      <c r="AC53" s="20">
        <f>SUMIFS('船长每月数据(2023年)'!P:P,'船长每月数据(2023年)'!F:F,$AC$2,'船长每月数据(2023年)'!E:E,C:C)</f>
        <v>0</v>
      </c>
      <c r="AD53" s="21">
        <f>IFERROR(AC53/SUMIF('船长每月数据(2023年)'!$E:$E,C:C,'船长每月数据(2023年)'!P:P),0)</f>
        <v>0</v>
      </c>
      <c r="AE53" s="38">
        <f>SUMIFS('船长每月数据(2023年)'!$R:$R,'船长每月数据(2023年)'!$F:$F,$AE$2,'船长每月数据(2023年)'!$E:$E,$C:$C)</f>
        <v>0</v>
      </c>
      <c r="AF53" s="21">
        <f>IFERROR(AE53/SUMIF('船长每月数据(2023年)'!E:E,C:C,'船长每月数据(2023年)'!R:R),0)</f>
        <v>0</v>
      </c>
      <c r="AG53" s="20">
        <f>SUMIFS('船长每月数据(2023年)'!P:P,'船长每月数据(2023年)'!F:F,$AG$2,'船长每月数据(2023年)'!E:E,C:C)</f>
        <v>0</v>
      </c>
      <c r="AH53" s="21">
        <f>IFERROR(AG53/SUMIF('船长每月数据(2023年)'!$E:$E,$C:$C,'船长每月数据(2023年)'!$P:$P),0)</f>
        <v>0</v>
      </c>
      <c r="AI53" s="38">
        <f>SUMIFS('船长每月数据(2023年)'!$R:$R,'船长每月数据(2023年)'!$F:$F,$AI$2,'船长每月数据(2023年)'!$E:$E,$C:$C)</f>
        <v>0</v>
      </c>
      <c r="AJ53" s="21">
        <f>IFERROR(AI53/SUMIF('船长每月数据(2023年)'!$E:$E,$C:$C,'船长每月数据(2023年)'!$R:$R),0)</f>
        <v>0</v>
      </c>
      <c r="AK53" s="20">
        <f>SUMIFS('船长每月数据(2023年)'!P:P,'船长每月数据(2023年)'!F:F,$AK$2,'船长每月数据(2023年)'!E:E,C:C)</f>
        <v>0</v>
      </c>
      <c r="AL53" s="21">
        <f>IFERROR(AK53/SUMIF('船长每月数据(2023年)'!$E:$E,$C:$C,'船长每月数据(2023年)'!$P:$P),0)</f>
        <v>0</v>
      </c>
      <c r="AM53" s="38">
        <f>SUMIFS('船长每月数据(2023年)'!$R:$R,'船长每月数据(2023年)'!$F:$F,$AM$2,'船长每月数据(2023年)'!$E:$E,$C:$C)</f>
        <v>0</v>
      </c>
      <c r="AN53" s="21">
        <f>IFERROR(AM53/SUMIF('船长每月数据(2023年)'!$E:$E,$C:$C,'船长每月数据(2023年)'!$R:$R),0)</f>
        <v>0</v>
      </c>
      <c r="AO53" s="20">
        <f>SUMIFS('船长每月数据(2023年)'!P:P,'船长每月数据(2023年)'!F:F,$AO$2,'船长每月数据(2023年)'!E:E,C:C)</f>
        <v>0</v>
      </c>
      <c r="AP53" s="21">
        <f>IFERROR(AO53/SUMIF('船长每月数据(2023年)'!$E:$E,$C:$C,'船长每月数据(2023年)'!$P:$P),0)</f>
        <v>0</v>
      </c>
      <c r="AQ53" s="38">
        <f>SUMIFS('船长每月数据(2023年)'!$R:$R,'船长每月数据(2023年)'!$F:$F,$AQ$2,'船长每月数据(2023年)'!$E:$E,$C:$C)</f>
        <v>0</v>
      </c>
      <c r="AR53" s="21">
        <f>IFERROR(AQ53/SUMIF('船长每月数据(2023年)'!$E:$E,$C:$C,'船长每月数据(2023年)'!$R:$R),0)</f>
        <v>0</v>
      </c>
      <c r="AS53" s="20">
        <f>SUMIFS('船长每月数据(2023年)'!$P:$P,'船长每月数据(2023年)'!$F:$F,$AS$2,'船长每月数据(2023年)'!$E:$E,$C:$C)</f>
        <v>0</v>
      </c>
      <c r="AT53" s="21">
        <f>IFERROR(AS53/SUMIF('船长每月数据(2023年)'!$E:$E,$C:$C,'船长每月数据(2023年)'!$P:$P),0)</f>
        <v>0</v>
      </c>
      <c r="AU53" s="38">
        <f>SUMIFS('船长每月数据(2023年)'!$R:$R,'船长每月数据(2023年)'!$F:$F,$AU$2,'船长每月数据(2023年)'!$E:$E,$C:$C)</f>
        <v>0</v>
      </c>
      <c r="AV53" s="21">
        <f>IFERROR(AU53/SUMIF('船长每月数据(2023年)'!$E:$E,$C:$C,'船长每月数据(2023年)'!$R:$R),0)</f>
        <v>0</v>
      </c>
      <c r="AW53" s="20">
        <f>SUMIFS('船长每月数据(2023年)'!$P:$P,'船长每月数据(2023年)'!$F:$F,$AW$2,'船长每月数据(2023年)'!$E:$E,$C:$C)</f>
        <v>0</v>
      </c>
      <c r="AX53" s="21">
        <f>IFERROR(AW53/SUMIF('船长每月数据(2023年)'!$E:$E,$C:$C,'船长每月数据(2023年)'!$P:$P),0)</f>
        <v>0</v>
      </c>
      <c r="AY53" s="38">
        <f>SUMIFS('船长每月数据(2023年)'!$R:$R,'船长每月数据(2023年)'!$F:$F,$AY$2,'船长每月数据(2023年)'!$E:$E,$C:$C)</f>
        <v>0</v>
      </c>
      <c r="AZ53" s="21">
        <f>IFERROR(AY53/SUMIF('船长每月数据(2023年)'!$E:$E,$C:$C,'船长每月数据(2023年)'!$R:$R),0)</f>
        <v>0</v>
      </c>
      <c r="BA53" s="20">
        <f>SUMIFS('船长每月数据(2023年)'!$P:$P,'船长每月数据(2023年)'!$F:$F,$BA$2,'船长每月数据(2023年)'!$E:$E,$C:$C)</f>
        <v>0</v>
      </c>
      <c r="BB53" s="21">
        <f>IFERROR(BA53/SUMIF('船长每月数据(2023年)'!$E:$E,$C:$C,'船长每月数据(2023年)'!$P:$P),0)</f>
        <v>0</v>
      </c>
      <c r="BC53" s="38">
        <f>SUMIFS('船长每月数据(2023年)'!$R:$R,'船长每月数据(2023年)'!$F:$F,$BC$2,'船长每月数据(2023年)'!$E:$E,$C:$C)</f>
        <v>0</v>
      </c>
      <c r="BD53" s="21">
        <f>IFERROR(BC53/SUMIF('船长每月数据(2023年)'!$E:$E,$C:$C,'船长每月数据(2023年)'!$R:$R),0)</f>
        <v>0</v>
      </c>
      <c r="BE53" s="20">
        <f>SUMIFS('船长每月数据(2023年)'!$P:$P,'船长每月数据(2023年)'!$F:$F,$BE$2,'船长每月数据(2023年)'!$E:$E,$C:$C)</f>
        <v>0</v>
      </c>
      <c r="BF53" s="21">
        <f>IFERROR(BE53/SUMIF('船长每月数据(2023年)'!$E:$E,$C:$C,'船长每月数据(2023年)'!$P:$P),0)</f>
        <v>0</v>
      </c>
      <c r="BG53" s="38">
        <f>SUMIFS('船长每月数据(2023年)'!$R:$R,'船长每月数据(2023年)'!$F:$F,$BG$2,'船长每月数据(2023年)'!$E:$E,$C:$C)</f>
        <v>0</v>
      </c>
      <c r="BH53" s="21">
        <f>IFERROR(BG53/SUMIF('船长每月数据(2023年)'!$E:$E,$C:$C,'船长每月数据(2023年)'!$R:$R),0)</f>
        <v>0</v>
      </c>
      <c r="BI53" s="20">
        <f>SUMIFS('船长每月数据(2023年)'!$P:$P,'船长每月数据(2023年)'!$F:$F,$BI$2,'船长每月数据(2023年)'!$E:$E,$C:$C)</f>
        <v>0</v>
      </c>
      <c r="BJ53" s="21">
        <f>IFERROR(BI53/SUMIF('船长每月数据(2023年)'!$E:$E,$C:$C,'船长每月数据(2023年)'!$P:$P),0)</f>
        <v>0</v>
      </c>
      <c r="BK53" s="38">
        <f>SUMIFS('船长每月数据(2023年)'!$R:$R,'船长每月数据(2023年)'!$F:$F,$BK$2,'船长每月数据(2023年)'!$E:$E,$C:$C)</f>
        <v>0</v>
      </c>
      <c r="BL53" s="21">
        <f>IFERROR(BK53/SUMIF('船长每月数据(2023年)'!$E:$E,$C:$C,'船长每月数据(2023年)'!$R:$R),0)</f>
        <v>0</v>
      </c>
      <c r="BM53" s="20">
        <f>SUMIFS('船长每月数据(2023年)'!$P:$P,'船长每月数据(2023年)'!$F:$F,$BM$2,'船长每月数据(2023年)'!$E:$E,$C:$C)</f>
        <v>0</v>
      </c>
      <c r="BN53" s="21">
        <f>IFERROR(BM53/SUMIF('船长每月数据(2023年)'!$E:$E,$C:$C,'船长每月数据(2023年)'!$P:$P),0)</f>
        <v>0</v>
      </c>
      <c r="BO53" s="38">
        <f>SUMIFS('船长每月数据(2023年)'!$R:$R,'船长每月数据(2023年)'!$F:$F,$BO$2,'船长每月数据(2023年)'!$E:$E,$C:$C)</f>
        <v>0</v>
      </c>
      <c r="BP53" s="21">
        <f>IFERROR(BO53/SUMIF('船长每月数据(2023年)'!$E:$E,$C:$C,'船长每月数据(2023年)'!$R:$R),0)</f>
        <v>0</v>
      </c>
      <c r="BQ53" s="20">
        <f>SUMIFS('船长每月数据(2023年)'!$P:$P,'船长每月数据(2023年)'!$F:$F,$BQ$2,'船长每月数据(2023年)'!$E:$E,$C:$C)</f>
        <v>0</v>
      </c>
      <c r="BR53" s="21">
        <f>IFERROR(BQ53/SUMIF('船长每月数据(2023年)'!$E:$E,$C:$C,'船长每月数据(2023年)'!$P:$P),0)</f>
        <v>0</v>
      </c>
      <c r="BS53" s="38">
        <f>SUMIFS('船长每月数据(2023年)'!$R:$R,'船长每月数据(2023年)'!$F:$F,$BS$2,'船长每月数据(2023年)'!$E:$E,$C:$C)</f>
        <v>0</v>
      </c>
      <c r="BT53" s="21">
        <f>IFERROR(BS53/SUMIF('船长每月数据(2023年)'!$E:$E,$C:$C,'船长每月数据(2023年)'!$R:$R),0)</f>
        <v>0</v>
      </c>
      <c r="BU53" s="20">
        <f>SUMIFS('船长每月数据(2023年)'!$P:$P,'船长每月数据(2023年)'!$F:$F,$BU$2,'船长每月数据(2023年)'!$E:$E,$C:$C)</f>
        <v>0</v>
      </c>
      <c r="BV53" s="21">
        <f>IFERROR(BU53/SUMIF('船长每月数据(2023年)'!$E:$E,$C:$C,'船长每月数据(2023年)'!$P:$P),0)</f>
        <v>0</v>
      </c>
      <c r="BW53" s="38">
        <f>SUMIFS('船长每月数据(2023年)'!$R:$R,'船长每月数据(2023年)'!$F:$F,$BW$2,'船长每月数据(2023年)'!$E:$E,$C:$C)</f>
        <v>0</v>
      </c>
      <c r="BX53" s="21">
        <f>IFERROR(BW53/SUMIF('船长每月数据(2023年)'!$E:$E,$C:$C,'船长每月数据(2023年)'!$R:$R),0)</f>
        <v>0</v>
      </c>
    </row>
    <row r="54" ht="23" customHeight="1" spans="1:76">
      <c r="A54" s="82"/>
      <c r="B54" s="36"/>
      <c r="C54" s="20"/>
      <c r="D54" s="74"/>
      <c r="E54" s="20">
        <f>SUMIFS('船长每月数据(2022年)'!$P:$P,'船长每月数据(2022年)'!$F:$F,$E$2,'船长每月数据(2022年)'!E:E,C:C)</f>
        <v>0</v>
      </c>
      <c r="F54" s="85">
        <f>SUMIFS('船长每月数据(2022年)'!$R:$R,'船长每月数据(2022年)'!$F:$F,$F$2,'船长每月数据(2022年)'!E:E,C:C)</f>
        <v>0</v>
      </c>
      <c r="G54" s="20">
        <f>SUMIFS('船长每月数据(2022年)'!$P:$P,'船长每月数据(2022年)'!$F:$F,$G$2,'船长每月数据(2022年)'!$E:$E,$C:$C)</f>
        <v>0</v>
      </c>
      <c r="H54" s="85">
        <f>SUMIFS('船长每月数据(2022年)'!$R:$R,'船长每月数据(2022年)'!$F:$F,$H$2,'船长每月数据(2022年)'!$E:$E,$C:$C)</f>
        <v>0</v>
      </c>
      <c r="I54" s="20">
        <f>SUMIFS('船长每月数据(2022年)'!$P:$P,'船长每月数据(2022年)'!$F:$F,$I$2,'船长每月数据(2022年)'!$E:$E,$C:$C)</f>
        <v>0</v>
      </c>
      <c r="J54" s="85">
        <f>SUMIFS('船长每月数据(2022年)'!$R:$R,'船长每月数据(2022年)'!$F:$F,$J$2,'船长每月数据(2022年)'!$E:$E,$C:$C)</f>
        <v>0</v>
      </c>
      <c r="K54" s="20">
        <f>SUMIFS('船长每月数据(2022年)'!$P:$P,'船长每月数据(2022年)'!$F:$F,$K$2,'船长每月数据(2022年)'!$E:$E,$C:$C)</f>
        <v>0</v>
      </c>
      <c r="L54" s="85">
        <f>SUMIFS('船长每月数据(2022年)'!$R:$R,'船长每月数据(2022年)'!$F:$F,$L$2,'船长每月数据(2022年)'!$E:$E,$C:$C)</f>
        <v>0</v>
      </c>
      <c r="M54" s="20">
        <f>SUMIFS('船长每月数据(2022年)'!$P:$P,'船长每月数据(2022年)'!$F:$F,$M$2,'船长每月数据(2022年)'!$E:$E,$C:$C)</f>
        <v>0</v>
      </c>
      <c r="N54" s="85">
        <f>SUMIFS('船长每月数据(2022年)'!$R:$R,'船长每月数据(2022年)'!$F:$F,$N$2,'船长每月数据(2022年)'!$E:$E,$C:$C)</f>
        <v>0</v>
      </c>
      <c r="O54" s="20">
        <f>SUMIFS('船长每月数据(2022年)'!$P:$P,'船长每月数据(2022年)'!$F:$F,$O$2,'船长每月数据(2022年)'!$E:$E,$C:$C)</f>
        <v>0</v>
      </c>
      <c r="P54" s="85">
        <f>SUMIFS('船长每月数据(2022年)'!$R:$R,'船长每月数据(2022年)'!$F:$F,$P$2,'船长每月数据(2022年)'!$E:$E,$C:$C)</f>
        <v>0</v>
      </c>
      <c r="Q54" s="20">
        <f>SUMIFS('船长每月数据(2022年)'!$P:$P,'船长每月数据(2022年)'!$F:$F,$Q$2,'船长每月数据(2022年)'!$E:$E,$C:$C)</f>
        <v>0</v>
      </c>
      <c r="R54" s="85">
        <f>SUMIFS('船长每月数据(2022年)'!$R:$R,'船长每月数据(2022年)'!$F:$F,$R$2,'船长每月数据(2022年)'!$E:$E,$C:$C)</f>
        <v>0</v>
      </c>
      <c r="S54" s="20">
        <f>SUMIFS('船长每月数据(2022年)'!$P:$P,'船长每月数据(2022年)'!$F:$F,$S$2,'船长每月数据(2022年)'!$E:$E,$C:$C)</f>
        <v>0</v>
      </c>
      <c r="T54" s="85">
        <f>SUMIFS('船长每月数据(2022年)'!$R:$R,'船长每月数据(2022年)'!$F:$F,$T$2,'船长每月数据(2022年)'!$E:$E,$C:$C)</f>
        <v>0</v>
      </c>
      <c r="U54" s="20">
        <f>SUMIFS('船长每月数据(2022年)'!$P:$P,'船长每月数据(2022年)'!$F:$F,$U$2,'船长每月数据(2022年)'!$E:$E,$C:$C)</f>
        <v>0</v>
      </c>
      <c r="V54" s="85">
        <f>SUMIFS('船长每月数据(2022年)'!$R:$R,'船长每月数据(2022年)'!$F:$F,$V$2,'船长每月数据(2022年)'!$E:$E,$C:$C)</f>
        <v>0</v>
      </c>
      <c r="W54" s="20">
        <f>SUMIFS('船长每月数据(2022年)'!$P:$P,'船长每月数据(2022年)'!$F:$F,$W$2,'船长每月数据(2022年)'!$E:$E,$C:$C)</f>
        <v>0</v>
      </c>
      <c r="X54" s="85">
        <f>SUMIFS('船长每月数据(2022年)'!$R:$R,'船长每月数据(2022年)'!$F:$F,$X$2,'船长每月数据(2022年)'!$E:$E,$C:$C)</f>
        <v>0</v>
      </c>
      <c r="Y54" s="20">
        <f>SUMIFS('船长每月数据(2022年)'!$P:$P,'船长每月数据(2022年)'!$F:$F,$Y$2,'船长每月数据(2022年)'!$E:$E,$C:$C)</f>
        <v>0</v>
      </c>
      <c r="Z54" s="85">
        <f>SUMIFS('船长每月数据(2022年)'!$R:$R,'船长每月数据(2022年)'!$F:$F,$Z$2,'船长每月数据(2022年)'!$E:$E,$C:$C)</f>
        <v>0</v>
      </c>
      <c r="AA54" s="20">
        <f>SUMIFS('船长每月数据(2022年)'!$P:$P,'船长每月数据(2022年)'!$F:$F,$AA$2,'船长每月数据(2022年)'!$E:$E,$C:$C)</f>
        <v>0</v>
      </c>
      <c r="AB54" s="85">
        <f>SUMIFS('船长每月数据(2022年)'!$R:$R,'船长每月数据(2022年)'!$F:$F,$AB$2,'船长每月数据(2022年)'!$E:$E,$C:$C)</f>
        <v>0</v>
      </c>
      <c r="AC54" s="20">
        <f>SUMIFS('船长每月数据(2023年)'!P:P,'船长每月数据(2023年)'!F:F,$AC$2,'船长每月数据(2023年)'!E:E,C:C)</f>
        <v>0</v>
      </c>
      <c r="AD54" s="21">
        <f>IFERROR(AC54/SUMIF('船长每月数据(2023年)'!$E:$E,C:C,'船长每月数据(2023年)'!P:P),0)</f>
        <v>0</v>
      </c>
      <c r="AE54" s="38">
        <f>SUMIFS('船长每月数据(2023年)'!$R:$R,'船长每月数据(2023年)'!$F:$F,$AE$2,'船长每月数据(2023年)'!$E:$E,$C:$C)</f>
        <v>0</v>
      </c>
      <c r="AF54" s="21">
        <f>IFERROR(AE54/SUMIF('船长每月数据(2023年)'!E:E,C:C,'船长每月数据(2023年)'!R:R),0)</f>
        <v>0</v>
      </c>
      <c r="AG54" s="20">
        <f>SUMIFS('船长每月数据(2023年)'!P:P,'船长每月数据(2023年)'!F:F,$AG$2,'船长每月数据(2023年)'!E:E,C:C)</f>
        <v>0</v>
      </c>
      <c r="AH54" s="21">
        <f>IFERROR(AG54/SUMIF('船长每月数据(2023年)'!$E:$E,$C:$C,'船长每月数据(2023年)'!$P:$P),0)</f>
        <v>0</v>
      </c>
      <c r="AI54" s="38">
        <f>SUMIFS('船长每月数据(2023年)'!$R:$R,'船长每月数据(2023年)'!$F:$F,$AI$2,'船长每月数据(2023年)'!$E:$E,$C:$C)</f>
        <v>0</v>
      </c>
      <c r="AJ54" s="21">
        <f>IFERROR(AI54/SUMIF('船长每月数据(2023年)'!$E:$E,$C:$C,'船长每月数据(2023年)'!$R:$R),0)</f>
        <v>0</v>
      </c>
      <c r="AK54" s="20">
        <f>SUMIFS('船长每月数据(2023年)'!P:P,'船长每月数据(2023年)'!F:F,$AK$2,'船长每月数据(2023年)'!E:E,C:C)</f>
        <v>0</v>
      </c>
      <c r="AL54" s="21">
        <f>IFERROR(AK54/SUMIF('船长每月数据(2023年)'!$E:$E,$C:$C,'船长每月数据(2023年)'!$P:$P),0)</f>
        <v>0</v>
      </c>
      <c r="AM54" s="38">
        <f>SUMIFS('船长每月数据(2023年)'!$R:$R,'船长每月数据(2023年)'!$F:$F,$AM$2,'船长每月数据(2023年)'!$E:$E,$C:$C)</f>
        <v>0</v>
      </c>
      <c r="AN54" s="21">
        <f>IFERROR(AM54/SUMIF('船长每月数据(2023年)'!$E:$E,$C:$C,'船长每月数据(2023年)'!$R:$R),0)</f>
        <v>0</v>
      </c>
      <c r="AO54" s="20">
        <f>SUMIFS('船长每月数据(2023年)'!P:P,'船长每月数据(2023年)'!F:F,$AO$2,'船长每月数据(2023年)'!E:E,C:C)</f>
        <v>0</v>
      </c>
      <c r="AP54" s="21">
        <f>IFERROR(AO54/SUMIF('船长每月数据(2023年)'!$E:$E,$C:$C,'船长每月数据(2023年)'!$P:$P),0)</f>
        <v>0</v>
      </c>
      <c r="AQ54" s="38">
        <f>SUMIFS('船长每月数据(2023年)'!$R:$R,'船长每月数据(2023年)'!$F:$F,$AQ$2,'船长每月数据(2023年)'!$E:$E,$C:$C)</f>
        <v>0</v>
      </c>
      <c r="AR54" s="21">
        <f>IFERROR(AQ54/SUMIF('船长每月数据(2023年)'!$E:$E,$C:$C,'船长每月数据(2023年)'!$R:$R),0)</f>
        <v>0</v>
      </c>
      <c r="AS54" s="20">
        <f>SUMIFS('船长每月数据(2023年)'!$P:$P,'船长每月数据(2023年)'!$F:$F,$AS$2,'船长每月数据(2023年)'!$E:$E,$C:$C)</f>
        <v>0</v>
      </c>
      <c r="AT54" s="21">
        <f>IFERROR(AS54/SUMIF('船长每月数据(2023年)'!$E:$E,$C:$C,'船长每月数据(2023年)'!$P:$P),0)</f>
        <v>0</v>
      </c>
      <c r="AU54" s="38">
        <f>SUMIFS('船长每月数据(2023年)'!$R:$R,'船长每月数据(2023年)'!$F:$F,$AU$2,'船长每月数据(2023年)'!$E:$E,$C:$C)</f>
        <v>0</v>
      </c>
      <c r="AV54" s="21">
        <f>IFERROR(AU54/SUMIF('船长每月数据(2023年)'!$E:$E,$C:$C,'船长每月数据(2023年)'!$R:$R),0)</f>
        <v>0</v>
      </c>
      <c r="AW54" s="20">
        <f>SUMIFS('船长每月数据(2023年)'!$P:$P,'船长每月数据(2023年)'!$F:$F,$AW$2,'船长每月数据(2023年)'!$E:$E,$C:$C)</f>
        <v>0</v>
      </c>
      <c r="AX54" s="21">
        <f>IFERROR(AW54/SUMIF('船长每月数据(2023年)'!$E:$E,$C:$C,'船长每月数据(2023年)'!$P:$P),0)</f>
        <v>0</v>
      </c>
      <c r="AY54" s="38">
        <f>SUMIFS('船长每月数据(2023年)'!$R:$R,'船长每月数据(2023年)'!$F:$F,$AY$2,'船长每月数据(2023年)'!$E:$E,$C:$C)</f>
        <v>0</v>
      </c>
      <c r="AZ54" s="21">
        <f>IFERROR(AY54/SUMIF('船长每月数据(2023年)'!$E:$E,$C:$C,'船长每月数据(2023年)'!$R:$R),0)</f>
        <v>0</v>
      </c>
      <c r="BA54" s="20">
        <f>SUMIFS('船长每月数据(2023年)'!$P:$P,'船长每月数据(2023年)'!$F:$F,$BA$2,'船长每月数据(2023年)'!$E:$E,$C:$C)</f>
        <v>0</v>
      </c>
      <c r="BB54" s="21">
        <f>IFERROR(BA54/SUMIF('船长每月数据(2023年)'!$E:$E,$C:$C,'船长每月数据(2023年)'!$P:$P),0)</f>
        <v>0</v>
      </c>
      <c r="BC54" s="38">
        <f>SUMIFS('船长每月数据(2023年)'!$R:$R,'船长每月数据(2023年)'!$F:$F,$BC$2,'船长每月数据(2023年)'!$E:$E,$C:$C)</f>
        <v>0</v>
      </c>
      <c r="BD54" s="21">
        <f>IFERROR(BC54/SUMIF('船长每月数据(2023年)'!$E:$E,$C:$C,'船长每月数据(2023年)'!$R:$R),0)</f>
        <v>0</v>
      </c>
      <c r="BE54" s="20">
        <f>SUMIFS('船长每月数据(2023年)'!$P:$P,'船长每月数据(2023年)'!$F:$F,$BE$2,'船长每月数据(2023年)'!$E:$E,$C:$C)</f>
        <v>0</v>
      </c>
      <c r="BF54" s="21">
        <f>IFERROR(BE54/SUMIF('船长每月数据(2023年)'!$E:$E,$C:$C,'船长每月数据(2023年)'!$P:$P),0)</f>
        <v>0</v>
      </c>
      <c r="BG54" s="38">
        <f>SUMIFS('船长每月数据(2023年)'!$R:$R,'船长每月数据(2023年)'!$F:$F,$BG$2,'船长每月数据(2023年)'!$E:$E,$C:$C)</f>
        <v>0</v>
      </c>
      <c r="BH54" s="21">
        <f>IFERROR(BG54/SUMIF('船长每月数据(2023年)'!$E:$E,$C:$C,'船长每月数据(2023年)'!$R:$R),0)</f>
        <v>0</v>
      </c>
      <c r="BI54" s="20">
        <f>SUMIFS('船长每月数据(2023年)'!$P:$P,'船长每月数据(2023年)'!$F:$F,$BI$2,'船长每月数据(2023年)'!$E:$E,$C:$C)</f>
        <v>0</v>
      </c>
      <c r="BJ54" s="21">
        <f>IFERROR(BI54/SUMIF('船长每月数据(2023年)'!$E:$E,$C:$C,'船长每月数据(2023年)'!$P:$P),0)</f>
        <v>0</v>
      </c>
      <c r="BK54" s="38">
        <f>SUMIFS('船长每月数据(2023年)'!$R:$R,'船长每月数据(2023年)'!$F:$F,$BK$2,'船长每月数据(2023年)'!$E:$E,$C:$C)</f>
        <v>0</v>
      </c>
      <c r="BL54" s="21">
        <f>IFERROR(BK54/SUMIF('船长每月数据(2023年)'!$E:$E,$C:$C,'船长每月数据(2023年)'!$R:$R),0)</f>
        <v>0</v>
      </c>
      <c r="BM54" s="20">
        <f>SUMIFS('船长每月数据(2023年)'!$P:$P,'船长每月数据(2023年)'!$F:$F,$BM$2,'船长每月数据(2023年)'!$E:$E,$C:$C)</f>
        <v>0</v>
      </c>
      <c r="BN54" s="21">
        <f>IFERROR(BM54/SUMIF('船长每月数据(2023年)'!$E:$E,$C:$C,'船长每月数据(2023年)'!$P:$P),0)</f>
        <v>0</v>
      </c>
      <c r="BO54" s="38">
        <f>SUMIFS('船长每月数据(2023年)'!$R:$R,'船长每月数据(2023年)'!$F:$F,$BO$2,'船长每月数据(2023年)'!$E:$E,$C:$C)</f>
        <v>0</v>
      </c>
      <c r="BP54" s="21">
        <f>IFERROR(BO54/SUMIF('船长每月数据(2023年)'!$E:$E,$C:$C,'船长每月数据(2023年)'!$R:$R),0)</f>
        <v>0</v>
      </c>
      <c r="BQ54" s="20">
        <f>SUMIFS('船长每月数据(2023年)'!$P:$P,'船长每月数据(2023年)'!$F:$F,$BQ$2,'船长每月数据(2023年)'!$E:$E,$C:$C)</f>
        <v>0</v>
      </c>
      <c r="BR54" s="21">
        <f>IFERROR(BQ54/SUMIF('船长每月数据(2023年)'!$E:$E,$C:$C,'船长每月数据(2023年)'!$P:$P),0)</f>
        <v>0</v>
      </c>
      <c r="BS54" s="38">
        <f>SUMIFS('船长每月数据(2023年)'!$R:$R,'船长每月数据(2023年)'!$F:$F,$BS$2,'船长每月数据(2023年)'!$E:$E,$C:$C)</f>
        <v>0</v>
      </c>
      <c r="BT54" s="21">
        <f>IFERROR(BS54/SUMIF('船长每月数据(2023年)'!$E:$E,$C:$C,'船长每月数据(2023年)'!$R:$R),0)</f>
        <v>0</v>
      </c>
      <c r="BU54" s="20">
        <f>SUMIFS('船长每月数据(2023年)'!$P:$P,'船长每月数据(2023年)'!$F:$F,$BU$2,'船长每月数据(2023年)'!$E:$E,$C:$C)</f>
        <v>0</v>
      </c>
      <c r="BV54" s="21">
        <f>IFERROR(BU54/SUMIF('船长每月数据(2023年)'!$E:$E,$C:$C,'船长每月数据(2023年)'!$P:$P),0)</f>
        <v>0</v>
      </c>
      <c r="BW54" s="38">
        <f>SUMIFS('船长每月数据(2023年)'!$R:$R,'船长每月数据(2023年)'!$F:$F,$BW$2,'船长每月数据(2023年)'!$E:$E,$C:$C)</f>
        <v>0</v>
      </c>
      <c r="BX54" s="21">
        <f>IFERROR(BW54/SUMIF('船长每月数据(2023年)'!$E:$E,$C:$C,'船长每月数据(2023年)'!$R:$R),0)</f>
        <v>0</v>
      </c>
    </row>
    <row r="55" ht="23" customHeight="1" spans="1:76">
      <c r="A55" s="82"/>
      <c r="B55" s="36"/>
      <c r="C55" s="20"/>
      <c r="D55" s="74"/>
      <c r="E55" s="20">
        <f>SUMIFS('船长每月数据(2022年)'!$P:$P,'船长每月数据(2022年)'!$F:$F,$E$2,'船长每月数据(2022年)'!E:E,C:C)</f>
        <v>0</v>
      </c>
      <c r="F55" s="85">
        <f>SUMIFS('船长每月数据(2022年)'!$R:$R,'船长每月数据(2022年)'!$F:$F,$F$2,'船长每月数据(2022年)'!E:E,C:C)</f>
        <v>0</v>
      </c>
      <c r="G55" s="20">
        <f>SUMIFS('船长每月数据(2022年)'!$P:$P,'船长每月数据(2022年)'!$F:$F,$G$2,'船长每月数据(2022年)'!$E:$E,$C:$C)</f>
        <v>0</v>
      </c>
      <c r="H55" s="85">
        <f>SUMIFS('船长每月数据(2022年)'!$R:$R,'船长每月数据(2022年)'!$F:$F,$H$2,'船长每月数据(2022年)'!$E:$E,$C:$C)</f>
        <v>0</v>
      </c>
      <c r="I55" s="20">
        <f>SUMIFS('船长每月数据(2022年)'!$P:$P,'船长每月数据(2022年)'!$F:$F,$I$2,'船长每月数据(2022年)'!$E:$E,$C:$C)</f>
        <v>0</v>
      </c>
      <c r="J55" s="85">
        <f>SUMIFS('船长每月数据(2022年)'!$R:$R,'船长每月数据(2022年)'!$F:$F,$J$2,'船长每月数据(2022年)'!$E:$E,$C:$C)</f>
        <v>0</v>
      </c>
      <c r="K55" s="20">
        <f>SUMIFS('船长每月数据(2022年)'!$P:$P,'船长每月数据(2022年)'!$F:$F,$K$2,'船长每月数据(2022年)'!$E:$E,$C:$C)</f>
        <v>0</v>
      </c>
      <c r="L55" s="85">
        <f>SUMIFS('船长每月数据(2022年)'!$R:$R,'船长每月数据(2022年)'!$F:$F,$L$2,'船长每月数据(2022年)'!$E:$E,$C:$C)</f>
        <v>0</v>
      </c>
      <c r="M55" s="20">
        <f>SUMIFS('船长每月数据(2022年)'!$P:$P,'船长每月数据(2022年)'!$F:$F,$M$2,'船长每月数据(2022年)'!$E:$E,$C:$C)</f>
        <v>0</v>
      </c>
      <c r="N55" s="85">
        <f>SUMIFS('船长每月数据(2022年)'!$R:$R,'船长每月数据(2022年)'!$F:$F,$N$2,'船长每月数据(2022年)'!$E:$E,$C:$C)</f>
        <v>0</v>
      </c>
      <c r="O55" s="20">
        <f>SUMIFS('船长每月数据(2022年)'!$P:$P,'船长每月数据(2022年)'!$F:$F,$O$2,'船长每月数据(2022年)'!$E:$E,$C:$C)</f>
        <v>0</v>
      </c>
      <c r="P55" s="85">
        <f>SUMIFS('船长每月数据(2022年)'!$R:$R,'船长每月数据(2022年)'!$F:$F,$P$2,'船长每月数据(2022年)'!$E:$E,$C:$C)</f>
        <v>0</v>
      </c>
      <c r="Q55" s="20">
        <f>SUMIFS('船长每月数据(2022年)'!$P:$P,'船长每月数据(2022年)'!$F:$F,$Q$2,'船长每月数据(2022年)'!$E:$E,$C:$C)</f>
        <v>0</v>
      </c>
      <c r="R55" s="85">
        <f>SUMIFS('船长每月数据(2022年)'!$R:$R,'船长每月数据(2022年)'!$F:$F,$R$2,'船长每月数据(2022年)'!$E:$E,$C:$C)</f>
        <v>0</v>
      </c>
      <c r="S55" s="20">
        <f>SUMIFS('船长每月数据(2022年)'!$P:$P,'船长每月数据(2022年)'!$F:$F,$S$2,'船长每月数据(2022年)'!$E:$E,$C:$C)</f>
        <v>0</v>
      </c>
      <c r="T55" s="85">
        <f>SUMIFS('船长每月数据(2022年)'!$R:$R,'船长每月数据(2022年)'!$F:$F,$T$2,'船长每月数据(2022年)'!$E:$E,$C:$C)</f>
        <v>0</v>
      </c>
      <c r="U55" s="20">
        <f>SUMIFS('船长每月数据(2022年)'!$P:$P,'船长每月数据(2022年)'!$F:$F,$U$2,'船长每月数据(2022年)'!$E:$E,$C:$C)</f>
        <v>0</v>
      </c>
      <c r="V55" s="85">
        <f>SUMIFS('船长每月数据(2022年)'!$R:$R,'船长每月数据(2022年)'!$F:$F,$V$2,'船长每月数据(2022年)'!$E:$E,$C:$C)</f>
        <v>0</v>
      </c>
      <c r="W55" s="20">
        <f>SUMIFS('船长每月数据(2022年)'!$P:$P,'船长每月数据(2022年)'!$F:$F,$W$2,'船长每月数据(2022年)'!$E:$E,$C:$C)</f>
        <v>0</v>
      </c>
      <c r="X55" s="85">
        <f>SUMIFS('船长每月数据(2022年)'!$R:$R,'船长每月数据(2022年)'!$F:$F,$X$2,'船长每月数据(2022年)'!$E:$E,$C:$C)</f>
        <v>0</v>
      </c>
      <c r="Y55" s="20">
        <f>SUMIFS('船长每月数据(2022年)'!$P:$P,'船长每月数据(2022年)'!$F:$F,$Y$2,'船长每月数据(2022年)'!$E:$E,$C:$C)</f>
        <v>0</v>
      </c>
      <c r="Z55" s="85">
        <f>SUMIFS('船长每月数据(2022年)'!$R:$R,'船长每月数据(2022年)'!$F:$F,$Z$2,'船长每月数据(2022年)'!$E:$E,$C:$C)</f>
        <v>0</v>
      </c>
      <c r="AA55" s="20">
        <f>SUMIFS('船长每月数据(2022年)'!$P:$P,'船长每月数据(2022年)'!$F:$F,$AA$2,'船长每月数据(2022年)'!$E:$E,$C:$C)</f>
        <v>0</v>
      </c>
      <c r="AB55" s="85">
        <f>SUMIFS('船长每月数据(2022年)'!$R:$R,'船长每月数据(2022年)'!$F:$F,$AB$2,'船长每月数据(2022年)'!$E:$E,$C:$C)</f>
        <v>0</v>
      </c>
      <c r="AC55" s="20">
        <f>SUMIFS('船长每月数据(2023年)'!P:P,'船长每月数据(2023年)'!F:F,$AC$2,'船长每月数据(2023年)'!E:E,C:C)</f>
        <v>0</v>
      </c>
      <c r="AD55" s="21">
        <f>IFERROR(AC55/SUMIF('船长每月数据(2023年)'!$E:$E,C:C,'船长每月数据(2023年)'!P:P),0)</f>
        <v>0</v>
      </c>
      <c r="AE55" s="38">
        <f>SUMIFS('船长每月数据(2023年)'!$R:$R,'船长每月数据(2023年)'!$F:$F,$AE$2,'船长每月数据(2023年)'!$E:$E,$C:$C)</f>
        <v>0</v>
      </c>
      <c r="AF55" s="21">
        <f>IFERROR(AE55/SUMIF('船长每月数据(2023年)'!E:E,C:C,'船长每月数据(2023年)'!R:R),0)</f>
        <v>0</v>
      </c>
      <c r="AG55" s="20">
        <f>SUMIFS('船长每月数据(2023年)'!P:P,'船长每月数据(2023年)'!F:F,$AG$2,'船长每月数据(2023年)'!E:E,C:C)</f>
        <v>0</v>
      </c>
      <c r="AH55" s="21">
        <f>IFERROR(AG55/SUMIF('船长每月数据(2023年)'!$E:$E,$C:$C,'船长每月数据(2023年)'!$P:$P),0)</f>
        <v>0</v>
      </c>
      <c r="AI55" s="38">
        <f>SUMIFS('船长每月数据(2023年)'!$R:$R,'船长每月数据(2023年)'!$F:$F,$AI$2,'船长每月数据(2023年)'!$E:$E,$C:$C)</f>
        <v>0</v>
      </c>
      <c r="AJ55" s="21">
        <f>IFERROR(AI55/SUMIF('船长每月数据(2023年)'!$E:$E,$C:$C,'船长每月数据(2023年)'!$R:$R),0)</f>
        <v>0</v>
      </c>
      <c r="AK55" s="20">
        <f>SUMIFS('船长每月数据(2023年)'!P:P,'船长每月数据(2023年)'!F:F,$AK$2,'船长每月数据(2023年)'!E:E,C:C)</f>
        <v>0</v>
      </c>
      <c r="AL55" s="21">
        <f>IFERROR(AK55/SUMIF('船长每月数据(2023年)'!$E:$E,$C:$C,'船长每月数据(2023年)'!$P:$P),0)</f>
        <v>0</v>
      </c>
      <c r="AM55" s="38">
        <f>SUMIFS('船长每月数据(2023年)'!$R:$R,'船长每月数据(2023年)'!$F:$F,$AM$2,'船长每月数据(2023年)'!$E:$E,$C:$C)</f>
        <v>0</v>
      </c>
      <c r="AN55" s="21">
        <f>IFERROR(AM55/SUMIF('船长每月数据(2023年)'!$E:$E,$C:$C,'船长每月数据(2023年)'!$R:$R),0)</f>
        <v>0</v>
      </c>
      <c r="AO55" s="20">
        <f>SUMIFS('船长每月数据(2023年)'!P:P,'船长每月数据(2023年)'!F:F,$AO$2,'船长每月数据(2023年)'!E:E,C:C)</f>
        <v>0</v>
      </c>
      <c r="AP55" s="21">
        <f>IFERROR(AO55/SUMIF('船长每月数据(2023年)'!$E:$E,$C:$C,'船长每月数据(2023年)'!$P:$P),0)</f>
        <v>0</v>
      </c>
      <c r="AQ55" s="38">
        <f>SUMIFS('船长每月数据(2023年)'!$R:$R,'船长每月数据(2023年)'!$F:$F,$AQ$2,'船长每月数据(2023年)'!$E:$E,$C:$C)</f>
        <v>0</v>
      </c>
      <c r="AR55" s="21">
        <f>IFERROR(AQ55/SUMIF('船长每月数据(2023年)'!$E:$E,$C:$C,'船长每月数据(2023年)'!$R:$R),0)</f>
        <v>0</v>
      </c>
      <c r="AS55" s="20">
        <f>SUMIFS('船长每月数据(2023年)'!$P:$P,'船长每月数据(2023年)'!$F:$F,$AS$2,'船长每月数据(2023年)'!$E:$E,$C:$C)</f>
        <v>0</v>
      </c>
      <c r="AT55" s="21">
        <f>IFERROR(AS55/SUMIF('船长每月数据(2023年)'!$E:$E,$C:$C,'船长每月数据(2023年)'!$P:$P),0)</f>
        <v>0</v>
      </c>
      <c r="AU55" s="38">
        <f>SUMIFS('船长每月数据(2023年)'!$R:$R,'船长每月数据(2023年)'!$F:$F,$AU$2,'船长每月数据(2023年)'!$E:$E,$C:$C)</f>
        <v>0</v>
      </c>
      <c r="AV55" s="21">
        <f>IFERROR(AU55/SUMIF('船长每月数据(2023年)'!$E:$E,$C:$C,'船长每月数据(2023年)'!$R:$R),0)</f>
        <v>0</v>
      </c>
      <c r="AW55" s="20">
        <f>SUMIFS('船长每月数据(2023年)'!$P:$P,'船长每月数据(2023年)'!$F:$F,$AW$2,'船长每月数据(2023年)'!$E:$E,$C:$C)</f>
        <v>0</v>
      </c>
      <c r="AX55" s="21">
        <f>IFERROR(AW55/SUMIF('船长每月数据(2023年)'!$E:$E,$C:$C,'船长每月数据(2023年)'!$P:$P),0)</f>
        <v>0</v>
      </c>
      <c r="AY55" s="38">
        <f>SUMIFS('船长每月数据(2023年)'!$R:$R,'船长每月数据(2023年)'!$F:$F,$AY$2,'船长每月数据(2023年)'!$E:$E,$C:$C)</f>
        <v>0</v>
      </c>
      <c r="AZ55" s="21">
        <f>IFERROR(AY55/SUMIF('船长每月数据(2023年)'!$E:$E,$C:$C,'船长每月数据(2023年)'!$R:$R),0)</f>
        <v>0</v>
      </c>
      <c r="BA55" s="20">
        <f>SUMIFS('船长每月数据(2023年)'!$P:$P,'船长每月数据(2023年)'!$F:$F,$BA$2,'船长每月数据(2023年)'!$E:$E,$C:$C)</f>
        <v>0</v>
      </c>
      <c r="BB55" s="21">
        <f>IFERROR(BA55/SUMIF('船长每月数据(2023年)'!$E:$E,$C:$C,'船长每月数据(2023年)'!$P:$P),0)</f>
        <v>0</v>
      </c>
      <c r="BC55" s="38">
        <f>SUMIFS('船长每月数据(2023年)'!$R:$R,'船长每月数据(2023年)'!$F:$F,$BC$2,'船长每月数据(2023年)'!$E:$E,$C:$C)</f>
        <v>0</v>
      </c>
      <c r="BD55" s="21">
        <f>IFERROR(BC55/SUMIF('船长每月数据(2023年)'!$E:$E,$C:$C,'船长每月数据(2023年)'!$R:$R),0)</f>
        <v>0</v>
      </c>
      <c r="BE55" s="20">
        <f>SUMIFS('船长每月数据(2023年)'!$P:$P,'船长每月数据(2023年)'!$F:$F,$BE$2,'船长每月数据(2023年)'!$E:$E,$C:$C)</f>
        <v>0</v>
      </c>
      <c r="BF55" s="21">
        <f>IFERROR(BE55/SUMIF('船长每月数据(2023年)'!$E:$E,$C:$C,'船长每月数据(2023年)'!$P:$P),0)</f>
        <v>0</v>
      </c>
      <c r="BG55" s="38">
        <f>SUMIFS('船长每月数据(2023年)'!$R:$R,'船长每月数据(2023年)'!$F:$F,$BG$2,'船长每月数据(2023年)'!$E:$E,$C:$C)</f>
        <v>0</v>
      </c>
      <c r="BH55" s="21">
        <f>IFERROR(BG55/SUMIF('船长每月数据(2023年)'!$E:$E,$C:$C,'船长每月数据(2023年)'!$R:$R),0)</f>
        <v>0</v>
      </c>
      <c r="BI55" s="20">
        <f>SUMIFS('船长每月数据(2023年)'!$P:$P,'船长每月数据(2023年)'!$F:$F,$BI$2,'船长每月数据(2023年)'!$E:$E,$C:$C)</f>
        <v>0</v>
      </c>
      <c r="BJ55" s="21">
        <f>IFERROR(BI55/SUMIF('船长每月数据(2023年)'!$E:$E,$C:$C,'船长每月数据(2023年)'!$P:$P),0)</f>
        <v>0</v>
      </c>
      <c r="BK55" s="38">
        <f>SUMIFS('船长每月数据(2023年)'!$R:$R,'船长每月数据(2023年)'!$F:$F,$BK$2,'船长每月数据(2023年)'!$E:$E,$C:$C)</f>
        <v>0</v>
      </c>
      <c r="BL55" s="21">
        <f>IFERROR(BK55/SUMIF('船长每月数据(2023年)'!$E:$E,$C:$C,'船长每月数据(2023年)'!$R:$R),0)</f>
        <v>0</v>
      </c>
      <c r="BM55" s="20">
        <f>SUMIFS('船长每月数据(2023年)'!$P:$P,'船长每月数据(2023年)'!$F:$F,$BM$2,'船长每月数据(2023年)'!$E:$E,$C:$C)</f>
        <v>0</v>
      </c>
      <c r="BN55" s="21">
        <f>IFERROR(BM55/SUMIF('船长每月数据(2023年)'!$E:$E,$C:$C,'船长每月数据(2023年)'!$P:$P),0)</f>
        <v>0</v>
      </c>
      <c r="BO55" s="38">
        <f>SUMIFS('船长每月数据(2023年)'!$R:$R,'船长每月数据(2023年)'!$F:$F,$BO$2,'船长每月数据(2023年)'!$E:$E,$C:$C)</f>
        <v>0</v>
      </c>
      <c r="BP55" s="21">
        <f>IFERROR(BO55/SUMIF('船长每月数据(2023年)'!$E:$E,$C:$C,'船长每月数据(2023年)'!$R:$R),0)</f>
        <v>0</v>
      </c>
      <c r="BQ55" s="20">
        <f>SUMIFS('船长每月数据(2023年)'!$P:$P,'船长每月数据(2023年)'!$F:$F,$BQ$2,'船长每月数据(2023年)'!$E:$E,$C:$C)</f>
        <v>0</v>
      </c>
      <c r="BR55" s="21">
        <f>IFERROR(BQ55/SUMIF('船长每月数据(2023年)'!$E:$E,$C:$C,'船长每月数据(2023年)'!$P:$P),0)</f>
        <v>0</v>
      </c>
      <c r="BS55" s="38">
        <f>SUMIFS('船长每月数据(2023年)'!$R:$R,'船长每月数据(2023年)'!$F:$F,$BS$2,'船长每月数据(2023年)'!$E:$E,$C:$C)</f>
        <v>0</v>
      </c>
      <c r="BT55" s="21">
        <f>IFERROR(BS55/SUMIF('船长每月数据(2023年)'!$E:$E,$C:$C,'船长每月数据(2023年)'!$R:$R),0)</f>
        <v>0</v>
      </c>
      <c r="BU55" s="20">
        <f>SUMIFS('船长每月数据(2023年)'!$P:$P,'船长每月数据(2023年)'!$F:$F,$BU$2,'船长每月数据(2023年)'!$E:$E,$C:$C)</f>
        <v>0</v>
      </c>
      <c r="BV55" s="21">
        <f>IFERROR(BU55/SUMIF('船长每月数据(2023年)'!$E:$E,$C:$C,'船长每月数据(2023年)'!$P:$P),0)</f>
        <v>0</v>
      </c>
      <c r="BW55" s="38">
        <f>SUMIFS('船长每月数据(2023年)'!$R:$R,'船长每月数据(2023年)'!$F:$F,$BW$2,'船长每月数据(2023年)'!$E:$E,$C:$C)</f>
        <v>0</v>
      </c>
      <c r="BX55" s="21">
        <f>IFERROR(BW55/SUMIF('船长每月数据(2023年)'!$E:$E,$C:$C,'船长每月数据(2023年)'!$R:$R),0)</f>
        <v>0</v>
      </c>
    </row>
    <row r="56" ht="23" customHeight="1" spans="1:76">
      <c r="A56" s="83"/>
      <c r="B56" s="36"/>
      <c r="C56" s="20"/>
      <c r="D56" s="74"/>
      <c r="E56" s="20">
        <f>SUMIFS('船长每月数据(2022年)'!$P:$P,'船长每月数据(2022年)'!$F:$F,$E$2,'船长每月数据(2022年)'!E:E,C:C)</f>
        <v>0</v>
      </c>
      <c r="F56" s="85">
        <f>SUMIFS('船长每月数据(2022年)'!$R:$R,'船长每月数据(2022年)'!$F:$F,$F$2,'船长每月数据(2022年)'!E:E,C:C)</f>
        <v>0</v>
      </c>
      <c r="G56" s="20">
        <f>SUMIFS('船长每月数据(2022年)'!$P:$P,'船长每月数据(2022年)'!$F:$F,$G$2,'船长每月数据(2022年)'!$E:$E,$C:$C)</f>
        <v>0</v>
      </c>
      <c r="H56" s="85">
        <f>SUMIFS('船长每月数据(2022年)'!$R:$R,'船长每月数据(2022年)'!$F:$F,$H$2,'船长每月数据(2022年)'!$E:$E,$C:$C)</f>
        <v>0</v>
      </c>
      <c r="I56" s="20">
        <f>SUMIFS('船长每月数据(2022年)'!$P:$P,'船长每月数据(2022年)'!$F:$F,$I$2,'船长每月数据(2022年)'!$E:$E,$C:$C)</f>
        <v>0</v>
      </c>
      <c r="J56" s="85">
        <f>SUMIFS('船长每月数据(2022年)'!$R:$R,'船长每月数据(2022年)'!$F:$F,$J$2,'船长每月数据(2022年)'!$E:$E,$C:$C)</f>
        <v>0</v>
      </c>
      <c r="K56" s="20">
        <f>SUMIFS('船长每月数据(2022年)'!$P:$P,'船长每月数据(2022年)'!$F:$F,$K$2,'船长每月数据(2022年)'!$E:$E,$C:$C)</f>
        <v>0</v>
      </c>
      <c r="L56" s="85">
        <f>SUMIFS('船长每月数据(2022年)'!$R:$R,'船长每月数据(2022年)'!$F:$F,$L$2,'船长每月数据(2022年)'!$E:$E,$C:$C)</f>
        <v>0</v>
      </c>
      <c r="M56" s="20">
        <f>SUMIFS('船长每月数据(2022年)'!$P:$P,'船长每月数据(2022年)'!$F:$F,$M$2,'船长每月数据(2022年)'!$E:$E,$C:$C)</f>
        <v>0</v>
      </c>
      <c r="N56" s="85">
        <f>SUMIFS('船长每月数据(2022年)'!$R:$R,'船长每月数据(2022年)'!$F:$F,$N$2,'船长每月数据(2022年)'!$E:$E,$C:$C)</f>
        <v>0</v>
      </c>
      <c r="O56" s="20">
        <f>SUMIFS('船长每月数据(2022年)'!$P:$P,'船长每月数据(2022年)'!$F:$F,$O$2,'船长每月数据(2022年)'!$E:$E,$C:$C)</f>
        <v>0</v>
      </c>
      <c r="P56" s="85">
        <f>SUMIFS('船长每月数据(2022年)'!$R:$R,'船长每月数据(2022年)'!$F:$F,$P$2,'船长每月数据(2022年)'!$E:$E,$C:$C)</f>
        <v>0</v>
      </c>
      <c r="Q56" s="20">
        <f>SUMIFS('船长每月数据(2022年)'!$P:$P,'船长每月数据(2022年)'!$F:$F,$Q$2,'船长每月数据(2022年)'!$E:$E,$C:$C)</f>
        <v>0</v>
      </c>
      <c r="R56" s="85">
        <f>SUMIFS('船长每月数据(2022年)'!$R:$R,'船长每月数据(2022年)'!$F:$F,$R$2,'船长每月数据(2022年)'!$E:$E,$C:$C)</f>
        <v>0</v>
      </c>
      <c r="S56" s="20">
        <f>SUMIFS('船长每月数据(2022年)'!$P:$P,'船长每月数据(2022年)'!$F:$F,$S$2,'船长每月数据(2022年)'!$E:$E,$C:$C)</f>
        <v>0</v>
      </c>
      <c r="T56" s="85">
        <f>SUMIFS('船长每月数据(2022年)'!$R:$R,'船长每月数据(2022年)'!$F:$F,$T$2,'船长每月数据(2022年)'!$E:$E,$C:$C)</f>
        <v>0</v>
      </c>
      <c r="U56" s="20">
        <f>SUMIFS('船长每月数据(2022年)'!$P:$P,'船长每月数据(2022年)'!$F:$F,$U$2,'船长每月数据(2022年)'!$E:$E,$C:$C)</f>
        <v>0</v>
      </c>
      <c r="V56" s="85">
        <f>SUMIFS('船长每月数据(2022年)'!$R:$R,'船长每月数据(2022年)'!$F:$F,$V$2,'船长每月数据(2022年)'!$E:$E,$C:$C)</f>
        <v>0</v>
      </c>
      <c r="W56" s="20">
        <f>SUMIFS('船长每月数据(2022年)'!$P:$P,'船长每月数据(2022年)'!$F:$F,$W$2,'船长每月数据(2022年)'!$E:$E,$C:$C)</f>
        <v>0</v>
      </c>
      <c r="X56" s="85">
        <f>SUMIFS('船长每月数据(2022年)'!$R:$R,'船长每月数据(2022年)'!$F:$F,$X$2,'船长每月数据(2022年)'!$E:$E,$C:$C)</f>
        <v>0</v>
      </c>
      <c r="Y56" s="20">
        <f>SUMIFS('船长每月数据(2022年)'!$P:$P,'船长每月数据(2022年)'!$F:$F,$Y$2,'船长每月数据(2022年)'!$E:$E,$C:$C)</f>
        <v>0</v>
      </c>
      <c r="Z56" s="85">
        <f>SUMIFS('船长每月数据(2022年)'!$R:$R,'船长每月数据(2022年)'!$F:$F,$Z$2,'船长每月数据(2022年)'!$E:$E,$C:$C)</f>
        <v>0</v>
      </c>
      <c r="AA56" s="20">
        <f>SUMIFS('船长每月数据(2022年)'!$P:$P,'船长每月数据(2022年)'!$F:$F,$AA$2,'船长每月数据(2022年)'!$E:$E,$C:$C)</f>
        <v>0</v>
      </c>
      <c r="AB56" s="85">
        <f>SUMIFS('船长每月数据(2022年)'!$R:$R,'船长每月数据(2022年)'!$F:$F,$AB$2,'船长每月数据(2022年)'!$E:$E,$C:$C)</f>
        <v>0</v>
      </c>
      <c r="AC56" s="20">
        <f>SUMIFS('船长每月数据(2023年)'!P:P,'船长每月数据(2023年)'!F:F,$AC$2,'船长每月数据(2023年)'!E:E,C:C)</f>
        <v>0</v>
      </c>
      <c r="AD56" s="21">
        <f>IFERROR(AC56/SUMIF('船长每月数据(2023年)'!$E:$E,C:C,'船长每月数据(2023年)'!P:P),0)</f>
        <v>0</v>
      </c>
      <c r="AE56" s="38">
        <f>SUMIFS('船长每月数据(2023年)'!$R:$R,'船长每月数据(2023年)'!$F:$F,$AE$2,'船长每月数据(2023年)'!$E:$E,$C:$C)</f>
        <v>0</v>
      </c>
      <c r="AF56" s="21">
        <f>IFERROR(AE56/SUMIF('船长每月数据(2023年)'!E:E,C:C,'船长每月数据(2023年)'!R:R),0)</f>
        <v>0</v>
      </c>
      <c r="AG56" s="20">
        <f>SUMIFS('船长每月数据(2023年)'!P:P,'船长每月数据(2023年)'!F:F,$AG$2,'船长每月数据(2023年)'!E:E,C:C)</f>
        <v>0</v>
      </c>
      <c r="AH56" s="21">
        <f>IFERROR(AG56/SUMIF('船长每月数据(2023年)'!$E:$E,$C:$C,'船长每月数据(2023年)'!$P:$P),0)</f>
        <v>0</v>
      </c>
      <c r="AI56" s="38">
        <f>SUMIFS('船长每月数据(2023年)'!$R:$R,'船长每月数据(2023年)'!$F:$F,$AI$2,'船长每月数据(2023年)'!$E:$E,$C:$C)</f>
        <v>0</v>
      </c>
      <c r="AJ56" s="21">
        <f>IFERROR(AI56/SUMIF('船长每月数据(2023年)'!$E:$E,$C:$C,'船长每月数据(2023年)'!$R:$R),0)</f>
        <v>0</v>
      </c>
      <c r="AK56" s="20">
        <f>SUMIFS('船长每月数据(2023年)'!P:P,'船长每月数据(2023年)'!F:F,$AK$2,'船长每月数据(2023年)'!E:E,C:C)</f>
        <v>0</v>
      </c>
      <c r="AL56" s="21">
        <f>IFERROR(AK56/SUMIF('船长每月数据(2023年)'!$E:$E,$C:$C,'船长每月数据(2023年)'!$P:$P),0)</f>
        <v>0</v>
      </c>
      <c r="AM56" s="38">
        <f>SUMIFS('船长每月数据(2023年)'!$R:$R,'船长每月数据(2023年)'!$F:$F,$AM$2,'船长每月数据(2023年)'!$E:$E,$C:$C)</f>
        <v>0</v>
      </c>
      <c r="AN56" s="21">
        <f>IFERROR(AM56/SUMIF('船长每月数据(2023年)'!$E:$E,$C:$C,'船长每月数据(2023年)'!$R:$R),0)</f>
        <v>0</v>
      </c>
      <c r="AO56" s="20">
        <f>SUMIFS('船长每月数据(2023年)'!P:P,'船长每月数据(2023年)'!F:F,$AO$2,'船长每月数据(2023年)'!E:E,C:C)</f>
        <v>0</v>
      </c>
      <c r="AP56" s="21">
        <f>IFERROR(AO56/SUMIF('船长每月数据(2023年)'!$E:$E,$C:$C,'船长每月数据(2023年)'!$P:$P),0)</f>
        <v>0</v>
      </c>
      <c r="AQ56" s="38">
        <f>SUMIFS('船长每月数据(2023年)'!$R:$R,'船长每月数据(2023年)'!$F:$F,$AQ$2,'船长每月数据(2023年)'!$E:$E,$C:$C)</f>
        <v>0</v>
      </c>
      <c r="AR56" s="21">
        <f>IFERROR(AQ56/SUMIF('船长每月数据(2023年)'!$E:$E,$C:$C,'船长每月数据(2023年)'!$R:$R),0)</f>
        <v>0</v>
      </c>
      <c r="AS56" s="20">
        <f>SUMIFS('船长每月数据(2023年)'!$P:$P,'船长每月数据(2023年)'!$F:$F,$AS$2,'船长每月数据(2023年)'!$E:$E,$C:$C)</f>
        <v>0</v>
      </c>
      <c r="AT56" s="21">
        <f>IFERROR(AS56/SUMIF('船长每月数据(2023年)'!$E:$E,$C:$C,'船长每月数据(2023年)'!$P:$P),0)</f>
        <v>0</v>
      </c>
      <c r="AU56" s="38">
        <f>SUMIFS('船长每月数据(2023年)'!$R:$R,'船长每月数据(2023年)'!$F:$F,$AU$2,'船长每月数据(2023年)'!$E:$E,$C:$C)</f>
        <v>0</v>
      </c>
      <c r="AV56" s="21">
        <f>IFERROR(AU56/SUMIF('船长每月数据(2023年)'!$E:$E,$C:$C,'船长每月数据(2023年)'!$R:$R),0)</f>
        <v>0</v>
      </c>
      <c r="AW56" s="20">
        <f>SUMIFS('船长每月数据(2023年)'!$P:$P,'船长每月数据(2023年)'!$F:$F,$AW$2,'船长每月数据(2023年)'!$E:$E,$C:$C)</f>
        <v>0</v>
      </c>
      <c r="AX56" s="21">
        <f>IFERROR(AW56/SUMIF('船长每月数据(2023年)'!$E:$E,$C:$C,'船长每月数据(2023年)'!$P:$P),0)</f>
        <v>0</v>
      </c>
      <c r="AY56" s="38">
        <f>SUMIFS('船长每月数据(2023年)'!$R:$R,'船长每月数据(2023年)'!$F:$F,$AY$2,'船长每月数据(2023年)'!$E:$E,$C:$C)</f>
        <v>0</v>
      </c>
      <c r="AZ56" s="21">
        <f>IFERROR(AY56/SUMIF('船长每月数据(2023年)'!$E:$E,$C:$C,'船长每月数据(2023年)'!$R:$R),0)</f>
        <v>0</v>
      </c>
      <c r="BA56" s="20">
        <f>SUMIFS('船长每月数据(2023年)'!$P:$P,'船长每月数据(2023年)'!$F:$F,$BA$2,'船长每月数据(2023年)'!$E:$E,$C:$C)</f>
        <v>0</v>
      </c>
      <c r="BB56" s="21">
        <f>IFERROR(BA56/SUMIF('船长每月数据(2023年)'!$E:$E,$C:$C,'船长每月数据(2023年)'!$P:$P),0)</f>
        <v>0</v>
      </c>
      <c r="BC56" s="38">
        <f>SUMIFS('船长每月数据(2023年)'!$R:$R,'船长每月数据(2023年)'!$F:$F,$BC$2,'船长每月数据(2023年)'!$E:$E,$C:$C)</f>
        <v>0</v>
      </c>
      <c r="BD56" s="21">
        <f>IFERROR(BC56/SUMIF('船长每月数据(2023年)'!$E:$E,$C:$C,'船长每月数据(2023年)'!$R:$R),0)</f>
        <v>0</v>
      </c>
      <c r="BE56" s="20">
        <f>SUMIFS('船长每月数据(2023年)'!$P:$P,'船长每月数据(2023年)'!$F:$F,$BE$2,'船长每月数据(2023年)'!$E:$E,$C:$C)</f>
        <v>0</v>
      </c>
      <c r="BF56" s="21">
        <f>IFERROR(BE56/SUMIF('船长每月数据(2023年)'!$E:$E,$C:$C,'船长每月数据(2023年)'!$P:$P),0)</f>
        <v>0</v>
      </c>
      <c r="BG56" s="38">
        <f>SUMIFS('船长每月数据(2023年)'!$R:$R,'船长每月数据(2023年)'!$F:$F,$BG$2,'船长每月数据(2023年)'!$E:$E,$C:$C)</f>
        <v>0</v>
      </c>
      <c r="BH56" s="21">
        <f>IFERROR(BG56/SUMIF('船长每月数据(2023年)'!$E:$E,$C:$C,'船长每月数据(2023年)'!$R:$R),0)</f>
        <v>0</v>
      </c>
      <c r="BI56" s="20">
        <f>SUMIFS('船长每月数据(2023年)'!$P:$P,'船长每月数据(2023年)'!$F:$F,$BI$2,'船长每月数据(2023年)'!$E:$E,$C:$C)</f>
        <v>0</v>
      </c>
      <c r="BJ56" s="21">
        <f>IFERROR(BI56/SUMIF('船长每月数据(2023年)'!$E:$E,$C:$C,'船长每月数据(2023年)'!$P:$P),0)</f>
        <v>0</v>
      </c>
      <c r="BK56" s="38">
        <f>SUMIFS('船长每月数据(2023年)'!$R:$R,'船长每月数据(2023年)'!$F:$F,$BK$2,'船长每月数据(2023年)'!$E:$E,$C:$C)</f>
        <v>0</v>
      </c>
      <c r="BL56" s="21">
        <f>IFERROR(BK56/SUMIF('船长每月数据(2023年)'!$E:$E,$C:$C,'船长每月数据(2023年)'!$R:$R),0)</f>
        <v>0</v>
      </c>
      <c r="BM56" s="20">
        <f>SUMIFS('船长每月数据(2023年)'!$P:$P,'船长每月数据(2023年)'!$F:$F,$BM$2,'船长每月数据(2023年)'!$E:$E,$C:$C)</f>
        <v>0</v>
      </c>
      <c r="BN56" s="21">
        <f>IFERROR(BM56/SUMIF('船长每月数据(2023年)'!$E:$E,$C:$C,'船长每月数据(2023年)'!$P:$P),0)</f>
        <v>0</v>
      </c>
      <c r="BO56" s="38">
        <f>SUMIFS('船长每月数据(2023年)'!$R:$R,'船长每月数据(2023年)'!$F:$F,$BO$2,'船长每月数据(2023年)'!$E:$E,$C:$C)</f>
        <v>0</v>
      </c>
      <c r="BP56" s="21">
        <f>IFERROR(BO56/SUMIF('船长每月数据(2023年)'!$E:$E,$C:$C,'船长每月数据(2023年)'!$R:$R),0)</f>
        <v>0</v>
      </c>
      <c r="BQ56" s="20">
        <f>SUMIFS('船长每月数据(2023年)'!$P:$P,'船长每月数据(2023年)'!$F:$F,$BQ$2,'船长每月数据(2023年)'!$E:$E,$C:$C)</f>
        <v>0</v>
      </c>
      <c r="BR56" s="21">
        <f>IFERROR(BQ56/SUMIF('船长每月数据(2023年)'!$E:$E,$C:$C,'船长每月数据(2023年)'!$P:$P),0)</f>
        <v>0</v>
      </c>
      <c r="BS56" s="38">
        <f>SUMIFS('船长每月数据(2023年)'!$R:$R,'船长每月数据(2023年)'!$F:$F,$BS$2,'船长每月数据(2023年)'!$E:$E,$C:$C)</f>
        <v>0</v>
      </c>
      <c r="BT56" s="21">
        <f>IFERROR(BS56/SUMIF('船长每月数据(2023年)'!$E:$E,$C:$C,'船长每月数据(2023年)'!$R:$R),0)</f>
        <v>0</v>
      </c>
      <c r="BU56" s="20">
        <f>SUMIFS('船长每月数据(2023年)'!$P:$P,'船长每月数据(2023年)'!$F:$F,$BU$2,'船长每月数据(2023年)'!$E:$E,$C:$C)</f>
        <v>0</v>
      </c>
      <c r="BV56" s="21">
        <f>IFERROR(BU56/SUMIF('船长每月数据(2023年)'!$E:$E,$C:$C,'船长每月数据(2023年)'!$P:$P),0)</f>
        <v>0</v>
      </c>
      <c r="BW56" s="38">
        <f>SUMIFS('船长每月数据(2023年)'!$R:$R,'船长每月数据(2023年)'!$F:$F,$BW$2,'船长每月数据(2023年)'!$E:$E,$C:$C)</f>
        <v>0</v>
      </c>
      <c r="BX56" s="21">
        <f>IFERROR(BW56/SUMIF('船长每月数据(2023年)'!$E:$E,$C:$C,'船长每月数据(2023年)'!$R:$R),0)</f>
        <v>0</v>
      </c>
    </row>
    <row r="57" ht="23" customHeight="1" spans="1:76">
      <c r="A57" s="83"/>
      <c r="B57" s="36"/>
      <c r="C57" s="20"/>
      <c r="D57" s="74"/>
      <c r="E57" s="20">
        <f>SUMIFS('船长每月数据(2022年)'!$P:$P,'船长每月数据(2022年)'!$F:$F,$E$2,'船长每月数据(2022年)'!E:E,C:C)</f>
        <v>0</v>
      </c>
      <c r="F57" s="85">
        <f>SUMIFS('船长每月数据(2022年)'!$R:$R,'船长每月数据(2022年)'!$F:$F,$F$2,'船长每月数据(2022年)'!E:E,C:C)</f>
        <v>0</v>
      </c>
      <c r="G57" s="20">
        <f>SUMIFS('船长每月数据(2022年)'!$P:$P,'船长每月数据(2022年)'!$F:$F,$G$2,'船长每月数据(2022年)'!$E:$E,$C:$C)</f>
        <v>0</v>
      </c>
      <c r="H57" s="85">
        <f>SUMIFS('船长每月数据(2022年)'!$R:$R,'船长每月数据(2022年)'!$F:$F,$H$2,'船长每月数据(2022年)'!$E:$E,$C:$C)</f>
        <v>0</v>
      </c>
      <c r="I57" s="20">
        <f>SUMIFS('船长每月数据(2022年)'!$P:$P,'船长每月数据(2022年)'!$F:$F,$I$2,'船长每月数据(2022年)'!$E:$E,$C:$C)</f>
        <v>0</v>
      </c>
      <c r="J57" s="85">
        <f>SUMIFS('船长每月数据(2022年)'!$R:$R,'船长每月数据(2022年)'!$F:$F,$J$2,'船长每月数据(2022年)'!$E:$E,$C:$C)</f>
        <v>0</v>
      </c>
      <c r="K57" s="20">
        <f>SUMIFS('船长每月数据(2022年)'!$P:$P,'船长每月数据(2022年)'!$F:$F,$K$2,'船长每月数据(2022年)'!$E:$E,$C:$C)</f>
        <v>0</v>
      </c>
      <c r="L57" s="85">
        <f>SUMIFS('船长每月数据(2022年)'!$R:$R,'船长每月数据(2022年)'!$F:$F,$L$2,'船长每月数据(2022年)'!$E:$E,$C:$C)</f>
        <v>0</v>
      </c>
      <c r="M57" s="20">
        <f>SUMIFS('船长每月数据(2022年)'!$P:$P,'船长每月数据(2022年)'!$F:$F,$M$2,'船长每月数据(2022年)'!$E:$E,$C:$C)</f>
        <v>0</v>
      </c>
      <c r="N57" s="85">
        <f>SUMIFS('船长每月数据(2022年)'!$R:$R,'船长每月数据(2022年)'!$F:$F,$N$2,'船长每月数据(2022年)'!$E:$E,$C:$C)</f>
        <v>0</v>
      </c>
      <c r="O57" s="20">
        <f>SUMIFS('船长每月数据(2022年)'!$P:$P,'船长每月数据(2022年)'!$F:$F,$O$2,'船长每月数据(2022年)'!$E:$E,$C:$C)</f>
        <v>0</v>
      </c>
      <c r="P57" s="85">
        <f>SUMIFS('船长每月数据(2022年)'!$R:$R,'船长每月数据(2022年)'!$F:$F,$P$2,'船长每月数据(2022年)'!$E:$E,$C:$C)</f>
        <v>0</v>
      </c>
      <c r="Q57" s="20">
        <f>SUMIFS('船长每月数据(2022年)'!$P:$P,'船长每月数据(2022年)'!$F:$F,$Q$2,'船长每月数据(2022年)'!$E:$E,$C:$C)</f>
        <v>0</v>
      </c>
      <c r="R57" s="85">
        <f>SUMIFS('船长每月数据(2022年)'!$R:$R,'船长每月数据(2022年)'!$F:$F,$R$2,'船长每月数据(2022年)'!$E:$E,$C:$C)</f>
        <v>0</v>
      </c>
      <c r="S57" s="20">
        <f>SUMIFS('船长每月数据(2022年)'!$P:$P,'船长每月数据(2022年)'!$F:$F,$S$2,'船长每月数据(2022年)'!$E:$E,$C:$C)</f>
        <v>0</v>
      </c>
      <c r="T57" s="85">
        <f>SUMIFS('船长每月数据(2022年)'!$R:$R,'船长每月数据(2022年)'!$F:$F,$T$2,'船长每月数据(2022年)'!$E:$E,$C:$C)</f>
        <v>0</v>
      </c>
      <c r="U57" s="20">
        <f>SUMIFS('船长每月数据(2022年)'!$P:$P,'船长每月数据(2022年)'!$F:$F,$U$2,'船长每月数据(2022年)'!$E:$E,$C:$C)</f>
        <v>0</v>
      </c>
      <c r="V57" s="85">
        <f>SUMIFS('船长每月数据(2022年)'!$R:$R,'船长每月数据(2022年)'!$F:$F,$V$2,'船长每月数据(2022年)'!$E:$E,$C:$C)</f>
        <v>0</v>
      </c>
      <c r="W57" s="20">
        <f>SUMIFS('船长每月数据(2022年)'!$P:$P,'船长每月数据(2022年)'!$F:$F,$W$2,'船长每月数据(2022年)'!$E:$E,$C:$C)</f>
        <v>0</v>
      </c>
      <c r="X57" s="85">
        <f>SUMIFS('船长每月数据(2022年)'!$R:$R,'船长每月数据(2022年)'!$F:$F,$X$2,'船长每月数据(2022年)'!$E:$E,$C:$C)</f>
        <v>0</v>
      </c>
      <c r="Y57" s="20">
        <f>SUMIFS('船长每月数据(2022年)'!$P:$P,'船长每月数据(2022年)'!$F:$F,$Y$2,'船长每月数据(2022年)'!$E:$E,$C:$C)</f>
        <v>0</v>
      </c>
      <c r="Z57" s="85">
        <f>SUMIFS('船长每月数据(2022年)'!$R:$R,'船长每月数据(2022年)'!$F:$F,$Z$2,'船长每月数据(2022年)'!$E:$E,$C:$C)</f>
        <v>0</v>
      </c>
      <c r="AA57" s="20">
        <f>SUMIFS('船长每月数据(2022年)'!$P:$P,'船长每月数据(2022年)'!$F:$F,$AA$2,'船长每月数据(2022年)'!$E:$E,$C:$C)</f>
        <v>0</v>
      </c>
      <c r="AB57" s="85">
        <f>SUMIFS('船长每月数据(2022年)'!$R:$R,'船长每月数据(2022年)'!$F:$F,$AB$2,'船长每月数据(2022年)'!$E:$E,$C:$C)</f>
        <v>0</v>
      </c>
      <c r="AC57" s="20">
        <f>SUMIFS('船长每月数据(2023年)'!P:P,'船长每月数据(2023年)'!F:F,$AC$2,'船长每月数据(2023年)'!E:E,C:C)</f>
        <v>0</v>
      </c>
      <c r="AD57" s="21">
        <f>IFERROR(AC57/SUMIF('船长每月数据(2023年)'!$E:$E,C:C,'船长每月数据(2023年)'!P:P),0)</f>
        <v>0</v>
      </c>
      <c r="AE57" s="38">
        <f>SUMIFS('船长每月数据(2023年)'!$R:$R,'船长每月数据(2023年)'!$F:$F,$AE$2,'船长每月数据(2023年)'!$E:$E,$C:$C)</f>
        <v>0</v>
      </c>
      <c r="AF57" s="21">
        <f>IFERROR(AE57/SUMIF('船长每月数据(2023年)'!E:E,C:C,'船长每月数据(2023年)'!R:R),0)</f>
        <v>0</v>
      </c>
      <c r="AG57" s="20">
        <f>SUMIFS('船长每月数据(2023年)'!P:P,'船长每月数据(2023年)'!F:F,$AG$2,'船长每月数据(2023年)'!E:E,C:C)</f>
        <v>0</v>
      </c>
      <c r="AH57" s="21">
        <f>IFERROR(AG57/SUMIF('船长每月数据(2023年)'!$E:$E,$C:$C,'船长每月数据(2023年)'!$P:$P),0)</f>
        <v>0</v>
      </c>
      <c r="AI57" s="38">
        <f>SUMIFS('船长每月数据(2023年)'!$R:$R,'船长每月数据(2023年)'!$F:$F,$AI$2,'船长每月数据(2023年)'!$E:$E,$C:$C)</f>
        <v>0</v>
      </c>
      <c r="AJ57" s="21">
        <f>IFERROR(AI57/SUMIF('船长每月数据(2023年)'!$E:$E,$C:$C,'船长每月数据(2023年)'!$R:$R),0)</f>
        <v>0</v>
      </c>
      <c r="AK57" s="20">
        <f>SUMIFS('船长每月数据(2023年)'!P:P,'船长每月数据(2023年)'!F:F,$AK$2,'船长每月数据(2023年)'!E:E,C:C)</f>
        <v>0</v>
      </c>
      <c r="AL57" s="21">
        <f>IFERROR(AK57/SUMIF('船长每月数据(2023年)'!$E:$E,$C:$C,'船长每月数据(2023年)'!$P:$P),0)</f>
        <v>0</v>
      </c>
      <c r="AM57" s="38">
        <f>SUMIFS('船长每月数据(2023年)'!$R:$R,'船长每月数据(2023年)'!$F:$F,$AM$2,'船长每月数据(2023年)'!$E:$E,$C:$C)</f>
        <v>0</v>
      </c>
      <c r="AN57" s="21">
        <f>IFERROR(AM57/SUMIF('船长每月数据(2023年)'!$E:$E,$C:$C,'船长每月数据(2023年)'!$R:$R),0)</f>
        <v>0</v>
      </c>
      <c r="AO57" s="20">
        <f>SUMIFS('船长每月数据(2023年)'!P:P,'船长每月数据(2023年)'!F:F,$AO$2,'船长每月数据(2023年)'!E:E,C:C)</f>
        <v>0</v>
      </c>
      <c r="AP57" s="21">
        <f>IFERROR(AO57/SUMIF('船长每月数据(2023年)'!$E:$E,$C:$C,'船长每月数据(2023年)'!$P:$P),0)</f>
        <v>0</v>
      </c>
      <c r="AQ57" s="38">
        <f>SUMIFS('船长每月数据(2023年)'!$R:$R,'船长每月数据(2023年)'!$F:$F,$AQ$2,'船长每月数据(2023年)'!$E:$E,$C:$C)</f>
        <v>0</v>
      </c>
      <c r="AR57" s="21">
        <f>IFERROR(AQ57/SUMIF('船长每月数据(2023年)'!$E:$E,$C:$C,'船长每月数据(2023年)'!$R:$R),0)</f>
        <v>0</v>
      </c>
      <c r="AS57" s="20">
        <f>SUMIFS('船长每月数据(2023年)'!$P:$P,'船长每月数据(2023年)'!$F:$F,$AS$2,'船长每月数据(2023年)'!$E:$E,$C:$C)</f>
        <v>0</v>
      </c>
      <c r="AT57" s="21">
        <f>IFERROR(AS57/SUMIF('船长每月数据(2023年)'!$E:$E,$C:$C,'船长每月数据(2023年)'!$P:$P),0)</f>
        <v>0</v>
      </c>
      <c r="AU57" s="38">
        <f>SUMIFS('船长每月数据(2023年)'!$R:$R,'船长每月数据(2023年)'!$F:$F,$AU$2,'船长每月数据(2023年)'!$E:$E,$C:$C)</f>
        <v>0</v>
      </c>
      <c r="AV57" s="21">
        <f>IFERROR(AU57/SUMIF('船长每月数据(2023年)'!$E:$E,$C:$C,'船长每月数据(2023年)'!$R:$R),0)</f>
        <v>0</v>
      </c>
      <c r="AW57" s="20">
        <f>SUMIFS('船长每月数据(2023年)'!$P:$P,'船长每月数据(2023年)'!$F:$F,$AW$2,'船长每月数据(2023年)'!$E:$E,$C:$C)</f>
        <v>0</v>
      </c>
      <c r="AX57" s="21">
        <f>IFERROR(AW57/SUMIF('船长每月数据(2023年)'!$E:$E,$C:$C,'船长每月数据(2023年)'!$P:$P),0)</f>
        <v>0</v>
      </c>
      <c r="AY57" s="38">
        <f>SUMIFS('船长每月数据(2023年)'!$R:$R,'船长每月数据(2023年)'!$F:$F,$AY$2,'船长每月数据(2023年)'!$E:$E,$C:$C)</f>
        <v>0</v>
      </c>
      <c r="AZ57" s="21">
        <f>IFERROR(AY57/SUMIF('船长每月数据(2023年)'!$E:$E,$C:$C,'船长每月数据(2023年)'!$R:$R),0)</f>
        <v>0</v>
      </c>
      <c r="BA57" s="20">
        <f>SUMIFS('船长每月数据(2023年)'!$P:$P,'船长每月数据(2023年)'!$F:$F,$BA$2,'船长每月数据(2023年)'!$E:$E,$C:$C)</f>
        <v>0</v>
      </c>
      <c r="BB57" s="21">
        <f>IFERROR(BA57/SUMIF('船长每月数据(2023年)'!$E:$E,$C:$C,'船长每月数据(2023年)'!$P:$P),0)</f>
        <v>0</v>
      </c>
      <c r="BC57" s="38">
        <f>SUMIFS('船长每月数据(2023年)'!$R:$R,'船长每月数据(2023年)'!$F:$F,$BC$2,'船长每月数据(2023年)'!$E:$E,$C:$C)</f>
        <v>0</v>
      </c>
      <c r="BD57" s="21">
        <f>IFERROR(BC57/SUMIF('船长每月数据(2023年)'!$E:$E,$C:$C,'船长每月数据(2023年)'!$R:$R),0)</f>
        <v>0</v>
      </c>
      <c r="BE57" s="20">
        <f>SUMIFS('船长每月数据(2023年)'!$P:$P,'船长每月数据(2023年)'!$F:$F,$BE$2,'船长每月数据(2023年)'!$E:$E,$C:$C)</f>
        <v>0</v>
      </c>
      <c r="BF57" s="21">
        <f>IFERROR(BE57/SUMIF('船长每月数据(2023年)'!$E:$E,$C:$C,'船长每月数据(2023年)'!$P:$P),0)</f>
        <v>0</v>
      </c>
      <c r="BG57" s="38">
        <f>SUMIFS('船长每月数据(2023年)'!$R:$R,'船长每月数据(2023年)'!$F:$F,$BG$2,'船长每月数据(2023年)'!$E:$E,$C:$C)</f>
        <v>0</v>
      </c>
      <c r="BH57" s="21">
        <f>IFERROR(BG57/SUMIF('船长每月数据(2023年)'!$E:$E,$C:$C,'船长每月数据(2023年)'!$R:$R),0)</f>
        <v>0</v>
      </c>
      <c r="BI57" s="20">
        <f>SUMIFS('船长每月数据(2023年)'!$P:$P,'船长每月数据(2023年)'!$F:$F,$BI$2,'船长每月数据(2023年)'!$E:$E,$C:$C)</f>
        <v>0</v>
      </c>
      <c r="BJ57" s="21">
        <f>IFERROR(BI57/SUMIF('船长每月数据(2023年)'!$E:$E,$C:$C,'船长每月数据(2023年)'!$P:$P),0)</f>
        <v>0</v>
      </c>
      <c r="BK57" s="38">
        <f>SUMIFS('船长每月数据(2023年)'!$R:$R,'船长每月数据(2023年)'!$F:$F,$BK$2,'船长每月数据(2023年)'!$E:$E,$C:$C)</f>
        <v>0</v>
      </c>
      <c r="BL57" s="21">
        <f>IFERROR(BK57/SUMIF('船长每月数据(2023年)'!$E:$E,$C:$C,'船长每月数据(2023年)'!$R:$R),0)</f>
        <v>0</v>
      </c>
      <c r="BM57" s="20">
        <f>SUMIFS('船长每月数据(2023年)'!$P:$P,'船长每月数据(2023年)'!$F:$F,$BM$2,'船长每月数据(2023年)'!$E:$E,$C:$C)</f>
        <v>0</v>
      </c>
      <c r="BN57" s="21">
        <f>IFERROR(BM57/SUMIF('船长每月数据(2023年)'!$E:$E,$C:$C,'船长每月数据(2023年)'!$P:$P),0)</f>
        <v>0</v>
      </c>
      <c r="BO57" s="38">
        <f>SUMIFS('船长每月数据(2023年)'!$R:$R,'船长每月数据(2023年)'!$F:$F,$BO$2,'船长每月数据(2023年)'!$E:$E,$C:$C)</f>
        <v>0</v>
      </c>
      <c r="BP57" s="21">
        <f>IFERROR(BO57/SUMIF('船长每月数据(2023年)'!$E:$E,$C:$C,'船长每月数据(2023年)'!$R:$R),0)</f>
        <v>0</v>
      </c>
      <c r="BQ57" s="20">
        <f>SUMIFS('船长每月数据(2023年)'!$P:$P,'船长每月数据(2023年)'!$F:$F,$BQ$2,'船长每月数据(2023年)'!$E:$E,$C:$C)</f>
        <v>0</v>
      </c>
      <c r="BR57" s="21">
        <f>IFERROR(BQ57/SUMIF('船长每月数据(2023年)'!$E:$E,$C:$C,'船长每月数据(2023年)'!$P:$P),0)</f>
        <v>0</v>
      </c>
      <c r="BS57" s="38">
        <f>SUMIFS('船长每月数据(2023年)'!$R:$R,'船长每月数据(2023年)'!$F:$F,$BS$2,'船长每月数据(2023年)'!$E:$E,$C:$C)</f>
        <v>0</v>
      </c>
      <c r="BT57" s="21">
        <f>IFERROR(BS57/SUMIF('船长每月数据(2023年)'!$E:$E,$C:$C,'船长每月数据(2023年)'!$R:$R),0)</f>
        <v>0</v>
      </c>
      <c r="BU57" s="20">
        <f>SUMIFS('船长每月数据(2023年)'!$P:$P,'船长每月数据(2023年)'!$F:$F,$BU$2,'船长每月数据(2023年)'!$E:$E,$C:$C)</f>
        <v>0</v>
      </c>
      <c r="BV57" s="21">
        <f>IFERROR(BU57/SUMIF('船长每月数据(2023年)'!$E:$E,$C:$C,'船长每月数据(2023年)'!$P:$P),0)</f>
        <v>0</v>
      </c>
      <c r="BW57" s="38">
        <f>SUMIFS('船长每月数据(2023年)'!$R:$R,'船长每月数据(2023年)'!$F:$F,$BW$2,'船长每月数据(2023年)'!$E:$E,$C:$C)</f>
        <v>0</v>
      </c>
      <c r="BX57" s="21">
        <f>IFERROR(BW57/SUMIF('船长每月数据(2023年)'!$E:$E,$C:$C,'船长每月数据(2023年)'!$R:$R),0)</f>
        <v>0</v>
      </c>
    </row>
    <row r="58" ht="23" customHeight="1" spans="1:76">
      <c r="A58" s="83"/>
      <c r="B58" s="36"/>
      <c r="C58" s="20"/>
      <c r="D58" s="74"/>
      <c r="E58" s="20">
        <f>SUMIFS('船长每月数据(2022年)'!$P:$P,'船长每月数据(2022年)'!$F:$F,$E$2,'船长每月数据(2022年)'!E:E,C:C)</f>
        <v>0</v>
      </c>
      <c r="F58" s="85">
        <f>SUMIFS('船长每月数据(2022年)'!$R:$R,'船长每月数据(2022年)'!$F:$F,$F$2,'船长每月数据(2022年)'!E:E,C:C)</f>
        <v>0</v>
      </c>
      <c r="G58" s="20">
        <f>SUMIFS('船长每月数据(2022年)'!$P:$P,'船长每月数据(2022年)'!$F:$F,$G$2,'船长每月数据(2022年)'!$E:$E,$C:$C)</f>
        <v>0</v>
      </c>
      <c r="H58" s="85">
        <f>SUMIFS('船长每月数据(2022年)'!$R:$R,'船长每月数据(2022年)'!$F:$F,$H$2,'船长每月数据(2022年)'!$E:$E,$C:$C)</f>
        <v>0</v>
      </c>
      <c r="I58" s="20">
        <f>SUMIFS('船长每月数据(2022年)'!$P:$P,'船长每月数据(2022年)'!$F:$F,$I$2,'船长每月数据(2022年)'!$E:$E,$C:$C)</f>
        <v>0</v>
      </c>
      <c r="J58" s="85">
        <f>SUMIFS('船长每月数据(2022年)'!$R:$R,'船长每月数据(2022年)'!$F:$F,$J$2,'船长每月数据(2022年)'!$E:$E,$C:$C)</f>
        <v>0</v>
      </c>
      <c r="K58" s="20">
        <f>SUMIFS('船长每月数据(2022年)'!$P:$P,'船长每月数据(2022年)'!$F:$F,$K$2,'船长每月数据(2022年)'!$E:$E,$C:$C)</f>
        <v>0</v>
      </c>
      <c r="L58" s="85">
        <f>SUMIFS('船长每月数据(2022年)'!$R:$R,'船长每月数据(2022年)'!$F:$F,$L$2,'船长每月数据(2022年)'!$E:$E,$C:$C)</f>
        <v>0</v>
      </c>
      <c r="M58" s="20">
        <f>SUMIFS('船长每月数据(2022年)'!$P:$P,'船长每月数据(2022年)'!$F:$F,$M$2,'船长每月数据(2022年)'!$E:$E,$C:$C)</f>
        <v>0</v>
      </c>
      <c r="N58" s="85">
        <f>SUMIFS('船长每月数据(2022年)'!$R:$R,'船长每月数据(2022年)'!$F:$F,$N$2,'船长每月数据(2022年)'!$E:$E,$C:$C)</f>
        <v>0</v>
      </c>
      <c r="O58" s="20">
        <f>SUMIFS('船长每月数据(2022年)'!$P:$P,'船长每月数据(2022年)'!$F:$F,$O$2,'船长每月数据(2022年)'!$E:$E,$C:$C)</f>
        <v>0</v>
      </c>
      <c r="P58" s="85">
        <f>SUMIFS('船长每月数据(2022年)'!$R:$R,'船长每月数据(2022年)'!$F:$F,$P$2,'船长每月数据(2022年)'!$E:$E,$C:$C)</f>
        <v>0</v>
      </c>
      <c r="Q58" s="20">
        <f>SUMIFS('船长每月数据(2022年)'!$P:$P,'船长每月数据(2022年)'!$F:$F,$Q$2,'船长每月数据(2022年)'!$E:$E,$C:$C)</f>
        <v>0</v>
      </c>
      <c r="R58" s="85">
        <f>SUMIFS('船长每月数据(2022年)'!$R:$R,'船长每月数据(2022年)'!$F:$F,$R$2,'船长每月数据(2022年)'!$E:$E,$C:$C)</f>
        <v>0</v>
      </c>
      <c r="S58" s="20">
        <f>SUMIFS('船长每月数据(2022年)'!$P:$P,'船长每月数据(2022年)'!$F:$F,$S$2,'船长每月数据(2022年)'!$E:$E,$C:$C)</f>
        <v>0</v>
      </c>
      <c r="T58" s="85">
        <f>SUMIFS('船长每月数据(2022年)'!$R:$R,'船长每月数据(2022年)'!$F:$F,$T$2,'船长每月数据(2022年)'!$E:$E,$C:$C)</f>
        <v>0</v>
      </c>
      <c r="U58" s="20">
        <f>SUMIFS('船长每月数据(2022年)'!$P:$P,'船长每月数据(2022年)'!$F:$F,$U$2,'船长每月数据(2022年)'!$E:$E,$C:$C)</f>
        <v>0</v>
      </c>
      <c r="V58" s="85">
        <f>SUMIFS('船长每月数据(2022年)'!$R:$R,'船长每月数据(2022年)'!$F:$F,$V$2,'船长每月数据(2022年)'!$E:$E,$C:$C)</f>
        <v>0</v>
      </c>
      <c r="W58" s="20">
        <f>SUMIFS('船长每月数据(2022年)'!$P:$P,'船长每月数据(2022年)'!$F:$F,$W$2,'船长每月数据(2022年)'!$E:$E,$C:$C)</f>
        <v>0</v>
      </c>
      <c r="X58" s="85">
        <f>SUMIFS('船长每月数据(2022年)'!$R:$R,'船长每月数据(2022年)'!$F:$F,$X$2,'船长每月数据(2022年)'!$E:$E,$C:$C)</f>
        <v>0</v>
      </c>
      <c r="Y58" s="20">
        <f>SUMIFS('船长每月数据(2022年)'!$P:$P,'船长每月数据(2022年)'!$F:$F,$Y$2,'船长每月数据(2022年)'!$E:$E,$C:$C)</f>
        <v>0</v>
      </c>
      <c r="Z58" s="85">
        <f>SUMIFS('船长每月数据(2022年)'!$R:$R,'船长每月数据(2022年)'!$F:$F,$Z$2,'船长每月数据(2022年)'!$E:$E,$C:$C)</f>
        <v>0</v>
      </c>
      <c r="AA58" s="20">
        <f>SUMIFS('船长每月数据(2022年)'!$P:$P,'船长每月数据(2022年)'!$F:$F,$AA$2,'船长每月数据(2022年)'!$E:$E,$C:$C)</f>
        <v>0</v>
      </c>
      <c r="AB58" s="85">
        <f>SUMIFS('船长每月数据(2022年)'!$R:$R,'船长每月数据(2022年)'!$F:$F,$AB$2,'船长每月数据(2022年)'!$E:$E,$C:$C)</f>
        <v>0</v>
      </c>
      <c r="AC58" s="20">
        <f>SUMIFS('船长每月数据(2023年)'!P:P,'船长每月数据(2023年)'!F:F,$AC$2,'船长每月数据(2023年)'!E:E,C:C)</f>
        <v>0</v>
      </c>
      <c r="AD58" s="21">
        <f>IFERROR(AC58/SUMIF('船长每月数据(2023年)'!$E:$E,C:C,'船长每月数据(2023年)'!P:P),0)</f>
        <v>0</v>
      </c>
      <c r="AE58" s="38">
        <f>SUMIFS('船长每月数据(2023年)'!$R:$R,'船长每月数据(2023年)'!$F:$F,$AE$2,'船长每月数据(2023年)'!$E:$E,$C:$C)</f>
        <v>0</v>
      </c>
      <c r="AF58" s="21">
        <f>IFERROR(AE58/SUMIF('船长每月数据(2023年)'!E:E,C:C,'船长每月数据(2023年)'!R:R),0)</f>
        <v>0</v>
      </c>
      <c r="AG58" s="20">
        <f>SUMIFS('船长每月数据(2023年)'!P:P,'船长每月数据(2023年)'!F:F,$AG$2,'船长每月数据(2023年)'!E:E,C:C)</f>
        <v>0</v>
      </c>
      <c r="AH58" s="21">
        <f>IFERROR(AG58/SUMIF('船长每月数据(2023年)'!$E:$E,$C:$C,'船长每月数据(2023年)'!$P:$P),0)</f>
        <v>0</v>
      </c>
      <c r="AI58" s="38">
        <f>SUMIFS('船长每月数据(2023年)'!$R:$R,'船长每月数据(2023年)'!$F:$F,$AI$2,'船长每月数据(2023年)'!$E:$E,$C:$C)</f>
        <v>0</v>
      </c>
      <c r="AJ58" s="21">
        <f>IFERROR(AI58/SUMIF('船长每月数据(2023年)'!$E:$E,$C:$C,'船长每月数据(2023年)'!$R:$R),0)</f>
        <v>0</v>
      </c>
      <c r="AK58" s="20">
        <f>SUMIFS('船长每月数据(2023年)'!P:P,'船长每月数据(2023年)'!F:F,$AK$2,'船长每月数据(2023年)'!E:E,C:C)</f>
        <v>0</v>
      </c>
      <c r="AL58" s="21">
        <f>IFERROR(AK58/SUMIF('船长每月数据(2023年)'!$E:$E,$C:$C,'船长每月数据(2023年)'!$P:$P),0)</f>
        <v>0</v>
      </c>
      <c r="AM58" s="38">
        <f>SUMIFS('船长每月数据(2023年)'!$R:$R,'船长每月数据(2023年)'!$F:$F,$AM$2,'船长每月数据(2023年)'!$E:$E,$C:$C)</f>
        <v>0</v>
      </c>
      <c r="AN58" s="21">
        <f>IFERROR(AM58/SUMIF('船长每月数据(2023年)'!$E:$E,$C:$C,'船长每月数据(2023年)'!$R:$R),0)</f>
        <v>0</v>
      </c>
      <c r="AO58" s="20">
        <f>SUMIFS('船长每月数据(2023年)'!P:P,'船长每月数据(2023年)'!F:F,$AO$2,'船长每月数据(2023年)'!E:E,C:C)</f>
        <v>0</v>
      </c>
      <c r="AP58" s="21">
        <f>IFERROR(AO58/SUMIF('船长每月数据(2023年)'!$E:$E,$C:$C,'船长每月数据(2023年)'!$P:$P),0)</f>
        <v>0</v>
      </c>
      <c r="AQ58" s="38">
        <f>SUMIFS('船长每月数据(2023年)'!$R:$R,'船长每月数据(2023年)'!$F:$F,$AQ$2,'船长每月数据(2023年)'!$E:$E,$C:$C)</f>
        <v>0</v>
      </c>
      <c r="AR58" s="21">
        <f>IFERROR(AQ58/SUMIF('船长每月数据(2023年)'!$E:$E,$C:$C,'船长每月数据(2023年)'!$R:$R),0)</f>
        <v>0</v>
      </c>
      <c r="AS58" s="20">
        <f>SUMIFS('船长每月数据(2023年)'!$P:$P,'船长每月数据(2023年)'!$F:$F,$AS$2,'船长每月数据(2023年)'!$E:$E,$C:$C)</f>
        <v>0</v>
      </c>
      <c r="AT58" s="21">
        <f>IFERROR(AS58/SUMIF('船长每月数据(2023年)'!$E:$E,$C:$C,'船长每月数据(2023年)'!$P:$P),0)</f>
        <v>0</v>
      </c>
      <c r="AU58" s="38">
        <f>SUMIFS('船长每月数据(2023年)'!$R:$R,'船长每月数据(2023年)'!$F:$F,$AU$2,'船长每月数据(2023年)'!$E:$E,$C:$C)</f>
        <v>0</v>
      </c>
      <c r="AV58" s="21">
        <f>IFERROR(AU58/SUMIF('船长每月数据(2023年)'!$E:$E,$C:$C,'船长每月数据(2023年)'!$R:$R),0)</f>
        <v>0</v>
      </c>
      <c r="AW58" s="20">
        <f>SUMIFS('船长每月数据(2023年)'!$P:$P,'船长每月数据(2023年)'!$F:$F,$AW$2,'船长每月数据(2023年)'!$E:$E,$C:$C)</f>
        <v>0</v>
      </c>
      <c r="AX58" s="21">
        <f>IFERROR(AW58/SUMIF('船长每月数据(2023年)'!$E:$E,$C:$C,'船长每月数据(2023年)'!$P:$P),0)</f>
        <v>0</v>
      </c>
      <c r="AY58" s="38">
        <f>SUMIFS('船长每月数据(2023年)'!$R:$R,'船长每月数据(2023年)'!$F:$F,$AY$2,'船长每月数据(2023年)'!$E:$E,$C:$C)</f>
        <v>0</v>
      </c>
      <c r="AZ58" s="21">
        <f>IFERROR(AY58/SUMIF('船长每月数据(2023年)'!$E:$E,$C:$C,'船长每月数据(2023年)'!$R:$R),0)</f>
        <v>0</v>
      </c>
      <c r="BA58" s="20">
        <f>SUMIFS('船长每月数据(2023年)'!$P:$P,'船长每月数据(2023年)'!$F:$F,$BA$2,'船长每月数据(2023年)'!$E:$E,$C:$C)</f>
        <v>0</v>
      </c>
      <c r="BB58" s="21">
        <f>IFERROR(BA58/SUMIF('船长每月数据(2023年)'!$E:$E,$C:$C,'船长每月数据(2023年)'!$P:$P),0)</f>
        <v>0</v>
      </c>
      <c r="BC58" s="38">
        <f>SUMIFS('船长每月数据(2023年)'!$R:$R,'船长每月数据(2023年)'!$F:$F,$BC$2,'船长每月数据(2023年)'!$E:$E,$C:$C)</f>
        <v>0</v>
      </c>
      <c r="BD58" s="21">
        <f>IFERROR(BC58/SUMIF('船长每月数据(2023年)'!$E:$E,$C:$C,'船长每月数据(2023年)'!$R:$R),0)</f>
        <v>0</v>
      </c>
      <c r="BE58" s="20">
        <f>SUMIFS('船长每月数据(2023年)'!$P:$P,'船长每月数据(2023年)'!$F:$F,$BE$2,'船长每月数据(2023年)'!$E:$E,$C:$C)</f>
        <v>0</v>
      </c>
      <c r="BF58" s="21">
        <f>IFERROR(BE58/SUMIF('船长每月数据(2023年)'!$E:$E,$C:$C,'船长每月数据(2023年)'!$P:$P),0)</f>
        <v>0</v>
      </c>
      <c r="BG58" s="38">
        <f>SUMIFS('船长每月数据(2023年)'!$R:$R,'船长每月数据(2023年)'!$F:$F,$BG$2,'船长每月数据(2023年)'!$E:$E,$C:$C)</f>
        <v>0</v>
      </c>
      <c r="BH58" s="21">
        <f>IFERROR(BG58/SUMIF('船长每月数据(2023年)'!$E:$E,$C:$C,'船长每月数据(2023年)'!$R:$R),0)</f>
        <v>0</v>
      </c>
      <c r="BI58" s="20">
        <f>SUMIFS('船长每月数据(2023年)'!$P:$P,'船长每月数据(2023年)'!$F:$F,$BI$2,'船长每月数据(2023年)'!$E:$E,$C:$C)</f>
        <v>0</v>
      </c>
      <c r="BJ58" s="21">
        <f>IFERROR(BI58/SUMIF('船长每月数据(2023年)'!$E:$E,$C:$C,'船长每月数据(2023年)'!$P:$P),0)</f>
        <v>0</v>
      </c>
      <c r="BK58" s="38">
        <f>SUMIFS('船长每月数据(2023年)'!$R:$R,'船长每月数据(2023年)'!$F:$F,$BK$2,'船长每月数据(2023年)'!$E:$E,$C:$C)</f>
        <v>0</v>
      </c>
      <c r="BL58" s="21">
        <f>IFERROR(BK58/SUMIF('船长每月数据(2023年)'!$E:$E,$C:$C,'船长每月数据(2023年)'!$R:$R),0)</f>
        <v>0</v>
      </c>
      <c r="BM58" s="20">
        <f>SUMIFS('船长每月数据(2023年)'!$P:$P,'船长每月数据(2023年)'!$F:$F,$BM$2,'船长每月数据(2023年)'!$E:$E,$C:$C)</f>
        <v>0</v>
      </c>
      <c r="BN58" s="21">
        <f>IFERROR(BM58/SUMIF('船长每月数据(2023年)'!$E:$E,$C:$C,'船长每月数据(2023年)'!$P:$P),0)</f>
        <v>0</v>
      </c>
      <c r="BO58" s="38">
        <f>SUMIFS('船长每月数据(2023年)'!$R:$R,'船长每月数据(2023年)'!$F:$F,$BO$2,'船长每月数据(2023年)'!$E:$E,$C:$C)</f>
        <v>0</v>
      </c>
      <c r="BP58" s="21">
        <f>IFERROR(BO58/SUMIF('船长每月数据(2023年)'!$E:$E,$C:$C,'船长每月数据(2023年)'!$R:$R),0)</f>
        <v>0</v>
      </c>
      <c r="BQ58" s="20">
        <f>SUMIFS('船长每月数据(2023年)'!$P:$P,'船长每月数据(2023年)'!$F:$F,$BQ$2,'船长每月数据(2023年)'!$E:$E,$C:$C)</f>
        <v>0</v>
      </c>
      <c r="BR58" s="21">
        <f>IFERROR(BQ58/SUMIF('船长每月数据(2023年)'!$E:$E,$C:$C,'船长每月数据(2023年)'!$P:$P),0)</f>
        <v>0</v>
      </c>
      <c r="BS58" s="38">
        <f>SUMIFS('船长每月数据(2023年)'!$R:$R,'船长每月数据(2023年)'!$F:$F,$BS$2,'船长每月数据(2023年)'!$E:$E,$C:$C)</f>
        <v>0</v>
      </c>
      <c r="BT58" s="21">
        <f>IFERROR(BS58/SUMIF('船长每月数据(2023年)'!$E:$E,$C:$C,'船长每月数据(2023年)'!$R:$R),0)</f>
        <v>0</v>
      </c>
      <c r="BU58" s="20">
        <f>SUMIFS('船长每月数据(2023年)'!$P:$P,'船长每月数据(2023年)'!$F:$F,$BU$2,'船长每月数据(2023年)'!$E:$E,$C:$C)</f>
        <v>0</v>
      </c>
      <c r="BV58" s="21">
        <f>IFERROR(BU58/SUMIF('船长每月数据(2023年)'!$E:$E,$C:$C,'船长每月数据(2023年)'!$P:$P),0)</f>
        <v>0</v>
      </c>
      <c r="BW58" s="38">
        <f>SUMIFS('船长每月数据(2023年)'!$R:$R,'船长每月数据(2023年)'!$F:$F,$BW$2,'船长每月数据(2023年)'!$E:$E,$C:$C)</f>
        <v>0</v>
      </c>
      <c r="BX58" s="21">
        <f>IFERROR(BW58/SUMIF('船长每月数据(2023年)'!$E:$E,$C:$C,'船长每月数据(2023年)'!$R:$R),0)</f>
        <v>0</v>
      </c>
    </row>
    <row r="59" ht="23" customHeight="1" spans="1:76">
      <c r="A59" s="83"/>
      <c r="B59" s="36"/>
      <c r="C59" s="20"/>
      <c r="D59" s="74"/>
      <c r="E59" s="20">
        <f>SUMIFS('船长每月数据(2022年)'!$P:$P,'船长每月数据(2022年)'!$F:$F,$E$2,'船长每月数据(2022年)'!E:E,C:C)</f>
        <v>0</v>
      </c>
      <c r="F59" s="85">
        <f>SUMIFS('船长每月数据(2022年)'!$R:$R,'船长每月数据(2022年)'!$F:$F,$F$2,'船长每月数据(2022年)'!E:E,C:C)</f>
        <v>0</v>
      </c>
      <c r="G59" s="20">
        <f>SUMIFS('船长每月数据(2022年)'!$P:$P,'船长每月数据(2022年)'!$F:$F,$G$2,'船长每月数据(2022年)'!$E:$E,$C:$C)</f>
        <v>0</v>
      </c>
      <c r="H59" s="85">
        <f>SUMIFS('船长每月数据(2022年)'!$R:$R,'船长每月数据(2022年)'!$F:$F,$H$2,'船长每月数据(2022年)'!$E:$E,$C:$C)</f>
        <v>0</v>
      </c>
      <c r="I59" s="20">
        <f>SUMIFS('船长每月数据(2022年)'!$P:$P,'船长每月数据(2022年)'!$F:$F,$I$2,'船长每月数据(2022年)'!$E:$E,$C:$C)</f>
        <v>0</v>
      </c>
      <c r="J59" s="85">
        <f>SUMIFS('船长每月数据(2022年)'!$R:$R,'船长每月数据(2022年)'!$F:$F,$J$2,'船长每月数据(2022年)'!$E:$E,$C:$C)</f>
        <v>0</v>
      </c>
      <c r="K59" s="20">
        <f>SUMIFS('船长每月数据(2022年)'!$P:$P,'船长每月数据(2022年)'!$F:$F,$K$2,'船长每月数据(2022年)'!$E:$E,$C:$C)</f>
        <v>0</v>
      </c>
      <c r="L59" s="85">
        <f>SUMIFS('船长每月数据(2022年)'!$R:$R,'船长每月数据(2022年)'!$F:$F,$L$2,'船长每月数据(2022年)'!$E:$E,$C:$C)</f>
        <v>0</v>
      </c>
      <c r="M59" s="20">
        <f>SUMIFS('船长每月数据(2022年)'!$P:$P,'船长每月数据(2022年)'!$F:$F,$M$2,'船长每月数据(2022年)'!$E:$E,$C:$C)</f>
        <v>0</v>
      </c>
      <c r="N59" s="85">
        <f>SUMIFS('船长每月数据(2022年)'!$R:$R,'船长每月数据(2022年)'!$F:$F,$N$2,'船长每月数据(2022年)'!$E:$E,$C:$C)</f>
        <v>0</v>
      </c>
      <c r="O59" s="20">
        <f>SUMIFS('船长每月数据(2022年)'!$P:$P,'船长每月数据(2022年)'!$F:$F,$O$2,'船长每月数据(2022年)'!$E:$E,$C:$C)</f>
        <v>0</v>
      </c>
      <c r="P59" s="85">
        <f>SUMIFS('船长每月数据(2022年)'!$R:$R,'船长每月数据(2022年)'!$F:$F,$P$2,'船长每月数据(2022年)'!$E:$E,$C:$C)</f>
        <v>0</v>
      </c>
      <c r="Q59" s="20">
        <f>SUMIFS('船长每月数据(2022年)'!$P:$P,'船长每月数据(2022年)'!$F:$F,$Q$2,'船长每月数据(2022年)'!$E:$E,$C:$C)</f>
        <v>0</v>
      </c>
      <c r="R59" s="85">
        <f>SUMIFS('船长每月数据(2022年)'!$R:$R,'船长每月数据(2022年)'!$F:$F,$R$2,'船长每月数据(2022年)'!$E:$E,$C:$C)</f>
        <v>0</v>
      </c>
      <c r="S59" s="20">
        <f>SUMIFS('船长每月数据(2022年)'!$P:$P,'船长每月数据(2022年)'!$F:$F,$S$2,'船长每月数据(2022年)'!$E:$E,$C:$C)</f>
        <v>0</v>
      </c>
      <c r="T59" s="85">
        <f>SUMIFS('船长每月数据(2022年)'!$R:$R,'船长每月数据(2022年)'!$F:$F,$T$2,'船长每月数据(2022年)'!$E:$E,$C:$C)</f>
        <v>0</v>
      </c>
      <c r="U59" s="20">
        <f>SUMIFS('船长每月数据(2022年)'!$P:$P,'船长每月数据(2022年)'!$F:$F,$U$2,'船长每月数据(2022年)'!$E:$E,$C:$C)</f>
        <v>0</v>
      </c>
      <c r="V59" s="85">
        <f>SUMIFS('船长每月数据(2022年)'!$R:$R,'船长每月数据(2022年)'!$F:$F,$V$2,'船长每月数据(2022年)'!$E:$E,$C:$C)</f>
        <v>0</v>
      </c>
      <c r="W59" s="20">
        <f>SUMIFS('船长每月数据(2022年)'!$P:$P,'船长每月数据(2022年)'!$F:$F,$W$2,'船长每月数据(2022年)'!$E:$E,$C:$C)</f>
        <v>0</v>
      </c>
      <c r="X59" s="85">
        <f>SUMIFS('船长每月数据(2022年)'!$R:$R,'船长每月数据(2022年)'!$F:$F,$X$2,'船长每月数据(2022年)'!$E:$E,$C:$C)</f>
        <v>0</v>
      </c>
      <c r="Y59" s="20">
        <f>SUMIFS('船长每月数据(2022年)'!$P:$P,'船长每月数据(2022年)'!$F:$F,$Y$2,'船长每月数据(2022年)'!$E:$E,$C:$C)</f>
        <v>0</v>
      </c>
      <c r="Z59" s="85">
        <f>SUMIFS('船长每月数据(2022年)'!$R:$R,'船长每月数据(2022年)'!$F:$F,$Z$2,'船长每月数据(2022年)'!$E:$E,$C:$C)</f>
        <v>0</v>
      </c>
      <c r="AA59" s="20">
        <f>SUMIFS('船长每月数据(2022年)'!$P:$P,'船长每月数据(2022年)'!$F:$F,$AA$2,'船长每月数据(2022年)'!$E:$E,$C:$C)</f>
        <v>0</v>
      </c>
      <c r="AB59" s="85">
        <f>SUMIFS('船长每月数据(2022年)'!$R:$R,'船长每月数据(2022年)'!$F:$F,$AB$2,'船长每月数据(2022年)'!$E:$E,$C:$C)</f>
        <v>0</v>
      </c>
      <c r="AC59" s="20">
        <f>SUMIFS('船长每月数据(2023年)'!P:P,'船长每月数据(2023年)'!F:F,$AC$2,'船长每月数据(2023年)'!E:E,C:C)</f>
        <v>0</v>
      </c>
      <c r="AD59" s="21">
        <f>IFERROR(AC59/SUMIF('船长每月数据(2023年)'!$E:$E,C:C,'船长每月数据(2023年)'!P:P),0)</f>
        <v>0</v>
      </c>
      <c r="AE59" s="38">
        <f>SUMIFS('船长每月数据(2023年)'!$R:$R,'船长每月数据(2023年)'!$F:$F,$AE$2,'船长每月数据(2023年)'!$E:$E,$C:$C)</f>
        <v>0</v>
      </c>
      <c r="AF59" s="21">
        <f>IFERROR(AE59/SUMIF('船长每月数据(2023年)'!E:E,C:C,'船长每月数据(2023年)'!R:R),0)</f>
        <v>0</v>
      </c>
      <c r="AG59" s="20">
        <f>SUMIFS('船长每月数据(2023年)'!P:P,'船长每月数据(2023年)'!F:F,$AG$2,'船长每月数据(2023年)'!E:E,C:C)</f>
        <v>0</v>
      </c>
      <c r="AH59" s="21">
        <f>IFERROR(AG59/SUMIF('船长每月数据(2023年)'!$E:$E,$C:$C,'船长每月数据(2023年)'!$P:$P),0)</f>
        <v>0</v>
      </c>
      <c r="AI59" s="38">
        <f>SUMIFS('船长每月数据(2023年)'!$R:$R,'船长每月数据(2023年)'!$F:$F,$AI$2,'船长每月数据(2023年)'!$E:$E,$C:$C)</f>
        <v>0</v>
      </c>
      <c r="AJ59" s="21">
        <f>IFERROR(AI59/SUMIF('船长每月数据(2023年)'!$E:$E,$C:$C,'船长每月数据(2023年)'!$R:$R),0)</f>
        <v>0</v>
      </c>
      <c r="AK59" s="20">
        <f>SUMIFS('船长每月数据(2023年)'!P:P,'船长每月数据(2023年)'!F:F,$AK$2,'船长每月数据(2023年)'!E:E,C:C)</f>
        <v>0</v>
      </c>
      <c r="AL59" s="21">
        <f>IFERROR(AK59/SUMIF('船长每月数据(2023年)'!$E:$E,$C:$C,'船长每月数据(2023年)'!$P:$P),0)</f>
        <v>0</v>
      </c>
      <c r="AM59" s="38">
        <f>SUMIFS('船长每月数据(2023年)'!$R:$R,'船长每月数据(2023年)'!$F:$F,$AM$2,'船长每月数据(2023年)'!$E:$E,$C:$C)</f>
        <v>0</v>
      </c>
      <c r="AN59" s="21">
        <f>IFERROR(AM59/SUMIF('船长每月数据(2023年)'!$E:$E,$C:$C,'船长每月数据(2023年)'!$R:$R),0)</f>
        <v>0</v>
      </c>
      <c r="AO59" s="20">
        <f>SUMIFS('船长每月数据(2023年)'!P:P,'船长每月数据(2023年)'!F:F,$AO$2,'船长每月数据(2023年)'!E:E,C:C)</f>
        <v>0</v>
      </c>
      <c r="AP59" s="21">
        <f>IFERROR(AO59/SUMIF('船长每月数据(2023年)'!$E:$E,$C:$C,'船长每月数据(2023年)'!$P:$P),0)</f>
        <v>0</v>
      </c>
      <c r="AQ59" s="38">
        <f>SUMIFS('船长每月数据(2023年)'!$R:$R,'船长每月数据(2023年)'!$F:$F,$AQ$2,'船长每月数据(2023年)'!$E:$E,$C:$C)</f>
        <v>0</v>
      </c>
      <c r="AR59" s="21">
        <f>IFERROR(AQ59/SUMIF('船长每月数据(2023年)'!$E:$E,$C:$C,'船长每月数据(2023年)'!$R:$R),0)</f>
        <v>0</v>
      </c>
      <c r="AS59" s="20">
        <f>SUMIFS('船长每月数据(2023年)'!$P:$P,'船长每月数据(2023年)'!$F:$F,$AS$2,'船长每月数据(2023年)'!$E:$E,$C:$C)</f>
        <v>0</v>
      </c>
      <c r="AT59" s="21">
        <f>IFERROR(AS59/SUMIF('船长每月数据(2023年)'!$E:$E,$C:$C,'船长每月数据(2023年)'!$P:$P),0)</f>
        <v>0</v>
      </c>
      <c r="AU59" s="38">
        <f>SUMIFS('船长每月数据(2023年)'!$R:$R,'船长每月数据(2023年)'!$F:$F,$AU$2,'船长每月数据(2023年)'!$E:$E,$C:$C)</f>
        <v>0</v>
      </c>
      <c r="AV59" s="21">
        <f>IFERROR(AU59/SUMIF('船长每月数据(2023年)'!$E:$E,$C:$C,'船长每月数据(2023年)'!$R:$R),0)</f>
        <v>0</v>
      </c>
      <c r="AW59" s="20">
        <f>SUMIFS('船长每月数据(2023年)'!$P:$P,'船长每月数据(2023年)'!$F:$F,$AW$2,'船长每月数据(2023年)'!$E:$E,$C:$C)</f>
        <v>0</v>
      </c>
      <c r="AX59" s="21">
        <f>IFERROR(AW59/SUMIF('船长每月数据(2023年)'!$E:$E,$C:$C,'船长每月数据(2023年)'!$P:$P),0)</f>
        <v>0</v>
      </c>
      <c r="AY59" s="38">
        <f>SUMIFS('船长每月数据(2023年)'!$R:$R,'船长每月数据(2023年)'!$F:$F,$AY$2,'船长每月数据(2023年)'!$E:$E,$C:$C)</f>
        <v>0</v>
      </c>
      <c r="AZ59" s="21">
        <f>IFERROR(AY59/SUMIF('船长每月数据(2023年)'!$E:$E,$C:$C,'船长每月数据(2023年)'!$R:$R),0)</f>
        <v>0</v>
      </c>
      <c r="BA59" s="20">
        <f>SUMIFS('船长每月数据(2023年)'!$P:$P,'船长每月数据(2023年)'!$F:$F,$BA$2,'船长每月数据(2023年)'!$E:$E,$C:$C)</f>
        <v>0</v>
      </c>
      <c r="BB59" s="21">
        <f>IFERROR(BA59/SUMIF('船长每月数据(2023年)'!$E:$E,$C:$C,'船长每月数据(2023年)'!$P:$P),0)</f>
        <v>0</v>
      </c>
      <c r="BC59" s="38">
        <f>SUMIFS('船长每月数据(2023年)'!$R:$R,'船长每月数据(2023年)'!$F:$F,$BC$2,'船长每月数据(2023年)'!$E:$E,$C:$C)</f>
        <v>0</v>
      </c>
      <c r="BD59" s="21">
        <f>IFERROR(BC59/SUMIF('船长每月数据(2023年)'!$E:$E,$C:$C,'船长每月数据(2023年)'!$R:$R),0)</f>
        <v>0</v>
      </c>
      <c r="BE59" s="20">
        <f>SUMIFS('船长每月数据(2023年)'!$P:$P,'船长每月数据(2023年)'!$F:$F,$BE$2,'船长每月数据(2023年)'!$E:$E,$C:$C)</f>
        <v>0</v>
      </c>
      <c r="BF59" s="21">
        <f>IFERROR(BE59/SUMIF('船长每月数据(2023年)'!$E:$E,$C:$C,'船长每月数据(2023年)'!$P:$P),0)</f>
        <v>0</v>
      </c>
      <c r="BG59" s="38">
        <f>SUMIFS('船长每月数据(2023年)'!$R:$R,'船长每月数据(2023年)'!$F:$F,$BG$2,'船长每月数据(2023年)'!$E:$E,$C:$C)</f>
        <v>0</v>
      </c>
      <c r="BH59" s="21">
        <f>IFERROR(BG59/SUMIF('船长每月数据(2023年)'!$E:$E,$C:$C,'船长每月数据(2023年)'!$R:$R),0)</f>
        <v>0</v>
      </c>
      <c r="BI59" s="20">
        <f>SUMIFS('船长每月数据(2023年)'!$P:$P,'船长每月数据(2023年)'!$F:$F,$BI$2,'船长每月数据(2023年)'!$E:$E,$C:$C)</f>
        <v>0</v>
      </c>
      <c r="BJ59" s="21">
        <f>IFERROR(BI59/SUMIF('船长每月数据(2023年)'!$E:$E,$C:$C,'船长每月数据(2023年)'!$P:$P),0)</f>
        <v>0</v>
      </c>
      <c r="BK59" s="38">
        <f>SUMIFS('船长每月数据(2023年)'!$R:$R,'船长每月数据(2023年)'!$F:$F,$BK$2,'船长每月数据(2023年)'!$E:$E,$C:$C)</f>
        <v>0</v>
      </c>
      <c r="BL59" s="21">
        <f>IFERROR(BK59/SUMIF('船长每月数据(2023年)'!$E:$E,$C:$C,'船长每月数据(2023年)'!$R:$R),0)</f>
        <v>0</v>
      </c>
      <c r="BM59" s="20">
        <f>SUMIFS('船长每月数据(2023年)'!$P:$P,'船长每月数据(2023年)'!$F:$F,$BM$2,'船长每月数据(2023年)'!$E:$E,$C:$C)</f>
        <v>0</v>
      </c>
      <c r="BN59" s="21">
        <f>IFERROR(BM59/SUMIF('船长每月数据(2023年)'!$E:$E,$C:$C,'船长每月数据(2023年)'!$P:$P),0)</f>
        <v>0</v>
      </c>
      <c r="BO59" s="38">
        <f>SUMIFS('船长每月数据(2023年)'!$R:$R,'船长每月数据(2023年)'!$F:$F,$BO$2,'船长每月数据(2023年)'!$E:$E,$C:$C)</f>
        <v>0</v>
      </c>
      <c r="BP59" s="21">
        <f>IFERROR(BO59/SUMIF('船长每月数据(2023年)'!$E:$E,$C:$C,'船长每月数据(2023年)'!$R:$R),0)</f>
        <v>0</v>
      </c>
      <c r="BQ59" s="20">
        <f>SUMIFS('船长每月数据(2023年)'!$P:$P,'船长每月数据(2023年)'!$F:$F,$BQ$2,'船长每月数据(2023年)'!$E:$E,$C:$C)</f>
        <v>0</v>
      </c>
      <c r="BR59" s="21">
        <f>IFERROR(BQ59/SUMIF('船长每月数据(2023年)'!$E:$E,$C:$C,'船长每月数据(2023年)'!$P:$P),0)</f>
        <v>0</v>
      </c>
      <c r="BS59" s="38">
        <f>SUMIFS('船长每月数据(2023年)'!$R:$R,'船长每月数据(2023年)'!$F:$F,$BS$2,'船长每月数据(2023年)'!$E:$E,$C:$C)</f>
        <v>0</v>
      </c>
      <c r="BT59" s="21">
        <f>IFERROR(BS59/SUMIF('船长每月数据(2023年)'!$E:$E,$C:$C,'船长每月数据(2023年)'!$R:$R),0)</f>
        <v>0</v>
      </c>
      <c r="BU59" s="20">
        <f>SUMIFS('船长每月数据(2023年)'!$P:$P,'船长每月数据(2023年)'!$F:$F,$BU$2,'船长每月数据(2023年)'!$E:$E,$C:$C)</f>
        <v>0</v>
      </c>
      <c r="BV59" s="21">
        <f>IFERROR(BU59/SUMIF('船长每月数据(2023年)'!$E:$E,$C:$C,'船长每月数据(2023年)'!$P:$P),0)</f>
        <v>0</v>
      </c>
      <c r="BW59" s="38">
        <f>SUMIFS('船长每月数据(2023年)'!$R:$R,'船长每月数据(2023年)'!$F:$F,$BW$2,'船长每月数据(2023年)'!$E:$E,$C:$C)</f>
        <v>0</v>
      </c>
      <c r="BX59" s="21">
        <f>IFERROR(BW59/SUMIF('船长每月数据(2023年)'!$E:$E,$C:$C,'船长每月数据(2023年)'!$R:$R),0)</f>
        <v>0</v>
      </c>
    </row>
    <row r="60" ht="23" customHeight="1" spans="1:76">
      <c r="A60" s="36"/>
      <c r="B60" s="36"/>
      <c r="C60" s="20"/>
      <c r="D60" s="74"/>
      <c r="E60" s="20">
        <f>SUMIFS('船长每月数据(2022年)'!$P:$P,'船长每月数据(2022年)'!$F:$F,$E$2,'船长每月数据(2022年)'!E:E,C:C)</f>
        <v>0</v>
      </c>
      <c r="F60" s="85">
        <f>SUMIFS('船长每月数据(2022年)'!$R:$R,'船长每月数据(2022年)'!$F:$F,$F$2,'船长每月数据(2022年)'!E:E,C:C)</f>
        <v>0</v>
      </c>
      <c r="G60" s="20">
        <f>SUMIFS('船长每月数据(2022年)'!$P:$P,'船长每月数据(2022年)'!$F:$F,$G$2,'船长每月数据(2022年)'!$E:$E,$C:$C)</f>
        <v>0</v>
      </c>
      <c r="H60" s="85">
        <f>SUMIFS('船长每月数据(2022年)'!$R:$R,'船长每月数据(2022年)'!$F:$F,$H$2,'船长每月数据(2022年)'!$E:$E,$C:$C)</f>
        <v>0</v>
      </c>
      <c r="I60" s="20">
        <f>SUMIFS('船长每月数据(2022年)'!$P:$P,'船长每月数据(2022年)'!$F:$F,$I$2,'船长每月数据(2022年)'!$E:$E,$C:$C)</f>
        <v>0</v>
      </c>
      <c r="J60" s="85">
        <f>SUMIFS('船长每月数据(2022年)'!$R:$R,'船长每月数据(2022年)'!$F:$F,$J$2,'船长每月数据(2022年)'!$E:$E,$C:$C)</f>
        <v>0</v>
      </c>
      <c r="K60" s="20">
        <f>SUMIFS('船长每月数据(2022年)'!$P:$P,'船长每月数据(2022年)'!$F:$F,$K$2,'船长每月数据(2022年)'!$E:$E,$C:$C)</f>
        <v>0</v>
      </c>
      <c r="L60" s="85">
        <f>SUMIFS('船长每月数据(2022年)'!$R:$R,'船长每月数据(2022年)'!$F:$F,$L$2,'船长每月数据(2022年)'!$E:$E,$C:$C)</f>
        <v>0</v>
      </c>
      <c r="M60" s="20">
        <f>SUMIFS('船长每月数据(2022年)'!$P:$P,'船长每月数据(2022年)'!$F:$F,$M$2,'船长每月数据(2022年)'!$E:$E,$C:$C)</f>
        <v>0</v>
      </c>
      <c r="N60" s="85">
        <f>SUMIFS('船长每月数据(2022年)'!$R:$R,'船长每月数据(2022年)'!$F:$F,$N$2,'船长每月数据(2022年)'!$E:$E,$C:$C)</f>
        <v>0</v>
      </c>
      <c r="O60" s="20">
        <f>SUMIFS('船长每月数据(2022年)'!$P:$P,'船长每月数据(2022年)'!$F:$F,$O$2,'船长每月数据(2022年)'!$E:$E,$C:$C)</f>
        <v>0</v>
      </c>
      <c r="P60" s="85">
        <f>SUMIFS('船长每月数据(2022年)'!$R:$R,'船长每月数据(2022年)'!$F:$F,$P$2,'船长每月数据(2022年)'!$E:$E,$C:$C)</f>
        <v>0</v>
      </c>
      <c r="Q60" s="20">
        <f>SUMIFS('船长每月数据(2022年)'!$P:$P,'船长每月数据(2022年)'!$F:$F,$Q$2,'船长每月数据(2022年)'!$E:$E,$C:$C)</f>
        <v>0</v>
      </c>
      <c r="R60" s="85">
        <f>SUMIFS('船长每月数据(2022年)'!$R:$R,'船长每月数据(2022年)'!$F:$F,$R$2,'船长每月数据(2022年)'!$E:$E,$C:$C)</f>
        <v>0</v>
      </c>
      <c r="S60" s="20">
        <f>SUMIFS('船长每月数据(2022年)'!$P:$P,'船长每月数据(2022年)'!$F:$F,$S$2,'船长每月数据(2022年)'!$E:$E,$C:$C)</f>
        <v>0</v>
      </c>
      <c r="T60" s="85">
        <f>SUMIFS('船长每月数据(2022年)'!$R:$R,'船长每月数据(2022年)'!$F:$F,$T$2,'船长每月数据(2022年)'!$E:$E,$C:$C)</f>
        <v>0</v>
      </c>
      <c r="U60" s="20">
        <f>SUMIFS('船长每月数据(2022年)'!$P:$P,'船长每月数据(2022年)'!$F:$F,$U$2,'船长每月数据(2022年)'!$E:$E,$C:$C)</f>
        <v>0</v>
      </c>
      <c r="V60" s="85">
        <f>SUMIFS('船长每月数据(2022年)'!$R:$R,'船长每月数据(2022年)'!$F:$F,$V$2,'船长每月数据(2022年)'!$E:$E,$C:$C)</f>
        <v>0</v>
      </c>
      <c r="W60" s="20">
        <f>SUMIFS('船长每月数据(2022年)'!$P:$P,'船长每月数据(2022年)'!$F:$F,$W$2,'船长每月数据(2022年)'!$E:$E,$C:$C)</f>
        <v>0</v>
      </c>
      <c r="X60" s="85">
        <f>SUMIFS('船长每月数据(2022年)'!$R:$R,'船长每月数据(2022年)'!$F:$F,$X$2,'船长每月数据(2022年)'!$E:$E,$C:$C)</f>
        <v>0</v>
      </c>
      <c r="Y60" s="20">
        <f>SUMIFS('船长每月数据(2022年)'!$P:$P,'船长每月数据(2022年)'!$F:$F,$Y$2,'船长每月数据(2022年)'!$E:$E,$C:$C)</f>
        <v>0</v>
      </c>
      <c r="Z60" s="85">
        <f>SUMIFS('船长每月数据(2022年)'!$R:$R,'船长每月数据(2022年)'!$F:$F,$Z$2,'船长每月数据(2022年)'!$E:$E,$C:$C)</f>
        <v>0</v>
      </c>
      <c r="AA60" s="20">
        <f>SUMIFS('船长每月数据(2022年)'!$P:$P,'船长每月数据(2022年)'!$F:$F,$AA$2,'船长每月数据(2022年)'!$E:$E,$C:$C)</f>
        <v>0</v>
      </c>
      <c r="AB60" s="85">
        <f>SUMIFS('船长每月数据(2022年)'!$R:$R,'船长每月数据(2022年)'!$F:$F,$AB$2,'船长每月数据(2022年)'!$E:$E,$C:$C)</f>
        <v>0</v>
      </c>
      <c r="AC60" s="20">
        <f>SUMIFS('船长每月数据(2023年)'!P:P,'船长每月数据(2023年)'!F:F,$AC$2,'船长每月数据(2023年)'!E:E,C:C)</f>
        <v>0</v>
      </c>
      <c r="AD60" s="21">
        <f>IFERROR(AC60/SUMIF('船长每月数据(2023年)'!$E:$E,C:C,'船长每月数据(2023年)'!P:P),0)</f>
        <v>0</v>
      </c>
      <c r="AE60" s="38">
        <f>SUMIFS('船长每月数据(2023年)'!$R:$R,'船长每月数据(2023年)'!$F:$F,$AE$2,'船长每月数据(2023年)'!$E:$E,$C:$C)</f>
        <v>0</v>
      </c>
      <c r="AF60" s="21">
        <f>IFERROR(AE60/SUMIF('船长每月数据(2023年)'!E:E,C:C,'船长每月数据(2023年)'!R:R),0)</f>
        <v>0</v>
      </c>
      <c r="AG60" s="20">
        <f>SUMIFS('船长每月数据(2023年)'!P:P,'船长每月数据(2023年)'!F:F,$AG$2,'船长每月数据(2023年)'!E:E,C:C)</f>
        <v>0</v>
      </c>
      <c r="AH60" s="21">
        <f>IFERROR(AG60/SUMIF('船长每月数据(2023年)'!$E:$E,$C:$C,'船长每月数据(2023年)'!$P:$P),0)</f>
        <v>0</v>
      </c>
      <c r="AI60" s="38">
        <f>SUMIFS('船长每月数据(2023年)'!$R:$R,'船长每月数据(2023年)'!$F:$F,$AI$2,'船长每月数据(2023年)'!$E:$E,$C:$C)</f>
        <v>0</v>
      </c>
      <c r="AJ60" s="21">
        <f>IFERROR(AI60/SUMIF('船长每月数据(2023年)'!$E:$E,$C:$C,'船长每月数据(2023年)'!$R:$R),0)</f>
        <v>0</v>
      </c>
      <c r="AK60" s="20">
        <f>SUMIFS('船长每月数据(2023年)'!P:P,'船长每月数据(2023年)'!F:F,$AK$2,'船长每月数据(2023年)'!E:E,C:C)</f>
        <v>0</v>
      </c>
      <c r="AL60" s="21">
        <f>IFERROR(AK60/SUMIF('船长每月数据(2023年)'!$E:$E,$C:$C,'船长每月数据(2023年)'!$P:$P),0)</f>
        <v>0</v>
      </c>
      <c r="AM60" s="38">
        <f>SUMIFS('船长每月数据(2023年)'!$R:$R,'船长每月数据(2023年)'!$F:$F,$AM$2,'船长每月数据(2023年)'!$E:$E,$C:$C)</f>
        <v>0</v>
      </c>
      <c r="AN60" s="21">
        <f>IFERROR(AM60/SUMIF('船长每月数据(2023年)'!$E:$E,$C:$C,'船长每月数据(2023年)'!$R:$R),0)</f>
        <v>0</v>
      </c>
      <c r="AO60" s="20">
        <f>SUMIFS('船长每月数据(2023年)'!P:P,'船长每月数据(2023年)'!F:F,$AO$2,'船长每月数据(2023年)'!E:E,C:C)</f>
        <v>0</v>
      </c>
      <c r="AP60" s="21">
        <f>IFERROR(AO60/SUMIF('船长每月数据(2023年)'!$E:$E,$C:$C,'船长每月数据(2023年)'!$P:$P),0)</f>
        <v>0</v>
      </c>
      <c r="AQ60" s="38">
        <f>SUMIFS('船长每月数据(2023年)'!$R:$R,'船长每月数据(2023年)'!$F:$F,$AQ$2,'船长每月数据(2023年)'!$E:$E,$C:$C)</f>
        <v>0</v>
      </c>
      <c r="AR60" s="21">
        <f>IFERROR(AQ60/SUMIF('船长每月数据(2023年)'!$E:$E,$C:$C,'船长每月数据(2023年)'!$R:$R),0)</f>
        <v>0</v>
      </c>
      <c r="AS60" s="20">
        <f>SUMIFS('船长每月数据(2023年)'!$P:$P,'船长每月数据(2023年)'!$F:$F,$AS$2,'船长每月数据(2023年)'!$E:$E,$C:$C)</f>
        <v>0</v>
      </c>
      <c r="AT60" s="21">
        <f>IFERROR(AS60/SUMIF('船长每月数据(2023年)'!$E:$E,$C:$C,'船长每月数据(2023年)'!$P:$P),0)</f>
        <v>0</v>
      </c>
      <c r="AU60" s="38">
        <f>SUMIFS('船长每月数据(2023年)'!$R:$R,'船长每月数据(2023年)'!$F:$F,$AU$2,'船长每月数据(2023年)'!$E:$E,$C:$C)</f>
        <v>0</v>
      </c>
      <c r="AV60" s="21">
        <f>IFERROR(AU60/SUMIF('船长每月数据(2023年)'!$E:$E,$C:$C,'船长每月数据(2023年)'!$R:$R),0)</f>
        <v>0</v>
      </c>
      <c r="AW60" s="20">
        <f>SUMIFS('船长每月数据(2023年)'!$P:$P,'船长每月数据(2023年)'!$F:$F,$AW$2,'船长每月数据(2023年)'!$E:$E,$C:$C)</f>
        <v>0</v>
      </c>
      <c r="AX60" s="21">
        <f>IFERROR(AW60/SUMIF('船长每月数据(2023年)'!$E:$E,$C:$C,'船长每月数据(2023年)'!$P:$P),0)</f>
        <v>0</v>
      </c>
      <c r="AY60" s="38">
        <f>SUMIFS('船长每月数据(2023年)'!$R:$R,'船长每月数据(2023年)'!$F:$F,$AY$2,'船长每月数据(2023年)'!$E:$E,$C:$C)</f>
        <v>0</v>
      </c>
      <c r="AZ60" s="21">
        <f>IFERROR(AY60/SUMIF('船长每月数据(2023年)'!$E:$E,$C:$C,'船长每月数据(2023年)'!$R:$R),0)</f>
        <v>0</v>
      </c>
      <c r="BA60" s="20">
        <f>SUMIFS('船长每月数据(2023年)'!$P:$P,'船长每月数据(2023年)'!$F:$F,$BA$2,'船长每月数据(2023年)'!$E:$E,$C:$C)</f>
        <v>0</v>
      </c>
      <c r="BB60" s="21">
        <f>IFERROR(BA60/SUMIF('船长每月数据(2023年)'!$E:$E,$C:$C,'船长每月数据(2023年)'!$P:$P),0)</f>
        <v>0</v>
      </c>
      <c r="BC60" s="38">
        <f>SUMIFS('船长每月数据(2023年)'!$R:$R,'船长每月数据(2023年)'!$F:$F,$BC$2,'船长每月数据(2023年)'!$E:$E,$C:$C)</f>
        <v>0</v>
      </c>
      <c r="BD60" s="21">
        <f>IFERROR(BC60/SUMIF('船长每月数据(2023年)'!$E:$E,$C:$C,'船长每月数据(2023年)'!$R:$R),0)</f>
        <v>0</v>
      </c>
      <c r="BE60" s="20">
        <f>SUMIFS('船长每月数据(2023年)'!$P:$P,'船长每月数据(2023年)'!$F:$F,$BE$2,'船长每月数据(2023年)'!$E:$E,$C:$C)</f>
        <v>0</v>
      </c>
      <c r="BF60" s="21">
        <f>IFERROR(BE60/SUMIF('船长每月数据(2023年)'!$E:$E,$C:$C,'船长每月数据(2023年)'!$P:$P),0)</f>
        <v>0</v>
      </c>
      <c r="BG60" s="38">
        <f>SUMIFS('船长每月数据(2023年)'!$R:$R,'船长每月数据(2023年)'!$F:$F,$BG$2,'船长每月数据(2023年)'!$E:$E,$C:$C)</f>
        <v>0</v>
      </c>
      <c r="BH60" s="21">
        <f>IFERROR(BG60/SUMIF('船长每月数据(2023年)'!$E:$E,$C:$C,'船长每月数据(2023年)'!$R:$R),0)</f>
        <v>0</v>
      </c>
      <c r="BI60" s="20">
        <f>SUMIFS('船长每月数据(2023年)'!$P:$P,'船长每月数据(2023年)'!$F:$F,$BI$2,'船长每月数据(2023年)'!$E:$E,$C:$C)</f>
        <v>0</v>
      </c>
      <c r="BJ60" s="21">
        <f>IFERROR(BI60/SUMIF('船长每月数据(2023年)'!$E:$E,$C:$C,'船长每月数据(2023年)'!$P:$P),0)</f>
        <v>0</v>
      </c>
      <c r="BK60" s="38">
        <f>SUMIFS('船长每月数据(2023年)'!$R:$R,'船长每月数据(2023年)'!$F:$F,$BK$2,'船长每月数据(2023年)'!$E:$E,$C:$C)</f>
        <v>0</v>
      </c>
      <c r="BL60" s="21">
        <f>IFERROR(BK60/SUMIF('船长每月数据(2023年)'!$E:$E,$C:$C,'船长每月数据(2023年)'!$R:$R),0)</f>
        <v>0</v>
      </c>
      <c r="BM60" s="20">
        <f>SUMIFS('船长每月数据(2023年)'!$P:$P,'船长每月数据(2023年)'!$F:$F,$BM$2,'船长每月数据(2023年)'!$E:$E,$C:$C)</f>
        <v>0</v>
      </c>
      <c r="BN60" s="21">
        <f>IFERROR(BM60/SUMIF('船长每月数据(2023年)'!$E:$E,$C:$C,'船长每月数据(2023年)'!$P:$P),0)</f>
        <v>0</v>
      </c>
      <c r="BO60" s="38">
        <f>SUMIFS('船长每月数据(2023年)'!$R:$R,'船长每月数据(2023年)'!$F:$F,$BO$2,'船长每月数据(2023年)'!$E:$E,$C:$C)</f>
        <v>0</v>
      </c>
      <c r="BP60" s="21">
        <f>IFERROR(BO60/SUMIF('船长每月数据(2023年)'!$E:$E,$C:$C,'船长每月数据(2023年)'!$R:$R),0)</f>
        <v>0</v>
      </c>
      <c r="BQ60" s="20">
        <f>SUMIFS('船长每月数据(2023年)'!$P:$P,'船长每月数据(2023年)'!$F:$F,$BQ$2,'船长每月数据(2023年)'!$E:$E,$C:$C)</f>
        <v>0</v>
      </c>
      <c r="BR60" s="21">
        <f>IFERROR(BQ60/SUMIF('船长每月数据(2023年)'!$E:$E,$C:$C,'船长每月数据(2023年)'!$P:$P),0)</f>
        <v>0</v>
      </c>
      <c r="BS60" s="38">
        <f>SUMIFS('船长每月数据(2023年)'!$R:$R,'船长每月数据(2023年)'!$F:$F,$BS$2,'船长每月数据(2023年)'!$E:$E,$C:$C)</f>
        <v>0</v>
      </c>
      <c r="BT60" s="21">
        <f>IFERROR(BS60/SUMIF('船长每月数据(2023年)'!$E:$E,$C:$C,'船长每月数据(2023年)'!$R:$R),0)</f>
        <v>0</v>
      </c>
      <c r="BU60" s="20">
        <f>SUMIFS('船长每月数据(2023年)'!$P:$P,'船长每月数据(2023年)'!$F:$F,$BU$2,'船长每月数据(2023年)'!$E:$E,$C:$C)</f>
        <v>0</v>
      </c>
      <c r="BV60" s="21">
        <f>IFERROR(BU60/SUMIF('船长每月数据(2023年)'!$E:$E,$C:$C,'船长每月数据(2023年)'!$P:$P),0)</f>
        <v>0</v>
      </c>
      <c r="BW60" s="38">
        <f>SUMIFS('船长每月数据(2023年)'!$R:$R,'船长每月数据(2023年)'!$F:$F,$BW$2,'船长每月数据(2023年)'!$E:$E,$C:$C)</f>
        <v>0</v>
      </c>
      <c r="BX60" s="21">
        <f>IFERROR(BW60/SUMIF('船长每月数据(2023年)'!$E:$E,$C:$C,'船长每月数据(2023年)'!$R:$R),0)</f>
        <v>0</v>
      </c>
    </row>
    <row r="61" ht="23" customHeight="1" spans="1:76">
      <c r="A61" s="36"/>
      <c r="B61" s="36"/>
      <c r="C61" s="20"/>
      <c r="D61" s="74"/>
      <c r="E61" s="20">
        <f>SUMIFS('船长每月数据(2022年)'!$P:$P,'船长每月数据(2022年)'!$F:$F,$E$2,'船长每月数据(2022年)'!E:E,C:C)</f>
        <v>0</v>
      </c>
      <c r="F61" s="85">
        <f>SUMIFS('船长每月数据(2022年)'!$R:$R,'船长每月数据(2022年)'!$F:$F,$F$2,'船长每月数据(2022年)'!E:E,C:C)</f>
        <v>0</v>
      </c>
      <c r="G61" s="20">
        <f>SUMIFS('船长每月数据(2022年)'!$P:$P,'船长每月数据(2022年)'!$F:$F,$G$2,'船长每月数据(2022年)'!$E:$E,$C:$C)</f>
        <v>0</v>
      </c>
      <c r="H61" s="85">
        <f>SUMIFS('船长每月数据(2022年)'!$R:$R,'船长每月数据(2022年)'!$F:$F,$H$2,'船长每月数据(2022年)'!$E:$E,$C:$C)</f>
        <v>0</v>
      </c>
      <c r="I61" s="20">
        <f>SUMIFS('船长每月数据(2022年)'!$P:$P,'船长每月数据(2022年)'!$F:$F,$I$2,'船长每月数据(2022年)'!$E:$E,$C:$C)</f>
        <v>0</v>
      </c>
      <c r="J61" s="85">
        <f>SUMIFS('船长每月数据(2022年)'!$R:$R,'船长每月数据(2022年)'!$F:$F,$J$2,'船长每月数据(2022年)'!$E:$E,$C:$C)</f>
        <v>0</v>
      </c>
      <c r="K61" s="20">
        <f>SUMIFS('船长每月数据(2022年)'!$P:$P,'船长每月数据(2022年)'!$F:$F,$K$2,'船长每月数据(2022年)'!$E:$E,$C:$C)</f>
        <v>0</v>
      </c>
      <c r="L61" s="85">
        <f>SUMIFS('船长每月数据(2022年)'!$R:$R,'船长每月数据(2022年)'!$F:$F,$L$2,'船长每月数据(2022年)'!$E:$E,$C:$C)</f>
        <v>0</v>
      </c>
      <c r="M61" s="20">
        <f>SUMIFS('船长每月数据(2022年)'!$P:$P,'船长每月数据(2022年)'!$F:$F,$M$2,'船长每月数据(2022年)'!$E:$E,$C:$C)</f>
        <v>0</v>
      </c>
      <c r="N61" s="85">
        <f>SUMIFS('船长每月数据(2022年)'!$R:$R,'船长每月数据(2022年)'!$F:$F,$N$2,'船长每月数据(2022年)'!$E:$E,$C:$C)</f>
        <v>0</v>
      </c>
      <c r="O61" s="20">
        <f>SUMIFS('船长每月数据(2022年)'!$P:$P,'船长每月数据(2022年)'!$F:$F,$O$2,'船长每月数据(2022年)'!$E:$E,$C:$C)</f>
        <v>0</v>
      </c>
      <c r="P61" s="85">
        <f>SUMIFS('船长每月数据(2022年)'!$R:$R,'船长每月数据(2022年)'!$F:$F,$P$2,'船长每月数据(2022年)'!$E:$E,$C:$C)</f>
        <v>0</v>
      </c>
      <c r="Q61" s="20">
        <f>SUMIFS('船长每月数据(2022年)'!$P:$P,'船长每月数据(2022年)'!$F:$F,$Q$2,'船长每月数据(2022年)'!$E:$E,$C:$C)</f>
        <v>0</v>
      </c>
      <c r="R61" s="85">
        <f>SUMIFS('船长每月数据(2022年)'!$R:$R,'船长每月数据(2022年)'!$F:$F,$R$2,'船长每月数据(2022年)'!$E:$E,$C:$C)</f>
        <v>0</v>
      </c>
      <c r="S61" s="20">
        <f>SUMIFS('船长每月数据(2022年)'!$P:$P,'船长每月数据(2022年)'!$F:$F,$S$2,'船长每月数据(2022年)'!$E:$E,$C:$C)</f>
        <v>0</v>
      </c>
      <c r="T61" s="85">
        <f>SUMIFS('船长每月数据(2022年)'!$R:$R,'船长每月数据(2022年)'!$F:$F,$T$2,'船长每月数据(2022年)'!$E:$E,$C:$C)</f>
        <v>0</v>
      </c>
      <c r="U61" s="20">
        <f>SUMIFS('船长每月数据(2022年)'!$P:$P,'船长每月数据(2022年)'!$F:$F,$U$2,'船长每月数据(2022年)'!$E:$E,$C:$C)</f>
        <v>0</v>
      </c>
      <c r="V61" s="85">
        <f>SUMIFS('船长每月数据(2022年)'!$R:$R,'船长每月数据(2022年)'!$F:$F,$V$2,'船长每月数据(2022年)'!$E:$E,$C:$C)</f>
        <v>0</v>
      </c>
      <c r="W61" s="20">
        <f>SUMIFS('船长每月数据(2022年)'!$P:$P,'船长每月数据(2022年)'!$F:$F,$W$2,'船长每月数据(2022年)'!$E:$E,$C:$C)</f>
        <v>0</v>
      </c>
      <c r="X61" s="85">
        <f>SUMIFS('船长每月数据(2022年)'!$R:$R,'船长每月数据(2022年)'!$F:$F,$X$2,'船长每月数据(2022年)'!$E:$E,$C:$C)</f>
        <v>0</v>
      </c>
      <c r="Y61" s="20">
        <f>SUMIFS('船长每月数据(2022年)'!$P:$P,'船长每月数据(2022年)'!$F:$F,$Y$2,'船长每月数据(2022年)'!$E:$E,$C:$C)</f>
        <v>0</v>
      </c>
      <c r="Z61" s="85">
        <f>SUMIFS('船长每月数据(2022年)'!$R:$R,'船长每月数据(2022年)'!$F:$F,$Z$2,'船长每月数据(2022年)'!$E:$E,$C:$C)</f>
        <v>0</v>
      </c>
      <c r="AA61" s="20">
        <f>SUMIFS('船长每月数据(2022年)'!$P:$P,'船长每月数据(2022年)'!$F:$F,$AA$2,'船长每月数据(2022年)'!$E:$E,$C:$C)</f>
        <v>0</v>
      </c>
      <c r="AB61" s="85">
        <f>SUMIFS('船长每月数据(2022年)'!$R:$R,'船长每月数据(2022年)'!$F:$F,$AB$2,'船长每月数据(2022年)'!$E:$E,$C:$C)</f>
        <v>0</v>
      </c>
      <c r="AC61" s="20">
        <f>SUMIFS('船长每月数据(2023年)'!P:P,'船长每月数据(2023年)'!F:F,$AC$2,'船长每月数据(2023年)'!E:E,C:C)</f>
        <v>0</v>
      </c>
      <c r="AD61" s="21">
        <f>IFERROR(AC61/SUMIF('船长每月数据(2023年)'!$E:$E,C:C,'船长每月数据(2023年)'!P:P),0)</f>
        <v>0</v>
      </c>
      <c r="AE61" s="38">
        <f>SUMIFS('船长每月数据(2023年)'!$R:$R,'船长每月数据(2023年)'!$F:$F,$AE$2,'船长每月数据(2023年)'!$E:$E,$C:$C)</f>
        <v>0</v>
      </c>
      <c r="AF61" s="21">
        <f>IFERROR(AE61/SUMIF('船长每月数据(2023年)'!E:E,C:C,'船长每月数据(2023年)'!R:R),0)</f>
        <v>0</v>
      </c>
      <c r="AG61" s="20">
        <f>SUMIFS('船长每月数据(2023年)'!P:P,'船长每月数据(2023年)'!F:F,$AG$2,'船长每月数据(2023年)'!E:E,C:C)</f>
        <v>0</v>
      </c>
      <c r="AH61" s="21">
        <f>IFERROR(AG61/SUMIF('船长每月数据(2023年)'!$E:$E,$C:$C,'船长每月数据(2023年)'!$P:$P),0)</f>
        <v>0</v>
      </c>
      <c r="AI61" s="38">
        <f>SUMIFS('船长每月数据(2023年)'!$R:$R,'船长每月数据(2023年)'!$F:$F,$AI$2,'船长每月数据(2023年)'!$E:$E,$C:$C)</f>
        <v>0</v>
      </c>
      <c r="AJ61" s="21">
        <f>IFERROR(AI61/SUMIF('船长每月数据(2023年)'!$E:$E,$C:$C,'船长每月数据(2023年)'!$R:$R),0)</f>
        <v>0</v>
      </c>
      <c r="AK61" s="20">
        <f>SUMIFS('船长每月数据(2023年)'!P:P,'船长每月数据(2023年)'!F:F,$AK$2,'船长每月数据(2023年)'!E:E,C:C)</f>
        <v>0</v>
      </c>
      <c r="AL61" s="21">
        <f>IFERROR(AK61/SUMIF('船长每月数据(2023年)'!$E:$E,$C:$C,'船长每月数据(2023年)'!$P:$P),0)</f>
        <v>0</v>
      </c>
      <c r="AM61" s="38">
        <f>SUMIFS('船长每月数据(2023年)'!$R:$R,'船长每月数据(2023年)'!$F:$F,$AM$2,'船长每月数据(2023年)'!$E:$E,$C:$C)</f>
        <v>0</v>
      </c>
      <c r="AN61" s="21">
        <f>IFERROR(AM61/SUMIF('船长每月数据(2023年)'!$E:$E,$C:$C,'船长每月数据(2023年)'!$R:$R),0)</f>
        <v>0</v>
      </c>
      <c r="AO61" s="20">
        <f>SUMIFS('船长每月数据(2023年)'!P:P,'船长每月数据(2023年)'!F:F,$AO$2,'船长每月数据(2023年)'!E:E,C:C)</f>
        <v>0</v>
      </c>
      <c r="AP61" s="21">
        <f>IFERROR(AO61/SUMIF('船长每月数据(2023年)'!$E:$E,$C:$C,'船长每月数据(2023年)'!$P:$P),0)</f>
        <v>0</v>
      </c>
      <c r="AQ61" s="38">
        <f>SUMIFS('船长每月数据(2023年)'!$R:$R,'船长每月数据(2023年)'!$F:$F,$AQ$2,'船长每月数据(2023年)'!$E:$E,$C:$C)</f>
        <v>0</v>
      </c>
      <c r="AR61" s="21">
        <f>IFERROR(AQ61/SUMIF('船长每月数据(2023年)'!$E:$E,$C:$C,'船长每月数据(2023年)'!$R:$R),0)</f>
        <v>0</v>
      </c>
      <c r="AS61" s="20">
        <f>SUMIFS('船长每月数据(2023年)'!$P:$P,'船长每月数据(2023年)'!$F:$F,$AS$2,'船长每月数据(2023年)'!$E:$E,$C:$C)</f>
        <v>0</v>
      </c>
      <c r="AT61" s="21">
        <f>IFERROR(AS61/SUMIF('船长每月数据(2023年)'!$E:$E,$C:$C,'船长每月数据(2023年)'!$P:$P),0)</f>
        <v>0</v>
      </c>
      <c r="AU61" s="38">
        <f>SUMIFS('船长每月数据(2023年)'!$R:$R,'船长每月数据(2023年)'!$F:$F,$AU$2,'船长每月数据(2023年)'!$E:$E,$C:$C)</f>
        <v>0</v>
      </c>
      <c r="AV61" s="21">
        <f>IFERROR(AU61/SUMIF('船长每月数据(2023年)'!$E:$E,$C:$C,'船长每月数据(2023年)'!$R:$R),0)</f>
        <v>0</v>
      </c>
      <c r="AW61" s="20">
        <f>SUMIFS('船长每月数据(2023年)'!$P:$P,'船长每月数据(2023年)'!$F:$F,$AW$2,'船长每月数据(2023年)'!$E:$E,$C:$C)</f>
        <v>0</v>
      </c>
      <c r="AX61" s="21">
        <f>IFERROR(AW61/SUMIF('船长每月数据(2023年)'!$E:$E,$C:$C,'船长每月数据(2023年)'!$P:$P),0)</f>
        <v>0</v>
      </c>
      <c r="AY61" s="38">
        <f>SUMIFS('船长每月数据(2023年)'!$R:$R,'船长每月数据(2023年)'!$F:$F,$AY$2,'船长每月数据(2023年)'!$E:$E,$C:$C)</f>
        <v>0</v>
      </c>
      <c r="AZ61" s="21">
        <f>IFERROR(AY61/SUMIF('船长每月数据(2023年)'!$E:$E,$C:$C,'船长每月数据(2023年)'!$R:$R),0)</f>
        <v>0</v>
      </c>
      <c r="BA61" s="20">
        <f>SUMIFS('船长每月数据(2023年)'!$P:$P,'船长每月数据(2023年)'!$F:$F,$BA$2,'船长每月数据(2023年)'!$E:$E,$C:$C)</f>
        <v>0</v>
      </c>
      <c r="BB61" s="21">
        <f>IFERROR(BA61/SUMIF('船长每月数据(2023年)'!$E:$E,$C:$C,'船长每月数据(2023年)'!$P:$P),0)</f>
        <v>0</v>
      </c>
      <c r="BC61" s="38">
        <f>SUMIFS('船长每月数据(2023年)'!$R:$R,'船长每月数据(2023年)'!$F:$F,$BC$2,'船长每月数据(2023年)'!$E:$E,$C:$C)</f>
        <v>0</v>
      </c>
      <c r="BD61" s="21">
        <f>IFERROR(BC61/SUMIF('船长每月数据(2023年)'!$E:$E,$C:$C,'船长每月数据(2023年)'!$R:$R),0)</f>
        <v>0</v>
      </c>
      <c r="BE61" s="20">
        <f>SUMIFS('船长每月数据(2023年)'!$P:$P,'船长每月数据(2023年)'!$F:$F,$BE$2,'船长每月数据(2023年)'!$E:$E,$C:$C)</f>
        <v>0</v>
      </c>
      <c r="BF61" s="21">
        <f>IFERROR(BE61/SUMIF('船长每月数据(2023年)'!$E:$E,$C:$C,'船长每月数据(2023年)'!$P:$P),0)</f>
        <v>0</v>
      </c>
      <c r="BG61" s="38">
        <f>SUMIFS('船长每月数据(2023年)'!$R:$R,'船长每月数据(2023年)'!$F:$F,$BG$2,'船长每月数据(2023年)'!$E:$E,$C:$C)</f>
        <v>0</v>
      </c>
      <c r="BH61" s="21">
        <f>IFERROR(BG61/SUMIF('船长每月数据(2023年)'!$E:$E,$C:$C,'船长每月数据(2023年)'!$R:$R),0)</f>
        <v>0</v>
      </c>
      <c r="BI61" s="20">
        <f>SUMIFS('船长每月数据(2023年)'!$P:$P,'船长每月数据(2023年)'!$F:$F,$BI$2,'船长每月数据(2023年)'!$E:$E,$C:$C)</f>
        <v>0</v>
      </c>
      <c r="BJ61" s="21">
        <f>IFERROR(BI61/SUMIF('船长每月数据(2023年)'!$E:$E,$C:$C,'船长每月数据(2023年)'!$P:$P),0)</f>
        <v>0</v>
      </c>
      <c r="BK61" s="38">
        <f>SUMIFS('船长每月数据(2023年)'!$R:$R,'船长每月数据(2023年)'!$F:$F,$BK$2,'船长每月数据(2023年)'!$E:$E,$C:$C)</f>
        <v>0</v>
      </c>
      <c r="BL61" s="21">
        <f>IFERROR(BK61/SUMIF('船长每月数据(2023年)'!$E:$E,$C:$C,'船长每月数据(2023年)'!$R:$R),0)</f>
        <v>0</v>
      </c>
      <c r="BM61" s="20">
        <f>SUMIFS('船长每月数据(2023年)'!$P:$P,'船长每月数据(2023年)'!$F:$F,$BM$2,'船长每月数据(2023年)'!$E:$E,$C:$C)</f>
        <v>0</v>
      </c>
      <c r="BN61" s="21">
        <f>IFERROR(BM61/SUMIF('船长每月数据(2023年)'!$E:$E,$C:$C,'船长每月数据(2023年)'!$P:$P),0)</f>
        <v>0</v>
      </c>
      <c r="BO61" s="38">
        <f>SUMIFS('船长每月数据(2023年)'!$R:$R,'船长每月数据(2023年)'!$F:$F,$BO$2,'船长每月数据(2023年)'!$E:$E,$C:$C)</f>
        <v>0</v>
      </c>
      <c r="BP61" s="21">
        <f>IFERROR(BO61/SUMIF('船长每月数据(2023年)'!$E:$E,$C:$C,'船长每月数据(2023年)'!$R:$R),0)</f>
        <v>0</v>
      </c>
      <c r="BQ61" s="20">
        <f>SUMIFS('船长每月数据(2023年)'!$P:$P,'船长每月数据(2023年)'!$F:$F,$BQ$2,'船长每月数据(2023年)'!$E:$E,$C:$C)</f>
        <v>0</v>
      </c>
      <c r="BR61" s="21">
        <f>IFERROR(BQ61/SUMIF('船长每月数据(2023年)'!$E:$E,$C:$C,'船长每月数据(2023年)'!$P:$P),0)</f>
        <v>0</v>
      </c>
      <c r="BS61" s="38">
        <f>SUMIFS('船长每月数据(2023年)'!$R:$R,'船长每月数据(2023年)'!$F:$F,$BS$2,'船长每月数据(2023年)'!$E:$E,$C:$C)</f>
        <v>0</v>
      </c>
      <c r="BT61" s="21">
        <f>IFERROR(BS61/SUMIF('船长每月数据(2023年)'!$E:$E,$C:$C,'船长每月数据(2023年)'!$R:$R),0)</f>
        <v>0</v>
      </c>
      <c r="BU61" s="20">
        <f>SUMIFS('船长每月数据(2023年)'!$P:$P,'船长每月数据(2023年)'!$F:$F,$BU$2,'船长每月数据(2023年)'!$E:$E,$C:$C)</f>
        <v>0</v>
      </c>
      <c r="BV61" s="21">
        <f>IFERROR(BU61/SUMIF('船长每月数据(2023年)'!$E:$E,$C:$C,'船长每月数据(2023年)'!$P:$P),0)</f>
        <v>0</v>
      </c>
      <c r="BW61" s="38">
        <f>SUMIFS('船长每月数据(2023年)'!$R:$R,'船长每月数据(2023年)'!$F:$F,$BW$2,'船长每月数据(2023年)'!$E:$E,$C:$C)</f>
        <v>0</v>
      </c>
      <c r="BX61" s="21">
        <f>IFERROR(BW61/SUMIF('船长每月数据(2023年)'!$E:$E,$C:$C,'船长每月数据(2023年)'!$R:$R),0)</f>
        <v>0</v>
      </c>
    </row>
    <row r="62" ht="23" customHeight="1" spans="1:76">
      <c r="A62" s="36"/>
      <c r="B62" s="36"/>
      <c r="C62" s="20"/>
      <c r="D62" s="74"/>
      <c r="E62" s="20">
        <f>SUMIFS('船长每月数据(2022年)'!$P:$P,'船长每月数据(2022年)'!$F:$F,$E$2,'船长每月数据(2022年)'!E:E,C:C)</f>
        <v>0</v>
      </c>
      <c r="F62" s="85">
        <f>SUMIFS('船长每月数据(2022年)'!$R:$R,'船长每月数据(2022年)'!$F:$F,$F$2,'船长每月数据(2022年)'!E:E,C:C)</f>
        <v>0</v>
      </c>
      <c r="G62" s="20">
        <f>SUMIFS('船长每月数据(2022年)'!$P:$P,'船长每月数据(2022年)'!$F:$F,$G$2,'船长每月数据(2022年)'!$E:$E,$C:$C)</f>
        <v>0</v>
      </c>
      <c r="H62" s="85">
        <f>SUMIFS('船长每月数据(2022年)'!$R:$R,'船长每月数据(2022年)'!$F:$F,$H$2,'船长每月数据(2022年)'!$E:$E,$C:$C)</f>
        <v>0</v>
      </c>
      <c r="I62" s="20">
        <f>SUMIFS('船长每月数据(2022年)'!$P:$P,'船长每月数据(2022年)'!$F:$F,$I$2,'船长每月数据(2022年)'!$E:$E,$C:$C)</f>
        <v>0</v>
      </c>
      <c r="J62" s="85">
        <f>SUMIFS('船长每月数据(2022年)'!$R:$R,'船长每月数据(2022年)'!$F:$F,$J$2,'船长每月数据(2022年)'!$E:$E,$C:$C)</f>
        <v>0</v>
      </c>
      <c r="K62" s="20">
        <f>SUMIFS('船长每月数据(2022年)'!$P:$P,'船长每月数据(2022年)'!$F:$F,$K$2,'船长每月数据(2022年)'!$E:$E,$C:$C)</f>
        <v>0</v>
      </c>
      <c r="L62" s="85">
        <f>SUMIFS('船长每月数据(2022年)'!$R:$R,'船长每月数据(2022年)'!$F:$F,$L$2,'船长每月数据(2022年)'!$E:$E,$C:$C)</f>
        <v>0</v>
      </c>
      <c r="M62" s="20">
        <f>SUMIFS('船长每月数据(2022年)'!$P:$P,'船长每月数据(2022年)'!$F:$F,$M$2,'船长每月数据(2022年)'!$E:$E,$C:$C)</f>
        <v>0</v>
      </c>
      <c r="N62" s="85">
        <f>SUMIFS('船长每月数据(2022年)'!$R:$R,'船长每月数据(2022年)'!$F:$F,$N$2,'船长每月数据(2022年)'!$E:$E,$C:$C)</f>
        <v>0</v>
      </c>
      <c r="O62" s="20">
        <f>SUMIFS('船长每月数据(2022年)'!$P:$P,'船长每月数据(2022年)'!$F:$F,$O$2,'船长每月数据(2022年)'!$E:$E,$C:$C)</f>
        <v>0</v>
      </c>
      <c r="P62" s="85">
        <f>SUMIFS('船长每月数据(2022年)'!$R:$R,'船长每月数据(2022年)'!$F:$F,$P$2,'船长每月数据(2022年)'!$E:$E,$C:$C)</f>
        <v>0</v>
      </c>
      <c r="Q62" s="20">
        <f>SUMIFS('船长每月数据(2022年)'!$P:$P,'船长每月数据(2022年)'!$F:$F,$Q$2,'船长每月数据(2022年)'!$E:$E,$C:$C)</f>
        <v>0</v>
      </c>
      <c r="R62" s="85">
        <f>SUMIFS('船长每月数据(2022年)'!$R:$R,'船长每月数据(2022年)'!$F:$F,$R$2,'船长每月数据(2022年)'!$E:$E,$C:$C)</f>
        <v>0</v>
      </c>
      <c r="S62" s="20">
        <f>SUMIFS('船长每月数据(2022年)'!$P:$P,'船长每月数据(2022年)'!$F:$F,$S$2,'船长每月数据(2022年)'!$E:$E,$C:$C)</f>
        <v>0</v>
      </c>
      <c r="T62" s="85">
        <f>SUMIFS('船长每月数据(2022年)'!$R:$R,'船长每月数据(2022年)'!$F:$F,$T$2,'船长每月数据(2022年)'!$E:$E,$C:$C)</f>
        <v>0</v>
      </c>
      <c r="U62" s="20">
        <f>SUMIFS('船长每月数据(2022年)'!$P:$P,'船长每月数据(2022年)'!$F:$F,$U$2,'船长每月数据(2022年)'!$E:$E,$C:$C)</f>
        <v>0</v>
      </c>
      <c r="V62" s="85">
        <f>SUMIFS('船长每月数据(2022年)'!$R:$R,'船长每月数据(2022年)'!$F:$F,$V$2,'船长每月数据(2022年)'!$E:$E,$C:$C)</f>
        <v>0</v>
      </c>
      <c r="W62" s="20">
        <f>SUMIFS('船长每月数据(2022年)'!$P:$P,'船长每月数据(2022年)'!$F:$F,$W$2,'船长每月数据(2022年)'!$E:$E,$C:$C)</f>
        <v>0</v>
      </c>
      <c r="X62" s="85">
        <f>SUMIFS('船长每月数据(2022年)'!$R:$R,'船长每月数据(2022年)'!$F:$F,$X$2,'船长每月数据(2022年)'!$E:$E,$C:$C)</f>
        <v>0</v>
      </c>
      <c r="Y62" s="20">
        <f>SUMIFS('船长每月数据(2022年)'!$P:$P,'船长每月数据(2022年)'!$F:$F,$Y$2,'船长每月数据(2022年)'!$E:$E,$C:$C)</f>
        <v>0</v>
      </c>
      <c r="Z62" s="85">
        <f>SUMIFS('船长每月数据(2022年)'!$R:$R,'船长每月数据(2022年)'!$F:$F,$Z$2,'船长每月数据(2022年)'!$E:$E,$C:$C)</f>
        <v>0</v>
      </c>
      <c r="AA62" s="20">
        <f>SUMIFS('船长每月数据(2022年)'!$P:$P,'船长每月数据(2022年)'!$F:$F,$AA$2,'船长每月数据(2022年)'!$E:$E,$C:$C)</f>
        <v>0</v>
      </c>
      <c r="AB62" s="85">
        <f>SUMIFS('船长每月数据(2022年)'!$R:$R,'船长每月数据(2022年)'!$F:$F,$AB$2,'船长每月数据(2022年)'!$E:$E,$C:$C)</f>
        <v>0</v>
      </c>
      <c r="AC62" s="20">
        <f>SUMIFS('船长每月数据(2023年)'!P:P,'船长每月数据(2023年)'!F:F,$AC$2,'船长每月数据(2023年)'!E:E,C:C)</f>
        <v>0</v>
      </c>
      <c r="AD62" s="21">
        <f>IFERROR(AC62/SUMIF('船长每月数据(2023年)'!$E:$E,C:C,'船长每月数据(2023年)'!P:P),0)</f>
        <v>0</v>
      </c>
      <c r="AE62" s="38">
        <f>SUMIFS('船长每月数据(2023年)'!$R:$R,'船长每月数据(2023年)'!$F:$F,$AE$2,'船长每月数据(2023年)'!$E:$E,$C:$C)</f>
        <v>0</v>
      </c>
      <c r="AF62" s="21">
        <f>IFERROR(AE62/SUMIF('船长每月数据(2023年)'!E:E,C:C,'船长每月数据(2023年)'!R:R),0)</f>
        <v>0</v>
      </c>
      <c r="AG62" s="20">
        <f>SUMIFS('船长每月数据(2023年)'!P:P,'船长每月数据(2023年)'!F:F,$AG$2,'船长每月数据(2023年)'!E:E,C:C)</f>
        <v>0</v>
      </c>
      <c r="AH62" s="21">
        <f>IFERROR(AG62/SUMIF('船长每月数据(2023年)'!$E:$E,$C:$C,'船长每月数据(2023年)'!$P:$P),0)</f>
        <v>0</v>
      </c>
      <c r="AI62" s="38">
        <f>SUMIFS('船长每月数据(2023年)'!$R:$R,'船长每月数据(2023年)'!$F:$F,$AI$2,'船长每月数据(2023年)'!$E:$E,$C:$C)</f>
        <v>0</v>
      </c>
      <c r="AJ62" s="21">
        <f>IFERROR(AI62/SUMIF('船长每月数据(2023年)'!$E:$E,$C:$C,'船长每月数据(2023年)'!$R:$R),0)</f>
        <v>0</v>
      </c>
      <c r="AK62" s="20">
        <f>SUMIFS('船长每月数据(2023年)'!P:P,'船长每月数据(2023年)'!F:F,$AK$2,'船长每月数据(2023年)'!E:E,C:C)</f>
        <v>0</v>
      </c>
      <c r="AL62" s="21">
        <f>IFERROR(AK62/SUMIF('船长每月数据(2023年)'!$E:$E,$C:$C,'船长每月数据(2023年)'!$P:$P),0)</f>
        <v>0</v>
      </c>
      <c r="AM62" s="38">
        <f>SUMIFS('船长每月数据(2023年)'!$R:$R,'船长每月数据(2023年)'!$F:$F,$AM$2,'船长每月数据(2023年)'!$E:$E,$C:$C)</f>
        <v>0</v>
      </c>
      <c r="AN62" s="21">
        <f>IFERROR(AM62/SUMIF('船长每月数据(2023年)'!$E:$E,$C:$C,'船长每月数据(2023年)'!$R:$R),0)</f>
        <v>0</v>
      </c>
      <c r="AO62" s="20">
        <f>SUMIFS('船长每月数据(2023年)'!P:P,'船长每月数据(2023年)'!F:F,$AO$2,'船长每月数据(2023年)'!E:E,C:C)</f>
        <v>0</v>
      </c>
      <c r="AP62" s="21">
        <f>IFERROR(AO62/SUMIF('船长每月数据(2023年)'!$E:$E,$C:$C,'船长每月数据(2023年)'!$P:$P),0)</f>
        <v>0</v>
      </c>
      <c r="AQ62" s="38">
        <f>SUMIFS('船长每月数据(2023年)'!$R:$R,'船长每月数据(2023年)'!$F:$F,$AQ$2,'船长每月数据(2023年)'!$E:$E,$C:$C)</f>
        <v>0</v>
      </c>
      <c r="AR62" s="21">
        <f>IFERROR(AQ62/SUMIF('船长每月数据(2023年)'!$E:$E,$C:$C,'船长每月数据(2023年)'!$R:$R),0)</f>
        <v>0</v>
      </c>
      <c r="AS62" s="20">
        <f>SUMIFS('船长每月数据(2023年)'!$P:$P,'船长每月数据(2023年)'!$F:$F,$AS$2,'船长每月数据(2023年)'!$E:$E,$C:$C)</f>
        <v>0</v>
      </c>
      <c r="AT62" s="21">
        <f>IFERROR(AS62/SUMIF('船长每月数据(2023年)'!$E:$E,$C:$C,'船长每月数据(2023年)'!$P:$P),0)</f>
        <v>0</v>
      </c>
      <c r="AU62" s="38">
        <f>SUMIFS('船长每月数据(2023年)'!$R:$R,'船长每月数据(2023年)'!$F:$F,$AU$2,'船长每月数据(2023年)'!$E:$E,$C:$C)</f>
        <v>0</v>
      </c>
      <c r="AV62" s="21">
        <f>IFERROR(AU62/SUMIF('船长每月数据(2023年)'!$E:$E,$C:$C,'船长每月数据(2023年)'!$R:$R),0)</f>
        <v>0</v>
      </c>
      <c r="AW62" s="20">
        <f>SUMIFS('船长每月数据(2023年)'!$P:$P,'船长每月数据(2023年)'!$F:$F,$AW$2,'船长每月数据(2023年)'!$E:$E,$C:$C)</f>
        <v>0</v>
      </c>
      <c r="AX62" s="21">
        <f>IFERROR(AW62/SUMIF('船长每月数据(2023年)'!$E:$E,$C:$C,'船长每月数据(2023年)'!$P:$P),0)</f>
        <v>0</v>
      </c>
      <c r="AY62" s="38">
        <f>SUMIFS('船长每月数据(2023年)'!$R:$R,'船长每月数据(2023年)'!$F:$F,$AY$2,'船长每月数据(2023年)'!$E:$E,$C:$C)</f>
        <v>0</v>
      </c>
      <c r="AZ62" s="21">
        <f>IFERROR(AY62/SUMIF('船长每月数据(2023年)'!$E:$E,$C:$C,'船长每月数据(2023年)'!$R:$R),0)</f>
        <v>0</v>
      </c>
      <c r="BA62" s="20">
        <f>SUMIFS('船长每月数据(2023年)'!$P:$P,'船长每月数据(2023年)'!$F:$F,$BA$2,'船长每月数据(2023年)'!$E:$E,$C:$C)</f>
        <v>0</v>
      </c>
      <c r="BB62" s="21">
        <f>IFERROR(BA62/SUMIF('船长每月数据(2023年)'!$E:$E,$C:$C,'船长每月数据(2023年)'!$P:$P),0)</f>
        <v>0</v>
      </c>
      <c r="BC62" s="38">
        <f>SUMIFS('船长每月数据(2023年)'!$R:$R,'船长每月数据(2023年)'!$F:$F,$BC$2,'船长每月数据(2023年)'!$E:$E,$C:$C)</f>
        <v>0</v>
      </c>
      <c r="BD62" s="21">
        <f>IFERROR(BC62/SUMIF('船长每月数据(2023年)'!$E:$E,$C:$C,'船长每月数据(2023年)'!$R:$R),0)</f>
        <v>0</v>
      </c>
      <c r="BE62" s="20">
        <f>SUMIFS('船长每月数据(2023年)'!$P:$P,'船长每月数据(2023年)'!$F:$F,$BE$2,'船长每月数据(2023年)'!$E:$E,$C:$C)</f>
        <v>0</v>
      </c>
      <c r="BF62" s="21">
        <f>IFERROR(BE62/SUMIF('船长每月数据(2023年)'!$E:$E,$C:$C,'船长每月数据(2023年)'!$P:$P),0)</f>
        <v>0</v>
      </c>
      <c r="BG62" s="38">
        <f>SUMIFS('船长每月数据(2023年)'!$R:$R,'船长每月数据(2023年)'!$F:$F,$BG$2,'船长每月数据(2023年)'!$E:$E,$C:$C)</f>
        <v>0</v>
      </c>
      <c r="BH62" s="21">
        <f>IFERROR(BG62/SUMIF('船长每月数据(2023年)'!$E:$E,$C:$C,'船长每月数据(2023年)'!$R:$R),0)</f>
        <v>0</v>
      </c>
      <c r="BI62" s="20">
        <f>SUMIFS('船长每月数据(2023年)'!$P:$P,'船长每月数据(2023年)'!$F:$F,$BI$2,'船长每月数据(2023年)'!$E:$E,$C:$C)</f>
        <v>0</v>
      </c>
      <c r="BJ62" s="21">
        <f>IFERROR(BI62/SUMIF('船长每月数据(2023年)'!$E:$E,$C:$C,'船长每月数据(2023年)'!$P:$P),0)</f>
        <v>0</v>
      </c>
      <c r="BK62" s="38">
        <f>SUMIFS('船长每月数据(2023年)'!$R:$R,'船长每月数据(2023年)'!$F:$F,$BK$2,'船长每月数据(2023年)'!$E:$E,$C:$C)</f>
        <v>0</v>
      </c>
      <c r="BL62" s="21">
        <f>IFERROR(BK62/SUMIF('船长每月数据(2023年)'!$E:$E,$C:$C,'船长每月数据(2023年)'!$R:$R),0)</f>
        <v>0</v>
      </c>
      <c r="BM62" s="20">
        <f>SUMIFS('船长每月数据(2023年)'!$P:$P,'船长每月数据(2023年)'!$F:$F,$BM$2,'船长每月数据(2023年)'!$E:$E,$C:$C)</f>
        <v>0</v>
      </c>
      <c r="BN62" s="21">
        <f>IFERROR(BM62/SUMIF('船长每月数据(2023年)'!$E:$E,$C:$C,'船长每月数据(2023年)'!$P:$P),0)</f>
        <v>0</v>
      </c>
      <c r="BO62" s="38">
        <f>SUMIFS('船长每月数据(2023年)'!$R:$R,'船长每月数据(2023年)'!$F:$F,$BO$2,'船长每月数据(2023年)'!$E:$E,$C:$C)</f>
        <v>0</v>
      </c>
      <c r="BP62" s="21">
        <f>IFERROR(BO62/SUMIF('船长每月数据(2023年)'!$E:$E,$C:$C,'船长每月数据(2023年)'!$R:$R),0)</f>
        <v>0</v>
      </c>
      <c r="BQ62" s="20">
        <f>SUMIFS('船长每月数据(2023年)'!$P:$P,'船长每月数据(2023年)'!$F:$F,$BQ$2,'船长每月数据(2023年)'!$E:$E,$C:$C)</f>
        <v>0</v>
      </c>
      <c r="BR62" s="21">
        <f>IFERROR(BQ62/SUMIF('船长每月数据(2023年)'!$E:$E,$C:$C,'船长每月数据(2023年)'!$P:$P),0)</f>
        <v>0</v>
      </c>
      <c r="BS62" s="38">
        <f>SUMIFS('船长每月数据(2023年)'!$R:$R,'船长每月数据(2023年)'!$F:$F,$BS$2,'船长每月数据(2023年)'!$E:$E,$C:$C)</f>
        <v>0</v>
      </c>
      <c r="BT62" s="21">
        <f>IFERROR(BS62/SUMIF('船长每月数据(2023年)'!$E:$E,$C:$C,'船长每月数据(2023年)'!$R:$R),0)</f>
        <v>0</v>
      </c>
      <c r="BU62" s="20">
        <f>SUMIFS('船长每月数据(2023年)'!$P:$P,'船长每月数据(2023年)'!$F:$F,$BU$2,'船长每月数据(2023年)'!$E:$E,$C:$C)</f>
        <v>0</v>
      </c>
      <c r="BV62" s="21">
        <f>IFERROR(BU62/SUMIF('船长每月数据(2023年)'!$E:$E,$C:$C,'船长每月数据(2023年)'!$P:$P),0)</f>
        <v>0</v>
      </c>
      <c r="BW62" s="38">
        <f>SUMIFS('船长每月数据(2023年)'!$R:$R,'船长每月数据(2023年)'!$F:$F,$BW$2,'船长每月数据(2023年)'!$E:$E,$C:$C)</f>
        <v>0</v>
      </c>
      <c r="BX62" s="21">
        <f>IFERROR(BW62/SUMIF('船长每月数据(2023年)'!$E:$E,$C:$C,'船长每月数据(2023年)'!$R:$R),0)</f>
        <v>0</v>
      </c>
    </row>
    <row r="63" ht="23" customHeight="1" spans="1:76">
      <c r="A63" s="36"/>
      <c r="B63" s="36"/>
      <c r="C63" s="20"/>
      <c r="D63" s="74"/>
      <c r="E63" s="20">
        <f>SUMIFS('船长每月数据(2022年)'!$P:$P,'船长每月数据(2022年)'!$F:$F,$E$2,'船长每月数据(2022年)'!E:E,C:C)</f>
        <v>0</v>
      </c>
      <c r="F63" s="85">
        <f>SUMIFS('船长每月数据(2022年)'!$R:$R,'船长每月数据(2022年)'!$F:$F,$F$2,'船长每月数据(2022年)'!E:E,C:C)</f>
        <v>0</v>
      </c>
      <c r="G63" s="20">
        <f>SUMIFS('船长每月数据(2022年)'!$P:$P,'船长每月数据(2022年)'!$F:$F,$G$2,'船长每月数据(2022年)'!$E:$E,$C:$C)</f>
        <v>0</v>
      </c>
      <c r="H63" s="85">
        <f>SUMIFS('船长每月数据(2022年)'!$R:$R,'船长每月数据(2022年)'!$F:$F,$H$2,'船长每月数据(2022年)'!$E:$E,$C:$C)</f>
        <v>0</v>
      </c>
      <c r="I63" s="20">
        <f>SUMIFS('船长每月数据(2022年)'!$P:$P,'船长每月数据(2022年)'!$F:$F,$I$2,'船长每月数据(2022年)'!$E:$E,$C:$C)</f>
        <v>0</v>
      </c>
      <c r="J63" s="85">
        <f>SUMIFS('船长每月数据(2022年)'!$R:$R,'船长每月数据(2022年)'!$F:$F,$J$2,'船长每月数据(2022年)'!$E:$E,$C:$C)</f>
        <v>0</v>
      </c>
      <c r="K63" s="20">
        <f>SUMIFS('船长每月数据(2022年)'!$P:$P,'船长每月数据(2022年)'!$F:$F,$K$2,'船长每月数据(2022年)'!$E:$E,$C:$C)</f>
        <v>0</v>
      </c>
      <c r="L63" s="85">
        <f>SUMIFS('船长每月数据(2022年)'!$R:$R,'船长每月数据(2022年)'!$F:$F,$L$2,'船长每月数据(2022年)'!$E:$E,$C:$C)</f>
        <v>0</v>
      </c>
      <c r="M63" s="20">
        <f>SUMIFS('船长每月数据(2022年)'!$P:$P,'船长每月数据(2022年)'!$F:$F,$M$2,'船长每月数据(2022年)'!$E:$E,$C:$C)</f>
        <v>0</v>
      </c>
      <c r="N63" s="85">
        <f>SUMIFS('船长每月数据(2022年)'!$R:$R,'船长每月数据(2022年)'!$F:$F,$N$2,'船长每月数据(2022年)'!$E:$E,$C:$C)</f>
        <v>0</v>
      </c>
      <c r="O63" s="20">
        <f>SUMIFS('船长每月数据(2022年)'!$P:$P,'船长每月数据(2022年)'!$F:$F,$O$2,'船长每月数据(2022年)'!$E:$E,$C:$C)</f>
        <v>0</v>
      </c>
      <c r="P63" s="85">
        <f>SUMIFS('船长每月数据(2022年)'!$R:$R,'船长每月数据(2022年)'!$F:$F,$P$2,'船长每月数据(2022年)'!$E:$E,$C:$C)</f>
        <v>0</v>
      </c>
      <c r="Q63" s="20">
        <f>SUMIFS('船长每月数据(2022年)'!$P:$P,'船长每月数据(2022年)'!$F:$F,$Q$2,'船长每月数据(2022年)'!$E:$E,$C:$C)</f>
        <v>0</v>
      </c>
      <c r="R63" s="85">
        <f>SUMIFS('船长每月数据(2022年)'!$R:$R,'船长每月数据(2022年)'!$F:$F,$R$2,'船长每月数据(2022年)'!$E:$E,$C:$C)</f>
        <v>0</v>
      </c>
      <c r="S63" s="20">
        <f>SUMIFS('船长每月数据(2022年)'!$P:$P,'船长每月数据(2022年)'!$F:$F,$S$2,'船长每月数据(2022年)'!$E:$E,$C:$C)</f>
        <v>0</v>
      </c>
      <c r="T63" s="85">
        <f>SUMIFS('船长每月数据(2022年)'!$R:$R,'船长每月数据(2022年)'!$F:$F,$T$2,'船长每月数据(2022年)'!$E:$E,$C:$C)</f>
        <v>0</v>
      </c>
      <c r="U63" s="20">
        <f>SUMIFS('船长每月数据(2022年)'!$P:$P,'船长每月数据(2022年)'!$F:$F,$U$2,'船长每月数据(2022年)'!$E:$E,$C:$C)</f>
        <v>0</v>
      </c>
      <c r="V63" s="85">
        <f>SUMIFS('船长每月数据(2022年)'!$R:$R,'船长每月数据(2022年)'!$F:$F,$V$2,'船长每月数据(2022年)'!$E:$E,$C:$C)</f>
        <v>0</v>
      </c>
      <c r="W63" s="20">
        <f>SUMIFS('船长每月数据(2022年)'!$P:$P,'船长每月数据(2022年)'!$F:$F,$W$2,'船长每月数据(2022年)'!$E:$E,$C:$C)</f>
        <v>0</v>
      </c>
      <c r="X63" s="85">
        <f>SUMIFS('船长每月数据(2022年)'!$R:$R,'船长每月数据(2022年)'!$F:$F,$X$2,'船长每月数据(2022年)'!$E:$E,$C:$C)</f>
        <v>0</v>
      </c>
      <c r="Y63" s="20">
        <f>SUMIFS('船长每月数据(2022年)'!$P:$P,'船长每月数据(2022年)'!$F:$F,$Y$2,'船长每月数据(2022年)'!$E:$E,$C:$C)</f>
        <v>0</v>
      </c>
      <c r="Z63" s="85">
        <f>SUMIFS('船长每月数据(2022年)'!$R:$R,'船长每月数据(2022年)'!$F:$F,$Z$2,'船长每月数据(2022年)'!$E:$E,$C:$C)</f>
        <v>0</v>
      </c>
      <c r="AA63" s="20">
        <f>SUMIFS('船长每月数据(2022年)'!$P:$P,'船长每月数据(2022年)'!$F:$F,$AA$2,'船长每月数据(2022年)'!$E:$E,$C:$C)</f>
        <v>0</v>
      </c>
      <c r="AB63" s="85">
        <f>SUMIFS('船长每月数据(2022年)'!$R:$R,'船长每月数据(2022年)'!$F:$F,$AB$2,'船长每月数据(2022年)'!$E:$E,$C:$C)</f>
        <v>0</v>
      </c>
      <c r="AC63" s="20">
        <f>SUMIFS('船长每月数据(2023年)'!P:P,'船长每月数据(2023年)'!F:F,$AC$2,'船长每月数据(2023年)'!E:E,C:C)</f>
        <v>0</v>
      </c>
      <c r="AD63" s="21">
        <f>IFERROR(AC63/SUMIF('船长每月数据(2023年)'!$E:$E,C:C,'船长每月数据(2023年)'!P:P),0)</f>
        <v>0</v>
      </c>
      <c r="AE63" s="38">
        <f>SUMIFS('船长每月数据(2023年)'!$R:$R,'船长每月数据(2023年)'!$F:$F,$AE$2,'船长每月数据(2023年)'!$E:$E,$C:$C)</f>
        <v>0</v>
      </c>
      <c r="AF63" s="21">
        <f>IFERROR(AE63/SUMIF('船长每月数据(2023年)'!E:E,C:C,'船长每月数据(2023年)'!R:R),0)</f>
        <v>0</v>
      </c>
      <c r="AG63" s="20">
        <f>SUMIFS('船长每月数据(2023年)'!P:P,'船长每月数据(2023年)'!F:F,$AG$2,'船长每月数据(2023年)'!E:E,C:C)</f>
        <v>0</v>
      </c>
      <c r="AH63" s="21">
        <f>IFERROR(AG63/SUMIF('船长每月数据(2023年)'!$E:$E,$C:$C,'船长每月数据(2023年)'!$P:$P),0)</f>
        <v>0</v>
      </c>
      <c r="AI63" s="38">
        <f>SUMIFS('船长每月数据(2023年)'!$R:$R,'船长每月数据(2023年)'!$F:$F,$AI$2,'船长每月数据(2023年)'!$E:$E,$C:$C)</f>
        <v>0</v>
      </c>
      <c r="AJ63" s="21">
        <f>IFERROR(AI63/SUMIF('船长每月数据(2023年)'!$E:$E,$C:$C,'船长每月数据(2023年)'!$R:$R),0)</f>
        <v>0</v>
      </c>
      <c r="AK63" s="20">
        <f>SUMIFS('船长每月数据(2023年)'!P:P,'船长每月数据(2023年)'!F:F,$AK$2,'船长每月数据(2023年)'!E:E,C:C)</f>
        <v>0</v>
      </c>
      <c r="AL63" s="21">
        <f>IFERROR(AK63/SUMIF('船长每月数据(2023年)'!$E:$E,$C:$C,'船长每月数据(2023年)'!$P:$P),0)</f>
        <v>0</v>
      </c>
      <c r="AM63" s="38">
        <f>SUMIFS('船长每月数据(2023年)'!$R:$R,'船长每月数据(2023年)'!$F:$F,$AM$2,'船长每月数据(2023年)'!$E:$E,$C:$C)</f>
        <v>0</v>
      </c>
      <c r="AN63" s="21">
        <f>IFERROR(AM63/SUMIF('船长每月数据(2023年)'!$E:$E,$C:$C,'船长每月数据(2023年)'!$R:$R),0)</f>
        <v>0</v>
      </c>
      <c r="AO63" s="20">
        <f>SUMIFS('船长每月数据(2023年)'!P:P,'船长每月数据(2023年)'!F:F,$AO$2,'船长每月数据(2023年)'!E:E,C:C)</f>
        <v>0</v>
      </c>
      <c r="AP63" s="21">
        <f>IFERROR(AO63/SUMIF('船长每月数据(2023年)'!$E:$E,$C:$C,'船长每月数据(2023年)'!$P:$P),0)</f>
        <v>0</v>
      </c>
      <c r="AQ63" s="38">
        <f>SUMIFS('船长每月数据(2023年)'!$R:$R,'船长每月数据(2023年)'!$F:$F,$AQ$2,'船长每月数据(2023年)'!$E:$E,$C:$C)</f>
        <v>0</v>
      </c>
      <c r="AR63" s="21">
        <f>IFERROR(AQ63/SUMIF('船长每月数据(2023年)'!$E:$E,$C:$C,'船长每月数据(2023年)'!$R:$R),0)</f>
        <v>0</v>
      </c>
      <c r="AS63" s="20">
        <f>SUMIFS('船长每月数据(2023年)'!$P:$P,'船长每月数据(2023年)'!$F:$F,$AS$2,'船长每月数据(2023年)'!$E:$E,$C:$C)</f>
        <v>0</v>
      </c>
      <c r="AT63" s="21">
        <f>IFERROR(AS63/SUMIF('船长每月数据(2023年)'!$E:$E,$C:$C,'船长每月数据(2023年)'!$P:$P),0)</f>
        <v>0</v>
      </c>
      <c r="AU63" s="38">
        <f>SUMIFS('船长每月数据(2023年)'!$R:$R,'船长每月数据(2023年)'!$F:$F,$AU$2,'船长每月数据(2023年)'!$E:$E,$C:$C)</f>
        <v>0</v>
      </c>
      <c r="AV63" s="21">
        <f>IFERROR(AU63/SUMIF('船长每月数据(2023年)'!$E:$E,$C:$C,'船长每月数据(2023年)'!$R:$R),0)</f>
        <v>0</v>
      </c>
      <c r="AW63" s="20">
        <f>SUMIFS('船长每月数据(2023年)'!$P:$P,'船长每月数据(2023年)'!$F:$F,$AW$2,'船长每月数据(2023年)'!$E:$E,$C:$C)</f>
        <v>0</v>
      </c>
      <c r="AX63" s="21">
        <f>IFERROR(AW63/SUMIF('船长每月数据(2023年)'!$E:$E,$C:$C,'船长每月数据(2023年)'!$P:$P),0)</f>
        <v>0</v>
      </c>
      <c r="AY63" s="38">
        <f>SUMIFS('船长每月数据(2023年)'!$R:$R,'船长每月数据(2023年)'!$F:$F,$AY$2,'船长每月数据(2023年)'!$E:$E,$C:$C)</f>
        <v>0</v>
      </c>
      <c r="AZ63" s="21">
        <f>IFERROR(AY63/SUMIF('船长每月数据(2023年)'!$E:$E,$C:$C,'船长每月数据(2023年)'!$R:$R),0)</f>
        <v>0</v>
      </c>
      <c r="BA63" s="20">
        <f>SUMIFS('船长每月数据(2023年)'!$P:$P,'船长每月数据(2023年)'!$F:$F,$BA$2,'船长每月数据(2023年)'!$E:$E,$C:$C)</f>
        <v>0</v>
      </c>
      <c r="BB63" s="21">
        <f>IFERROR(BA63/SUMIF('船长每月数据(2023年)'!$E:$E,$C:$C,'船长每月数据(2023年)'!$P:$P),0)</f>
        <v>0</v>
      </c>
      <c r="BC63" s="38">
        <f>SUMIFS('船长每月数据(2023年)'!$R:$R,'船长每月数据(2023年)'!$F:$F,$BC$2,'船长每月数据(2023年)'!$E:$E,$C:$C)</f>
        <v>0</v>
      </c>
      <c r="BD63" s="21">
        <f>IFERROR(BC63/SUMIF('船长每月数据(2023年)'!$E:$E,$C:$C,'船长每月数据(2023年)'!$R:$R),0)</f>
        <v>0</v>
      </c>
      <c r="BE63" s="20">
        <f>SUMIFS('船长每月数据(2023年)'!$P:$P,'船长每月数据(2023年)'!$F:$F,$BE$2,'船长每月数据(2023年)'!$E:$E,$C:$C)</f>
        <v>0</v>
      </c>
      <c r="BF63" s="21">
        <f>IFERROR(BE63/SUMIF('船长每月数据(2023年)'!$E:$E,$C:$C,'船长每月数据(2023年)'!$P:$P),0)</f>
        <v>0</v>
      </c>
      <c r="BG63" s="38">
        <f>SUMIFS('船长每月数据(2023年)'!$R:$R,'船长每月数据(2023年)'!$F:$F,$BG$2,'船长每月数据(2023年)'!$E:$E,$C:$C)</f>
        <v>0</v>
      </c>
      <c r="BH63" s="21">
        <f>IFERROR(BG63/SUMIF('船长每月数据(2023年)'!$E:$E,$C:$C,'船长每月数据(2023年)'!$R:$R),0)</f>
        <v>0</v>
      </c>
      <c r="BI63" s="20">
        <f>SUMIFS('船长每月数据(2023年)'!$P:$P,'船长每月数据(2023年)'!$F:$F,$BI$2,'船长每月数据(2023年)'!$E:$E,$C:$C)</f>
        <v>0</v>
      </c>
      <c r="BJ63" s="21">
        <f>IFERROR(BI63/SUMIF('船长每月数据(2023年)'!$E:$E,$C:$C,'船长每月数据(2023年)'!$P:$P),0)</f>
        <v>0</v>
      </c>
      <c r="BK63" s="38">
        <f>SUMIFS('船长每月数据(2023年)'!$R:$R,'船长每月数据(2023年)'!$F:$F,$BK$2,'船长每月数据(2023年)'!$E:$E,$C:$C)</f>
        <v>0</v>
      </c>
      <c r="BL63" s="21">
        <f>IFERROR(BK63/SUMIF('船长每月数据(2023年)'!$E:$E,$C:$C,'船长每月数据(2023年)'!$R:$R),0)</f>
        <v>0</v>
      </c>
      <c r="BM63" s="20">
        <f>SUMIFS('船长每月数据(2023年)'!$P:$P,'船长每月数据(2023年)'!$F:$F,$BM$2,'船长每月数据(2023年)'!$E:$E,$C:$C)</f>
        <v>0</v>
      </c>
      <c r="BN63" s="21">
        <f>IFERROR(BM63/SUMIF('船长每月数据(2023年)'!$E:$E,$C:$C,'船长每月数据(2023年)'!$P:$P),0)</f>
        <v>0</v>
      </c>
      <c r="BO63" s="38">
        <f>SUMIFS('船长每月数据(2023年)'!$R:$R,'船长每月数据(2023年)'!$F:$F,$BO$2,'船长每月数据(2023年)'!$E:$E,$C:$C)</f>
        <v>0</v>
      </c>
      <c r="BP63" s="21">
        <f>IFERROR(BO63/SUMIF('船长每月数据(2023年)'!$E:$E,$C:$C,'船长每月数据(2023年)'!$R:$R),0)</f>
        <v>0</v>
      </c>
      <c r="BQ63" s="20">
        <f>SUMIFS('船长每月数据(2023年)'!$P:$P,'船长每月数据(2023年)'!$F:$F,$BQ$2,'船长每月数据(2023年)'!$E:$E,$C:$C)</f>
        <v>0</v>
      </c>
      <c r="BR63" s="21">
        <f>IFERROR(BQ63/SUMIF('船长每月数据(2023年)'!$E:$E,$C:$C,'船长每月数据(2023年)'!$P:$P),0)</f>
        <v>0</v>
      </c>
      <c r="BS63" s="38">
        <f>SUMIFS('船长每月数据(2023年)'!$R:$R,'船长每月数据(2023年)'!$F:$F,$BS$2,'船长每月数据(2023年)'!$E:$E,$C:$C)</f>
        <v>0</v>
      </c>
      <c r="BT63" s="21">
        <f>IFERROR(BS63/SUMIF('船长每月数据(2023年)'!$E:$E,$C:$C,'船长每月数据(2023年)'!$R:$R),0)</f>
        <v>0</v>
      </c>
      <c r="BU63" s="20">
        <f>SUMIFS('船长每月数据(2023年)'!$P:$P,'船长每月数据(2023年)'!$F:$F,$BU$2,'船长每月数据(2023年)'!$E:$E,$C:$C)</f>
        <v>0</v>
      </c>
      <c r="BV63" s="21">
        <f>IFERROR(BU63/SUMIF('船长每月数据(2023年)'!$E:$E,$C:$C,'船长每月数据(2023年)'!$P:$P),0)</f>
        <v>0</v>
      </c>
      <c r="BW63" s="38">
        <f>SUMIFS('船长每月数据(2023年)'!$R:$R,'船长每月数据(2023年)'!$F:$F,$BW$2,'船长每月数据(2023年)'!$E:$E,$C:$C)</f>
        <v>0</v>
      </c>
      <c r="BX63" s="21">
        <f>IFERROR(BW63/SUMIF('船长每月数据(2023年)'!$E:$E,$C:$C,'船长每月数据(2023年)'!$R:$R),0)</f>
        <v>0</v>
      </c>
    </row>
    <row r="64" ht="23" customHeight="1" spans="1:76">
      <c r="A64" s="36"/>
      <c r="B64" s="84"/>
      <c r="C64" s="20"/>
      <c r="D64" s="74"/>
      <c r="E64" s="20">
        <f>SUMIFS('船长每月数据(2022年)'!$P:$P,'船长每月数据(2022年)'!$F:$F,$E$2,'船长每月数据(2022年)'!E:E,C:C)</f>
        <v>0</v>
      </c>
      <c r="F64" s="85">
        <f>SUMIFS('船长每月数据(2022年)'!$R:$R,'船长每月数据(2022年)'!$F:$F,$F$2,'船长每月数据(2022年)'!E:E,C:C)</f>
        <v>0</v>
      </c>
      <c r="G64" s="20">
        <f>SUMIFS('船长每月数据(2022年)'!$P:$P,'船长每月数据(2022年)'!$F:$F,$G$2,'船长每月数据(2022年)'!$E:$E,$C:$C)</f>
        <v>0</v>
      </c>
      <c r="H64" s="85">
        <f>SUMIFS('船长每月数据(2022年)'!$R:$R,'船长每月数据(2022年)'!$F:$F,$H$2,'船长每月数据(2022年)'!$E:$E,$C:$C)</f>
        <v>0</v>
      </c>
      <c r="I64" s="20">
        <f>SUMIFS('船长每月数据(2022年)'!$P:$P,'船长每月数据(2022年)'!$F:$F,$I$2,'船长每月数据(2022年)'!$E:$E,$C:$C)</f>
        <v>0</v>
      </c>
      <c r="J64" s="85">
        <f>SUMIFS('船长每月数据(2022年)'!$R:$R,'船长每月数据(2022年)'!$F:$F,$J$2,'船长每月数据(2022年)'!$E:$E,$C:$C)</f>
        <v>0</v>
      </c>
      <c r="K64" s="20">
        <f>SUMIFS('船长每月数据(2022年)'!$P:$P,'船长每月数据(2022年)'!$F:$F,$K$2,'船长每月数据(2022年)'!$E:$E,$C:$C)</f>
        <v>0</v>
      </c>
      <c r="L64" s="85">
        <f>SUMIFS('船长每月数据(2022年)'!$R:$R,'船长每月数据(2022年)'!$F:$F,$L$2,'船长每月数据(2022年)'!$E:$E,$C:$C)</f>
        <v>0</v>
      </c>
      <c r="M64" s="20">
        <f>SUMIFS('船长每月数据(2022年)'!$P:$P,'船长每月数据(2022年)'!$F:$F,$M$2,'船长每月数据(2022年)'!$E:$E,$C:$C)</f>
        <v>0</v>
      </c>
      <c r="N64" s="85">
        <f>SUMIFS('船长每月数据(2022年)'!$R:$R,'船长每月数据(2022年)'!$F:$F,$N$2,'船长每月数据(2022年)'!$E:$E,$C:$C)</f>
        <v>0</v>
      </c>
      <c r="O64" s="20">
        <f>SUMIFS('船长每月数据(2022年)'!$P:$P,'船长每月数据(2022年)'!$F:$F,$O$2,'船长每月数据(2022年)'!$E:$E,$C:$C)</f>
        <v>0</v>
      </c>
      <c r="P64" s="85">
        <f>SUMIFS('船长每月数据(2022年)'!$R:$R,'船长每月数据(2022年)'!$F:$F,$P$2,'船长每月数据(2022年)'!$E:$E,$C:$C)</f>
        <v>0</v>
      </c>
      <c r="Q64" s="20">
        <f>SUMIFS('船长每月数据(2022年)'!$P:$P,'船长每月数据(2022年)'!$F:$F,$Q$2,'船长每月数据(2022年)'!$E:$E,$C:$C)</f>
        <v>0</v>
      </c>
      <c r="R64" s="85">
        <f>SUMIFS('船长每月数据(2022年)'!$R:$R,'船长每月数据(2022年)'!$F:$F,$R$2,'船长每月数据(2022年)'!$E:$E,$C:$C)</f>
        <v>0</v>
      </c>
      <c r="S64" s="20">
        <f>SUMIFS('船长每月数据(2022年)'!$P:$P,'船长每月数据(2022年)'!$F:$F,$S$2,'船长每月数据(2022年)'!$E:$E,$C:$C)</f>
        <v>0</v>
      </c>
      <c r="T64" s="85">
        <f>SUMIFS('船长每月数据(2022年)'!$R:$R,'船长每月数据(2022年)'!$F:$F,$T$2,'船长每月数据(2022年)'!$E:$E,$C:$C)</f>
        <v>0</v>
      </c>
      <c r="U64" s="20">
        <f>SUMIFS('船长每月数据(2022年)'!$P:$P,'船长每月数据(2022年)'!$F:$F,$U$2,'船长每月数据(2022年)'!$E:$E,$C:$C)</f>
        <v>0</v>
      </c>
      <c r="V64" s="85">
        <f>SUMIFS('船长每月数据(2022年)'!$R:$R,'船长每月数据(2022年)'!$F:$F,$V$2,'船长每月数据(2022年)'!$E:$E,$C:$C)</f>
        <v>0</v>
      </c>
      <c r="W64" s="20">
        <f>SUMIFS('船长每月数据(2022年)'!$P:$P,'船长每月数据(2022年)'!$F:$F,$W$2,'船长每月数据(2022年)'!$E:$E,$C:$C)</f>
        <v>0</v>
      </c>
      <c r="X64" s="85">
        <f>SUMIFS('船长每月数据(2022年)'!$R:$R,'船长每月数据(2022年)'!$F:$F,$X$2,'船长每月数据(2022年)'!$E:$E,$C:$C)</f>
        <v>0</v>
      </c>
      <c r="Y64" s="20">
        <f>SUMIFS('船长每月数据(2022年)'!$P:$P,'船长每月数据(2022年)'!$F:$F,$Y$2,'船长每月数据(2022年)'!$E:$E,$C:$C)</f>
        <v>0</v>
      </c>
      <c r="Z64" s="85">
        <f>SUMIFS('船长每月数据(2022年)'!$R:$R,'船长每月数据(2022年)'!$F:$F,$Z$2,'船长每月数据(2022年)'!$E:$E,$C:$C)</f>
        <v>0</v>
      </c>
      <c r="AA64" s="20">
        <f>SUMIFS('船长每月数据(2022年)'!$P:$P,'船长每月数据(2022年)'!$F:$F,$AA$2,'船长每月数据(2022年)'!$E:$E,$C:$C)</f>
        <v>0</v>
      </c>
      <c r="AB64" s="85">
        <f>SUMIFS('船长每月数据(2022年)'!$R:$R,'船长每月数据(2022年)'!$F:$F,$AB$2,'船长每月数据(2022年)'!$E:$E,$C:$C)</f>
        <v>0</v>
      </c>
      <c r="AC64" s="20">
        <f>SUMIFS('船长每月数据(2023年)'!P:P,'船长每月数据(2023年)'!F:F,$AC$2,'船长每月数据(2023年)'!E:E,C:C)</f>
        <v>0</v>
      </c>
      <c r="AD64" s="21">
        <f>IFERROR(AC64/SUMIF('船长每月数据(2023年)'!$E:$E,C:C,'船长每月数据(2023年)'!P:P),0)</f>
        <v>0</v>
      </c>
      <c r="AE64" s="38">
        <f>SUMIFS('船长每月数据(2023年)'!$R:$R,'船长每月数据(2023年)'!$F:$F,$AE$2,'船长每月数据(2023年)'!$E:$E,$C:$C)</f>
        <v>0</v>
      </c>
      <c r="AF64" s="21">
        <f>IFERROR(AE64/SUMIF('船长每月数据(2023年)'!E:E,C:C,'船长每月数据(2023年)'!R:R),0)</f>
        <v>0</v>
      </c>
      <c r="AG64" s="20">
        <f>SUMIFS('船长每月数据(2023年)'!P:P,'船长每月数据(2023年)'!F:F,$AG$2,'船长每月数据(2023年)'!E:E,C:C)</f>
        <v>0</v>
      </c>
      <c r="AH64" s="21">
        <f>IFERROR(AG64/SUMIF('船长每月数据(2023年)'!$E:$E,$C:$C,'船长每月数据(2023年)'!$P:$P),0)</f>
        <v>0</v>
      </c>
      <c r="AI64" s="38">
        <f>SUMIFS('船长每月数据(2023年)'!$R:$R,'船长每月数据(2023年)'!$F:$F,$AI$2,'船长每月数据(2023年)'!$E:$E,$C:$C)</f>
        <v>0</v>
      </c>
      <c r="AJ64" s="21">
        <f>IFERROR(AI64/SUMIF('船长每月数据(2023年)'!$E:$E,$C:$C,'船长每月数据(2023年)'!$R:$R),0)</f>
        <v>0</v>
      </c>
      <c r="AK64" s="20">
        <f>SUMIFS('船长每月数据(2023年)'!P:P,'船长每月数据(2023年)'!F:F,$AK$2,'船长每月数据(2023年)'!E:E,C:C)</f>
        <v>0</v>
      </c>
      <c r="AL64" s="21">
        <f>IFERROR(AK64/SUMIF('船长每月数据(2023年)'!$E:$E,$C:$C,'船长每月数据(2023年)'!$P:$P),0)</f>
        <v>0</v>
      </c>
      <c r="AM64" s="38">
        <f>SUMIFS('船长每月数据(2023年)'!$R:$R,'船长每月数据(2023年)'!$F:$F,$AM$2,'船长每月数据(2023年)'!$E:$E,$C:$C)</f>
        <v>0</v>
      </c>
      <c r="AN64" s="21">
        <f>IFERROR(AM64/SUMIF('船长每月数据(2023年)'!$E:$E,$C:$C,'船长每月数据(2023年)'!$R:$R),0)</f>
        <v>0</v>
      </c>
      <c r="AO64" s="20">
        <f>SUMIFS('船长每月数据(2023年)'!P:P,'船长每月数据(2023年)'!F:F,$AO$2,'船长每月数据(2023年)'!E:E,C:C)</f>
        <v>0</v>
      </c>
      <c r="AP64" s="21">
        <f>IFERROR(AO64/SUMIF('船长每月数据(2023年)'!$E:$E,$C:$C,'船长每月数据(2023年)'!$P:$P),0)</f>
        <v>0</v>
      </c>
      <c r="AQ64" s="38">
        <f>SUMIFS('船长每月数据(2023年)'!$R:$R,'船长每月数据(2023年)'!$F:$F,$AQ$2,'船长每月数据(2023年)'!$E:$E,$C:$C)</f>
        <v>0</v>
      </c>
      <c r="AR64" s="21">
        <f>IFERROR(AQ64/SUMIF('船长每月数据(2023年)'!$E:$E,$C:$C,'船长每月数据(2023年)'!$R:$R),0)</f>
        <v>0</v>
      </c>
      <c r="AS64" s="20">
        <f>SUMIFS('船长每月数据(2023年)'!$P:$P,'船长每月数据(2023年)'!$F:$F,$AS$2,'船长每月数据(2023年)'!$E:$E,$C:$C)</f>
        <v>0</v>
      </c>
      <c r="AT64" s="21">
        <f>IFERROR(AS64/SUMIF('船长每月数据(2023年)'!$E:$E,$C:$C,'船长每月数据(2023年)'!$P:$P),0)</f>
        <v>0</v>
      </c>
      <c r="AU64" s="38">
        <f>SUMIFS('船长每月数据(2023年)'!$R:$R,'船长每月数据(2023年)'!$F:$F,$AU$2,'船长每月数据(2023年)'!$E:$E,$C:$C)</f>
        <v>0</v>
      </c>
      <c r="AV64" s="21">
        <f>IFERROR(AU64/SUMIF('船长每月数据(2023年)'!$E:$E,$C:$C,'船长每月数据(2023年)'!$R:$R),0)</f>
        <v>0</v>
      </c>
      <c r="AW64" s="20">
        <f>SUMIFS('船长每月数据(2023年)'!$P:$P,'船长每月数据(2023年)'!$F:$F,$AW$2,'船长每月数据(2023年)'!$E:$E,$C:$C)</f>
        <v>0</v>
      </c>
      <c r="AX64" s="21">
        <f>IFERROR(AW64/SUMIF('船长每月数据(2023年)'!$E:$E,$C:$C,'船长每月数据(2023年)'!$P:$P),0)</f>
        <v>0</v>
      </c>
      <c r="AY64" s="38">
        <f>SUMIFS('船长每月数据(2023年)'!$R:$R,'船长每月数据(2023年)'!$F:$F,$AY$2,'船长每月数据(2023年)'!$E:$E,$C:$C)</f>
        <v>0</v>
      </c>
      <c r="AZ64" s="21">
        <f>IFERROR(AY64/SUMIF('船长每月数据(2023年)'!$E:$E,$C:$C,'船长每月数据(2023年)'!$R:$R),0)</f>
        <v>0</v>
      </c>
      <c r="BA64" s="20">
        <f>SUMIFS('船长每月数据(2023年)'!$P:$P,'船长每月数据(2023年)'!$F:$F,$BA$2,'船长每月数据(2023年)'!$E:$E,$C:$C)</f>
        <v>0</v>
      </c>
      <c r="BB64" s="21">
        <f>IFERROR(BA64/SUMIF('船长每月数据(2023年)'!$E:$E,$C:$C,'船长每月数据(2023年)'!$P:$P),0)</f>
        <v>0</v>
      </c>
      <c r="BC64" s="38">
        <f>SUMIFS('船长每月数据(2023年)'!$R:$R,'船长每月数据(2023年)'!$F:$F,$BC$2,'船长每月数据(2023年)'!$E:$E,$C:$C)</f>
        <v>0</v>
      </c>
      <c r="BD64" s="21">
        <f>IFERROR(BC64/SUMIF('船长每月数据(2023年)'!$E:$E,$C:$C,'船长每月数据(2023年)'!$R:$R),0)</f>
        <v>0</v>
      </c>
      <c r="BE64" s="20">
        <f>SUMIFS('船长每月数据(2023年)'!$P:$P,'船长每月数据(2023年)'!$F:$F,$BE$2,'船长每月数据(2023年)'!$E:$E,$C:$C)</f>
        <v>0</v>
      </c>
      <c r="BF64" s="21">
        <f>IFERROR(BE64/SUMIF('船长每月数据(2023年)'!$E:$E,$C:$C,'船长每月数据(2023年)'!$P:$P),0)</f>
        <v>0</v>
      </c>
      <c r="BG64" s="38">
        <f>SUMIFS('船长每月数据(2023年)'!$R:$R,'船长每月数据(2023年)'!$F:$F,$BG$2,'船长每月数据(2023年)'!$E:$E,$C:$C)</f>
        <v>0</v>
      </c>
      <c r="BH64" s="21">
        <f>IFERROR(BG64/SUMIF('船长每月数据(2023年)'!$E:$E,$C:$C,'船长每月数据(2023年)'!$R:$R),0)</f>
        <v>0</v>
      </c>
      <c r="BI64" s="20">
        <f>SUMIFS('船长每月数据(2023年)'!$P:$P,'船长每月数据(2023年)'!$F:$F,$BI$2,'船长每月数据(2023年)'!$E:$E,$C:$C)</f>
        <v>0</v>
      </c>
      <c r="BJ64" s="21">
        <f>IFERROR(BI64/SUMIF('船长每月数据(2023年)'!$E:$E,$C:$C,'船长每月数据(2023年)'!$P:$P),0)</f>
        <v>0</v>
      </c>
      <c r="BK64" s="38">
        <f>SUMIFS('船长每月数据(2023年)'!$R:$R,'船长每月数据(2023年)'!$F:$F,$BK$2,'船长每月数据(2023年)'!$E:$E,$C:$C)</f>
        <v>0</v>
      </c>
      <c r="BL64" s="21">
        <f>IFERROR(BK64/SUMIF('船长每月数据(2023年)'!$E:$E,$C:$C,'船长每月数据(2023年)'!$R:$R),0)</f>
        <v>0</v>
      </c>
      <c r="BM64" s="20">
        <f>SUMIFS('船长每月数据(2023年)'!$P:$P,'船长每月数据(2023年)'!$F:$F,$BM$2,'船长每月数据(2023年)'!$E:$E,$C:$C)</f>
        <v>0</v>
      </c>
      <c r="BN64" s="21">
        <f>IFERROR(BM64/SUMIF('船长每月数据(2023年)'!$E:$E,$C:$C,'船长每月数据(2023年)'!$P:$P),0)</f>
        <v>0</v>
      </c>
      <c r="BO64" s="38">
        <f>SUMIFS('船长每月数据(2023年)'!$R:$R,'船长每月数据(2023年)'!$F:$F,$BO$2,'船长每月数据(2023年)'!$E:$E,$C:$C)</f>
        <v>0</v>
      </c>
      <c r="BP64" s="21">
        <f>IFERROR(BO64/SUMIF('船长每月数据(2023年)'!$E:$E,$C:$C,'船长每月数据(2023年)'!$R:$R),0)</f>
        <v>0</v>
      </c>
      <c r="BQ64" s="20">
        <f>SUMIFS('船长每月数据(2023年)'!$P:$P,'船长每月数据(2023年)'!$F:$F,$BQ$2,'船长每月数据(2023年)'!$E:$E,$C:$C)</f>
        <v>0</v>
      </c>
      <c r="BR64" s="21">
        <f>IFERROR(BQ64/SUMIF('船长每月数据(2023年)'!$E:$E,$C:$C,'船长每月数据(2023年)'!$P:$P),0)</f>
        <v>0</v>
      </c>
      <c r="BS64" s="38">
        <f>SUMIFS('船长每月数据(2023年)'!$R:$R,'船长每月数据(2023年)'!$F:$F,$BS$2,'船长每月数据(2023年)'!$E:$E,$C:$C)</f>
        <v>0</v>
      </c>
      <c r="BT64" s="21">
        <f>IFERROR(BS64/SUMIF('船长每月数据(2023年)'!$E:$E,$C:$C,'船长每月数据(2023年)'!$R:$R),0)</f>
        <v>0</v>
      </c>
      <c r="BU64" s="20">
        <f>SUMIFS('船长每月数据(2023年)'!$P:$P,'船长每月数据(2023年)'!$F:$F,$BU$2,'船长每月数据(2023年)'!$E:$E,$C:$C)</f>
        <v>0</v>
      </c>
      <c r="BV64" s="21">
        <f>IFERROR(BU64/SUMIF('船长每月数据(2023年)'!$E:$E,$C:$C,'船长每月数据(2023年)'!$P:$P),0)</f>
        <v>0</v>
      </c>
      <c r="BW64" s="38">
        <f>SUMIFS('船长每月数据(2023年)'!$R:$R,'船长每月数据(2023年)'!$F:$F,$BW$2,'船长每月数据(2023年)'!$E:$E,$C:$C)</f>
        <v>0</v>
      </c>
      <c r="BX64" s="21">
        <f>IFERROR(BW64/SUMIF('船长每月数据(2023年)'!$E:$E,$C:$C,'船长每月数据(2023年)'!$R:$R),0)</f>
        <v>0</v>
      </c>
    </row>
    <row r="65" ht="23" customHeight="1" spans="1:76">
      <c r="A65" s="36"/>
      <c r="B65" s="36"/>
      <c r="C65" s="20"/>
      <c r="D65" s="74"/>
      <c r="E65" s="20">
        <f>SUMIFS('船长每月数据(2022年)'!$P:$P,'船长每月数据(2022年)'!$F:$F,$E$2,'船长每月数据(2022年)'!E:E,C:C)</f>
        <v>0</v>
      </c>
      <c r="F65" s="85">
        <f>SUMIFS('船长每月数据(2022年)'!$R:$R,'船长每月数据(2022年)'!$F:$F,$F$2,'船长每月数据(2022年)'!E:E,C:C)</f>
        <v>0</v>
      </c>
      <c r="G65" s="20">
        <f>SUMIFS('船长每月数据(2022年)'!$P:$P,'船长每月数据(2022年)'!$F:$F,$G$2,'船长每月数据(2022年)'!$E:$E,$C:$C)</f>
        <v>0</v>
      </c>
      <c r="H65" s="85">
        <f>SUMIFS('船长每月数据(2022年)'!$R:$R,'船长每月数据(2022年)'!$F:$F,$H$2,'船长每月数据(2022年)'!$E:$E,$C:$C)</f>
        <v>0</v>
      </c>
      <c r="I65" s="20">
        <f>SUMIFS('船长每月数据(2022年)'!$P:$P,'船长每月数据(2022年)'!$F:$F,$I$2,'船长每月数据(2022年)'!$E:$E,$C:$C)</f>
        <v>0</v>
      </c>
      <c r="J65" s="85">
        <f>SUMIFS('船长每月数据(2022年)'!$R:$R,'船长每月数据(2022年)'!$F:$F,$J$2,'船长每月数据(2022年)'!$E:$E,$C:$C)</f>
        <v>0</v>
      </c>
      <c r="K65" s="20">
        <f>SUMIFS('船长每月数据(2022年)'!$P:$P,'船长每月数据(2022年)'!$F:$F,$K$2,'船长每月数据(2022年)'!$E:$E,$C:$C)</f>
        <v>0</v>
      </c>
      <c r="L65" s="85">
        <f>SUMIFS('船长每月数据(2022年)'!$R:$R,'船长每月数据(2022年)'!$F:$F,$L$2,'船长每月数据(2022年)'!$E:$E,$C:$C)</f>
        <v>0</v>
      </c>
      <c r="M65" s="20">
        <f>SUMIFS('船长每月数据(2022年)'!$P:$P,'船长每月数据(2022年)'!$F:$F,$M$2,'船长每月数据(2022年)'!$E:$E,$C:$C)</f>
        <v>0</v>
      </c>
      <c r="N65" s="85">
        <f>SUMIFS('船长每月数据(2022年)'!$R:$R,'船长每月数据(2022年)'!$F:$F,$N$2,'船长每月数据(2022年)'!$E:$E,$C:$C)</f>
        <v>0</v>
      </c>
      <c r="O65" s="20">
        <f>SUMIFS('船长每月数据(2022年)'!$P:$P,'船长每月数据(2022年)'!$F:$F,$O$2,'船长每月数据(2022年)'!$E:$E,$C:$C)</f>
        <v>0</v>
      </c>
      <c r="P65" s="85">
        <f>SUMIFS('船长每月数据(2022年)'!$R:$R,'船长每月数据(2022年)'!$F:$F,$P$2,'船长每月数据(2022年)'!$E:$E,$C:$C)</f>
        <v>0</v>
      </c>
      <c r="Q65" s="20">
        <f>SUMIFS('船长每月数据(2022年)'!$P:$P,'船长每月数据(2022年)'!$F:$F,$Q$2,'船长每月数据(2022年)'!$E:$E,$C:$C)</f>
        <v>0</v>
      </c>
      <c r="R65" s="85">
        <f>SUMIFS('船长每月数据(2022年)'!$R:$R,'船长每月数据(2022年)'!$F:$F,$R$2,'船长每月数据(2022年)'!$E:$E,$C:$C)</f>
        <v>0</v>
      </c>
      <c r="S65" s="20">
        <f>SUMIFS('船长每月数据(2022年)'!$P:$P,'船长每月数据(2022年)'!$F:$F,$S$2,'船长每月数据(2022年)'!$E:$E,$C:$C)</f>
        <v>0</v>
      </c>
      <c r="T65" s="85">
        <f>SUMIFS('船长每月数据(2022年)'!$R:$R,'船长每月数据(2022年)'!$F:$F,$T$2,'船长每月数据(2022年)'!$E:$E,$C:$C)</f>
        <v>0</v>
      </c>
      <c r="U65" s="20">
        <f>SUMIFS('船长每月数据(2022年)'!$P:$P,'船长每月数据(2022年)'!$F:$F,$U$2,'船长每月数据(2022年)'!$E:$E,$C:$C)</f>
        <v>0</v>
      </c>
      <c r="V65" s="85">
        <f>SUMIFS('船长每月数据(2022年)'!$R:$R,'船长每月数据(2022年)'!$F:$F,$V$2,'船长每月数据(2022年)'!$E:$E,$C:$C)</f>
        <v>0</v>
      </c>
      <c r="W65" s="20">
        <f>SUMIFS('船长每月数据(2022年)'!$P:$P,'船长每月数据(2022年)'!$F:$F,$W$2,'船长每月数据(2022年)'!$E:$E,$C:$C)</f>
        <v>0</v>
      </c>
      <c r="X65" s="85">
        <f>SUMIFS('船长每月数据(2022年)'!$R:$R,'船长每月数据(2022年)'!$F:$F,$X$2,'船长每月数据(2022年)'!$E:$E,$C:$C)</f>
        <v>0</v>
      </c>
      <c r="Y65" s="20">
        <f>SUMIFS('船长每月数据(2022年)'!$P:$P,'船长每月数据(2022年)'!$F:$F,$Y$2,'船长每月数据(2022年)'!$E:$E,$C:$C)</f>
        <v>0</v>
      </c>
      <c r="Z65" s="85">
        <f>SUMIFS('船长每月数据(2022年)'!$R:$R,'船长每月数据(2022年)'!$F:$F,$Z$2,'船长每月数据(2022年)'!$E:$E,$C:$C)</f>
        <v>0</v>
      </c>
      <c r="AA65" s="20">
        <f>SUMIFS('船长每月数据(2022年)'!$P:$P,'船长每月数据(2022年)'!$F:$F,$AA$2,'船长每月数据(2022年)'!$E:$E,$C:$C)</f>
        <v>0</v>
      </c>
      <c r="AB65" s="85">
        <f>SUMIFS('船长每月数据(2022年)'!$R:$R,'船长每月数据(2022年)'!$F:$F,$AB$2,'船长每月数据(2022年)'!$E:$E,$C:$C)</f>
        <v>0</v>
      </c>
      <c r="AC65" s="20">
        <f>SUMIFS('船长每月数据(2023年)'!P:P,'船长每月数据(2023年)'!F:F,$AC$2,'船长每月数据(2023年)'!E:E,C:C)</f>
        <v>0</v>
      </c>
      <c r="AD65" s="21">
        <f>IFERROR(AC65/SUMIF('船长每月数据(2023年)'!$E:$E,C:C,'船长每月数据(2023年)'!P:P),0)</f>
        <v>0</v>
      </c>
      <c r="AE65" s="38">
        <f>SUMIFS('船长每月数据(2023年)'!$R:$R,'船长每月数据(2023年)'!$F:$F,$AE$2,'船长每月数据(2023年)'!$E:$E,$C:$C)</f>
        <v>0</v>
      </c>
      <c r="AF65" s="21">
        <f>IFERROR(AE65/SUMIF('船长每月数据(2023年)'!E:E,C:C,'船长每月数据(2023年)'!R:R),0)</f>
        <v>0</v>
      </c>
      <c r="AG65" s="20">
        <f>SUMIFS('船长每月数据(2023年)'!P:P,'船长每月数据(2023年)'!F:F,$AG$2,'船长每月数据(2023年)'!E:E,C:C)</f>
        <v>0</v>
      </c>
      <c r="AH65" s="21">
        <f>IFERROR(AG65/SUMIF('船长每月数据(2023年)'!$E:$E,$C:$C,'船长每月数据(2023年)'!$P:$P),0)</f>
        <v>0</v>
      </c>
      <c r="AI65" s="38">
        <f>SUMIFS('船长每月数据(2023年)'!$R:$R,'船长每月数据(2023年)'!$F:$F,$AI$2,'船长每月数据(2023年)'!$E:$E,$C:$C)</f>
        <v>0</v>
      </c>
      <c r="AJ65" s="21">
        <f>IFERROR(AI65/SUMIF('船长每月数据(2023年)'!$E:$E,$C:$C,'船长每月数据(2023年)'!$R:$R),0)</f>
        <v>0</v>
      </c>
      <c r="AK65" s="20">
        <f>SUMIFS('船长每月数据(2023年)'!P:P,'船长每月数据(2023年)'!F:F,$AK$2,'船长每月数据(2023年)'!E:E,C:C)</f>
        <v>0</v>
      </c>
      <c r="AL65" s="21">
        <f>IFERROR(AK65/SUMIF('船长每月数据(2023年)'!$E:$E,$C:$C,'船长每月数据(2023年)'!$P:$P),0)</f>
        <v>0</v>
      </c>
      <c r="AM65" s="38">
        <f>SUMIFS('船长每月数据(2023年)'!$R:$R,'船长每月数据(2023年)'!$F:$F,$AM$2,'船长每月数据(2023年)'!$E:$E,$C:$C)</f>
        <v>0</v>
      </c>
      <c r="AN65" s="21">
        <f>IFERROR(AM65/SUMIF('船长每月数据(2023年)'!$E:$E,$C:$C,'船长每月数据(2023年)'!$R:$R),0)</f>
        <v>0</v>
      </c>
      <c r="AO65" s="20">
        <f>SUMIFS('船长每月数据(2023年)'!P:P,'船长每月数据(2023年)'!F:F,$AO$2,'船长每月数据(2023年)'!E:E,C:C)</f>
        <v>0</v>
      </c>
      <c r="AP65" s="21">
        <f>IFERROR(AO65/SUMIF('船长每月数据(2023年)'!$E:$E,$C:$C,'船长每月数据(2023年)'!$P:$P),0)</f>
        <v>0</v>
      </c>
      <c r="AQ65" s="38">
        <f>SUMIFS('船长每月数据(2023年)'!$R:$R,'船长每月数据(2023年)'!$F:$F,$AQ$2,'船长每月数据(2023年)'!$E:$E,$C:$C)</f>
        <v>0</v>
      </c>
      <c r="AR65" s="21">
        <f>IFERROR(AQ65/SUMIF('船长每月数据(2023年)'!$E:$E,$C:$C,'船长每月数据(2023年)'!$R:$R),0)</f>
        <v>0</v>
      </c>
      <c r="AS65" s="20">
        <f>SUMIFS('船长每月数据(2023年)'!$P:$P,'船长每月数据(2023年)'!$F:$F,$AS$2,'船长每月数据(2023年)'!$E:$E,$C:$C)</f>
        <v>0</v>
      </c>
      <c r="AT65" s="21">
        <f>IFERROR(AS65/SUMIF('船长每月数据(2023年)'!$E:$E,$C:$C,'船长每月数据(2023年)'!$P:$P),0)</f>
        <v>0</v>
      </c>
      <c r="AU65" s="38">
        <f>SUMIFS('船长每月数据(2023年)'!$R:$R,'船长每月数据(2023年)'!$F:$F,$AU$2,'船长每月数据(2023年)'!$E:$E,$C:$C)</f>
        <v>0</v>
      </c>
      <c r="AV65" s="21">
        <f>IFERROR(AU65/SUMIF('船长每月数据(2023年)'!$E:$E,$C:$C,'船长每月数据(2023年)'!$R:$R),0)</f>
        <v>0</v>
      </c>
      <c r="AW65" s="20">
        <f>SUMIFS('船长每月数据(2023年)'!$P:$P,'船长每月数据(2023年)'!$F:$F,$AW$2,'船长每月数据(2023年)'!$E:$E,$C:$C)</f>
        <v>0</v>
      </c>
      <c r="AX65" s="21">
        <f>IFERROR(AW65/SUMIF('船长每月数据(2023年)'!$E:$E,$C:$C,'船长每月数据(2023年)'!$P:$P),0)</f>
        <v>0</v>
      </c>
      <c r="AY65" s="38">
        <f>SUMIFS('船长每月数据(2023年)'!$R:$R,'船长每月数据(2023年)'!$F:$F,$AY$2,'船长每月数据(2023年)'!$E:$E,$C:$C)</f>
        <v>0</v>
      </c>
      <c r="AZ65" s="21">
        <f>IFERROR(AY65/SUMIF('船长每月数据(2023年)'!$E:$E,$C:$C,'船长每月数据(2023年)'!$R:$R),0)</f>
        <v>0</v>
      </c>
      <c r="BA65" s="20">
        <f>SUMIFS('船长每月数据(2023年)'!$P:$P,'船长每月数据(2023年)'!$F:$F,$BA$2,'船长每月数据(2023年)'!$E:$E,$C:$C)</f>
        <v>0</v>
      </c>
      <c r="BB65" s="21">
        <f>IFERROR(BA65/SUMIF('船长每月数据(2023年)'!$E:$E,$C:$C,'船长每月数据(2023年)'!$P:$P),0)</f>
        <v>0</v>
      </c>
      <c r="BC65" s="38">
        <f>SUMIFS('船长每月数据(2023年)'!$R:$R,'船长每月数据(2023年)'!$F:$F,$BC$2,'船长每月数据(2023年)'!$E:$E,$C:$C)</f>
        <v>0</v>
      </c>
      <c r="BD65" s="21">
        <f>IFERROR(BC65/SUMIF('船长每月数据(2023年)'!$E:$E,$C:$C,'船长每月数据(2023年)'!$R:$R),0)</f>
        <v>0</v>
      </c>
      <c r="BE65" s="20">
        <f>SUMIFS('船长每月数据(2023年)'!$P:$P,'船长每月数据(2023年)'!$F:$F,$BE$2,'船长每月数据(2023年)'!$E:$E,$C:$C)</f>
        <v>0</v>
      </c>
      <c r="BF65" s="21">
        <f>IFERROR(BE65/SUMIF('船长每月数据(2023年)'!$E:$E,$C:$C,'船长每月数据(2023年)'!$P:$P),0)</f>
        <v>0</v>
      </c>
      <c r="BG65" s="38">
        <f>SUMIFS('船长每月数据(2023年)'!$R:$R,'船长每月数据(2023年)'!$F:$F,$BG$2,'船长每月数据(2023年)'!$E:$E,$C:$C)</f>
        <v>0</v>
      </c>
      <c r="BH65" s="21">
        <f>IFERROR(BG65/SUMIF('船长每月数据(2023年)'!$E:$E,$C:$C,'船长每月数据(2023年)'!$R:$R),0)</f>
        <v>0</v>
      </c>
      <c r="BI65" s="20">
        <f>SUMIFS('船长每月数据(2023年)'!$P:$P,'船长每月数据(2023年)'!$F:$F,$BI$2,'船长每月数据(2023年)'!$E:$E,$C:$C)</f>
        <v>0</v>
      </c>
      <c r="BJ65" s="21">
        <f>IFERROR(BI65/SUMIF('船长每月数据(2023年)'!$E:$E,$C:$C,'船长每月数据(2023年)'!$P:$P),0)</f>
        <v>0</v>
      </c>
      <c r="BK65" s="38">
        <f>SUMIFS('船长每月数据(2023年)'!$R:$R,'船长每月数据(2023年)'!$F:$F,$BK$2,'船长每月数据(2023年)'!$E:$E,$C:$C)</f>
        <v>0</v>
      </c>
      <c r="BL65" s="21">
        <f>IFERROR(BK65/SUMIF('船长每月数据(2023年)'!$E:$E,$C:$C,'船长每月数据(2023年)'!$R:$R),0)</f>
        <v>0</v>
      </c>
      <c r="BM65" s="20">
        <f>SUMIFS('船长每月数据(2023年)'!$P:$P,'船长每月数据(2023年)'!$F:$F,$BM$2,'船长每月数据(2023年)'!$E:$E,$C:$C)</f>
        <v>0</v>
      </c>
      <c r="BN65" s="21">
        <f>IFERROR(BM65/SUMIF('船长每月数据(2023年)'!$E:$E,$C:$C,'船长每月数据(2023年)'!$P:$P),0)</f>
        <v>0</v>
      </c>
      <c r="BO65" s="38">
        <f>SUMIFS('船长每月数据(2023年)'!$R:$R,'船长每月数据(2023年)'!$F:$F,$BO$2,'船长每月数据(2023年)'!$E:$E,$C:$C)</f>
        <v>0</v>
      </c>
      <c r="BP65" s="21">
        <f>IFERROR(BO65/SUMIF('船长每月数据(2023年)'!$E:$E,$C:$C,'船长每月数据(2023年)'!$R:$R),0)</f>
        <v>0</v>
      </c>
      <c r="BQ65" s="20">
        <f>SUMIFS('船长每月数据(2023年)'!$P:$P,'船长每月数据(2023年)'!$F:$F,$BQ$2,'船长每月数据(2023年)'!$E:$E,$C:$C)</f>
        <v>0</v>
      </c>
      <c r="BR65" s="21">
        <f>IFERROR(BQ65/SUMIF('船长每月数据(2023年)'!$E:$E,$C:$C,'船长每月数据(2023年)'!$P:$P),0)</f>
        <v>0</v>
      </c>
      <c r="BS65" s="38">
        <f>SUMIFS('船长每月数据(2023年)'!$R:$R,'船长每月数据(2023年)'!$F:$F,$BS$2,'船长每月数据(2023年)'!$E:$E,$C:$C)</f>
        <v>0</v>
      </c>
      <c r="BT65" s="21">
        <f>IFERROR(BS65/SUMIF('船长每月数据(2023年)'!$E:$E,$C:$C,'船长每月数据(2023年)'!$R:$R),0)</f>
        <v>0</v>
      </c>
      <c r="BU65" s="20">
        <f>SUMIFS('船长每月数据(2023年)'!$P:$P,'船长每月数据(2023年)'!$F:$F,$BU$2,'船长每月数据(2023年)'!$E:$E,$C:$C)</f>
        <v>0</v>
      </c>
      <c r="BV65" s="21">
        <f>IFERROR(BU65/SUMIF('船长每月数据(2023年)'!$E:$E,$C:$C,'船长每月数据(2023年)'!$P:$P),0)</f>
        <v>0</v>
      </c>
      <c r="BW65" s="38">
        <f>SUMIFS('船长每月数据(2023年)'!$R:$R,'船长每月数据(2023年)'!$F:$F,$BW$2,'船长每月数据(2023年)'!$E:$E,$C:$C)</f>
        <v>0</v>
      </c>
      <c r="BX65" s="21">
        <f>IFERROR(BW65/SUMIF('船长每月数据(2023年)'!$E:$E,$C:$C,'船长每月数据(2023年)'!$R:$R),0)</f>
        <v>0</v>
      </c>
    </row>
    <row r="66" ht="23" customHeight="1" spans="1:76">
      <c r="A66" s="36"/>
      <c r="B66" s="36"/>
      <c r="C66" s="20"/>
      <c r="D66" s="74"/>
      <c r="E66" s="20">
        <f>SUMIFS('船长每月数据(2022年)'!$P:$P,'船长每月数据(2022年)'!$F:$F,$E$2,'船长每月数据(2022年)'!E:E,C:C)</f>
        <v>0</v>
      </c>
      <c r="F66" s="85">
        <f>SUMIFS('船长每月数据(2022年)'!$R:$R,'船长每月数据(2022年)'!$F:$F,$F$2,'船长每月数据(2022年)'!E:E,C:C)</f>
        <v>0</v>
      </c>
      <c r="G66" s="20">
        <f>SUMIFS('船长每月数据(2022年)'!$P:$P,'船长每月数据(2022年)'!$F:$F,$G$2,'船长每月数据(2022年)'!$E:$E,$C:$C)</f>
        <v>0</v>
      </c>
      <c r="H66" s="85">
        <f>SUMIFS('船长每月数据(2022年)'!$R:$R,'船长每月数据(2022年)'!$F:$F,$H$2,'船长每月数据(2022年)'!$E:$E,$C:$C)</f>
        <v>0</v>
      </c>
      <c r="I66" s="20">
        <f>SUMIFS('船长每月数据(2022年)'!$P:$P,'船长每月数据(2022年)'!$F:$F,$I$2,'船长每月数据(2022年)'!$E:$E,$C:$C)</f>
        <v>0</v>
      </c>
      <c r="J66" s="85">
        <f>SUMIFS('船长每月数据(2022年)'!$R:$R,'船长每月数据(2022年)'!$F:$F,$J$2,'船长每月数据(2022年)'!$E:$E,$C:$C)</f>
        <v>0</v>
      </c>
      <c r="K66" s="20">
        <f>SUMIFS('船长每月数据(2022年)'!$P:$P,'船长每月数据(2022年)'!$F:$F,$K$2,'船长每月数据(2022年)'!$E:$E,$C:$C)</f>
        <v>0</v>
      </c>
      <c r="L66" s="85">
        <f>SUMIFS('船长每月数据(2022年)'!$R:$R,'船长每月数据(2022年)'!$F:$F,$L$2,'船长每月数据(2022年)'!$E:$E,$C:$C)</f>
        <v>0</v>
      </c>
      <c r="M66" s="20">
        <f>SUMIFS('船长每月数据(2022年)'!$P:$P,'船长每月数据(2022年)'!$F:$F,$M$2,'船长每月数据(2022年)'!$E:$E,$C:$C)</f>
        <v>0</v>
      </c>
      <c r="N66" s="85">
        <f>SUMIFS('船长每月数据(2022年)'!$R:$R,'船长每月数据(2022年)'!$F:$F,$N$2,'船长每月数据(2022年)'!$E:$E,$C:$C)</f>
        <v>0</v>
      </c>
      <c r="O66" s="20">
        <f>SUMIFS('船长每月数据(2022年)'!$P:$P,'船长每月数据(2022年)'!$F:$F,$O$2,'船长每月数据(2022年)'!$E:$E,$C:$C)</f>
        <v>0</v>
      </c>
      <c r="P66" s="85">
        <f>SUMIFS('船长每月数据(2022年)'!$R:$R,'船长每月数据(2022年)'!$F:$F,$P$2,'船长每月数据(2022年)'!$E:$E,$C:$C)</f>
        <v>0</v>
      </c>
      <c r="Q66" s="20">
        <f>SUMIFS('船长每月数据(2022年)'!$P:$P,'船长每月数据(2022年)'!$F:$F,$Q$2,'船长每月数据(2022年)'!$E:$E,$C:$C)</f>
        <v>0</v>
      </c>
      <c r="R66" s="85">
        <f>SUMIFS('船长每月数据(2022年)'!$R:$R,'船长每月数据(2022年)'!$F:$F,$R$2,'船长每月数据(2022年)'!$E:$E,$C:$C)</f>
        <v>0</v>
      </c>
      <c r="S66" s="20">
        <f>SUMIFS('船长每月数据(2022年)'!$P:$P,'船长每月数据(2022年)'!$F:$F,$S$2,'船长每月数据(2022年)'!$E:$E,$C:$C)</f>
        <v>0</v>
      </c>
      <c r="T66" s="85">
        <f>SUMIFS('船长每月数据(2022年)'!$R:$R,'船长每月数据(2022年)'!$F:$F,$T$2,'船长每月数据(2022年)'!$E:$E,$C:$C)</f>
        <v>0</v>
      </c>
      <c r="U66" s="20">
        <f>SUMIFS('船长每月数据(2022年)'!$P:$P,'船长每月数据(2022年)'!$F:$F,$U$2,'船长每月数据(2022年)'!$E:$E,$C:$C)</f>
        <v>0</v>
      </c>
      <c r="V66" s="85">
        <f>SUMIFS('船长每月数据(2022年)'!$R:$R,'船长每月数据(2022年)'!$F:$F,$V$2,'船长每月数据(2022年)'!$E:$E,$C:$C)</f>
        <v>0</v>
      </c>
      <c r="W66" s="20">
        <f>SUMIFS('船长每月数据(2022年)'!$P:$P,'船长每月数据(2022年)'!$F:$F,$W$2,'船长每月数据(2022年)'!$E:$E,$C:$C)</f>
        <v>0</v>
      </c>
      <c r="X66" s="85">
        <f>SUMIFS('船长每月数据(2022年)'!$R:$R,'船长每月数据(2022年)'!$F:$F,$X$2,'船长每月数据(2022年)'!$E:$E,$C:$C)</f>
        <v>0</v>
      </c>
      <c r="Y66" s="20">
        <f>SUMIFS('船长每月数据(2022年)'!$P:$P,'船长每月数据(2022年)'!$F:$F,$Y$2,'船长每月数据(2022年)'!$E:$E,$C:$C)</f>
        <v>0</v>
      </c>
      <c r="Z66" s="85">
        <f>SUMIFS('船长每月数据(2022年)'!$R:$R,'船长每月数据(2022年)'!$F:$F,$Z$2,'船长每月数据(2022年)'!$E:$E,$C:$C)</f>
        <v>0</v>
      </c>
      <c r="AA66" s="20">
        <f>SUMIFS('船长每月数据(2022年)'!$P:$P,'船长每月数据(2022年)'!$F:$F,$AA$2,'船长每月数据(2022年)'!$E:$E,$C:$C)</f>
        <v>0</v>
      </c>
      <c r="AB66" s="85">
        <f>SUMIFS('船长每月数据(2022年)'!$R:$R,'船长每月数据(2022年)'!$F:$F,$AB$2,'船长每月数据(2022年)'!$E:$E,$C:$C)</f>
        <v>0</v>
      </c>
      <c r="AC66" s="20">
        <f>SUMIFS('船长每月数据(2023年)'!P:P,'船长每月数据(2023年)'!F:F,$AC$2,'船长每月数据(2023年)'!E:E,C:C)</f>
        <v>0</v>
      </c>
      <c r="AD66" s="21">
        <f>IFERROR(AC66/SUMIF('船长每月数据(2023年)'!$E:$E,C:C,'船长每月数据(2023年)'!P:P),0)</f>
        <v>0</v>
      </c>
      <c r="AE66" s="38">
        <f>SUMIFS('船长每月数据(2023年)'!$R:$R,'船长每月数据(2023年)'!$F:$F,$AE$2,'船长每月数据(2023年)'!$E:$E,$C:$C)</f>
        <v>0</v>
      </c>
      <c r="AF66" s="21">
        <f>IFERROR(AE66/SUMIF('船长每月数据(2023年)'!E:E,C:C,'船长每月数据(2023年)'!R:R),0)</f>
        <v>0</v>
      </c>
      <c r="AG66" s="20">
        <f>SUMIFS('船长每月数据(2023年)'!P:P,'船长每月数据(2023年)'!F:F,$AG$2,'船长每月数据(2023年)'!E:E,C:C)</f>
        <v>0</v>
      </c>
      <c r="AH66" s="21">
        <f>IFERROR(AG66/SUMIF('船长每月数据(2023年)'!$E:$E,$C:$C,'船长每月数据(2023年)'!$P:$P),0)</f>
        <v>0</v>
      </c>
      <c r="AI66" s="38">
        <f>SUMIFS('船长每月数据(2023年)'!$R:$R,'船长每月数据(2023年)'!$F:$F,$AI$2,'船长每月数据(2023年)'!$E:$E,$C:$C)</f>
        <v>0</v>
      </c>
      <c r="AJ66" s="21">
        <f>IFERROR(AI66/SUMIF('船长每月数据(2023年)'!$E:$E,$C:$C,'船长每月数据(2023年)'!$R:$R),0)</f>
        <v>0</v>
      </c>
      <c r="AK66" s="20">
        <f>SUMIFS('船长每月数据(2023年)'!P:P,'船长每月数据(2023年)'!F:F,$AK$2,'船长每月数据(2023年)'!E:E,C:C)</f>
        <v>0</v>
      </c>
      <c r="AL66" s="21">
        <f>IFERROR(AK66/SUMIF('船长每月数据(2023年)'!$E:$E,$C:$C,'船长每月数据(2023年)'!$P:$P),0)</f>
        <v>0</v>
      </c>
      <c r="AM66" s="38">
        <f>SUMIFS('船长每月数据(2023年)'!$R:$R,'船长每月数据(2023年)'!$F:$F,$AM$2,'船长每月数据(2023年)'!$E:$E,$C:$C)</f>
        <v>0</v>
      </c>
      <c r="AN66" s="21">
        <f>IFERROR(AM66/SUMIF('船长每月数据(2023年)'!$E:$E,$C:$C,'船长每月数据(2023年)'!$R:$R),0)</f>
        <v>0</v>
      </c>
      <c r="AO66" s="20">
        <f>SUMIFS('船长每月数据(2023年)'!P:P,'船长每月数据(2023年)'!F:F,$AO$2,'船长每月数据(2023年)'!E:E,C:C)</f>
        <v>0</v>
      </c>
      <c r="AP66" s="21">
        <f>IFERROR(AO66/SUMIF('船长每月数据(2023年)'!$E:$E,$C:$C,'船长每月数据(2023年)'!$P:$P),0)</f>
        <v>0</v>
      </c>
      <c r="AQ66" s="38">
        <f>SUMIFS('船长每月数据(2023年)'!$R:$R,'船长每月数据(2023年)'!$F:$F,$AQ$2,'船长每月数据(2023年)'!$E:$E,$C:$C)</f>
        <v>0</v>
      </c>
      <c r="AR66" s="21">
        <f>IFERROR(AQ66/SUMIF('船长每月数据(2023年)'!$E:$E,$C:$C,'船长每月数据(2023年)'!$R:$R),0)</f>
        <v>0</v>
      </c>
      <c r="AS66" s="20">
        <f>SUMIFS('船长每月数据(2023年)'!$P:$P,'船长每月数据(2023年)'!$F:$F,$AS$2,'船长每月数据(2023年)'!$E:$E,$C:$C)</f>
        <v>0</v>
      </c>
      <c r="AT66" s="21">
        <f>IFERROR(AS66/SUMIF('船长每月数据(2023年)'!$E:$E,$C:$C,'船长每月数据(2023年)'!$P:$P),0)</f>
        <v>0</v>
      </c>
      <c r="AU66" s="38">
        <f>SUMIFS('船长每月数据(2023年)'!$R:$R,'船长每月数据(2023年)'!$F:$F,$AU$2,'船长每月数据(2023年)'!$E:$E,$C:$C)</f>
        <v>0</v>
      </c>
      <c r="AV66" s="21">
        <f>IFERROR(AU66/SUMIF('船长每月数据(2023年)'!$E:$E,$C:$C,'船长每月数据(2023年)'!$R:$R),0)</f>
        <v>0</v>
      </c>
      <c r="AW66" s="20">
        <f>SUMIFS('船长每月数据(2023年)'!$P:$P,'船长每月数据(2023年)'!$F:$F,$AW$2,'船长每月数据(2023年)'!$E:$E,$C:$C)</f>
        <v>0</v>
      </c>
      <c r="AX66" s="21">
        <f>IFERROR(AW66/SUMIF('船长每月数据(2023年)'!$E:$E,$C:$C,'船长每月数据(2023年)'!$P:$P),0)</f>
        <v>0</v>
      </c>
      <c r="AY66" s="38">
        <f>SUMIFS('船长每月数据(2023年)'!$R:$R,'船长每月数据(2023年)'!$F:$F,$AY$2,'船长每月数据(2023年)'!$E:$E,$C:$C)</f>
        <v>0</v>
      </c>
      <c r="AZ66" s="21">
        <f>IFERROR(AY66/SUMIF('船长每月数据(2023年)'!$E:$E,$C:$C,'船长每月数据(2023年)'!$R:$R),0)</f>
        <v>0</v>
      </c>
      <c r="BA66" s="20">
        <f>SUMIFS('船长每月数据(2023年)'!$P:$P,'船长每月数据(2023年)'!$F:$F,$BA$2,'船长每月数据(2023年)'!$E:$E,$C:$C)</f>
        <v>0</v>
      </c>
      <c r="BB66" s="21">
        <f>IFERROR(BA66/SUMIF('船长每月数据(2023年)'!$E:$E,$C:$C,'船长每月数据(2023年)'!$P:$P),0)</f>
        <v>0</v>
      </c>
      <c r="BC66" s="38">
        <f>SUMIFS('船长每月数据(2023年)'!$R:$R,'船长每月数据(2023年)'!$F:$F,$BC$2,'船长每月数据(2023年)'!$E:$E,$C:$C)</f>
        <v>0</v>
      </c>
      <c r="BD66" s="21">
        <f>IFERROR(BC66/SUMIF('船长每月数据(2023年)'!$E:$E,$C:$C,'船长每月数据(2023年)'!$R:$R),0)</f>
        <v>0</v>
      </c>
      <c r="BE66" s="20">
        <f>SUMIFS('船长每月数据(2023年)'!$P:$P,'船长每月数据(2023年)'!$F:$F,$BE$2,'船长每月数据(2023年)'!$E:$E,$C:$C)</f>
        <v>0</v>
      </c>
      <c r="BF66" s="21">
        <f>IFERROR(BE66/SUMIF('船长每月数据(2023年)'!$E:$E,$C:$C,'船长每月数据(2023年)'!$P:$P),0)</f>
        <v>0</v>
      </c>
      <c r="BG66" s="38">
        <f>SUMIFS('船长每月数据(2023年)'!$R:$R,'船长每月数据(2023年)'!$F:$F,$BG$2,'船长每月数据(2023年)'!$E:$E,$C:$C)</f>
        <v>0</v>
      </c>
      <c r="BH66" s="21">
        <f>IFERROR(BG66/SUMIF('船长每月数据(2023年)'!$E:$E,$C:$C,'船长每月数据(2023年)'!$R:$R),0)</f>
        <v>0</v>
      </c>
      <c r="BI66" s="20">
        <f>SUMIFS('船长每月数据(2023年)'!$P:$P,'船长每月数据(2023年)'!$F:$F,$BI$2,'船长每月数据(2023年)'!$E:$E,$C:$C)</f>
        <v>0</v>
      </c>
      <c r="BJ66" s="21">
        <f>IFERROR(BI66/SUMIF('船长每月数据(2023年)'!$E:$E,$C:$C,'船长每月数据(2023年)'!$P:$P),0)</f>
        <v>0</v>
      </c>
      <c r="BK66" s="38">
        <f>SUMIFS('船长每月数据(2023年)'!$R:$R,'船长每月数据(2023年)'!$F:$F,$BK$2,'船长每月数据(2023年)'!$E:$E,$C:$C)</f>
        <v>0</v>
      </c>
      <c r="BL66" s="21">
        <f>IFERROR(BK66/SUMIF('船长每月数据(2023年)'!$E:$E,$C:$C,'船长每月数据(2023年)'!$R:$R),0)</f>
        <v>0</v>
      </c>
      <c r="BM66" s="20">
        <f>SUMIFS('船长每月数据(2023年)'!$P:$P,'船长每月数据(2023年)'!$F:$F,$BM$2,'船长每月数据(2023年)'!$E:$E,$C:$C)</f>
        <v>0</v>
      </c>
      <c r="BN66" s="21">
        <f>IFERROR(BM66/SUMIF('船长每月数据(2023年)'!$E:$E,$C:$C,'船长每月数据(2023年)'!$P:$P),0)</f>
        <v>0</v>
      </c>
      <c r="BO66" s="38">
        <f>SUMIFS('船长每月数据(2023年)'!$R:$R,'船长每月数据(2023年)'!$F:$F,$BO$2,'船长每月数据(2023年)'!$E:$E,$C:$C)</f>
        <v>0</v>
      </c>
      <c r="BP66" s="21">
        <f>IFERROR(BO66/SUMIF('船长每月数据(2023年)'!$E:$E,$C:$C,'船长每月数据(2023年)'!$R:$R),0)</f>
        <v>0</v>
      </c>
      <c r="BQ66" s="20">
        <f>SUMIFS('船长每月数据(2023年)'!$P:$P,'船长每月数据(2023年)'!$F:$F,$BQ$2,'船长每月数据(2023年)'!$E:$E,$C:$C)</f>
        <v>0</v>
      </c>
      <c r="BR66" s="21">
        <f>IFERROR(BQ66/SUMIF('船长每月数据(2023年)'!$E:$E,$C:$C,'船长每月数据(2023年)'!$P:$P),0)</f>
        <v>0</v>
      </c>
      <c r="BS66" s="38">
        <f>SUMIFS('船长每月数据(2023年)'!$R:$R,'船长每月数据(2023年)'!$F:$F,$BS$2,'船长每月数据(2023年)'!$E:$E,$C:$C)</f>
        <v>0</v>
      </c>
      <c r="BT66" s="21">
        <f>IFERROR(BS66/SUMIF('船长每月数据(2023年)'!$E:$E,$C:$C,'船长每月数据(2023年)'!$R:$R),0)</f>
        <v>0</v>
      </c>
      <c r="BU66" s="20">
        <f>SUMIFS('船长每月数据(2023年)'!$P:$P,'船长每月数据(2023年)'!$F:$F,$BU$2,'船长每月数据(2023年)'!$E:$E,$C:$C)</f>
        <v>0</v>
      </c>
      <c r="BV66" s="21">
        <f>IFERROR(BU66/SUMIF('船长每月数据(2023年)'!$E:$E,$C:$C,'船长每月数据(2023年)'!$P:$P),0)</f>
        <v>0</v>
      </c>
      <c r="BW66" s="38">
        <f>SUMIFS('船长每月数据(2023年)'!$R:$R,'船长每月数据(2023年)'!$F:$F,$BW$2,'船长每月数据(2023年)'!$E:$E,$C:$C)</f>
        <v>0</v>
      </c>
      <c r="BX66" s="21">
        <f>IFERROR(BW66/SUMIF('船长每月数据(2023年)'!$E:$E,$C:$C,'船长每月数据(2023年)'!$R:$R),0)</f>
        <v>0</v>
      </c>
    </row>
    <row r="67" ht="23" customHeight="1" spans="1:76">
      <c r="A67" s="36"/>
      <c r="B67" s="36"/>
      <c r="C67" s="20"/>
      <c r="D67" s="74"/>
      <c r="E67" s="20">
        <f>SUMIFS('船长每月数据(2022年)'!$P:$P,'船长每月数据(2022年)'!$F:$F,$E$2,'船长每月数据(2022年)'!E:E,C:C)</f>
        <v>0</v>
      </c>
      <c r="F67" s="85">
        <f>SUMIFS('船长每月数据(2022年)'!$R:$R,'船长每月数据(2022年)'!$F:$F,$F$2,'船长每月数据(2022年)'!E:E,C:C)</f>
        <v>0</v>
      </c>
      <c r="G67" s="20">
        <f>SUMIFS('船长每月数据(2022年)'!$P:$P,'船长每月数据(2022年)'!$F:$F,$G$2,'船长每月数据(2022年)'!$E:$E,$C:$C)</f>
        <v>0</v>
      </c>
      <c r="H67" s="85">
        <f>SUMIFS('船长每月数据(2022年)'!$R:$R,'船长每月数据(2022年)'!$F:$F,$H$2,'船长每月数据(2022年)'!$E:$E,$C:$C)</f>
        <v>0</v>
      </c>
      <c r="I67" s="20">
        <f>SUMIFS('船长每月数据(2022年)'!$P:$P,'船长每月数据(2022年)'!$F:$F,$I$2,'船长每月数据(2022年)'!$E:$E,$C:$C)</f>
        <v>0</v>
      </c>
      <c r="J67" s="85">
        <f>SUMIFS('船长每月数据(2022年)'!$R:$R,'船长每月数据(2022年)'!$F:$F,$J$2,'船长每月数据(2022年)'!$E:$E,$C:$C)</f>
        <v>0</v>
      </c>
      <c r="K67" s="20">
        <f>SUMIFS('船长每月数据(2022年)'!$P:$P,'船长每月数据(2022年)'!$F:$F,$K$2,'船长每月数据(2022年)'!$E:$E,$C:$C)</f>
        <v>0</v>
      </c>
      <c r="L67" s="85">
        <f>SUMIFS('船长每月数据(2022年)'!$R:$R,'船长每月数据(2022年)'!$F:$F,$L$2,'船长每月数据(2022年)'!$E:$E,$C:$C)</f>
        <v>0</v>
      </c>
      <c r="M67" s="20">
        <f>SUMIFS('船长每月数据(2022年)'!$P:$P,'船长每月数据(2022年)'!$F:$F,$M$2,'船长每月数据(2022年)'!$E:$E,$C:$C)</f>
        <v>0</v>
      </c>
      <c r="N67" s="85">
        <f>SUMIFS('船长每月数据(2022年)'!$R:$R,'船长每月数据(2022年)'!$F:$F,$N$2,'船长每月数据(2022年)'!$E:$E,$C:$C)</f>
        <v>0</v>
      </c>
      <c r="O67" s="20">
        <f>SUMIFS('船长每月数据(2022年)'!$P:$P,'船长每月数据(2022年)'!$F:$F,$O$2,'船长每月数据(2022年)'!$E:$E,$C:$C)</f>
        <v>0</v>
      </c>
      <c r="P67" s="85">
        <f>SUMIFS('船长每月数据(2022年)'!$R:$R,'船长每月数据(2022年)'!$F:$F,$P$2,'船长每月数据(2022年)'!$E:$E,$C:$C)</f>
        <v>0</v>
      </c>
      <c r="Q67" s="20">
        <f>SUMIFS('船长每月数据(2022年)'!$P:$P,'船长每月数据(2022年)'!$F:$F,$Q$2,'船长每月数据(2022年)'!$E:$E,$C:$C)</f>
        <v>0</v>
      </c>
      <c r="R67" s="85">
        <f>SUMIFS('船长每月数据(2022年)'!$R:$R,'船长每月数据(2022年)'!$F:$F,$R$2,'船长每月数据(2022年)'!$E:$E,$C:$C)</f>
        <v>0</v>
      </c>
      <c r="S67" s="20">
        <f>SUMIFS('船长每月数据(2022年)'!$P:$P,'船长每月数据(2022年)'!$F:$F,$S$2,'船长每月数据(2022年)'!$E:$E,$C:$C)</f>
        <v>0</v>
      </c>
      <c r="T67" s="85">
        <f>SUMIFS('船长每月数据(2022年)'!$R:$R,'船长每月数据(2022年)'!$F:$F,$T$2,'船长每月数据(2022年)'!$E:$E,$C:$C)</f>
        <v>0</v>
      </c>
      <c r="U67" s="20">
        <f>SUMIFS('船长每月数据(2022年)'!$P:$P,'船长每月数据(2022年)'!$F:$F,$U$2,'船长每月数据(2022年)'!$E:$E,$C:$C)</f>
        <v>0</v>
      </c>
      <c r="V67" s="85">
        <f>SUMIFS('船长每月数据(2022年)'!$R:$R,'船长每月数据(2022年)'!$F:$F,$V$2,'船长每月数据(2022年)'!$E:$E,$C:$C)</f>
        <v>0</v>
      </c>
      <c r="W67" s="20">
        <f>SUMIFS('船长每月数据(2022年)'!$P:$P,'船长每月数据(2022年)'!$F:$F,$W$2,'船长每月数据(2022年)'!$E:$E,$C:$C)</f>
        <v>0</v>
      </c>
      <c r="X67" s="85">
        <f>SUMIFS('船长每月数据(2022年)'!$R:$R,'船长每月数据(2022年)'!$F:$F,$X$2,'船长每月数据(2022年)'!$E:$E,$C:$C)</f>
        <v>0</v>
      </c>
      <c r="Y67" s="20">
        <f>SUMIFS('船长每月数据(2022年)'!$P:$P,'船长每月数据(2022年)'!$F:$F,$Y$2,'船长每月数据(2022年)'!$E:$E,$C:$C)</f>
        <v>0</v>
      </c>
      <c r="Z67" s="85">
        <f>SUMIFS('船长每月数据(2022年)'!$R:$R,'船长每月数据(2022年)'!$F:$F,$Z$2,'船长每月数据(2022年)'!$E:$E,$C:$C)</f>
        <v>0</v>
      </c>
      <c r="AA67" s="20">
        <f>SUMIFS('船长每月数据(2022年)'!$P:$P,'船长每月数据(2022年)'!$F:$F,$AA$2,'船长每月数据(2022年)'!$E:$E,$C:$C)</f>
        <v>0</v>
      </c>
      <c r="AB67" s="85">
        <f>SUMIFS('船长每月数据(2022年)'!$R:$R,'船长每月数据(2022年)'!$F:$F,$AB$2,'船长每月数据(2022年)'!$E:$E,$C:$C)</f>
        <v>0</v>
      </c>
      <c r="AC67" s="20">
        <f>SUMIFS('船长每月数据(2023年)'!P:P,'船长每月数据(2023年)'!F:F,$AC$2,'船长每月数据(2023年)'!E:E,C:C)</f>
        <v>0</v>
      </c>
      <c r="AD67" s="21">
        <f>IFERROR(AC67/SUMIF('船长每月数据(2023年)'!$E:$E,C:C,'船长每月数据(2023年)'!P:P),0)</f>
        <v>0</v>
      </c>
      <c r="AE67" s="38">
        <f>SUMIFS('船长每月数据(2023年)'!$R:$R,'船长每月数据(2023年)'!$F:$F,$AE$2,'船长每月数据(2023年)'!$E:$E,$C:$C)</f>
        <v>0</v>
      </c>
      <c r="AF67" s="21">
        <f>IFERROR(AE67/SUMIF('船长每月数据(2023年)'!E:E,C:C,'船长每月数据(2023年)'!R:R),0)</f>
        <v>0</v>
      </c>
      <c r="AG67" s="20">
        <f>SUMIFS('船长每月数据(2023年)'!P:P,'船长每月数据(2023年)'!F:F,$AG$2,'船长每月数据(2023年)'!E:E,C:C)</f>
        <v>0</v>
      </c>
      <c r="AH67" s="21">
        <f>IFERROR(AG67/SUMIF('船长每月数据(2023年)'!$E:$E,$C:$C,'船长每月数据(2023年)'!$P:$P),0)</f>
        <v>0</v>
      </c>
      <c r="AI67" s="38">
        <f>SUMIFS('船长每月数据(2023年)'!$R:$R,'船长每月数据(2023年)'!$F:$F,$AI$2,'船长每月数据(2023年)'!$E:$E,$C:$C)</f>
        <v>0</v>
      </c>
      <c r="AJ67" s="21">
        <f>IFERROR(AI67/SUMIF('船长每月数据(2023年)'!$E:$E,$C:$C,'船长每月数据(2023年)'!$R:$R),0)</f>
        <v>0</v>
      </c>
      <c r="AK67" s="20">
        <f>SUMIFS('船长每月数据(2023年)'!P:P,'船长每月数据(2023年)'!F:F,$AK$2,'船长每月数据(2023年)'!E:E,C:C)</f>
        <v>0</v>
      </c>
      <c r="AL67" s="21">
        <f>IFERROR(AK67/SUMIF('船长每月数据(2023年)'!$E:$E,$C:$C,'船长每月数据(2023年)'!$P:$P),0)</f>
        <v>0</v>
      </c>
      <c r="AM67" s="38">
        <f>SUMIFS('船长每月数据(2023年)'!$R:$R,'船长每月数据(2023年)'!$F:$F,$AM$2,'船长每月数据(2023年)'!$E:$E,$C:$C)</f>
        <v>0</v>
      </c>
      <c r="AN67" s="21">
        <f>IFERROR(AM67/SUMIF('船长每月数据(2023年)'!$E:$E,$C:$C,'船长每月数据(2023年)'!$R:$R),0)</f>
        <v>0</v>
      </c>
      <c r="AO67" s="20">
        <f>SUMIFS('船长每月数据(2023年)'!P:P,'船长每月数据(2023年)'!F:F,$AO$2,'船长每月数据(2023年)'!E:E,C:C)</f>
        <v>0</v>
      </c>
      <c r="AP67" s="21">
        <f>IFERROR(AO67/SUMIF('船长每月数据(2023年)'!$E:$E,$C:$C,'船长每月数据(2023年)'!$P:$P),0)</f>
        <v>0</v>
      </c>
      <c r="AQ67" s="38">
        <f>SUMIFS('船长每月数据(2023年)'!$R:$R,'船长每月数据(2023年)'!$F:$F,$AQ$2,'船长每月数据(2023年)'!$E:$E,$C:$C)</f>
        <v>0</v>
      </c>
      <c r="AR67" s="21">
        <f>IFERROR(AQ67/SUMIF('船长每月数据(2023年)'!$E:$E,$C:$C,'船长每月数据(2023年)'!$R:$R),0)</f>
        <v>0</v>
      </c>
      <c r="AS67" s="20">
        <f>SUMIFS('船长每月数据(2023年)'!$P:$P,'船长每月数据(2023年)'!$F:$F,$AS$2,'船长每月数据(2023年)'!$E:$E,$C:$C)</f>
        <v>0</v>
      </c>
      <c r="AT67" s="21">
        <f>IFERROR(AS67/SUMIF('船长每月数据(2023年)'!$E:$E,$C:$C,'船长每月数据(2023年)'!$P:$P),0)</f>
        <v>0</v>
      </c>
      <c r="AU67" s="38">
        <f>SUMIFS('船长每月数据(2023年)'!$R:$R,'船长每月数据(2023年)'!$F:$F,$AU$2,'船长每月数据(2023年)'!$E:$E,$C:$C)</f>
        <v>0</v>
      </c>
      <c r="AV67" s="21">
        <f>IFERROR(AU67/SUMIF('船长每月数据(2023年)'!$E:$E,$C:$C,'船长每月数据(2023年)'!$R:$R),0)</f>
        <v>0</v>
      </c>
      <c r="AW67" s="20">
        <f>SUMIFS('船长每月数据(2023年)'!$P:$P,'船长每月数据(2023年)'!$F:$F,$AW$2,'船长每月数据(2023年)'!$E:$E,$C:$C)</f>
        <v>0</v>
      </c>
      <c r="AX67" s="21">
        <f>IFERROR(AW67/SUMIF('船长每月数据(2023年)'!$E:$E,$C:$C,'船长每月数据(2023年)'!$P:$P),0)</f>
        <v>0</v>
      </c>
      <c r="AY67" s="38">
        <f>SUMIFS('船长每月数据(2023年)'!$R:$R,'船长每月数据(2023年)'!$F:$F,$AY$2,'船长每月数据(2023年)'!$E:$E,$C:$C)</f>
        <v>0</v>
      </c>
      <c r="AZ67" s="21">
        <f>IFERROR(AY67/SUMIF('船长每月数据(2023年)'!$E:$E,$C:$C,'船长每月数据(2023年)'!$R:$R),0)</f>
        <v>0</v>
      </c>
      <c r="BA67" s="20">
        <f>SUMIFS('船长每月数据(2023年)'!$P:$P,'船长每月数据(2023年)'!$F:$F,$BA$2,'船长每月数据(2023年)'!$E:$E,$C:$C)</f>
        <v>0</v>
      </c>
      <c r="BB67" s="21">
        <f>IFERROR(BA67/SUMIF('船长每月数据(2023年)'!$E:$E,$C:$C,'船长每月数据(2023年)'!$P:$P),0)</f>
        <v>0</v>
      </c>
      <c r="BC67" s="38">
        <f>SUMIFS('船长每月数据(2023年)'!$R:$R,'船长每月数据(2023年)'!$F:$F,$BC$2,'船长每月数据(2023年)'!$E:$E,$C:$C)</f>
        <v>0</v>
      </c>
      <c r="BD67" s="21">
        <f>IFERROR(BC67/SUMIF('船长每月数据(2023年)'!$E:$E,$C:$C,'船长每月数据(2023年)'!$R:$R),0)</f>
        <v>0</v>
      </c>
      <c r="BE67" s="20">
        <f>SUMIFS('船长每月数据(2023年)'!$P:$P,'船长每月数据(2023年)'!$F:$F,$BE$2,'船长每月数据(2023年)'!$E:$E,$C:$C)</f>
        <v>0</v>
      </c>
      <c r="BF67" s="21">
        <f>IFERROR(BE67/SUMIF('船长每月数据(2023年)'!$E:$E,$C:$C,'船长每月数据(2023年)'!$P:$P),0)</f>
        <v>0</v>
      </c>
      <c r="BG67" s="38">
        <f>SUMIFS('船长每月数据(2023年)'!$R:$R,'船长每月数据(2023年)'!$F:$F,$BG$2,'船长每月数据(2023年)'!$E:$E,$C:$C)</f>
        <v>0</v>
      </c>
      <c r="BH67" s="21">
        <f>IFERROR(BG67/SUMIF('船长每月数据(2023年)'!$E:$E,$C:$C,'船长每月数据(2023年)'!$R:$R),0)</f>
        <v>0</v>
      </c>
      <c r="BI67" s="20">
        <f>SUMIFS('船长每月数据(2023年)'!$P:$P,'船长每月数据(2023年)'!$F:$F,$BI$2,'船长每月数据(2023年)'!$E:$E,$C:$C)</f>
        <v>0</v>
      </c>
      <c r="BJ67" s="21">
        <f>IFERROR(BI67/SUMIF('船长每月数据(2023年)'!$E:$E,$C:$C,'船长每月数据(2023年)'!$P:$P),0)</f>
        <v>0</v>
      </c>
      <c r="BK67" s="38">
        <f>SUMIFS('船长每月数据(2023年)'!$R:$R,'船长每月数据(2023年)'!$F:$F,$BK$2,'船长每月数据(2023年)'!$E:$E,$C:$C)</f>
        <v>0</v>
      </c>
      <c r="BL67" s="21">
        <f>IFERROR(BK67/SUMIF('船长每月数据(2023年)'!$E:$E,$C:$C,'船长每月数据(2023年)'!$R:$R),0)</f>
        <v>0</v>
      </c>
      <c r="BM67" s="20">
        <f>SUMIFS('船长每月数据(2023年)'!$P:$P,'船长每月数据(2023年)'!$F:$F,$BM$2,'船长每月数据(2023年)'!$E:$E,$C:$C)</f>
        <v>0</v>
      </c>
      <c r="BN67" s="21">
        <f>IFERROR(BM67/SUMIF('船长每月数据(2023年)'!$E:$E,$C:$C,'船长每月数据(2023年)'!$P:$P),0)</f>
        <v>0</v>
      </c>
      <c r="BO67" s="38">
        <f>SUMIFS('船长每月数据(2023年)'!$R:$R,'船长每月数据(2023年)'!$F:$F,$BO$2,'船长每月数据(2023年)'!$E:$E,$C:$C)</f>
        <v>0</v>
      </c>
      <c r="BP67" s="21">
        <f>IFERROR(BO67/SUMIF('船长每月数据(2023年)'!$E:$E,$C:$C,'船长每月数据(2023年)'!$R:$R),0)</f>
        <v>0</v>
      </c>
      <c r="BQ67" s="20">
        <f>SUMIFS('船长每月数据(2023年)'!$P:$P,'船长每月数据(2023年)'!$F:$F,$BQ$2,'船长每月数据(2023年)'!$E:$E,$C:$C)</f>
        <v>0</v>
      </c>
      <c r="BR67" s="21">
        <f>IFERROR(BQ67/SUMIF('船长每月数据(2023年)'!$E:$E,$C:$C,'船长每月数据(2023年)'!$P:$P),0)</f>
        <v>0</v>
      </c>
      <c r="BS67" s="38">
        <f>SUMIFS('船长每月数据(2023年)'!$R:$R,'船长每月数据(2023年)'!$F:$F,$BS$2,'船长每月数据(2023年)'!$E:$E,$C:$C)</f>
        <v>0</v>
      </c>
      <c r="BT67" s="21">
        <f>IFERROR(BS67/SUMIF('船长每月数据(2023年)'!$E:$E,$C:$C,'船长每月数据(2023年)'!$R:$R),0)</f>
        <v>0</v>
      </c>
      <c r="BU67" s="20">
        <f>SUMIFS('船长每月数据(2023年)'!$P:$P,'船长每月数据(2023年)'!$F:$F,$BU$2,'船长每月数据(2023年)'!$E:$E,$C:$C)</f>
        <v>0</v>
      </c>
      <c r="BV67" s="21">
        <f>IFERROR(BU67/SUMIF('船长每月数据(2023年)'!$E:$E,$C:$C,'船长每月数据(2023年)'!$P:$P),0)</f>
        <v>0</v>
      </c>
      <c r="BW67" s="38">
        <f>SUMIFS('船长每月数据(2023年)'!$R:$R,'船长每月数据(2023年)'!$F:$F,$BW$2,'船长每月数据(2023年)'!$E:$E,$C:$C)</f>
        <v>0</v>
      </c>
      <c r="BX67" s="21">
        <f>IFERROR(BW67/SUMIF('船长每月数据(2023年)'!$E:$E,$C:$C,'船长每月数据(2023年)'!$R:$R),0)</f>
        <v>0</v>
      </c>
    </row>
    <row r="68" ht="23" customHeight="1" spans="1:76">
      <c r="A68" s="36"/>
      <c r="B68" s="36"/>
      <c r="C68" s="20"/>
      <c r="D68" s="74"/>
      <c r="E68" s="20">
        <f>SUMIFS('船长每月数据(2022年)'!$P:$P,'船长每月数据(2022年)'!$F:$F,$E$2,'船长每月数据(2022年)'!E:E,C:C)</f>
        <v>0</v>
      </c>
      <c r="F68" s="85">
        <f>SUMIFS('船长每月数据(2022年)'!$R:$R,'船长每月数据(2022年)'!$F:$F,$F$2,'船长每月数据(2022年)'!E:E,C:C)</f>
        <v>0</v>
      </c>
      <c r="G68" s="20">
        <f>SUMIFS('船长每月数据(2022年)'!$P:$P,'船长每月数据(2022年)'!$F:$F,$G$2,'船长每月数据(2022年)'!$E:$E,$C:$C)</f>
        <v>0</v>
      </c>
      <c r="H68" s="85">
        <f>SUMIFS('船长每月数据(2022年)'!$R:$R,'船长每月数据(2022年)'!$F:$F,$H$2,'船长每月数据(2022年)'!$E:$E,$C:$C)</f>
        <v>0</v>
      </c>
      <c r="I68" s="20">
        <f>SUMIFS('船长每月数据(2022年)'!$P:$P,'船长每月数据(2022年)'!$F:$F,$I$2,'船长每月数据(2022年)'!$E:$E,$C:$C)</f>
        <v>0</v>
      </c>
      <c r="J68" s="85">
        <f>SUMIFS('船长每月数据(2022年)'!$R:$R,'船长每月数据(2022年)'!$F:$F,$J$2,'船长每月数据(2022年)'!$E:$E,$C:$C)</f>
        <v>0</v>
      </c>
      <c r="K68" s="20">
        <f>SUMIFS('船长每月数据(2022年)'!$P:$P,'船长每月数据(2022年)'!$F:$F,$K$2,'船长每月数据(2022年)'!$E:$E,$C:$C)</f>
        <v>0</v>
      </c>
      <c r="L68" s="85">
        <f>SUMIFS('船长每月数据(2022年)'!$R:$R,'船长每月数据(2022年)'!$F:$F,$L$2,'船长每月数据(2022年)'!$E:$E,$C:$C)</f>
        <v>0</v>
      </c>
      <c r="M68" s="20">
        <f>SUMIFS('船长每月数据(2022年)'!$P:$P,'船长每月数据(2022年)'!$F:$F,$M$2,'船长每月数据(2022年)'!$E:$E,$C:$C)</f>
        <v>0</v>
      </c>
      <c r="N68" s="85">
        <f>SUMIFS('船长每月数据(2022年)'!$R:$R,'船长每月数据(2022年)'!$F:$F,$N$2,'船长每月数据(2022年)'!$E:$E,$C:$C)</f>
        <v>0</v>
      </c>
      <c r="O68" s="20">
        <f>SUMIFS('船长每月数据(2022年)'!$P:$P,'船长每月数据(2022年)'!$F:$F,$O$2,'船长每月数据(2022年)'!$E:$E,$C:$C)</f>
        <v>0</v>
      </c>
      <c r="P68" s="85">
        <f>SUMIFS('船长每月数据(2022年)'!$R:$R,'船长每月数据(2022年)'!$F:$F,$P$2,'船长每月数据(2022年)'!$E:$E,$C:$C)</f>
        <v>0</v>
      </c>
      <c r="Q68" s="20">
        <f>SUMIFS('船长每月数据(2022年)'!$P:$P,'船长每月数据(2022年)'!$F:$F,$Q$2,'船长每月数据(2022年)'!$E:$E,$C:$C)</f>
        <v>0</v>
      </c>
      <c r="R68" s="85">
        <f>SUMIFS('船长每月数据(2022年)'!$R:$R,'船长每月数据(2022年)'!$F:$F,$R$2,'船长每月数据(2022年)'!$E:$E,$C:$C)</f>
        <v>0</v>
      </c>
      <c r="S68" s="20">
        <f>SUMIFS('船长每月数据(2022年)'!$P:$P,'船长每月数据(2022年)'!$F:$F,$S$2,'船长每月数据(2022年)'!$E:$E,$C:$C)</f>
        <v>0</v>
      </c>
      <c r="T68" s="85">
        <f>SUMIFS('船长每月数据(2022年)'!$R:$R,'船长每月数据(2022年)'!$F:$F,$T$2,'船长每月数据(2022年)'!$E:$E,$C:$C)</f>
        <v>0</v>
      </c>
      <c r="U68" s="20">
        <f>SUMIFS('船长每月数据(2022年)'!$P:$P,'船长每月数据(2022年)'!$F:$F,$U$2,'船长每月数据(2022年)'!$E:$E,$C:$C)</f>
        <v>0</v>
      </c>
      <c r="V68" s="85">
        <f>SUMIFS('船长每月数据(2022年)'!$R:$R,'船长每月数据(2022年)'!$F:$F,$V$2,'船长每月数据(2022年)'!$E:$E,$C:$C)</f>
        <v>0</v>
      </c>
      <c r="W68" s="20">
        <f>SUMIFS('船长每月数据(2022年)'!$P:$P,'船长每月数据(2022年)'!$F:$F,$W$2,'船长每月数据(2022年)'!$E:$E,$C:$C)</f>
        <v>0</v>
      </c>
      <c r="X68" s="85">
        <f>SUMIFS('船长每月数据(2022年)'!$R:$R,'船长每月数据(2022年)'!$F:$F,$X$2,'船长每月数据(2022年)'!$E:$E,$C:$C)</f>
        <v>0</v>
      </c>
      <c r="Y68" s="20">
        <f>SUMIFS('船长每月数据(2022年)'!$P:$P,'船长每月数据(2022年)'!$F:$F,$Y$2,'船长每月数据(2022年)'!$E:$E,$C:$C)</f>
        <v>0</v>
      </c>
      <c r="Z68" s="85">
        <f>SUMIFS('船长每月数据(2022年)'!$R:$R,'船长每月数据(2022年)'!$F:$F,$Z$2,'船长每月数据(2022年)'!$E:$E,$C:$C)</f>
        <v>0</v>
      </c>
      <c r="AA68" s="20">
        <f>SUMIFS('船长每月数据(2022年)'!$P:$P,'船长每月数据(2022年)'!$F:$F,$AA$2,'船长每月数据(2022年)'!$E:$E,$C:$C)</f>
        <v>0</v>
      </c>
      <c r="AB68" s="85">
        <f>SUMIFS('船长每月数据(2022年)'!$R:$R,'船长每月数据(2022年)'!$F:$F,$AB$2,'船长每月数据(2022年)'!$E:$E,$C:$C)</f>
        <v>0</v>
      </c>
      <c r="AC68" s="20">
        <f>SUMIFS('船长每月数据(2023年)'!P:P,'船长每月数据(2023年)'!F:F,$AC$2,'船长每月数据(2023年)'!E:E,C:C)</f>
        <v>0</v>
      </c>
      <c r="AD68" s="21">
        <f>IFERROR(AC68/SUMIF('船长每月数据(2023年)'!$E:$E,C:C,'船长每月数据(2023年)'!P:P),0)</f>
        <v>0</v>
      </c>
      <c r="AE68" s="38">
        <f>SUMIFS('船长每月数据(2023年)'!$R:$R,'船长每月数据(2023年)'!$F:$F,$AE$2,'船长每月数据(2023年)'!$E:$E,$C:$C)</f>
        <v>0</v>
      </c>
      <c r="AF68" s="21">
        <f>IFERROR(AE68/SUMIF('船长每月数据(2023年)'!E:E,C:C,'船长每月数据(2023年)'!R:R),0)</f>
        <v>0</v>
      </c>
      <c r="AG68" s="20">
        <f>SUMIFS('船长每月数据(2023年)'!P:P,'船长每月数据(2023年)'!F:F,$AG$2,'船长每月数据(2023年)'!E:E,C:C)</f>
        <v>0</v>
      </c>
      <c r="AH68" s="21">
        <f>IFERROR(AG68/SUMIF('船长每月数据(2023年)'!$E:$E,$C:$C,'船长每月数据(2023年)'!$P:$P),0)</f>
        <v>0</v>
      </c>
      <c r="AI68" s="38">
        <f>SUMIFS('船长每月数据(2023年)'!$R:$R,'船长每月数据(2023年)'!$F:$F,$AI$2,'船长每月数据(2023年)'!$E:$E,$C:$C)</f>
        <v>0</v>
      </c>
      <c r="AJ68" s="21">
        <f>IFERROR(AI68/SUMIF('船长每月数据(2023年)'!$E:$E,$C:$C,'船长每月数据(2023年)'!$R:$R),0)</f>
        <v>0</v>
      </c>
      <c r="AK68" s="20">
        <f>SUMIFS('船长每月数据(2023年)'!P:P,'船长每月数据(2023年)'!F:F,$AK$2,'船长每月数据(2023年)'!E:E,C:C)</f>
        <v>0</v>
      </c>
      <c r="AL68" s="21">
        <f>IFERROR(AK68/SUMIF('船长每月数据(2023年)'!$E:$E,$C:$C,'船长每月数据(2023年)'!$P:$P),0)</f>
        <v>0</v>
      </c>
      <c r="AM68" s="38">
        <f>SUMIFS('船长每月数据(2023年)'!$R:$R,'船长每月数据(2023年)'!$F:$F,$AM$2,'船长每月数据(2023年)'!$E:$E,$C:$C)</f>
        <v>0</v>
      </c>
      <c r="AN68" s="21">
        <f>IFERROR(AM68/SUMIF('船长每月数据(2023年)'!$E:$E,$C:$C,'船长每月数据(2023年)'!$R:$R),0)</f>
        <v>0</v>
      </c>
      <c r="AO68" s="20">
        <f>SUMIFS('船长每月数据(2023年)'!P:P,'船长每月数据(2023年)'!F:F,$AO$2,'船长每月数据(2023年)'!E:E,C:C)</f>
        <v>0</v>
      </c>
      <c r="AP68" s="21">
        <f>IFERROR(AO68/SUMIF('船长每月数据(2023年)'!$E:$E,$C:$C,'船长每月数据(2023年)'!$P:$P),0)</f>
        <v>0</v>
      </c>
      <c r="AQ68" s="38">
        <f>SUMIFS('船长每月数据(2023年)'!$R:$R,'船长每月数据(2023年)'!$F:$F,$AQ$2,'船长每月数据(2023年)'!$E:$E,$C:$C)</f>
        <v>0</v>
      </c>
      <c r="AR68" s="21">
        <f>IFERROR(AQ68/SUMIF('船长每月数据(2023年)'!$E:$E,$C:$C,'船长每月数据(2023年)'!$R:$R),0)</f>
        <v>0</v>
      </c>
      <c r="AS68" s="20">
        <f>SUMIFS('船长每月数据(2023年)'!$P:$P,'船长每月数据(2023年)'!$F:$F,$AS$2,'船长每月数据(2023年)'!$E:$E,$C:$C)</f>
        <v>0</v>
      </c>
      <c r="AT68" s="21">
        <f>IFERROR(AS68/SUMIF('船长每月数据(2023年)'!$E:$E,$C:$C,'船长每月数据(2023年)'!$P:$P),0)</f>
        <v>0</v>
      </c>
      <c r="AU68" s="38">
        <f>SUMIFS('船长每月数据(2023年)'!$R:$R,'船长每月数据(2023年)'!$F:$F,$AU$2,'船长每月数据(2023年)'!$E:$E,$C:$C)</f>
        <v>0</v>
      </c>
      <c r="AV68" s="21">
        <f>IFERROR(AU68/SUMIF('船长每月数据(2023年)'!$E:$E,$C:$C,'船长每月数据(2023年)'!$R:$R),0)</f>
        <v>0</v>
      </c>
      <c r="AW68" s="20">
        <f>SUMIFS('船长每月数据(2023年)'!$P:$P,'船长每月数据(2023年)'!$F:$F,$AW$2,'船长每月数据(2023年)'!$E:$E,$C:$C)</f>
        <v>0</v>
      </c>
      <c r="AX68" s="21">
        <f>IFERROR(AW68/SUMIF('船长每月数据(2023年)'!$E:$E,$C:$C,'船长每月数据(2023年)'!$P:$P),0)</f>
        <v>0</v>
      </c>
      <c r="AY68" s="38">
        <f>SUMIFS('船长每月数据(2023年)'!$R:$R,'船长每月数据(2023年)'!$F:$F,$AY$2,'船长每月数据(2023年)'!$E:$E,$C:$C)</f>
        <v>0</v>
      </c>
      <c r="AZ68" s="21">
        <f>IFERROR(AY68/SUMIF('船长每月数据(2023年)'!$E:$E,$C:$C,'船长每月数据(2023年)'!$R:$R),0)</f>
        <v>0</v>
      </c>
      <c r="BA68" s="20">
        <f>SUMIFS('船长每月数据(2023年)'!$P:$P,'船长每月数据(2023年)'!$F:$F,$BA$2,'船长每月数据(2023年)'!$E:$E,$C:$C)</f>
        <v>0</v>
      </c>
      <c r="BB68" s="21">
        <f>IFERROR(BA68/SUMIF('船长每月数据(2023年)'!$E:$E,$C:$C,'船长每月数据(2023年)'!$P:$P),0)</f>
        <v>0</v>
      </c>
      <c r="BC68" s="38">
        <f>SUMIFS('船长每月数据(2023年)'!$R:$R,'船长每月数据(2023年)'!$F:$F,$BC$2,'船长每月数据(2023年)'!$E:$E,$C:$C)</f>
        <v>0</v>
      </c>
      <c r="BD68" s="21">
        <f>IFERROR(BC68/SUMIF('船长每月数据(2023年)'!$E:$E,$C:$C,'船长每月数据(2023年)'!$R:$R),0)</f>
        <v>0</v>
      </c>
      <c r="BE68" s="20">
        <f>SUMIFS('船长每月数据(2023年)'!$P:$P,'船长每月数据(2023年)'!$F:$F,$BE$2,'船长每月数据(2023年)'!$E:$E,$C:$C)</f>
        <v>0</v>
      </c>
      <c r="BF68" s="21">
        <f>IFERROR(BE68/SUMIF('船长每月数据(2023年)'!$E:$E,$C:$C,'船长每月数据(2023年)'!$P:$P),0)</f>
        <v>0</v>
      </c>
      <c r="BG68" s="38">
        <f>SUMIFS('船长每月数据(2023年)'!$R:$R,'船长每月数据(2023年)'!$F:$F,$BG$2,'船长每月数据(2023年)'!$E:$E,$C:$C)</f>
        <v>0</v>
      </c>
      <c r="BH68" s="21">
        <f>IFERROR(BG68/SUMIF('船长每月数据(2023年)'!$E:$E,$C:$C,'船长每月数据(2023年)'!$R:$R),0)</f>
        <v>0</v>
      </c>
      <c r="BI68" s="20">
        <f>SUMIFS('船长每月数据(2023年)'!$P:$P,'船长每月数据(2023年)'!$F:$F,$BI$2,'船长每月数据(2023年)'!$E:$E,$C:$C)</f>
        <v>0</v>
      </c>
      <c r="BJ68" s="21">
        <f>IFERROR(BI68/SUMIF('船长每月数据(2023年)'!$E:$E,$C:$C,'船长每月数据(2023年)'!$P:$P),0)</f>
        <v>0</v>
      </c>
      <c r="BK68" s="38">
        <f>SUMIFS('船长每月数据(2023年)'!$R:$R,'船长每月数据(2023年)'!$F:$F,$BK$2,'船长每月数据(2023年)'!$E:$E,$C:$C)</f>
        <v>0</v>
      </c>
      <c r="BL68" s="21">
        <f>IFERROR(BK68/SUMIF('船长每月数据(2023年)'!$E:$E,$C:$C,'船长每月数据(2023年)'!$R:$R),0)</f>
        <v>0</v>
      </c>
      <c r="BM68" s="20">
        <f>SUMIFS('船长每月数据(2023年)'!$P:$P,'船长每月数据(2023年)'!$F:$F,$BM$2,'船长每月数据(2023年)'!$E:$E,$C:$C)</f>
        <v>0</v>
      </c>
      <c r="BN68" s="21">
        <f>IFERROR(BM68/SUMIF('船长每月数据(2023年)'!$E:$E,$C:$C,'船长每月数据(2023年)'!$P:$P),0)</f>
        <v>0</v>
      </c>
      <c r="BO68" s="38">
        <f>SUMIFS('船长每月数据(2023年)'!$R:$R,'船长每月数据(2023年)'!$F:$F,$BO$2,'船长每月数据(2023年)'!$E:$E,$C:$C)</f>
        <v>0</v>
      </c>
      <c r="BP68" s="21">
        <f>IFERROR(BO68/SUMIF('船长每月数据(2023年)'!$E:$E,$C:$C,'船长每月数据(2023年)'!$R:$R),0)</f>
        <v>0</v>
      </c>
      <c r="BQ68" s="20">
        <f>SUMIFS('船长每月数据(2023年)'!$P:$P,'船长每月数据(2023年)'!$F:$F,$BQ$2,'船长每月数据(2023年)'!$E:$E,$C:$C)</f>
        <v>0</v>
      </c>
      <c r="BR68" s="21">
        <f>IFERROR(BQ68/SUMIF('船长每月数据(2023年)'!$E:$E,$C:$C,'船长每月数据(2023年)'!$P:$P),0)</f>
        <v>0</v>
      </c>
      <c r="BS68" s="38">
        <f>SUMIFS('船长每月数据(2023年)'!$R:$R,'船长每月数据(2023年)'!$F:$F,$BS$2,'船长每月数据(2023年)'!$E:$E,$C:$C)</f>
        <v>0</v>
      </c>
      <c r="BT68" s="21">
        <f>IFERROR(BS68/SUMIF('船长每月数据(2023年)'!$E:$E,$C:$C,'船长每月数据(2023年)'!$R:$R),0)</f>
        <v>0</v>
      </c>
      <c r="BU68" s="20">
        <f>SUMIFS('船长每月数据(2023年)'!$P:$P,'船长每月数据(2023年)'!$F:$F,$BU$2,'船长每月数据(2023年)'!$E:$E,$C:$C)</f>
        <v>0</v>
      </c>
      <c r="BV68" s="21">
        <f>IFERROR(BU68/SUMIF('船长每月数据(2023年)'!$E:$E,$C:$C,'船长每月数据(2023年)'!$P:$P),0)</f>
        <v>0</v>
      </c>
      <c r="BW68" s="38">
        <f>SUMIFS('船长每月数据(2023年)'!$R:$R,'船长每月数据(2023年)'!$F:$F,$BW$2,'船长每月数据(2023年)'!$E:$E,$C:$C)</f>
        <v>0</v>
      </c>
      <c r="BX68" s="21">
        <f>IFERROR(BW68/SUMIF('船长每月数据(2023年)'!$E:$E,$C:$C,'船长每月数据(2023年)'!$R:$R),0)</f>
        <v>0</v>
      </c>
    </row>
    <row r="69" ht="23" customHeight="1" spans="1:76">
      <c r="A69" s="36"/>
      <c r="B69" s="36"/>
      <c r="C69" s="20"/>
      <c r="D69" s="74"/>
      <c r="E69" s="20">
        <f>SUMIFS('船长每月数据(2022年)'!$P:$P,'船长每月数据(2022年)'!$F:$F,$E$2,'船长每月数据(2022年)'!E:E,C:C)</f>
        <v>0</v>
      </c>
      <c r="F69" s="85">
        <f>SUMIFS('船长每月数据(2022年)'!$R:$R,'船长每月数据(2022年)'!$F:$F,$F$2,'船长每月数据(2022年)'!E:E,C:C)</f>
        <v>0</v>
      </c>
      <c r="G69" s="20">
        <f>SUMIFS('船长每月数据(2022年)'!$P:$P,'船长每月数据(2022年)'!$F:$F,$G$2,'船长每月数据(2022年)'!$E:$E,$C:$C)</f>
        <v>0</v>
      </c>
      <c r="H69" s="85">
        <f>SUMIFS('船长每月数据(2022年)'!$R:$R,'船长每月数据(2022年)'!$F:$F,$H$2,'船长每月数据(2022年)'!$E:$E,$C:$C)</f>
        <v>0</v>
      </c>
      <c r="I69" s="20">
        <f>SUMIFS('船长每月数据(2022年)'!$P:$P,'船长每月数据(2022年)'!$F:$F,$I$2,'船长每月数据(2022年)'!$E:$E,$C:$C)</f>
        <v>0</v>
      </c>
      <c r="J69" s="85">
        <f>SUMIFS('船长每月数据(2022年)'!$R:$R,'船长每月数据(2022年)'!$F:$F,$J$2,'船长每月数据(2022年)'!$E:$E,$C:$C)</f>
        <v>0</v>
      </c>
      <c r="K69" s="20">
        <f>SUMIFS('船长每月数据(2022年)'!$P:$P,'船长每月数据(2022年)'!$F:$F,$K$2,'船长每月数据(2022年)'!$E:$E,$C:$C)</f>
        <v>0</v>
      </c>
      <c r="L69" s="85">
        <f>SUMIFS('船长每月数据(2022年)'!$R:$R,'船长每月数据(2022年)'!$F:$F,$L$2,'船长每月数据(2022年)'!$E:$E,$C:$C)</f>
        <v>0</v>
      </c>
      <c r="M69" s="20">
        <f>SUMIFS('船长每月数据(2022年)'!$P:$P,'船长每月数据(2022年)'!$F:$F,$M$2,'船长每月数据(2022年)'!$E:$E,$C:$C)</f>
        <v>0</v>
      </c>
      <c r="N69" s="85">
        <f>SUMIFS('船长每月数据(2022年)'!$R:$R,'船长每月数据(2022年)'!$F:$F,$N$2,'船长每月数据(2022年)'!$E:$E,$C:$C)</f>
        <v>0</v>
      </c>
      <c r="O69" s="20">
        <f>SUMIFS('船长每月数据(2022年)'!$P:$P,'船长每月数据(2022年)'!$F:$F,$O$2,'船长每月数据(2022年)'!$E:$E,$C:$C)</f>
        <v>0</v>
      </c>
      <c r="P69" s="85">
        <f>SUMIFS('船长每月数据(2022年)'!$R:$R,'船长每月数据(2022年)'!$F:$F,$P$2,'船长每月数据(2022年)'!$E:$E,$C:$C)</f>
        <v>0</v>
      </c>
      <c r="Q69" s="20">
        <f>SUMIFS('船长每月数据(2022年)'!$P:$P,'船长每月数据(2022年)'!$F:$F,$Q$2,'船长每月数据(2022年)'!$E:$E,$C:$C)</f>
        <v>0</v>
      </c>
      <c r="R69" s="85">
        <f>SUMIFS('船长每月数据(2022年)'!$R:$R,'船长每月数据(2022年)'!$F:$F,$R$2,'船长每月数据(2022年)'!$E:$E,$C:$C)</f>
        <v>0</v>
      </c>
      <c r="S69" s="20">
        <f>SUMIFS('船长每月数据(2022年)'!$P:$P,'船长每月数据(2022年)'!$F:$F,$S$2,'船长每月数据(2022年)'!$E:$E,$C:$C)</f>
        <v>0</v>
      </c>
      <c r="T69" s="85">
        <f>SUMIFS('船长每月数据(2022年)'!$R:$R,'船长每月数据(2022年)'!$F:$F,$T$2,'船长每月数据(2022年)'!$E:$E,$C:$C)</f>
        <v>0</v>
      </c>
      <c r="U69" s="20">
        <f>SUMIFS('船长每月数据(2022年)'!$P:$P,'船长每月数据(2022年)'!$F:$F,$U$2,'船长每月数据(2022年)'!$E:$E,$C:$C)</f>
        <v>0</v>
      </c>
      <c r="V69" s="85">
        <f>SUMIFS('船长每月数据(2022年)'!$R:$R,'船长每月数据(2022年)'!$F:$F,$V$2,'船长每月数据(2022年)'!$E:$E,$C:$C)</f>
        <v>0</v>
      </c>
      <c r="W69" s="20">
        <f>SUMIFS('船长每月数据(2022年)'!$P:$P,'船长每月数据(2022年)'!$F:$F,$W$2,'船长每月数据(2022年)'!$E:$E,$C:$C)</f>
        <v>0</v>
      </c>
      <c r="X69" s="85">
        <f>SUMIFS('船长每月数据(2022年)'!$R:$R,'船长每月数据(2022年)'!$F:$F,$X$2,'船长每月数据(2022年)'!$E:$E,$C:$C)</f>
        <v>0</v>
      </c>
      <c r="Y69" s="20">
        <f>SUMIFS('船长每月数据(2022年)'!$P:$P,'船长每月数据(2022年)'!$F:$F,$Y$2,'船长每月数据(2022年)'!$E:$E,$C:$C)</f>
        <v>0</v>
      </c>
      <c r="Z69" s="85">
        <f>SUMIFS('船长每月数据(2022年)'!$R:$R,'船长每月数据(2022年)'!$F:$F,$Z$2,'船长每月数据(2022年)'!$E:$E,$C:$C)</f>
        <v>0</v>
      </c>
      <c r="AA69" s="20">
        <f>SUMIFS('船长每月数据(2022年)'!$P:$P,'船长每月数据(2022年)'!$F:$F,$AA$2,'船长每月数据(2022年)'!$E:$E,$C:$C)</f>
        <v>0</v>
      </c>
      <c r="AB69" s="85">
        <f>SUMIFS('船长每月数据(2022年)'!$R:$R,'船长每月数据(2022年)'!$F:$F,$AB$2,'船长每月数据(2022年)'!$E:$E,$C:$C)</f>
        <v>0</v>
      </c>
      <c r="AC69" s="20">
        <f>SUMIFS('船长每月数据(2023年)'!P:P,'船长每月数据(2023年)'!F:F,$AC$2,'船长每月数据(2023年)'!E:E,C:C)</f>
        <v>0</v>
      </c>
      <c r="AD69" s="21">
        <f>IFERROR(AC69/SUMIF('船长每月数据(2023年)'!$E:$E,C:C,'船长每月数据(2023年)'!P:P),0)</f>
        <v>0</v>
      </c>
      <c r="AE69" s="38">
        <f>SUMIFS('船长每月数据(2023年)'!$R:$R,'船长每月数据(2023年)'!$F:$F,$AE$2,'船长每月数据(2023年)'!$E:$E,$C:$C)</f>
        <v>0</v>
      </c>
      <c r="AF69" s="21">
        <f>IFERROR(AE69/SUMIF('船长每月数据(2023年)'!E:E,C:C,'船长每月数据(2023年)'!R:R),0)</f>
        <v>0</v>
      </c>
      <c r="AG69" s="20">
        <f>SUMIFS('船长每月数据(2023年)'!P:P,'船长每月数据(2023年)'!F:F,$AG$2,'船长每月数据(2023年)'!E:E,C:C)</f>
        <v>0</v>
      </c>
      <c r="AH69" s="21">
        <f>IFERROR(AG69/SUMIF('船长每月数据(2023年)'!$E:$E,$C:$C,'船长每月数据(2023年)'!$P:$P),0)</f>
        <v>0</v>
      </c>
      <c r="AI69" s="38">
        <f>SUMIFS('船长每月数据(2023年)'!$R:$R,'船长每月数据(2023年)'!$F:$F,$AI$2,'船长每月数据(2023年)'!$E:$E,$C:$C)</f>
        <v>0</v>
      </c>
      <c r="AJ69" s="21">
        <f>IFERROR(AI69/SUMIF('船长每月数据(2023年)'!$E:$E,$C:$C,'船长每月数据(2023年)'!$R:$R),0)</f>
        <v>0</v>
      </c>
      <c r="AK69" s="20">
        <f>SUMIFS('船长每月数据(2023年)'!P:P,'船长每月数据(2023年)'!F:F,$AK$2,'船长每月数据(2023年)'!E:E,C:C)</f>
        <v>0</v>
      </c>
      <c r="AL69" s="21">
        <f>IFERROR(AK69/SUMIF('船长每月数据(2023年)'!$E:$E,$C:$C,'船长每月数据(2023年)'!$P:$P),0)</f>
        <v>0</v>
      </c>
      <c r="AM69" s="38">
        <f>SUMIFS('船长每月数据(2023年)'!$R:$R,'船长每月数据(2023年)'!$F:$F,$AM$2,'船长每月数据(2023年)'!$E:$E,$C:$C)</f>
        <v>0</v>
      </c>
      <c r="AN69" s="21">
        <f>IFERROR(AM69/SUMIF('船长每月数据(2023年)'!$E:$E,$C:$C,'船长每月数据(2023年)'!$R:$R),0)</f>
        <v>0</v>
      </c>
      <c r="AO69" s="20">
        <f>SUMIFS('船长每月数据(2023年)'!P:P,'船长每月数据(2023年)'!F:F,$AO$2,'船长每月数据(2023年)'!E:E,C:C)</f>
        <v>0</v>
      </c>
      <c r="AP69" s="21">
        <f>IFERROR(AO69/SUMIF('船长每月数据(2023年)'!$E:$E,$C:$C,'船长每月数据(2023年)'!$P:$P),0)</f>
        <v>0</v>
      </c>
      <c r="AQ69" s="38">
        <f>SUMIFS('船长每月数据(2023年)'!$R:$R,'船长每月数据(2023年)'!$F:$F,$AQ$2,'船长每月数据(2023年)'!$E:$E,$C:$C)</f>
        <v>0</v>
      </c>
      <c r="AR69" s="21">
        <f>IFERROR(AQ69/SUMIF('船长每月数据(2023年)'!$E:$E,$C:$C,'船长每月数据(2023年)'!$R:$R),0)</f>
        <v>0</v>
      </c>
      <c r="AS69" s="20">
        <f>SUMIFS('船长每月数据(2023年)'!$P:$P,'船长每月数据(2023年)'!$F:$F,$AS$2,'船长每月数据(2023年)'!$E:$E,$C:$C)</f>
        <v>0</v>
      </c>
      <c r="AT69" s="21">
        <f>IFERROR(AS69/SUMIF('船长每月数据(2023年)'!$E:$E,$C:$C,'船长每月数据(2023年)'!$P:$P),0)</f>
        <v>0</v>
      </c>
      <c r="AU69" s="38">
        <f>SUMIFS('船长每月数据(2023年)'!$R:$R,'船长每月数据(2023年)'!$F:$F,$AU$2,'船长每月数据(2023年)'!$E:$E,$C:$C)</f>
        <v>0</v>
      </c>
      <c r="AV69" s="21">
        <f>IFERROR(AU69/SUMIF('船长每月数据(2023年)'!$E:$E,$C:$C,'船长每月数据(2023年)'!$R:$R),0)</f>
        <v>0</v>
      </c>
      <c r="AW69" s="20">
        <f>SUMIFS('船长每月数据(2023年)'!$P:$P,'船长每月数据(2023年)'!$F:$F,$AW$2,'船长每月数据(2023年)'!$E:$E,$C:$C)</f>
        <v>0</v>
      </c>
      <c r="AX69" s="21">
        <f>IFERROR(AW69/SUMIF('船长每月数据(2023年)'!$E:$E,$C:$C,'船长每月数据(2023年)'!$P:$P),0)</f>
        <v>0</v>
      </c>
      <c r="AY69" s="38">
        <f>SUMIFS('船长每月数据(2023年)'!$R:$R,'船长每月数据(2023年)'!$F:$F,$AY$2,'船长每月数据(2023年)'!$E:$E,$C:$C)</f>
        <v>0</v>
      </c>
      <c r="AZ69" s="21">
        <f>IFERROR(AY69/SUMIF('船长每月数据(2023年)'!$E:$E,$C:$C,'船长每月数据(2023年)'!$R:$R),0)</f>
        <v>0</v>
      </c>
      <c r="BA69" s="20">
        <f>SUMIFS('船长每月数据(2023年)'!$P:$P,'船长每月数据(2023年)'!$F:$F,$BA$2,'船长每月数据(2023年)'!$E:$E,$C:$C)</f>
        <v>0</v>
      </c>
      <c r="BB69" s="21">
        <f>IFERROR(BA69/SUMIF('船长每月数据(2023年)'!$E:$E,$C:$C,'船长每月数据(2023年)'!$P:$P),0)</f>
        <v>0</v>
      </c>
      <c r="BC69" s="38">
        <f>SUMIFS('船长每月数据(2023年)'!$R:$R,'船长每月数据(2023年)'!$F:$F,$BC$2,'船长每月数据(2023年)'!$E:$E,$C:$C)</f>
        <v>0</v>
      </c>
      <c r="BD69" s="21">
        <f>IFERROR(BC69/SUMIF('船长每月数据(2023年)'!$E:$E,$C:$C,'船长每月数据(2023年)'!$R:$R),0)</f>
        <v>0</v>
      </c>
      <c r="BE69" s="20">
        <f>SUMIFS('船长每月数据(2023年)'!$P:$P,'船长每月数据(2023年)'!$F:$F,$BE$2,'船长每月数据(2023年)'!$E:$E,$C:$C)</f>
        <v>0</v>
      </c>
      <c r="BF69" s="21">
        <f>IFERROR(BE69/SUMIF('船长每月数据(2023年)'!$E:$E,$C:$C,'船长每月数据(2023年)'!$P:$P),0)</f>
        <v>0</v>
      </c>
      <c r="BG69" s="38">
        <f>SUMIFS('船长每月数据(2023年)'!$R:$R,'船长每月数据(2023年)'!$F:$F,$BG$2,'船长每月数据(2023年)'!$E:$E,$C:$C)</f>
        <v>0</v>
      </c>
      <c r="BH69" s="21">
        <f>IFERROR(BG69/SUMIF('船长每月数据(2023年)'!$E:$E,$C:$C,'船长每月数据(2023年)'!$R:$R),0)</f>
        <v>0</v>
      </c>
      <c r="BI69" s="20">
        <f>SUMIFS('船长每月数据(2023年)'!$P:$P,'船长每月数据(2023年)'!$F:$F,$BI$2,'船长每月数据(2023年)'!$E:$E,$C:$C)</f>
        <v>0</v>
      </c>
      <c r="BJ69" s="21">
        <f>IFERROR(BI69/SUMIF('船长每月数据(2023年)'!$E:$E,$C:$C,'船长每月数据(2023年)'!$P:$P),0)</f>
        <v>0</v>
      </c>
      <c r="BK69" s="38">
        <f>SUMIFS('船长每月数据(2023年)'!$R:$R,'船长每月数据(2023年)'!$F:$F,$BK$2,'船长每月数据(2023年)'!$E:$E,$C:$C)</f>
        <v>0</v>
      </c>
      <c r="BL69" s="21">
        <f>IFERROR(BK69/SUMIF('船长每月数据(2023年)'!$E:$E,$C:$C,'船长每月数据(2023年)'!$R:$R),0)</f>
        <v>0</v>
      </c>
      <c r="BM69" s="20">
        <f>SUMIFS('船长每月数据(2023年)'!$P:$P,'船长每月数据(2023年)'!$F:$F,$BM$2,'船长每月数据(2023年)'!$E:$E,$C:$C)</f>
        <v>0</v>
      </c>
      <c r="BN69" s="21">
        <f>IFERROR(BM69/SUMIF('船长每月数据(2023年)'!$E:$E,$C:$C,'船长每月数据(2023年)'!$P:$P),0)</f>
        <v>0</v>
      </c>
      <c r="BO69" s="38">
        <f>SUMIFS('船长每月数据(2023年)'!$R:$R,'船长每月数据(2023年)'!$F:$F,$BO$2,'船长每月数据(2023年)'!$E:$E,$C:$C)</f>
        <v>0</v>
      </c>
      <c r="BP69" s="21">
        <f>IFERROR(BO69/SUMIF('船长每月数据(2023年)'!$E:$E,$C:$C,'船长每月数据(2023年)'!$R:$R),0)</f>
        <v>0</v>
      </c>
      <c r="BQ69" s="20">
        <f>SUMIFS('船长每月数据(2023年)'!$P:$P,'船长每月数据(2023年)'!$F:$F,$BQ$2,'船长每月数据(2023年)'!$E:$E,$C:$C)</f>
        <v>0</v>
      </c>
      <c r="BR69" s="21">
        <f>IFERROR(BQ69/SUMIF('船长每月数据(2023年)'!$E:$E,$C:$C,'船长每月数据(2023年)'!$P:$P),0)</f>
        <v>0</v>
      </c>
      <c r="BS69" s="38">
        <f>SUMIFS('船长每月数据(2023年)'!$R:$R,'船长每月数据(2023年)'!$F:$F,$BS$2,'船长每月数据(2023年)'!$E:$E,$C:$C)</f>
        <v>0</v>
      </c>
      <c r="BT69" s="21">
        <f>IFERROR(BS69/SUMIF('船长每月数据(2023年)'!$E:$E,$C:$C,'船长每月数据(2023年)'!$R:$R),0)</f>
        <v>0</v>
      </c>
      <c r="BU69" s="20">
        <f>SUMIFS('船长每月数据(2023年)'!$P:$P,'船长每月数据(2023年)'!$F:$F,$BU$2,'船长每月数据(2023年)'!$E:$E,$C:$C)</f>
        <v>0</v>
      </c>
      <c r="BV69" s="21">
        <f>IFERROR(BU69/SUMIF('船长每月数据(2023年)'!$E:$E,$C:$C,'船长每月数据(2023年)'!$P:$P),0)</f>
        <v>0</v>
      </c>
      <c r="BW69" s="38">
        <f>SUMIFS('船长每月数据(2023年)'!$R:$R,'船长每月数据(2023年)'!$F:$F,$BW$2,'船长每月数据(2023年)'!$E:$E,$C:$C)</f>
        <v>0</v>
      </c>
      <c r="BX69" s="21">
        <f>IFERROR(BW69/SUMIF('船长每月数据(2023年)'!$E:$E,$C:$C,'船长每月数据(2023年)'!$R:$R),0)</f>
        <v>0</v>
      </c>
    </row>
    <row r="70" ht="23" customHeight="1" spans="1:76">
      <c r="A70" s="36"/>
      <c r="B70" s="36"/>
      <c r="C70" s="20"/>
      <c r="D70" s="74"/>
      <c r="E70" s="20">
        <f>SUMIFS('船长每月数据(2022年)'!$P:$P,'船长每月数据(2022年)'!$F:$F,$E$2,'船长每月数据(2022年)'!E:E,C:C)</f>
        <v>0</v>
      </c>
      <c r="F70" s="85">
        <f>SUMIFS('船长每月数据(2022年)'!$R:$R,'船长每月数据(2022年)'!$F:$F,$F$2,'船长每月数据(2022年)'!E:E,C:C)</f>
        <v>0</v>
      </c>
      <c r="G70" s="20">
        <f>SUMIFS('船长每月数据(2022年)'!$P:$P,'船长每月数据(2022年)'!$F:$F,$G$2,'船长每月数据(2022年)'!$E:$E,$C:$C)</f>
        <v>0</v>
      </c>
      <c r="H70" s="85">
        <f>SUMIFS('船长每月数据(2022年)'!$R:$R,'船长每月数据(2022年)'!$F:$F,$H$2,'船长每月数据(2022年)'!$E:$E,$C:$C)</f>
        <v>0</v>
      </c>
      <c r="I70" s="20">
        <f>SUMIFS('船长每月数据(2022年)'!$P:$P,'船长每月数据(2022年)'!$F:$F,$I$2,'船长每月数据(2022年)'!$E:$E,$C:$C)</f>
        <v>0</v>
      </c>
      <c r="J70" s="85">
        <f>SUMIFS('船长每月数据(2022年)'!$R:$R,'船长每月数据(2022年)'!$F:$F,$J$2,'船长每月数据(2022年)'!$E:$E,$C:$C)</f>
        <v>0</v>
      </c>
      <c r="K70" s="20">
        <f>SUMIFS('船长每月数据(2022年)'!$P:$P,'船长每月数据(2022年)'!$F:$F,$K$2,'船长每月数据(2022年)'!$E:$E,$C:$C)</f>
        <v>0</v>
      </c>
      <c r="L70" s="85">
        <f>SUMIFS('船长每月数据(2022年)'!$R:$R,'船长每月数据(2022年)'!$F:$F,$L$2,'船长每月数据(2022年)'!$E:$E,$C:$C)</f>
        <v>0</v>
      </c>
      <c r="M70" s="20">
        <f>SUMIFS('船长每月数据(2022年)'!$P:$P,'船长每月数据(2022年)'!$F:$F,$M$2,'船长每月数据(2022年)'!$E:$E,$C:$C)</f>
        <v>0</v>
      </c>
      <c r="N70" s="85">
        <f>SUMIFS('船长每月数据(2022年)'!$R:$R,'船长每月数据(2022年)'!$F:$F,$N$2,'船长每月数据(2022年)'!$E:$E,$C:$C)</f>
        <v>0</v>
      </c>
      <c r="O70" s="20">
        <f>SUMIFS('船长每月数据(2022年)'!$P:$P,'船长每月数据(2022年)'!$F:$F,$O$2,'船长每月数据(2022年)'!$E:$E,$C:$C)</f>
        <v>0</v>
      </c>
      <c r="P70" s="85">
        <f>SUMIFS('船长每月数据(2022年)'!$R:$R,'船长每月数据(2022年)'!$F:$F,$P$2,'船长每月数据(2022年)'!$E:$E,$C:$C)</f>
        <v>0</v>
      </c>
      <c r="Q70" s="20">
        <f>SUMIFS('船长每月数据(2022年)'!$P:$P,'船长每月数据(2022年)'!$F:$F,$Q$2,'船长每月数据(2022年)'!$E:$E,$C:$C)</f>
        <v>0</v>
      </c>
      <c r="R70" s="85">
        <f>SUMIFS('船长每月数据(2022年)'!$R:$R,'船长每月数据(2022年)'!$F:$F,$R$2,'船长每月数据(2022年)'!$E:$E,$C:$C)</f>
        <v>0</v>
      </c>
      <c r="S70" s="20">
        <f>SUMIFS('船长每月数据(2022年)'!$P:$P,'船长每月数据(2022年)'!$F:$F,$S$2,'船长每月数据(2022年)'!$E:$E,$C:$C)</f>
        <v>0</v>
      </c>
      <c r="T70" s="85">
        <f>SUMIFS('船长每月数据(2022年)'!$R:$R,'船长每月数据(2022年)'!$F:$F,$T$2,'船长每月数据(2022年)'!$E:$E,$C:$C)</f>
        <v>0</v>
      </c>
      <c r="U70" s="20">
        <f>SUMIFS('船长每月数据(2022年)'!$P:$P,'船长每月数据(2022年)'!$F:$F,$U$2,'船长每月数据(2022年)'!$E:$E,$C:$C)</f>
        <v>0</v>
      </c>
      <c r="V70" s="85">
        <f>SUMIFS('船长每月数据(2022年)'!$R:$R,'船长每月数据(2022年)'!$F:$F,$V$2,'船长每月数据(2022年)'!$E:$E,$C:$C)</f>
        <v>0</v>
      </c>
      <c r="W70" s="20">
        <f>SUMIFS('船长每月数据(2022年)'!$P:$P,'船长每月数据(2022年)'!$F:$F,$W$2,'船长每月数据(2022年)'!$E:$E,$C:$C)</f>
        <v>0</v>
      </c>
      <c r="X70" s="85">
        <f>SUMIFS('船长每月数据(2022年)'!$R:$R,'船长每月数据(2022年)'!$F:$F,$X$2,'船长每月数据(2022年)'!$E:$E,$C:$C)</f>
        <v>0</v>
      </c>
      <c r="Y70" s="20">
        <f>SUMIFS('船长每月数据(2022年)'!$P:$P,'船长每月数据(2022年)'!$F:$F,$Y$2,'船长每月数据(2022年)'!$E:$E,$C:$C)</f>
        <v>0</v>
      </c>
      <c r="Z70" s="85">
        <f>SUMIFS('船长每月数据(2022年)'!$R:$R,'船长每月数据(2022年)'!$F:$F,$Z$2,'船长每月数据(2022年)'!$E:$E,$C:$C)</f>
        <v>0</v>
      </c>
      <c r="AA70" s="20">
        <f>SUMIFS('船长每月数据(2022年)'!$P:$P,'船长每月数据(2022年)'!$F:$F,$AA$2,'船长每月数据(2022年)'!$E:$E,$C:$C)</f>
        <v>0</v>
      </c>
      <c r="AB70" s="85">
        <f>SUMIFS('船长每月数据(2022年)'!$R:$R,'船长每月数据(2022年)'!$F:$F,$AB$2,'船长每月数据(2022年)'!$E:$E,$C:$C)</f>
        <v>0</v>
      </c>
      <c r="AC70" s="20">
        <f>SUMIFS('船长每月数据(2023年)'!P:P,'船长每月数据(2023年)'!F:F,$AC$2,'船长每月数据(2023年)'!E:E,C:C)</f>
        <v>0</v>
      </c>
      <c r="AD70" s="21">
        <f>IFERROR(AC70/SUMIF('船长每月数据(2023年)'!$E:$E,C:C,'船长每月数据(2023年)'!P:P),0)</f>
        <v>0</v>
      </c>
      <c r="AE70" s="38">
        <f>SUMIFS('船长每月数据(2023年)'!$R:$R,'船长每月数据(2023年)'!$F:$F,$AE$2,'船长每月数据(2023年)'!$E:$E,$C:$C)</f>
        <v>0</v>
      </c>
      <c r="AF70" s="21">
        <f>IFERROR(AE70/SUMIF('船长每月数据(2023年)'!E:E,C:C,'船长每月数据(2023年)'!R:R),0)</f>
        <v>0</v>
      </c>
      <c r="AG70" s="20">
        <f>SUMIFS('船长每月数据(2023年)'!P:P,'船长每月数据(2023年)'!F:F,$AG$2,'船长每月数据(2023年)'!E:E,C:C)</f>
        <v>0</v>
      </c>
      <c r="AH70" s="21">
        <f>IFERROR(AG70/SUMIF('船长每月数据(2023年)'!$E:$E,$C:$C,'船长每月数据(2023年)'!$P:$P),0)</f>
        <v>0</v>
      </c>
      <c r="AI70" s="38">
        <f>SUMIFS('船长每月数据(2023年)'!$R:$R,'船长每月数据(2023年)'!$F:$F,$AI$2,'船长每月数据(2023年)'!$E:$E,$C:$C)</f>
        <v>0</v>
      </c>
      <c r="AJ70" s="21">
        <f>IFERROR(AI70/SUMIF('船长每月数据(2023年)'!$E:$E,$C:$C,'船长每月数据(2023年)'!$R:$R),0)</f>
        <v>0</v>
      </c>
      <c r="AK70" s="20">
        <f>SUMIFS('船长每月数据(2023年)'!P:P,'船长每月数据(2023年)'!F:F,$AK$2,'船长每月数据(2023年)'!E:E,C:C)</f>
        <v>0</v>
      </c>
      <c r="AL70" s="21">
        <f>IFERROR(AK70/SUMIF('船长每月数据(2023年)'!$E:$E,$C:$C,'船长每月数据(2023年)'!$P:$P),0)</f>
        <v>0</v>
      </c>
      <c r="AM70" s="38">
        <f>SUMIFS('船长每月数据(2023年)'!$R:$R,'船长每月数据(2023年)'!$F:$F,$AM$2,'船长每月数据(2023年)'!$E:$E,$C:$C)</f>
        <v>0</v>
      </c>
      <c r="AN70" s="21">
        <f>IFERROR(AM70/SUMIF('船长每月数据(2023年)'!$E:$E,$C:$C,'船长每月数据(2023年)'!$R:$R),0)</f>
        <v>0</v>
      </c>
      <c r="AO70" s="20">
        <f>SUMIFS('船长每月数据(2023年)'!P:P,'船长每月数据(2023年)'!F:F,$AO$2,'船长每月数据(2023年)'!E:E,C:C)</f>
        <v>0</v>
      </c>
      <c r="AP70" s="21">
        <f>IFERROR(AO70/SUMIF('船长每月数据(2023年)'!$E:$E,$C:$C,'船长每月数据(2023年)'!$P:$P),0)</f>
        <v>0</v>
      </c>
      <c r="AQ70" s="38">
        <f>SUMIFS('船长每月数据(2023年)'!$R:$R,'船长每月数据(2023年)'!$F:$F,$AQ$2,'船长每月数据(2023年)'!$E:$E,$C:$C)</f>
        <v>0</v>
      </c>
      <c r="AR70" s="21">
        <f>IFERROR(AQ70/SUMIF('船长每月数据(2023年)'!$E:$E,$C:$C,'船长每月数据(2023年)'!$R:$R),0)</f>
        <v>0</v>
      </c>
      <c r="AS70" s="20">
        <f>SUMIFS('船长每月数据(2023年)'!$P:$P,'船长每月数据(2023年)'!$F:$F,$AS$2,'船长每月数据(2023年)'!$E:$E,$C:$C)</f>
        <v>0</v>
      </c>
      <c r="AT70" s="21">
        <f>IFERROR(AS70/SUMIF('船长每月数据(2023年)'!$E:$E,$C:$C,'船长每月数据(2023年)'!$P:$P),0)</f>
        <v>0</v>
      </c>
      <c r="AU70" s="38">
        <f>SUMIFS('船长每月数据(2023年)'!$R:$R,'船长每月数据(2023年)'!$F:$F,$AU$2,'船长每月数据(2023年)'!$E:$E,$C:$C)</f>
        <v>0</v>
      </c>
      <c r="AV70" s="21">
        <f>IFERROR(AU70/SUMIF('船长每月数据(2023年)'!$E:$E,$C:$C,'船长每月数据(2023年)'!$R:$R),0)</f>
        <v>0</v>
      </c>
      <c r="AW70" s="20">
        <f>SUMIFS('船长每月数据(2023年)'!$P:$P,'船长每月数据(2023年)'!$F:$F,$AW$2,'船长每月数据(2023年)'!$E:$E,$C:$C)</f>
        <v>0</v>
      </c>
      <c r="AX70" s="21">
        <f>IFERROR(AW70/SUMIF('船长每月数据(2023年)'!$E:$E,$C:$C,'船长每月数据(2023年)'!$P:$P),0)</f>
        <v>0</v>
      </c>
      <c r="AY70" s="38">
        <f>SUMIFS('船长每月数据(2023年)'!$R:$R,'船长每月数据(2023年)'!$F:$F,$AY$2,'船长每月数据(2023年)'!$E:$E,$C:$C)</f>
        <v>0</v>
      </c>
      <c r="AZ70" s="21">
        <f>IFERROR(AY70/SUMIF('船长每月数据(2023年)'!$E:$E,$C:$C,'船长每月数据(2023年)'!$R:$R),0)</f>
        <v>0</v>
      </c>
      <c r="BA70" s="20">
        <f>SUMIFS('船长每月数据(2023年)'!$P:$P,'船长每月数据(2023年)'!$F:$F,$BA$2,'船长每月数据(2023年)'!$E:$E,$C:$C)</f>
        <v>0</v>
      </c>
      <c r="BB70" s="21">
        <f>IFERROR(BA70/SUMIF('船长每月数据(2023年)'!$E:$E,$C:$C,'船长每月数据(2023年)'!$P:$P),0)</f>
        <v>0</v>
      </c>
      <c r="BC70" s="38">
        <f>SUMIFS('船长每月数据(2023年)'!$R:$R,'船长每月数据(2023年)'!$F:$F,$BC$2,'船长每月数据(2023年)'!$E:$E,$C:$C)</f>
        <v>0</v>
      </c>
      <c r="BD70" s="21">
        <f>IFERROR(BC70/SUMIF('船长每月数据(2023年)'!$E:$E,$C:$C,'船长每月数据(2023年)'!$R:$R),0)</f>
        <v>0</v>
      </c>
      <c r="BE70" s="20">
        <f>SUMIFS('船长每月数据(2023年)'!$P:$P,'船长每月数据(2023年)'!$F:$F,$BE$2,'船长每月数据(2023年)'!$E:$E,$C:$C)</f>
        <v>0</v>
      </c>
      <c r="BF70" s="21">
        <f>IFERROR(BE70/SUMIF('船长每月数据(2023年)'!$E:$E,$C:$C,'船长每月数据(2023年)'!$P:$P),0)</f>
        <v>0</v>
      </c>
      <c r="BG70" s="38">
        <f>SUMIFS('船长每月数据(2023年)'!$R:$R,'船长每月数据(2023年)'!$F:$F,$BG$2,'船长每月数据(2023年)'!$E:$E,$C:$C)</f>
        <v>0</v>
      </c>
      <c r="BH70" s="21">
        <f>IFERROR(BG70/SUMIF('船长每月数据(2023年)'!$E:$E,$C:$C,'船长每月数据(2023年)'!$R:$R),0)</f>
        <v>0</v>
      </c>
      <c r="BI70" s="20">
        <f>SUMIFS('船长每月数据(2023年)'!$P:$P,'船长每月数据(2023年)'!$F:$F,$BI$2,'船长每月数据(2023年)'!$E:$E,$C:$C)</f>
        <v>0</v>
      </c>
      <c r="BJ70" s="21">
        <f>IFERROR(BI70/SUMIF('船长每月数据(2023年)'!$E:$E,$C:$C,'船长每月数据(2023年)'!$P:$P),0)</f>
        <v>0</v>
      </c>
      <c r="BK70" s="38">
        <f>SUMIFS('船长每月数据(2023年)'!$R:$R,'船长每月数据(2023年)'!$F:$F,$BK$2,'船长每月数据(2023年)'!$E:$E,$C:$C)</f>
        <v>0</v>
      </c>
      <c r="BL70" s="21">
        <f>IFERROR(BK70/SUMIF('船长每月数据(2023年)'!$E:$E,$C:$C,'船长每月数据(2023年)'!$R:$R),0)</f>
        <v>0</v>
      </c>
      <c r="BM70" s="20">
        <f>SUMIFS('船长每月数据(2023年)'!$P:$P,'船长每月数据(2023年)'!$F:$F,$BM$2,'船长每月数据(2023年)'!$E:$E,$C:$C)</f>
        <v>0</v>
      </c>
      <c r="BN70" s="21">
        <f>IFERROR(BM70/SUMIF('船长每月数据(2023年)'!$E:$E,$C:$C,'船长每月数据(2023年)'!$P:$P),0)</f>
        <v>0</v>
      </c>
      <c r="BO70" s="38">
        <f>SUMIFS('船长每月数据(2023年)'!$R:$R,'船长每月数据(2023年)'!$F:$F,$BO$2,'船长每月数据(2023年)'!$E:$E,$C:$C)</f>
        <v>0</v>
      </c>
      <c r="BP70" s="21">
        <f>IFERROR(BO70/SUMIF('船长每月数据(2023年)'!$E:$E,$C:$C,'船长每月数据(2023年)'!$R:$R),0)</f>
        <v>0</v>
      </c>
      <c r="BQ70" s="20">
        <f>SUMIFS('船长每月数据(2023年)'!$P:$P,'船长每月数据(2023年)'!$F:$F,$BQ$2,'船长每月数据(2023年)'!$E:$E,$C:$C)</f>
        <v>0</v>
      </c>
      <c r="BR70" s="21">
        <f>IFERROR(BQ70/SUMIF('船长每月数据(2023年)'!$E:$E,$C:$C,'船长每月数据(2023年)'!$P:$P),0)</f>
        <v>0</v>
      </c>
      <c r="BS70" s="38">
        <f>SUMIFS('船长每月数据(2023年)'!$R:$R,'船长每月数据(2023年)'!$F:$F,$BS$2,'船长每月数据(2023年)'!$E:$E,$C:$C)</f>
        <v>0</v>
      </c>
      <c r="BT70" s="21">
        <f>IFERROR(BS70/SUMIF('船长每月数据(2023年)'!$E:$E,$C:$C,'船长每月数据(2023年)'!$R:$R),0)</f>
        <v>0</v>
      </c>
      <c r="BU70" s="20">
        <f>SUMIFS('船长每月数据(2023年)'!$P:$P,'船长每月数据(2023年)'!$F:$F,$BU$2,'船长每月数据(2023年)'!$E:$E,$C:$C)</f>
        <v>0</v>
      </c>
      <c r="BV70" s="21">
        <f>IFERROR(BU70/SUMIF('船长每月数据(2023年)'!$E:$E,$C:$C,'船长每月数据(2023年)'!$P:$P),0)</f>
        <v>0</v>
      </c>
      <c r="BW70" s="38">
        <f>SUMIFS('船长每月数据(2023年)'!$R:$R,'船长每月数据(2023年)'!$F:$F,$BW$2,'船长每月数据(2023年)'!$E:$E,$C:$C)</f>
        <v>0</v>
      </c>
      <c r="BX70" s="21">
        <f>IFERROR(BW70/SUMIF('船长每月数据(2023年)'!$E:$E,$C:$C,'船长每月数据(2023年)'!$R:$R),0)</f>
        <v>0</v>
      </c>
    </row>
    <row r="71" ht="23" customHeight="1" spans="1:76">
      <c r="A71" s="36"/>
      <c r="B71" s="36"/>
      <c r="C71" s="20"/>
      <c r="D71" s="74"/>
      <c r="E71" s="20">
        <f>SUMIFS('船长每月数据(2022年)'!$P:$P,'船长每月数据(2022年)'!$F:$F,$E$2,'船长每月数据(2022年)'!E:E,C:C)</f>
        <v>0</v>
      </c>
      <c r="F71" s="85">
        <f>SUMIFS('船长每月数据(2022年)'!$R:$R,'船长每月数据(2022年)'!$F:$F,$F$2,'船长每月数据(2022年)'!E:E,C:C)</f>
        <v>0</v>
      </c>
      <c r="G71" s="20">
        <f>SUMIFS('船长每月数据(2022年)'!$P:$P,'船长每月数据(2022年)'!$F:$F,$G$2,'船长每月数据(2022年)'!$E:$E,$C:$C)</f>
        <v>0</v>
      </c>
      <c r="H71" s="85">
        <f>SUMIFS('船长每月数据(2022年)'!$R:$R,'船长每月数据(2022年)'!$F:$F,$H$2,'船长每月数据(2022年)'!$E:$E,$C:$C)</f>
        <v>0</v>
      </c>
      <c r="I71" s="20">
        <f>SUMIFS('船长每月数据(2022年)'!$P:$P,'船长每月数据(2022年)'!$F:$F,$I$2,'船长每月数据(2022年)'!$E:$E,$C:$C)</f>
        <v>0</v>
      </c>
      <c r="J71" s="85">
        <f>SUMIFS('船长每月数据(2022年)'!$R:$R,'船长每月数据(2022年)'!$F:$F,$J$2,'船长每月数据(2022年)'!$E:$E,$C:$C)</f>
        <v>0</v>
      </c>
      <c r="K71" s="20">
        <f>SUMIFS('船长每月数据(2022年)'!$P:$P,'船长每月数据(2022年)'!$F:$F,$K$2,'船长每月数据(2022年)'!$E:$E,$C:$C)</f>
        <v>0</v>
      </c>
      <c r="L71" s="85">
        <f>SUMIFS('船长每月数据(2022年)'!$R:$R,'船长每月数据(2022年)'!$F:$F,$L$2,'船长每月数据(2022年)'!$E:$E,$C:$C)</f>
        <v>0</v>
      </c>
      <c r="M71" s="20">
        <f>SUMIFS('船长每月数据(2022年)'!$P:$P,'船长每月数据(2022年)'!$F:$F,$M$2,'船长每月数据(2022年)'!$E:$E,$C:$C)</f>
        <v>0</v>
      </c>
      <c r="N71" s="85">
        <f>SUMIFS('船长每月数据(2022年)'!$R:$R,'船长每月数据(2022年)'!$F:$F,$N$2,'船长每月数据(2022年)'!$E:$E,$C:$C)</f>
        <v>0</v>
      </c>
      <c r="O71" s="20">
        <f>SUMIFS('船长每月数据(2022年)'!$P:$P,'船长每月数据(2022年)'!$F:$F,$O$2,'船长每月数据(2022年)'!$E:$E,$C:$C)</f>
        <v>0</v>
      </c>
      <c r="P71" s="85">
        <f>SUMIFS('船长每月数据(2022年)'!$R:$R,'船长每月数据(2022年)'!$F:$F,$P$2,'船长每月数据(2022年)'!$E:$E,$C:$C)</f>
        <v>0</v>
      </c>
      <c r="Q71" s="20">
        <f>SUMIFS('船长每月数据(2022年)'!$P:$P,'船长每月数据(2022年)'!$F:$F,$Q$2,'船长每月数据(2022年)'!$E:$E,$C:$C)</f>
        <v>0</v>
      </c>
      <c r="R71" s="85">
        <f>SUMIFS('船长每月数据(2022年)'!$R:$R,'船长每月数据(2022年)'!$F:$F,$R$2,'船长每月数据(2022年)'!$E:$E,$C:$C)</f>
        <v>0</v>
      </c>
      <c r="S71" s="20">
        <f>SUMIFS('船长每月数据(2022年)'!$P:$P,'船长每月数据(2022年)'!$F:$F,$S$2,'船长每月数据(2022年)'!$E:$E,$C:$C)</f>
        <v>0</v>
      </c>
      <c r="T71" s="85">
        <f>SUMIFS('船长每月数据(2022年)'!$R:$R,'船长每月数据(2022年)'!$F:$F,$T$2,'船长每月数据(2022年)'!$E:$E,$C:$C)</f>
        <v>0</v>
      </c>
      <c r="U71" s="20">
        <f>SUMIFS('船长每月数据(2022年)'!$P:$P,'船长每月数据(2022年)'!$F:$F,$U$2,'船长每月数据(2022年)'!$E:$E,$C:$C)</f>
        <v>0</v>
      </c>
      <c r="V71" s="85">
        <f>SUMIFS('船长每月数据(2022年)'!$R:$R,'船长每月数据(2022年)'!$F:$F,$V$2,'船长每月数据(2022年)'!$E:$E,$C:$C)</f>
        <v>0</v>
      </c>
      <c r="W71" s="20">
        <f>SUMIFS('船长每月数据(2022年)'!$P:$P,'船长每月数据(2022年)'!$F:$F,$W$2,'船长每月数据(2022年)'!$E:$E,$C:$C)</f>
        <v>0</v>
      </c>
      <c r="X71" s="85">
        <f>SUMIFS('船长每月数据(2022年)'!$R:$R,'船长每月数据(2022年)'!$F:$F,$X$2,'船长每月数据(2022年)'!$E:$E,$C:$C)</f>
        <v>0</v>
      </c>
      <c r="Y71" s="20">
        <f>SUMIFS('船长每月数据(2022年)'!$P:$P,'船长每月数据(2022年)'!$F:$F,$Y$2,'船长每月数据(2022年)'!$E:$E,$C:$C)</f>
        <v>0</v>
      </c>
      <c r="Z71" s="85">
        <f>SUMIFS('船长每月数据(2022年)'!$R:$R,'船长每月数据(2022年)'!$F:$F,$Z$2,'船长每月数据(2022年)'!$E:$E,$C:$C)</f>
        <v>0</v>
      </c>
      <c r="AA71" s="20">
        <f>SUMIFS('船长每月数据(2022年)'!$P:$P,'船长每月数据(2022年)'!$F:$F,$AA$2,'船长每月数据(2022年)'!$E:$E,$C:$C)</f>
        <v>0</v>
      </c>
      <c r="AB71" s="85">
        <f>SUMIFS('船长每月数据(2022年)'!$R:$R,'船长每月数据(2022年)'!$F:$F,$AB$2,'船长每月数据(2022年)'!$E:$E,$C:$C)</f>
        <v>0</v>
      </c>
      <c r="AC71" s="20">
        <f>SUMIFS('船长每月数据(2023年)'!P:P,'船长每月数据(2023年)'!F:F,$AC$2,'船长每月数据(2023年)'!E:E,C:C)</f>
        <v>0</v>
      </c>
      <c r="AD71" s="21">
        <f>IFERROR(AC71/SUMIF('船长每月数据(2023年)'!$E:$E,C:C,'船长每月数据(2023年)'!P:P),0)</f>
        <v>0</v>
      </c>
      <c r="AE71" s="38">
        <f>SUMIFS('船长每月数据(2023年)'!$R:$R,'船长每月数据(2023年)'!$F:$F,$AE$2,'船长每月数据(2023年)'!$E:$E,$C:$C)</f>
        <v>0</v>
      </c>
      <c r="AF71" s="21">
        <f>IFERROR(AE71/SUMIF('船长每月数据(2023年)'!E:E,C:C,'船长每月数据(2023年)'!R:R),0)</f>
        <v>0</v>
      </c>
      <c r="AG71" s="20">
        <f>SUMIFS('船长每月数据(2023年)'!P:P,'船长每月数据(2023年)'!F:F,$AG$2,'船长每月数据(2023年)'!E:E,C:C)</f>
        <v>0</v>
      </c>
      <c r="AH71" s="21">
        <f>IFERROR(AG71/SUMIF('船长每月数据(2023年)'!$E:$E,$C:$C,'船长每月数据(2023年)'!$P:$P),0)</f>
        <v>0</v>
      </c>
      <c r="AI71" s="38">
        <f>SUMIFS('船长每月数据(2023年)'!$R:$R,'船长每月数据(2023年)'!$F:$F,$AI$2,'船长每月数据(2023年)'!$E:$E,$C:$C)</f>
        <v>0</v>
      </c>
      <c r="AJ71" s="21">
        <f>IFERROR(AI71/SUMIF('船长每月数据(2023年)'!$E:$E,$C:$C,'船长每月数据(2023年)'!$R:$R),0)</f>
        <v>0</v>
      </c>
      <c r="AK71" s="20">
        <f>SUMIFS('船长每月数据(2023年)'!P:P,'船长每月数据(2023年)'!F:F,$AK$2,'船长每月数据(2023年)'!E:E,C:C)</f>
        <v>0</v>
      </c>
      <c r="AL71" s="21">
        <f>IFERROR(AK71/SUMIF('船长每月数据(2023年)'!$E:$E,$C:$C,'船长每月数据(2023年)'!$P:$P),0)</f>
        <v>0</v>
      </c>
      <c r="AM71" s="38">
        <f>SUMIFS('船长每月数据(2023年)'!$R:$R,'船长每月数据(2023年)'!$F:$F,$AM$2,'船长每月数据(2023年)'!$E:$E,$C:$C)</f>
        <v>0</v>
      </c>
      <c r="AN71" s="21">
        <f>IFERROR(AM71/SUMIF('船长每月数据(2023年)'!$E:$E,$C:$C,'船长每月数据(2023年)'!$R:$R),0)</f>
        <v>0</v>
      </c>
      <c r="AO71" s="20">
        <f>SUMIFS('船长每月数据(2023年)'!P:P,'船长每月数据(2023年)'!F:F,$AO$2,'船长每月数据(2023年)'!E:E,C:C)</f>
        <v>0</v>
      </c>
      <c r="AP71" s="21">
        <f>IFERROR(AO71/SUMIF('船长每月数据(2023年)'!$E:$E,$C:$C,'船长每月数据(2023年)'!$P:$P),0)</f>
        <v>0</v>
      </c>
      <c r="AQ71" s="38">
        <f>SUMIFS('船长每月数据(2023年)'!$R:$R,'船长每月数据(2023年)'!$F:$F,$AQ$2,'船长每月数据(2023年)'!$E:$E,$C:$C)</f>
        <v>0</v>
      </c>
      <c r="AR71" s="21">
        <f>IFERROR(AQ71/SUMIF('船长每月数据(2023年)'!$E:$E,$C:$C,'船长每月数据(2023年)'!$R:$R),0)</f>
        <v>0</v>
      </c>
      <c r="AS71" s="20">
        <f>SUMIFS('船长每月数据(2023年)'!$P:$P,'船长每月数据(2023年)'!$F:$F,$AS$2,'船长每月数据(2023年)'!$E:$E,$C:$C)</f>
        <v>0</v>
      </c>
      <c r="AT71" s="21">
        <f>IFERROR(AS71/SUMIF('船长每月数据(2023年)'!$E:$E,$C:$C,'船长每月数据(2023年)'!$P:$P),0)</f>
        <v>0</v>
      </c>
      <c r="AU71" s="38">
        <f>SUMIFS('船长每月数据(2023年)'!$R:$R,'船长每月数据(2023年)'!$F:$F,$AU$2,'船长每月数据(2023年)'!$E:$E,$C:$C)</f>
        <v>0</v>
      </c>
      <c r="AV71" s="21">
        <f>IFERROR(AU71/SUMIF('船长每月数据(2023年)'!$E:$E,$C:$C,'船长每月数据(2023年)'!$R:$R),0)</f>
        <v>0</v>
      </c>
      <c r="AW71" s="20">
        <f>SUMIFS('船长每月数据(2023年)'!$P:$P,'船长每月数据(2023年)'!$F:$F,$AW$2,'船长每月数据(2023年)'!$E:$E,$C:$C)</f>
        <v>0</v>
      </c>
      <c r="AX71" s="21">
        <f>IFERROR(AW71/SUMIF('船长每月数据(2023年)'!$E:$E,$C:$C,'船长每月数据(2023年)'!$P:$P),0)</f>
        <v>0</v>
      </c>
      <c r="AY71" s="38">
        <f>SUMIFS('船长每月数据(2023年)'!$R:$R,'船长每月数据(2023年)'!$F:$F,$AY$2,'船长每月数据(2023年)'!$E:$E,$C:$C)</f>
        <v>0</v>
      </c>
      <c r="AZ71" s="21">
        <f>IFERROR(AY71/SUMIF('船长每月数据(2023年)'!$E:$E,$C:$C,'船长每月数据(2023年)'!$R:$R),0)</f>
        <v>0</v>
      </c>
      <c r="BA71" s="20">
        <f>SUMIFS('船长每月数据(2023年)'!$P:$P,'船长每月数据(2023年)'!$F:$F,$BA$2,'船长每月数据(2023年)'!$E:$E,$C:$C)</f>
        <v>0</v>
      </c>
      <c r="BB71" s="21">
        <f>IFERROR(BA71/SUMIF('船长每月数据(2023年)'!$E:$E,$C:$C,'船长每月数据(2023年)'!$P:$P),0)</f>
        <v>0</v>
      </c>
      <c r="BC71" s="38">
        <f>SUMIFS('船长每月数据(2023年)'!$R:$R,'船长每月数据(2023年)'!$F:$F,$BC$2,'船长每月数据(2023年)'!$E:$E,$C:$C)</f>
        <v>0</v>
      </c>
      <c r="BD71" s="21">
        <f>IFERROR(BC71/SUMIF('船长每月数据(2023年)'!$E:$E,$C:$C,'船长每月数据(2023年)'!$R:$R),0)</f>
        <v>0</v>
      </c>
      <c r="BE71" s="20">
        <f>SUMIFS('船长每月数据(2023年)'!$P:$P,'船长每月数据(2023年)'!$F:$F,$BE$2,'船长每月数据(2023年)'!$E:$E,$C:$C)</f>
        <v>0</v>
      </c>
      <c r="BF71" s="21">
        <f>IFERROR(BE71/SUMIF('船长每月数据(2023年)'!$E:$E,$C:$C,'船长每月数据(2023年)'!$P:$P),0)</f>
        <v>0</v>
      </c>
      <c r="BG71" s="38">
        <f>SUMIFS('船长每月数据(2023年)'!$R:$R,'船长每月数据(2023年)'!$F:$F,$BG$2,'船长每月数据(2023年)'!$E:$E,$C:$C)</f>
        <v>0</v>
      </c>
      <c r="BH71" s="21">
        <f>IFERROR(BG71/SUMIF('船长每月数据(2023年)'!$E:$E,$C:$C,'船长每月数据(2023年)'!$R:$R),0)</f>
        <v>0</v>
      </c>
      <c r="BI71" s="20">
        <f>SUMIFS('船长每月数据(2023年)'!$P:$P,'船长每月数据(2023年)'!$F:$F,$BI$2,'船长每月数据(2023年)'!$E:$E,$C:$C)</f>
        <v>0</v>
      </c>
      <c r="BJ71" s="21">
        <f>IFERROR(BI71/SUMIF('船长每月数据(2023年)'!$E:$E,$C:$C,'船长每月数据(2023年)'!$P:$P),0)</f>
        <v>0</v>
      </c>
      <c r="BK71" s="38">
        <f>SUMIFS('船长每月数据(2023年)'!$R:$R,'船长每月数据(2023年)'!$F:$F,$BK$2,'船长每月数据(2023年)'!$E:$E,$C:$C)</f>
        <v>0</v>
      </c>
      <c r="BL71" s="21">
        <f>IFERROR(BK71/SUMIF('船长每月数据(2023年)'!$E:$E,$C:$C,'船长每月数据(2023年)'!$R:$R),0)</f>
        <v>0</v>
      </c>
      <c r="BM71" s="20">
        <f>SUMIFS('船长每月数据(2023年)'!$P:$P,'船长每月数据(2023年)'!$F:$F,$BM$2,'船长每月数据(2023年)'!$E:$E,$C:$C)</f>
        <v>0</v>
      </c>
      <c r="BN71" s="21">
        <f>IFERROR(BM71/SUMIF('船长每月数据(2023年)'!$E:$E,$C:$C,'船长每月数据(2023年)'!$P:$P),0)</f>
        <v>0</v>
      </c>
      <c r="BO71" s="38">
        <f>SUMIFS('船长每月数据(2023年)'!$R:$R,'船长每月数据(2023年)'!$F:$F,$BO$2,'船长每月数据(2023年)'!$E:$E,$C:$C)</f>
        <v>0</v>
      </c>
      <c r="BP71" s="21">
        <f>IFERROR(BO71/SUMIF('船长每月数据(2023年)'!$E:$E,$C:$C,'船长每月数据(2023年)'!$R:$R),0)</f>
        <v>0</v>
      </c>
      <c r="BQ71" s="20">
        <f>SUMIFS('船长每月数据(2023年)'!$P:$P,'船长每月数据(2023年)'!$F:$F,$BQ$2,'船长每月数据(2023年)'!$E:$E,$C:$C)</f>
        <v>0</v>
      </c>
      <c r="BR71" s="21">
        <f>IFERROR(BQ71/SUMIF('船长每月数据(2023年)'!$E:$E,$C:$C,'船长每月数据(2023年)'!$P:$P),0)</f>
        <v>0</v>
      </c>
      <c r="BS71" s="38">
        <f>SUMIFS('船长每月数据(2023年)'!$R:$R,'船长每月数据(2023年)'!$F:$F,$BS$2,'船长每月数据(2023年)'!$E:$E,$C:$C)</f>
        <v>0</v>
      </c>
      <c r="BT71" s="21">
        <f>IFERROR(BS71/SUMIF('船长每月数据(2023年)'!$E:$E,$C:$C,'船长每月数据(2023年)'!$R:$R),0)</f>
        <v>0</v>
      </c>
      <c r="BU71" s="20">
        <f>SUMIFS('船长每月数据(2023年)'!$P:$P,'船长每月数据(2023年)'!$F:$F,$BU$2,'船长每月数据(2023年)'!$E:$E,$C:$C)</f>
        <v>0</v>
      </c>
      <c r="BV71" s="21">
        <f>IFERROR(BU71/SUMIF('船长每月数据(2023年)'!$E:$E,$C:$C,'船长每月数据(2023年)'!$P:$P),0)</f>
        <v>0</v>
      </c>
      <c r="BW71" s="38">
        <f>SUMIFS('船长每月数据(2023年)'!$R:$R,'船长每月数据(2023年)'!$F:$F,$BW$2,'船长每月数据(2023年)'!$E:$E,$C:$C)</f>
        <v>0</v>
      </c>
      <c r="BX71" s="21">
        <f>IFERROR(BW71/SUMIF('船长每月数据(2023年)'!$E:$E,$C:$C,'船长每月数据(2023年)'!$R:$R),0)</f>
        <v>0</v>
      </c>
    </row>
    <row r="72" ht="23" customHeight="1" spans="1:76">
      <c r="A72" s="36"/>
      <c r="B72" s="36"/>
      <c r="C72" s="20"/>
      <c r="D72" s="74"/>
      <c r="E72" s="20">
        <f>SUMIFS('船长每月数据(2022年)'!$P:$P,'船长每月数据(2022年)'!$F:$F,$E$2,'船长每月数据(2022年)'!E:E,C:C)</f>
        <v>0</v>
      </c>
      <c r="F72" s="85">
        <f>SUMIFS('船长每月数据(2022年)'!$R:$R,'船长每月数据(2022年)'!$F:$F,$F$2,'船长每月数据(2022年)'!E:E,C:C)</f>
        <v>0</v>
      </c>
      <c r="G72" s="20">
        <f>SUMIFS('船长每月数据(2022年)'!$P:$P,'船长每月数据(2022年)'!$F:$F,$G$2,'船长每月数据(2022年)'!$E:$E,$C:$C)</f>
        <v>0</v>
      </c>
      <c r="H72" s="85">
        <f>SUMIFS('船长每月数据(2022年)'!$R:$R,'船长每月数据(2022年)'!$F:$F,$H$2,'船长每月数据(2022年)'!$E:$E,$C:$C)</f>
        <v>0</v>
      </c>
      <c r="I72" s="20">
        <f>SUMIFS('船长每月数据(2022年)'!$P:$P,'船长每月数据(2022年)'!$F:$F,$I$2,'船长每月数据(2022年)'!$E:$E,$C:$C)</f>
        <v>0</v>
      </c>
      <c r="J72" s="85">
        <f>SUMIFS('船长每月数据(2022年)'!$R:$R,'船长每月数据(2022年)'!$F:$F,$J$2,'船长每月数据(2022年)'!$E:$E,$C:$C)</f>
        <v>0</v>
      </c>
      <c r="K72" s="20">
        <f>SUMIFS('船长每月数据(2022年)'!$P:$P,'船长每月数据(2022年)'!$F:$F,$K$2,'船长每月数据(2022年)'!$E:$E,$C:$C)</f>
        <v>0</v>
      </c>
      <c r="L72" s="85">
        <f>SUMIFS('船长每月数据(2022年)'!$R:$R,'船长每月数据(2022年)'!$F:$F,$L$2,'船长每月数据(2022年)'!$E:$E,$C:$C)</f>
        <v>0</v>
      </c>
      <c r="M72" s="20">
        <f>SUMIFS('船长每月数据(2022年)'!$P:$P,'船长每月数据(2022年)'!$F:$F,$M$2,'船长每月数据(2022年)'!$E:$E,$C:$C)</f>
        <v>0</v>
      </c>
      <c r="N72" s="85">
        <f>SUMIFS('船长每月数据(2022年)'!$R:$R,'船长每月数据(2022年)'!$F:$F,$N$2,'船长每月数据(2022年)'!$E:$E,$C:$C)</f>
        <v>0</v>
      </c>
      <c r="O72" s="20">
        <f>SUMIFS('船长每月数据(2022年)'!$P:$P,'船长每月数据(2022年)'!$F:$F,$O$2,'船长每月数据(2022年)'!$E:$E,$C:$C)</f>
        <v>0</v>
      </c>
      <c r="P72" s="85">
        <f>SUMIFS('船长每月数据(2022年)'!$R:$R,'船长每月数据(2022年)'!$F:$F,$P$2,'船长每月数据(2022年)'!$E:$E,$C:$C)</f>
        <v>0</v>
      </c>
      <c r="Q72" s="20">
        <f>SUMIFS('船长每月数据(2022年)'!$P:$P,'船长每月数据(2022年)'!$F:$F,$Q$2,'船长每月数据(2022年)'!$E:$E,$C:$C)</f>
        <v>0</v>
      </c>
      <c r="R72" s="85">
        <f>SUMIFS('船长每月数据(2022年)'!$R:$R,'船长每月数据(2022年)'!$F:$F,$R$2,'船长每月数据(2022年)'!$E:$E,$C:$C)</f>
        <v>0</v>
      </c>
      <c r="S72" s="20">
        <f>SUMIFS('船长每月数据(2022年)'!$P:$P,'船长每月数据(2022年)'!$F:$F,$S$2,'船长每月数据(2022年)'!$E:$E,$C:$C)</f>
        <v>0</v>
      </c>
      <c r="T72" s="85">
        <f>SUMIFS('船长每月数据(2022年)'!$R:$R,'船长每月数据(2022年)'!$F:$F,$T$2,'船长每月数据(2022年)'!$E:$E,$C:$C)</f>
        <v>0</v>
      </c>
      <c r="U72" s="20">
        <f>SUMIFS('船长每月数据(2022年)'!$P:$P,'船长每月数据(2022年)'!$F:$F,$U$2,'船长每月数据(2022年)'!$E:$E,$C:$C)</f>
        <v>0</v>
      </c>
      <c r="V72" s="85">
        <f>SUMIFS('船长每月数据(2022年)'!$R:$R,'船长每月数据(2022年)'!$F:$F,$V$2,'船长每月数据(2022年)'!$E:$E,$C:$C)</f>
        <v>0</v>
      </c>
      <c r="W72" s="20">
        <f>SUMIFS('船长每月数据(2022年)'!$P:$P,'船长每月数据(2022年)'!$F:$F,$W$2,'船长每月数据(2022年)'!$E:$E,$C:$C)</f>
        <v>0</v>
      </c>
      <c r="X72" s="85">
        <f>SUMIFS('船长每月数据(2022年)'!$R:$R,'船长每月数据(2022年)'!$F:$F,$X$2,'船长每月数据(2022年)'!$E:$E,$C:$C)</f>
        <v>0</v>
      </c>
      <c r="Y72" s="20">
        <f>SUMIFS('船长每月数据(2022年)'!$P:$P,'船长每月数据(2022年)'!$F:$F,$Y$2,'船长每月数据(2022年)'!$E:$E,$C:$C)</f>
        <v>0</v>
      </c>
      <c r="Z72" s="85">
        <f>SUMIFS('船长每月数据(2022年)'!$R:$R,'船长每月数据(2022年)'!$F:$F,$Z$2,'船长每月数据(2022年)'!$E:$E,$C:$C)</f>
        <v>0</v>
      </c>
      <c r="AA72" s="20">
        <f>SUMIFS('船长每月数据(2022年)'!$P:$P,'船长每月数据(2022年)'!$F:$F,$AA$2,'船长每月数据(2022年)'!$E:$E,$C:$C)</f>
        <v>0</v>
      </c>
      <c r="AB72" s="85">
        <f>SUMIFS('船长每月数据(2022年)'!$R:$R,'船长每月数据(2022年)'!$F:$F,$AB$2,'船长每月数据(2022年)'!$E:$E,$C:$C)</f>
        <v>0</v>
      </c>
      <c r="AC72" s="20">
        <f>SUMIFS('船长每月数据(2023年)'!P:P,'船长每月数据(2023年)'!F:F,$AC$2,'船长每月数据(2023年)'!E:E,C:C)</f>
        <v>0</v>
      </c>
      <c r="AD72" s="21">
        <f>IFERROR(AC72/SUMIF('船长每月数据(2023年)'!$E:$E,C:C,'船长每月数据(2023年)'!P:P),0)</f>
        <v>0</v>
      </c>
      <c r="AE72" s="38">
        <f>SUMIFS('船长每月数据(2023年)'!$R:$R,'船长每月数据(2023年)'!$F:$F,$AE$2,'船长每月数据(2023年)'!$E:$E,$C:$C)</f>
        <v>0</v>
      </c>
      <c r="AF72" s="21">
        <f>IFERROR(AE72/SUMIF('船长每月数据(2023年)'!E:E,C:C,'船长每月数据(2023年)'!R:R),0)</f>
        <v>0</v>
      </c>
      <c r="AG72" s="20">
        <f>SUMIFS('船长每月数据(2023年)'!P:P,'船长每月数据(2023年)'!F:F,$AG$2,'船长每月数据(2023年)'!E:E,C:C)</f>
        <v>0</v>
      </c>
      <c r="AH72" s="21">
        <f>IFERROR(AG72/SUMIF('船长每月数据(2023年)'!$E:$E,$C:$C,'船长每月数据(2023年)'!$P:$P),0)</f>
        <v>0</v>
      </c>
      <c r="AI72" s="38">
        <f>SUMIFS('船长每月数据(2023年)'!$R:$R,'船长每月数据(2023年)'!$F:$F,$AI$2,'船长每月数据(2023年)'!$E:$E,$C:$C)</f>
        <v>0</v>
      </c>
      <c r="AJ72" s="21">
        <f>IFERROR(AI72/SUMIF('船长每月数据(2023年)'!$E:$E,$C:$C,'船长每月数据(2023年)'!$R:$R),0)</f>
        <v>0</v>
      </c>
      <c r="AK72" s="20">
        <f>SUMIFS('船长每月数据(2023年)'!P:P,'船长每月数据(2023年)'!F:F,$AK$2,'船长每月数据(2023年)'!E:E,C:C)</f>
        <v>0</v>
      </c>
      <c r="AL72" s="21">
        <f>IFERROR(AK72/SUMIF('船长每月数据(2023年)'!$E:$E,$C:$C,'船长每月数据(2023年)'!$P:$P),0)</f>
        <v>0</v>
      </c>
      <c r="AM72" s="38">
        <f>SUMIFS('船长每月数据(2023年)'!$R:$R,'船长每月数据(2023年)'!$F:$F,$AM$2,'船长每月数据(2023年)'!$E:$E,$C:$C)</f>
        <v>0</v>
      </c>
      <c r="AN72" s="21">
        <f>IFERROR(AM72/SUMIF('船长每月数据(2023年)'!$E:$E,$C:$C,'船长每月数据(2023年)'!$R:$R),0)</f>
        <v>0</v>
      </c>
      <c r="AO72" s="20">
        <f>SUMIFS('船长每月数据(2023年)'!P:P,'船长每月数据(2023年)'!F:F,$AO$2,'船长每月数据(2023年)'!E:E,C:C)</f>
        <v>0</v>
      </c>
      <c r="AP72" s="21">
        <f>IFERROR(AO72/SUMIF('船长每月数据(2023年)'!$E:$E,$C:$C,'船长每月数据(2023年)'!$P:$P),0)</f>
        <v>0</v>
      </c>
      <c r="AQ72" s="38">
        <f>SUMIFS('船长每月数据(2023年)'!$R:$R,'船长每月数据(2023年)'!$F:$F,$AQ$2,'船长每月数据(2023年)'!$E:$E,$C:$C)</f>
        <v>0</v>
      </c>
      <c r="AR72" s="21">
        <f>IFERROR(AQ72/SUMIF('船长每月数据(2023年)'!$E:$E,$C:$C,'船长每月数据(2023年)'!$R:$R),0)</f>
        <v>0</v>
      </c>
      <c r="AS72" s="20">
        <f>SUMIFS('船长每月数据(2023年)'!$P:$P,'船长每月数据(2023年)'!$F:$F,$AS$2,'船长每月数据(2023年)'!$E:$E,$C:$C)</f>
        <v>0</v>
      </c>
      <c r="AT72" s="21">
        <f>IFERROR(AS72/SUMIF('船长每月数据(2023年)'!$E:$E,$C:$C,'船长每月数据(2023年)'!$P:$P),0)</f>
        <v>0</v>
      </c>
      <c r="AU72" s="38">
        <f>SUMIFS('船长每月数据(2023年)'!$R:$R,'船长每月数据(2023年)'!$F:$F,$AU$2,'船长每月数据(2023年)'!$E:$E,$C:$C)</f>
        <v>0</v>
      </c>
      <c r="AV72" s="21">
        <f>IFERROR(AU72/SUMIF('船长每月数据(2023年)'!$E:$E,$C:$C,'船长每月数据(2023年)'!$R:$R),0)</f>
        <v>0</v>
      </c>
      <c r="AW72" s="20">
        <f>SUMIFS('船长每月数据(2023年)'!$P:$P,'船长每月数据(2023年)'!$F:$F,$AW$2,'船长每月数据(2023年)'!$E:$E,$C:$C)</f>
        <v>0</v>
      </c>
      <c r="AX72" s="21">
        <f>IFERROR(AW72/SUMIF('船长每月数据(2023年)'!$E:$E,$C:$C,'船长每月数据(2023年)'!$P:$P),0)</f>
        <v>0</v>
      </c>
      <c r="AY72" s="38">
        <f>SUMIFS('船长每月数据(2023年)'!$R:$R,'船长每月数据(2023年)'!$F:$F,$AY$2,'船长每月数据(2023年)'!$E:$E,$C:$C)</f>
        <v>0</v>
      </c>
      <c r="AZ72" s="21">
        <f>IFERROR(AY72/SUMIF('船长每月数据(2023年)'!$E:$E,$C:$C,'船长每月数据(2023年)'!$R:$R),0)</f>
        <v>0</v>
      </c>
      <c r="BA72" s="20">
        <f>SUMIFS('船长每月数据(2023年)'!$P:$P,'船长每月数据(2023年)'!$F:$F,$BA$2,'船长每月数据(2023年)'!$E:$E,$C:$C)</f>
        <v>0</v>
      </c>
      <c r="BB72" s="21">
        <f>IFERROR(BA72/SUMIF('船长每月数据(2023年)'!$E:$E,$C:$C,'船长每月数据(2023年)'!$P:$P),0)</f>
        <v>0</v>
      </c>
      <c r="BC72" s="38">
        <f>SUMIFS('船长每月数据(2023年)'!$R:$R,'船长每月数据(2023年)'!$F:$F,$BC$2,'船长每月数据(2023年)'!$E:$E,$C:$C)</f>
        <v>0</v>
      </c>
      <c r="BD72" s="21">
        <f>IFERROR(BC72/SUMIF('船长每月数据(2023年)'!$E:$E,$C:$C,'船长每月数据(2023年)'!$R:$R),0)</f>
        <v>0</v>
      </c>
      <c r="BE72" s="20">
        <f>SUMIFS('船长每月数据(2023年)'!$P:$P,'船长每月数据(2023年)'!$F:$F,$BE$2,'船长每月数据(2023年)'!$E:$E,$C:$C)</f>
        <v>0</v>
      </c>
      <c r="BF72" s="21">
        <f>IFERROR(BE72/SUMIF('船长每月数据(2023年)'!$E:$E,$C:$C,'船长每月数据(2023年)'!$P:$P),0)</f>
        <v>0</v>
      </c>
      <c r="BG72" s="38">
        <f>SUMIFS('船长每月数据(2023年)'!$R:$R,'船长每月数据(2023年)'!$F:$F,$BG$2,'船长每月数据(2023年)'!$E:$E,$C:$C)</f>
        <v>0</v>
      </c>
      <c r="BH72" s="21">
        <f>IFERROR(BG72/SUMIF('船长每月数据(2023年)'!$E:$E,$C:$C,'船长每月数据(2023年)'!$R:$R),0)</f>
        <v>0</v>
      </c>
      <c r="BI72" s="20">
        <f>SUMIFS('船长每月数据(2023年)'!$P:$P,'船长每月数据(2023年)'!$F:$F,$BI$2,'船长每月数据(2023年)'!$E:$E,$C:$C)</f>
        <v>0</v>
      </c>
      <c r="BJ72" s="21">
        <f>IFERROR(BI72/SUMIF('船长每月数据(2023年)'!$E:$E,$C:$C,'船长每月数据(2023年)'!$P:$P),0)</f>
        <v>0</v>
      </c>
      <c r="BK72" s="38">
        <f>SUMIFS('船长每月数据(2023年)'!$R:$R,'船长每月数据(2023年)'!$F:$F,$BK$2,'船长每月数据(2023年)'!$E:$E,$C:$C)</f>
        <v>0</v>
      </c>
      <c r="BL72" s="21">
        <f>IFERROR(BK72/SUMIF('船长每月数据(2023年)'!$E:$E,$C:$C,'船长每月数据(2023年)'!$R:$R),0)</f>
        <v>0</v>
      </c>
      <c r="BM72" s="20">
        <f>SUMIFS('船长每月数据(2023年)'!$P:$P,'船长每月数据(2023年)'!$F:$F,$BM$2,'船长每月数据(2023年)'!$E:$E,$C:$C)</f>
        <v>0</v>
      </c>
      <c r="BN72" s="21">
        <f>IFERROR(BM72/SUMIF('船长每月数据(2023年)'!$E:$E,$C:$C,'船长每月数据(2023年)'!$P:$P),0)</f>
        <v>0</v>
      </c>
      <c r="BO72" s="38">
        <f>SUMIFS('船长每月数据(2023年)'!$R:$R,'船长每月数据(2023年)'!$F:$F,$BO$2,'船长每月数据(2023年)'!$E:$E,$C:$C)</f>
        <v>0</v>
      </c>
      <c r="BP72" s="21">
        <f>IFERROR(BO72/SUMIF('船长每月数据(2023年)'!$E:$E,$C:$C,'船长每月数据(2023年)'!$R:$R),0)</f>
        <v>0</v>
      </c>
      <c r="BQ72" s="20">
        <f>SUMIFS('船长每月数据(2023年)'!$P:$P,'船长每月数据(2023年)'!$F:$F,$BQ$2,'船长每月数据(2023年)'!$E:$E,$C:$C)</f>
        <v>0</v>
      </c>
      <c r="BR72" s="21">
        <f>IFERROR(BQ72/SUMIF('船长每月数据(2023年)'!$E:$E,$C:$C,'船长每月数据(2023年)'!$P:$P),0)</f>
        <v>0</v>
      </c>
      <c r="BS72" s="38">
        <f>SUMIFS('船长每月数据(2023年)'!$R:$R,'船长每月数据(2023年)'!$F:$F,$BS$2,'船长每月数据(2023年)'!$E:$E,$C:$C)</f>
        <v>0</v>
      </c>
      <c r="BT72" s="21">
        <f>IFERROR(BS72/SUMIF('船长每月数据(2023年)'!$E:$E,$C:$C,'船长每月数据(2023年)'!$R:$R),0)</f>
        <v>0</v>
      </c>
      <c r="BU72" s="20">
        <f>SUMIFS('船长每月数据(2023年)'!$P:$P,'船长每月数据(2023年)'!$F:$F,$BU$2,'船长每月数据(2023年)'!$E:$E,$C:$C)</f>
        <v>0</v>
      </c>
      <c r="BV72" s="21">
        <f>IFERROR(BU72/SUMIF('船长每月数据(2023年)'!$E:$E,$C:$C,'船长每月数据(2023年)'!$P:$P),0)</f>
        <v>0</v>
      </c>
      <c r="BW72" s="38">
        <f>SUMIFS('船长每月数据(2023年)'!$R:$R,'船长每月数据(2023年)'!$F:$F,$BW$2,'船长每月数据(2023年)'!$E:$E,$C:$C)</f>
        <v>0</v>
      </c>
      <c r="BX72" s="21">
        <f>IFERROR(BW72/SUMIF('船长每月数据(2023年)'!$E:$E,$C:$C,'船长每月数据(2023年)'!$R:$R),0)</f>
        <v>0</v>
      </c>
    </row>
    <row r="73" ht="23" customHeight="1" spans="1:76">
      <c r="A73" s="36"/>
      <c r="B73" s="36"/>
      <c r="C73" s="20"/>
      <c r="D73" s="74"/>
      <c r="E73" s="20">
        <f>SUMIFS('船长每月数据(2022年)'!$P:$P,'船长每月数据(2022年)'!$F:$F,$E$2,'船长每月数据(2022年)'!E:E,C:C)</f>
        <v>0</v>
      </c>
      <c r="F73" s="85">
        <f>SUMIFS('船长每月数据(2022年)'!$R:$R,'船长每月数据(2022年)'!$F:$F,$F$2,'船长每月数据(2022年)'!E:E,C:C)</f>
        <v>0</v>
      </c>
      <c r="G73" s="20">
        <f>SUMIFS('船长每月数据(2022年)'!$P:$P,'船长每月数据(2022年)'!$F:$F,$G$2,'船长每月数据(2022年)'!$E:$E,$C:$C)</f>
        <v>0</v>
      </c>
      <c r="H73" s="85">
        <f>SUMIFS('船长每月数据(2022年)'!$R:$R,'船长每月数据(2022年)'!$F:$F,$H$2,'船长每月数据(2022年)'!$E:$E,$C:$C)</f>
        <v>0</v>
      </c>
      <c r="I73" s="20">
        <f>SUMIFS('船长每月数据(2022年)'!$P:$P,'船长每月数据(2022年)'!$F:$F,$I$2,'船长每月数据(2022年)'!$E:$E,$C:$C)</f>
        <v>0</v>
      </c>
      <c r="J73" s="85">
        <f>SUMIFS('船长每月数据(2022年)'!$R:$R,'船长每月数据(2022年)'!$F:$F,$J$2,'船长每月数据(2022年)'!$E:$E,$C:$C)</f>
        <v>0</v>
      </c>
      <c r="K73" s="20">
        <f>SUMIFS('船长每月数据(2022年)'!$P:$P,'船长每月数据(2022年)'!$F:$F,$K$2,'船长每月数据(2022年)'!$E:$E,$C:$C)</f>
        <v>0</v>
      </c>
      <c r="L73" s="85">
        <f>SUMIFS('船长每月数据(2022年)'!$R:$R,'船长每月数据(2022年)'!$F:$F,$L$2,'船长每月数据(2022年)'!$E:$E,$C:$C)</f>
        <v>0</v>
      </c>
      <c r="M73" s="20">
        <f>SUMIFS('船长每月数据(2022年)'!$P:$P,'船长每月数据(2022年)'!$F:$F,$M$2,'船长每月数据(2022年)'!$E:$E,$C:$C)</f>
        <v>0</v>
      </c>
      <c r="N73" s="85">
        <f>SUMIFS('船长每月数据(2022年)'!$R:$R,'船长每月数据(2022年)'!$F:$F,$N$2,'船长每月数据(2022年)'!$E:$E,$C:$C)</f>
        <v>0</v>
      </c>
      <c r="O73" s="20">
        <f>SUMIFS('船长每月数据(2022年)'!$P:$P,'船长每月数据(2022年)'!$F:$F,$O$2,'船长每月数据(2022年)'!$E:$E,$C:$C)</f>
        <v>0</v>
      </c>
      <c r="P73" s="85">
        <f>SUMIFS('船长每月数据(2022年)'!$R:$R,'船长每月数据(2022年)'!$F:$F,$P$2,'船长每月数据(2022年)'!$E:$E,$C:$C)</f>
        <v>0</v>
      </c>
      <c r="Q73" s="20">
        <f>SUMIFS('船长每月数据(2022年)'!$P:$P,'船长每月数据(2022年)'!$F:$F,$Q$2,'船长每月数据(2022年)'!$E:$E,$C:$C)</f>
        <v>0</v>
      </c>
      <c r="R73" s="85">
        <f>SUMIFS('船长每月数据(2022年)'!$R:$R,'船长每月数据(2022年)'!$F:$F,$R$2,'船长每月数据(2022年)'!$E:$E,$C:$C)</f>
        <v>0</v>
      </c>
      <c r="S73" s="20">
        <f>SUMIFS('船长每月数据(2022年)'!$P:$P,'船长每月数据(2022年)'!$F:$F,$S$2,'船长每月数据(2022年)'!$E:$E,$C:$C)</f>
        <v>0</v>
      </c>
      <c r="T73" s="85">
        <f>SUMIFS('船长每月数据(2022年)'!$R:$R,'船长每月数据(2022年)'!$F:$F,$T$2,'船长每月数据(2022年)'!$E:$E,$C:$C)</f>
        <v>0</v>
      </c>
      <c r="U73" s="20">
        <f>SUMIFS('船长每月数据(2022年)'!$P:$P,'船长每月数据(2022年)'!$F:$F,$U$2,'船长每月数据(2022年)'!$E:$E,$C:$C)</f>
        <v>0</v>
      </c>
      <c r="V73" s="85">
        <f>SUMIFS('船长每月数据(2022年)'!$R:$R,'船长每月数据(2022年)'!$F:$F,$V$2,'船长每月数据(2022年)'!$E:$E,$C:$C)</f>
        <v>0</v>
      </c>
      <c r="W73" s="20">
        <f>SUMIFS('船长每月数据(2022年)'!$P:$P,'船长每月数据(2022年)'!$F:$F,$W$2,'船长每月数据(2022年)'!$E:$E,$C:$C)</f>
        <v>0</v>
      </c>
      <c r="X73" s="85">
        <f>SUMIFS('船长每月数据(2022年)'!$R:$R,'船长每月数据(2022年)'!$F:$F,$X$2,'船长每月数据(2022年)'!$E:$E,$C:$C)</f>
        <v>0</v>
      </c>
      <c r="Y73" s="20">
        <f>SUMIFS('船长每月数据(2022年)'!$P:$P,'船长每月数据(2022年)'!$F:$F,$Y$2,'船长每月数据(2022年)'!$E:$E,$C:$C)</f>
        <v>0</v>
      </c>
      <c r="Z73" s="85">
        <f>SUMIFS('船长每月数据(2022年)'!$R:$R,'船长每月数据(2022年)'!$F:$F,$Z$2,'船长每月数据(2022年)'!$E:$E,$C:$C)</f>
        <v>0</v>
      </c>
      <c r="AA73" s="20">
        <f>SUMIFS('船长每月数据(2022年)'!$P:$P,'船长每月数据(2022年)'!$F:$F,$AA$2,'船长每月数据(2022年)'!$E:$E,$C:$C)</f>
        <v>0</v>
      </c>
      <c r="AB73" s="85">
        <f>SUMIFS('船长每月数据(2022年)'!$R:$R,'船长每月数据(2022年)'!$F:$F,$AB$2,'船长每月数据(2022年)'!$E:$E,$C:$C)</f>
        <v>0</v>
      </c>
      <c r="AC73" s="20">
        <f>SUMIFS('船长每月数据(2023年)'!P:P,'船长每月数据(2023年)'!F:F,$AC$2,'船长每月数据(2023年)'!E:E,C:C)</f>
        <v>0</v>
      </c>
      <c r="AD73" s="21">
        <f>IFERROR(AC73/SUMIF('船长每月数据(2023年)'!$E:$E,C:C,'船长每月数据(2023年)'!P:P),0)</f>
        <v>0</v>
      </c>
      <c r="AE73" s="38">
        <f>SUMIFS('船长每月数据(2023年)'!$R:$R,'船长每月数据(2023年)'!$F:$F,$AE$2,'船长每月数据(2023年)'!$E:$E,$C:$C)</f>
        <v>0</v>
      </c>
      <c r="AF73" s="21">
        <f>IFERROR(AE73/SUMIF('船长每月数据(2023年)'!E:E,C:C,'船长每月数据(2023年)'!R:R),0)</f>
        <v>0</v>
      </c>
      <c r="AG73" s="20">
        <f>SUMIFS('船长每月数据(2023年)'!P:P,'船长每月数据(2023年)'!F:F,$AG$2,'船长每月数据(2023年)'!E:E,C:C)</f>
        <v>0</v>
      </c>
      <c r="AH73" s="21">
        <f>IFERROR(AG73/SUMIF('船长每月数据(2023年)'!$E:$E,$C:$C,'船长每月数据(2023年)'!$P:$P),0)</f>
        <v>0</v>
      </c>
      <c r="AI73" s="38">
        <f>SUMIFS('船长每月数据(2023年)'!$R:$R,'船长每月数据(2023年)'!$F:$F,$AI$2,'船长每月数据(2023年)'!$E:$E,$C:$C)</f>
        <v>0</v>
      </c>
      <c r="AJ73" s="21">
        <f>IFERROR(AI73/SUMIF('船长每月数据(2023年)'!$E:$E,$C:$C,'船长每月数据(2023年)'!$R:$R),0)</f>
        <v>0</v>
      </c>
      <c r="AK73" s="20">
        <f>SUMIFS('船长每月数据(2023年)'!P:P,'船长每月数据(2023年)'!F:F,$AK$2,'船长每月数据(2023年)'!E:E,C:C)</f>
        <v>0</v>
      </c>
      <c r="AL73" s="21">
        <f>IFERROR(AK73/SUMIF('船长每月数据(2023年)'!$E:$E,$C:$C,'船长每月数据(2023年)'!$P:$P),0)</f>
        <v>0</v>
      </c>
      <c r="AM73" s="38">
        <f>SUMIFS('船长每月数据(2023年)'!$R:$R,'船长每月数据(2023年)'!$F:$F,$AM$2,'船长每月数据(2023年)'!$E:$E,$C:$C)</f>
        <v>0</v>
      </c>
      <c r="AN73" s="21">
        <f>IFERROR(AM73/SUMIF('船长每月数据(2023年)'!$E:$E,$C:$C,'船长每月数据(2023年)'!$R:$R),0)</f>
        <v>0</v>
      </c>
      <c r="AO73" s="20">
        <f>SUMIFS('船长每月数据(2023年)'!P:P,'船长每月数据(2023年)'!F:F,$AO$2,'船长每月数据(2023年)'!E:E,C:C)</f>
        <v>0</v>
      </c>
      <c r="AP73" s="21">
        <f>IFERROR(AO73/SUMIF('船长每月数据(2023年)'!$E:$E,$C:$C,'船长每月数据(2023年)'!$P:$P),0)</f>
        <v>0</v>
      </c>
      <c r="AQ73" s="38">
        <f>SUMIFS('船长每月数据(2023年)'!$R:$R,'船长每月数据(2023年)'!$F:$F,$AQ$2,'船长每月数据(2023年)'!$E:$E,$C:$C)</f>
        <v>0</v>
      </c>
      <c r="AR73" s="21">
        <f>IFERROR(AQ73/SUMIF('船长每月数据(2023年)'!$E:$E,$C:$C,'船长每月数据(2023年)'!$R:$R),0)</f>
        <v>0</v>
      </c>
      <c r="AS73" s="20">
        <f>SUMIFS('船长每月数据(2023年)'!$P:$P,'船长每月数据(2023年)'!$F:$F,$AS$2,'船长每月数据(2023年)'!$E:$E,$C:$C)</f>
        <v>0</v>
      </c>
      <c r="AT73" s="21">
        <f>IFERROR(AS73/SUMIF('船长每月数据(2023年)'!$E:$E,$C:$C,'船长每月数据(2023年)'!$P:$P),0)</f>
        <v>0</v>
      </c>
      <c r="AU73" s="38">
        <f>SUMIFS('船长每月数据(2023年)'!$R:$R,'船长每月数据(2023年)'!$F:$F,$AU$2,'船长每月数据(2023年)'!$E:$E,$C:$C)</f>
        <v>0</v>
      </c>
      <c r="AV73" s="21">
        <f>IFERROR(AU73/SUMIF('船长每月数据(2023年)'!$E:$E,$C:$C,'船长每月数据(2023年)'!$R:$R),0)</f>
        <v>0</v>
      </c>
      <c r="AW73" s="20">
        <f>SUMIFS('船长每月数据(2023年)'!$P:$P,'船长每月数据(2023年)'!$F:$F,$AW$2,'船长每月数据(2023年)'!$E:$E,$C:$C)</f>
        <v>0</v>
      </c>
      <c r="AX73" s="21">
        <f>IFERROR(AW73/SUMIF('船长每月数据(2023年)'!$E:$E,$C:$C,'船长每月数据(2023年)'!$P:$P),0)</f>
        <v>0</v>
      </c>
      <c r="AY73" s="38">
        <f>SUMIFS('船长每月数据(2023年)'!$R:$R,'船长每月数据(2023年)'!$F:$F,$AY$2,'船长每月数据(2023年)'!$E:$E,$C:$C)</f>
        <v>0</v>
      </c>
      <c r="AZ73" s="21">
        <f>IFERROR(AY73/SUMIF('船长每月数据(2023年)'!$E:$E,$C:$C,'船长每月数据(2023年)'!$R:$R),0)</f>
        <v>0</v>
      </c>
      <c r="BA73" s="20">
        <f>SUMIFS('船长每月数据(2023年)'!$P:$P,'船长每月数据(2023年)'!$F:$F,$BA$2,'船长每月数据(2023年)'!$E:$E,$C:$C)</f>
        <v>0</v>
      </c>
      <c r="BB73" s="21">
        <f>IFERROR(BA73/SUMIF('船长每月数据(2023年)'!$E:$E,$C:$C,'船长每月数据(2023年)'!$P:$P),0)</f>
        <v>0</v>
      </c>
      <c r="BC73" s="38">
        <f>SUMIFS('船长每月数据(2023年)'!$R:$R,'船长每月数据(2023年)'!$F:$F,$BC$2,'船长每月数据(2023年)'!$E:$E,$C:$C)</f>
        <v>0</v>
      </c>
      <c r="BD73" s="21">
        <f>IFERROR(BC73/SUMIF('船长每月数据(2023年)'!$E:$E,$C:$C,'船长每月数据(2023年)'!$R:$R),0)</f>
        <v>0</v>
      </c>
      <c r="BE73" s="20">
        <f>SUMIFS('船长每月数据(2023年)'!$P:$P,'船长每月数据(2023年)'!$F:$F,$BE$2,'船长每月数据(2023年)'!$E:$E,$C:$C)</f>
        <v>0</v>
      </c>
      <c r="BF73" s="21">
        <f>IFERROR(BE73/SUMIF('船长每月数据(2023年)'!$E:$E,$C:$C,'船长每月数据(2023年)'!$P:$P),0)</f>
        <v>0</v>
      </c>
      <c r="BG73" s="38">
        <f>SUMIFS('船长每月数据(2023年)'!$R:$R,'船长每月数据(2023年)'!$F:$F,$BG$2,'船长每月数据(2023年)'!$E:$E,$C:$C)</f>
        <v>0</v>
      </c>
      <c r="BH73" s="21">
        <f>IFERROR(BG73/SUMIF('船长每月数据(2023年)'!$E:$E,$C:$C,'船长每月数据(2023年)'!$R:$R),0)</f>
        <v>0</v>
      </c>
      <c r="BI73" s="20">
        <f>SUMIFS('船长每月数据(2023年)'!$P:$P,'船长每月数据(2023年)'!$F:$F,$BI$2,'船长每月数据(2023年)'!$E:$E,$C:$C)</f>
        <v>0</v>
      </c>
      <c r="BJ73" s="21">
        <f>IFERROR(BI73/SUMIF('船长每月数据(2023年)'!$E:$E,$C:$C,'船长每月数据(2023年)'!$P:$P),0)</f>
        <v>0</v>
      </c>
      <c r="BK73" s="38">
        <f>SUMIFS('船长每月数据(2023年)'!$R:$R,'船长每月数据(2023年)'!$F:$F,$BK$2,'船长每月数据(2023年)'!$E:$E,$C:$C)</f>
        <v>0</v>
      </c>
      <c r="BL73" s="21">
        <f>IFERROR(BK73/SUMIF('船长每月数据(2023年)'!$E:$E,$C:$C,'船长每月数据(2023年)'!$R:$R),0)</f>
        <v>0</v>
      </c>
      <c r="BM73" s="20">
        <f>SUMIFS('船长每月数据(2023年)'!$P:$P,'船长每月数据(2023年)'!$F:$F,$BM$2,'船长每月数据(2023年)'!$E:$E,$C:$C)</f>
        <v>0</v>
      </c>
      <c r="BN73" s="21">
        <f>IFERROR(BM73/SUMIF('船长每月数据(2023年)'!$E:$E,$C:$C,'船长每月数据(2023年)'!$P:$P),0)</f>
        <v>0</v>
      </c>
      <c r="BO73" s="38">
        <f>SUMIFS('船长每月数据(2023年)'!$R:$R,'船长每月数据(2023年)'!$F:$F,$BO$2,'船长每月数据(2023年)'!$E:$E,$C:$C)</f>
        <v>0</v>
      </c>
      <c r="BP73" s="21">
        <f>IFERROR(BO73/SUMIF('船长每月数据(2023年)'!$E:$E,$C:$C,'船长每月数据(2023年)'!$R:$R),0)</f>
        <v>0</v>
      </c>
      <c r="BQ73" s="20">
        <f>SUMIFS('船长每月数据(2023年)'!$P:$P,'船长每月数据(2023年)'!$F:$F,$BQ$2,'船长每月数据(2023年)'!$E:$E,$C:$C)</f>
        <v>0</v>
      </c>
      <c r="BR73" s="21">
        <f>IFERROR(BQ73/SUMIF('船长每月数据(2023年)'!$E:$E,$C:$C,'船长每月数据(2023年)'!$P:$P),0)</f>
        <v>0</v>
      </c>
      <c r="BS73" s="38">
        <f>SUMIFS('船长每月数据(2023年)'!$R:$R,'船长每月数据(2023年)'!$F:$F,$BS$2,'船长每月数据(2023年)'!$E:$E,$C:$C)</f>
        <v>0</v>
      </c>
      <c r="BT73" s="21">
        <f>IFERROR(BS73/SUMIF('船长每月数据(2023年)'!$E:$E,$C:$C,'船长每月数据(2023年)'!$R:$R),0)</f>
        <v>0</v>
      </c>
      <c r="BU73" s="20">
        <f>SUMIFS('船长每月数据(2023年)'!$P:$P,'船长每月数据(2023年)'!$F:$F,$BU$2,'船长每月数据(2023年)'!$E:$E,$C:$C)</f>
        <v>0</v>
      </c>
      <c r="BV73" s="21">
        <f>IFERROR(BU73/SUMIF('船长每月数据(2023年)'!$E:$E,$C:$C,'船长每月数据(2023年)'!$P:$P),0)</f>
        <v>0</v>
      </c>
      <c r="BW73" s="38">
        <f>SUMIFS('船长每月数据(2023年)'!$R:$R,'船长每月数据(2023年)'!$F:$F,$BW$2,'船长每月数据(2023年)'!$E:$E,$C:$C)</f>
        <v>0</v>
      </c>
      <c r="BX73" s="21">
        <f>IFERROR(BW73/SUMIF('船长每月数据(2023年)'!$E:$E,$C:$C,'船长每月数据(2023年)'!$R:$R),0)</f>
        <v>0</v>
      </c>
    </row>
    <row r="74" ht="23" customHeight="1" spans="1:76">
      <c r="A74" s="36"/>
      <c r="B74" s="36"/>
      <c r="C74" s="20"/>
      <c r="D74" s="74"/>
      <c r="E74" s="20">
        <f>SUMIFS('船长每月数据(2022年)'!$P:$P,'船长每月数据(2022年)'!$F:$F,$E$2,'船长每月数据(2022年)'!E:E,C:C)</f>
        <v>0</v>
      </c>
      <c r="F74" s="85">
        <f>SUMIFS('船长每月数据(2022年)'!$R:$R,'船长每月数据(2022年)'!$F:$F,$F$2,'船长每月数据(2022年)'!E:E,C:C)</f>
        <v>0</v>
      </c>
      <c r="G74" s="20">
        <f>SUMIFS('船长每月数据(2022年)'!$P:$P,'船长每月数据(2022年)'!$F:$F,$G$2,'船长每月数据(2022年)'!$E:$E,$C:$C)</f>
        <v>0</v>
      </c>
      <c r="H74" s="85">
        <f>SUMIFS('船长每月数据(2022年)'!$R:$R,'船长每月数据(2022年)'!$F:$F,$H$2,'船长每月数据(2022年)'!$E:$E,$C:$C)</f>
        <v>0</v>
      </c>
      <c r="I74" s="20">
        <f>SUMIFS('船长每月数据(2022年)'!$P:$P,'船长每月数据(2022年)'!$F:$F,$I$2,'船长每月数据(2022年)'!$E:$E,$C:$C)</f>
        <v>0</v>
      </c>
      <c r="J74" s="85">
        <f>SUMIFS('船长每月数据(2022年)'!$R:$R,'船长每月数据(2022年)'!$F:$F,$J$2,'船长每月数据(2022年)'!$E:$E,$C:$C)</f>
        <v>0</v>
      </c>
      <c r="K74" s="20">
        <f>SUMIFS('船长每月数据(2022年)'!$P:$P,'船长每月数据(2022年)'!$F:$F,$K$2,'船长每月数据(2022年)'!$E:$E,$C:$C)</f>
        <v>0</v>
      </c>
      <c r="L74" s="85">
        <f>SUMIFS('船长每月数据(2022年)'!$R:$R,'船长每月数据(2022年)'!$F:$F,$L$2,'船长每月数据(2022年)'!$E:$E,$C:$C)</f>
        <v>0</v>
      </c>
      <c r="M74" s="20">
        <f>SUMIFS('船长每月数据(2022年)'!$P:$P,'船长每月数据(2022年)'!$F:$F,$M$2,'船长每月数据(2022年)'!$E:$E,$C:$C)</f>
        <v>0</v>
      </c>
      <c r="N74" s="85">
        <f>SUMIFS('船长每月数据(2022年)'!$R:$R,'船长每月数据(2022年)'!$F:$F,$N$2,'船长每月数据(2022年)'!$E:$E,$C:$C)</f>
        <v>0</v>
      </c>
      <c r="O74" s="20">
        <f>SUMIFS('船长每月数据(2022年)'!$P:$P,'船长每月数据(2022年)'!$F:$F,$O$2,'船长每月数据(2022年)'!$E:$E,$C:$C)</f>
        <v>0</v>
      </c>
      <c r="P74" s="85">
        <f>SUMIFS('船长每月数据(2022年)'!$R:$R,'船长每月数据(2022年)'!$F:$F,$P$2,'船长每月数据(2022年)'!$E:$E,$C:$C)</f>
        <v>0</v>
      </c>
      <c r="Q74" s="20">
        <f>SUMIFS('船长每月数据(2022年)'!$P:$P,'船长每月数据(2022年)'!$F:$F,$Q$2,'船长每月数据(2022年)'!$E:$E,$C:$C)</f>
        <v>0</v>
      </c>
      <c r="R74" s="85">
        <f>SUMIFS('船长每月数据(2022年)'!$R:$R,'船长每月数据(2022年)'!$F:$F,$R$2,'船长每月数据(2022年)'!$E:$E,$C:$C)</f>
        <v>0</v>
      </c>
      <c r="S74" s="20">
        <f>SUMIFS('船长每月数据(2022年)'!$P:$P,'船长每月数据(2022年)'!$F:$F,$S$2,'船长每月数据(2022年)'!$E:$E,$C:$C)</f>
        <v>0</v>
      </c>
      <c r="T74" s="85">
        <f>SUMIFS('船长每月数据(2022年)'!$R:$R,'船长每月数据(2022年)'!$F:$F,$T$2,'船长每月数据(2022年)'!$E:$E,$C:$C)</f>
        <v>0</v>
      </c>
      <c r="U74" s="20">
        <f>SUMIFS('船长每月数据(2022年)'!$P:$P,'船长每月数据(2022年)'!$F:$F,$U$2,'船长每月数据(2022年)'!$E:$E,$C:$C)</f>
        <v>0</v>
      </c>
      <c r="V74" s="85">
        <f>SUMIFS('船长每月数据(2022年)'!$R:$R,'船长每月数据(2022年)'!$F:$F,$V$2,'船长每月数据(2022年)'!$E:$E,$C:$C)</f>
        <v>0</v>
      </c>
      <c r="W74" s="20">
        <f>SUMIFS('船长每月数据(2022年)'!$P:$P,'船长每月数据(2022年)'!$F:$F,$W$2,'船长每月数据(2022年)'!$E:$E,$C:$C)</f>
        <v>0</v>
      </c>
      <c r="X74" s="85">
        <f>SUMIFS('船长每月数据(2022年)'!$R:$R,'船长每月数据(2022年)'!$F:$F,$X$2,'船长每月数据(2022年)'!$E:$E,$C:$C)</f>
        <v>0</v>
      </c>
      <c r="Y74" s="20">
        <f>SUMIFS('船长每月数据(2022年)'!$P:$P,'船长每月数据(2022年)'!$F:$F,$Y$2,'船长每月数据(2022年)'!$E:$E,$C:$C)</f>
        <v>0</v>
      </c>
      <c r="Z74" s="85">
        <f>SUMIFS('船长每月数据(2022年)'!$R:$R,'船长每月数据(2022年)'!$F:$F,$Z$2,'船长每月数据(2022年)'!$E:$E,$C:$C)</f>
        <v>0</v>
      </c>
      <c r="AA74" s="20">
        <f>SUMIFS('船长每月数据(2022年)'!$P:$P,'船长每月数据(2022年)'!$F:$F,$AA$2,'船长每月数据(2022年)'!$E:$E,$C:$C)</f>
        <v>0</v>
      </c>
      <c r="AB74" s="85">
        <f>SUMIFS('船长每月数据(2022年)'!$R:$R,'船长每月数据(2022年)'!$F:$F,$AB$2,'船长每月数据(2022年)'!$E:$E,$C:$C)</f>
        <v>0</v>
      </c>
      <c r="AC74" s="20">
        <f>SUMIFS('船长每月数据(2023年)'!P:P,'船长每月数据(2023年)'!F:F,$AC$2,'船长每月数据(2023年)'!E:E,C:C)</f>
        <v>0</v>
      </c>
      <c r="AD74" s="21">
        <f>IFERROR(AC74/SUMIF('船长每月数据(2023年)'!$E:$E,C:C,'船长每月数据(2023年)'!P:P),0)</f>
        <v>0</v>
      </c>
      <c r="AE74" s="38">
        <f>SUMIFS('船长每月数据(2023年)'!$R:$R,'船长每月数据(2023年)'!$F:$F,$AE$2,'船长每月数据(2023年)'!$E:$E,$C:$C)</f>
        <v>0</v>
      </c>
      <c r="AF74" s="21">
        <f>IFERROR(AE74/SUMIF('船长每月数据(2023年)'!E:E,C:C,'船长每月数据(2023年)'!R:R),0)</f>
        <v>0</v>
      </c>
      <c r="AG74" s="20">
        <f>SUMIFS('船长每月数据(2023年)'!P:P,'船长每月数据(2023年)'!F:F,$AG$2,'船长每月数据(2023年)'!E:E,C:C)</f>
        <v>0</v>
      </c>
      <c r="AH74" s="21">
        <f>IFERROR(AG74/SUMIF('船长每月数据(2023年)'!$E:$E,$C:$C,'船长每月数据(2023年)'!$P:$P),0)</f>
        <v>0</v>
      </c>
      <c r="AI74" s="38">
        <f>SUMIFS('船长每月数据(2023年)'!$R:$R,'船长每月数据(2023年)'!$F:$F,$AI$2,'船长每月数据(2023年)'!$E:$E,$C:$C)</f>
        <v>0</v>
      </c>
      <c r="AJ74" s="21">
        <f>IFERROR(AI74/SUMIF('船长每月数据(2023年)'!$E:$E,$C:$C,'船长每月数据(2023年)'!$R:$R),0)</f>
        <v>0</v>
      </c>
      <c r="AK74" s="20">
        <f>SUMIFS('船长每月数据(2023年)'!P:P,'船长每月数据(2023年)'!F:F,$AK$2,'船长每月数据(2023年)'!E:E,C:C)</f>
        <v>0</v>
      </c>
      <c r="AL74" s="21">
        <f>IFERROR(AK74/SUMIF('船长每月数据(2023年)'!$E:$E,$C:$C,'船长每月数据(2023年)'!$P:$P),0)</f>
        <v>0</v>
      </c>
      <c r="AM74" s="38">
        <f>SUMIFS('船长每月数据(2023年)'!$R:$R,'船长每月数据(2023年)'!$F:$F,$AM$2,'船长每月数据(2023年)'!$E:$E,$C:$C)</f>
        <v>0</v>
      </c>
      <c r="AN74" s="21">
        <f>IFERROR(AM74/SUMIF('船长每月数据(2023年)'!$E:$E,$C:$C,'船长每月数据(2023年)'!$R:$R),0)</f>
        <v>0</v>
      </c>
      <c r="AO74" s="20">
        <f>SUMIFS('船长每月数据(2023年)'!P:P,'船长每月数据(2023年)'!F:F,$AO$2,'船长每月数据(2023年)'!E:E,C:C)</f>
        <v>0</v>
      </c>
      <c r="AP74" s="21">
        <f>IFERROR(AO74/SUMIF('船长每月数据(2023年)'!$E:$E,$C:$C,'船长每月数据(2023年)'!$P:$P),0)</f>
        <v>0</v>
      </c>
      <c r="AQ74" s="38">
        <f>SUMIFS('船长每月数据(2023年)'!$R:$R,'船长每月数据(2023年)'!$F:$F,$AQ$2,'船长每月数据(2023年)'!$E:$E,$C:$C)</f>
        <v>0</v>
      </c>
      <c r="AR74" s="21">
        <f>IFERROR(AQ74/SUMIF('船长每月数据(2023年)'!$E:$E,$C:$C,'船长每月数据(2023年)'!$R:$R),0)</f>
        <v>0</v>
      </c>
      <c r="AS74" s="20">
        <f>SUMIFS('船长每月数据(2023年)'!$P:$P,'船长每月数据(2023年)'!$F:$F,$AS$2,'船长每月数据(2023年)'!$E:$E,$C:$C)</f>
        <v>0</v>
      </c>
      <c r="AT74" s="21">
        <f>IFERROR(AS74/SUMIF('船长每月数据(2023年)'!$E:$E,$C:$C,'船长每月数据(2023年)'!$P:$P),0)</f>
        <v>0</v>
      </c>
      <c r="AU74" s="38">
        <f>SUMIFS('船长每月数据(2023年)'!$R:$R,'船长每月数据(2023年)'!$F:$F,$AU$2,'船长每月数据(2023年)'!$E:$E,$C:$C)</f>
        <v>0</v>
      </c>
      <c r="AV74" s="21">
        <f>IFERROR(AU74/SUMIF('船长每月数据(2023年)'!$E:$E,$C:$C,'船长每月数据(2023年)'!$R:$R),0)</f>
        <v>0</v>
      </c>
      <c r="AW74" s="20">
        <f>SUMIFS('船长每月数据(2023年)'!$P:$P,'船长每月数据(2023年)'!$F:$F,$AW$2,'船长每月数据(2023年)'!$E:$E,$C:$C)</f>
        <v>0</v>
      </c>
      <c r="AX74" s="21">
        <f>IFERROR(AW74/SUMIF('船长每月数据(2023年)'!$E:$E,$C:$C,'船长每月数据(2023年)'!$P:$P),0)</f>
        <v>0</v>
      </c>
      <c r="AY74" s="38">
        <f>SUMIFS('船长每月数据(2023年)'!$R:$R,'船长每月数据(2023年)'!$F:$F,$AY$2,'船长每月数据(2023年)'!$E:$E,$C:$C)</f>
        <v>0</v>
      </c>
      <c r="AZ74" s="21">
        <f>IFERROR(AY74/SUMIF('船长每月数据(2023年)'!$E:$E,$C:$C,'船长每月数据(2023年)'!$R:$R),0)</f>
        <v>0</v>
      </c>
      <c r="BA74" s="20">
        <f>SUMIFS('船长每月数据(2023年)'!$P:$P,'船长每月数据(2023年)'!$F:$F,$BA$2,'船长每月数据(2023年)'!$E:$E,$C:$C)</f>
        <v>0</v>
      </c>
      <c r="BB74" s="21">
        <f>IFERROR(BA74/SUMIF('船长每月数据(2023年)'!$E:$E,$C:$C,'船长每月数据(2023年)'!$P:$P),0)</f>
        <v>0</v>
      </c>
      <c r="BC74" s="38">
        <f>SUMIFS('船长每月数据(2023年)'!$R:$R,'船长每月数据(2023年)'!$F:$F,$BC$2,'船长每月数据(2023年)'!$E:$E,$C:$C)</f>
        <v>0</v>
      </c>
      <c r="BD74" s="21">
        <f>IFERROR(BC74/SUMIF('船长每月数据(2023年)'!$E:$E,$C:$C,'船长每月数据(2023年)'!$R:$R),0)</f>
        <v>0</v>
      </c>
      <c r="BE74" s="20">
        <f>SUMIFS('船长每月数据(2023年)'!$P:$P,'船长每月数据(2023年)'!$F:$F,$BE$2,'船长每月数据(2023年)'!$E:$E,$C:$C)</f>
        <v>0</v>
      </c>
      <c r="BF74" s="21">
        <f>IFERROR(BE74/SUMIF('船长每月数据(2023年)'!$E:$E,$C:$C,'船长每月数据(2023年)'!$P:$P),0)</f>
        <v>0</v>
      </c>
      <c r="BG74" s="38">
        <f>SUMIFS('船长每月数据(2023年)'!$R:$R,'船长每月数据(2023年)'!$F:$F,$BG$2,'船长每月数据(2023年)'!$E:$E,$C:$C)</f>
        <v>0</v>
      </c>
      <c r="BH74" s="21">
        <f>IFERROR(BG74/SUMIF('船长每月数据(2023年)'!$E:$E,$C:$C,'船长每月数据(2023年)'!$R:$R),0)</f>
        <v>0</v>
      </c>
      <c r="BI74" s="20">
        <f>SUMIFS('船长每月数据(2023年)'!$P:$P,'船长每月数据(2023年)'!$F:$F,$BI$2,'船长每月数据(2023年)'!$E:$E,$C:$C)</f>
        <v>0</v>
      </c>
      <c r="BJ74" s="21">
        <f>IFERROR(BI74/SUMIF('船长每月数据(2023年)'!$E:$E,$C:$C,'船长每月数据(2023年)'!$P:$P),0)</f>
        <v>0</v>
      </c>
      <c r="BK74" s="38">
        <f>SUMIFS('船长每月数据(2023年)'!$R:$R,'船长每月数据(2023年)'!$F:$F,$BK$2,'船长每月数据(2023年)'!$E:$E,$C:$C)</f>
        <v>0</v>
      </c>
      <c r="BL74" s="21">
        <f>IFERROR(BK74/SUMIF('船长每月数据(2023年)'!$E:$E,$C:$C,'船长每月数据(2023年)'!$R:$R),0)</f>
        <v>0</v>
      </c>
      <c r="BM74" s="20">
        <f>SUMIFS('船长每月数据(2023年)'!$P:$P,'船长每月数据(2023年)'!$F:$F,$BM$2,'船长每月数据(2023年)'!$E:$E,$C:$C)</f>
        <v>0</v>
      </c>
      <c r="BN74" s="21">
        <f>IFERROR(BM74/SUMIF('船长每月数据(2023年)'!$E:$E,$C:$C,'船长每月数据(2023年)'!$P:$P),0)</f>
        <v>0</v>
      </c>
      <c r="BO74" s="38">
        <f>SUMIFS('船长每月数据(2023年)'!$R:$R,'船长每月数据(2023年)'!$F:$F,$BO$2,'船长每月数据(2023年)'!$E:$E,$C:$C)</f>
        <v>0</v>
      </c>
      <c r="BP74" s="21">
        <f>IFERROR(BO74/SUMIF('船长每月数据(2023年)'!$E:$E,$C:$C,'船长每月数据(2023年)'!$R:$R),0)</f>
        <v>0</v>
      </c>
      <c r="BQ74" s="20">
        <f>SUMIFS('船长每月数据(2023年)'!$P:$P,'船长每月数据(2023年)'!$F:$F,$BQ$2,'船长每月数据(2023年)'!$E:$E,$C:$C)</f>
        <v>0</v>
      </c>
      <c r="BR74" s="21">
        <f>IFERROR(BQ74/SUMIF('船长每月数据(2023年)'!$E:$E,$C:$C,'船长每月数据(2023年)'!$P:$P),0)</f>
        <v>0</v>
      </c>
      <c r="BS74" s="38">
        <f>SUMIFS('船长每月数据(2023年)'!$R:$R,'船长每月数据(2023年)'!$F:$F,$BS$2,'船长每月数据(2023年)'!$E:$E,$C:$C)</f>
        <v>0</v>
      </c>
      <c r="BT74" s="21">
        <f>IFERROR(BS74/SUMIF('船长每月数据(2023年)'!$E:$E,$C:$C,'船长每月数据(2023年)'!$R:$R),0)</f>
        <v>0</v>
      </c>
      <c r="BU74" s="20">
        <f>SUMIFS('船长每月数据(2023年)'!$P:$P,'船长每月数据(2023年)'!$F:$F,$BU$2,'船长每月数据(2023年)'!$E:$E,$C:$C)</f>
        <v>0</v>
      </c>
      <c r="BV74" s="21">
        <f>IFERROR(BU74/SUMIF('船长每月数据(2023年)'!$E:$E,$C:$C,'船长每月数据(2023年)'!$P:$P),0)</f>
        <v>0</v>
      </c>
      <c r="BW74" s="38">
        <f>SUMIFS('船长每月数据(2023年)'!$R:$R,'船长每月数据(2023年)'!$F:$F,$BW$2,'船长每月数据(2023年)'!$E:$E,$C:$C)</f>
        <v>0</v>
      </c>
      <c r="BX74" s="21">
        <f>IFERROR(BW74/SUMIF('船长每月数据(2023年)'!$E:$E,$C:$C,'船长每月数据(2023年)'!$R:$R),0)</f>
        <v>0</v>
      </c>
    </row>
    <row r="75" ht="22" customHeight="1" spans="29:76">
      <c r="AC75" s="20">
        <f>SUM(AC3:AC74)</f>
        <v>0</v>
      </c>
      <c r="AD75" s="21" t="e">
        <f>AC75/SUM('船长每月数据(2023年)'!$P$2:$P$1002)</f>
        <v>#DIV/0!</v>
      </c>
      <c r="AE75" s="38">
        <f t="shared" ref="AE75:AI75" si="0">SUM(AE3:AE74)</f>
        <v>0</v>
      </c>
      <c r="AF75" s="21" t="e">
        <f>AE75/SUM('船长每月数据(2023年)'!$R$2:$R$1002)</f>
        <v>#DIV/0!</v>
      </c>
      <c r="AG75" s="20">
        <f t="shared" si="0"/>
        <v>0</v>
      </c>
      <c r="AH75" s="21" t="e">
        <f>AG75/SUM('船长每月数据(2023年)'!$P$2:$P$1002)</f>
        <v>#DIV/0!</v>
      </c>
      <c r="AI75" s="38">
        <f t="shared" si="0"/>
        <v>0</v>
      </c>
      <c r="AJ75" s="21" t="e">
        <f>AI75/SUM('船长每月数据(2023年)'!$R$2:$R$1002)</f>
        <v>#DIV/0!</v>
      </c>
      <c r="AK75" s="20">
        <f>SUM(AK3:AK74)</f>
        <v>0</v>
      </c>
      <c r="AL75" s="21" t="e">
        <f>AK75/SUM('船长每月数据(2023年)'!$P$2:$P$1002)</f>
        <v>#DIV/0!</v>
      </c>
      <c r="AM75" s="38">
        <f t="shared" ref="AM75:AQ75" si="1">SUM(AM3:AM74)</f>
        <v>0</v>
      </c>
      <c r="AN75" s="21" t="e">
        <f>AM75/SUM('船长每月数据(2023年)'!$R$2:$R$1002)</f>
        <v>#DIV/0!</v>
      </c>
      <c r="AO75" s="20">
        <f t="shared" si="1"/>
        <v>0</v>
      </c>
      <c r="AP75" s="21" t="e">
        <f>AO75/SUM('船长每月数据(2023年)'!$P$2:$P$1002)</f>
        <v>#DIV/0!</v>
      </c>
      <c r="AQ75" s="38">
        <f t="shared" si="1"/>
        <v>0</v>
      </c>
      <c r="AR75" s="21" t="e">
        <f>AQ75/SUM('船长每月数据(2023年)'!$R$2:$R$1002)</f>
        <v>#DIV/0!</v>
      </c>
      <c r="AS75" s="20">
        <f>SUM(AS3:AS74)</f>
        <v>0</v>
      </c>
      <c r="AT75" s="21" t="e">
        <f>AS75/SUM('船长每月数据(2023年)'!$P$2:$P$1002)</f>
        <v>#DIV/0!</v>
      </c>
      <c r="AU75" s="38">
        <f t="shared" ref="AU75:AY75" si="2">SUM(AU3:AU74)</f>
        <v>0</v>
      </c>
      <c r="AV75" s="21" t="e">
        <f>AU75/SUM('船长每月数据(2023年)'!$R$2:$R$1002)</f>
        <v>#DIV/0!</v>
      </c>
      <c r="AW75" s="20">
        <f t="shared" si="2"/>
        <v>0</v>
      </c>
      <c r="AX75" s="21" t="e">
        <f>AW75/SUM('船长每月数据(2023年)'!$P$2:$P$1002)</f>
        <v>#DIV/0!</v>
      </c>
      <c r="AY75" s="38">
        <f t="shared" si="2"/>
        <v>0</v>
      </c>
      <c r="AZ75" s="21" t="e">
        <f>AY75/SUM('船长每月数据(2023年)'!$R$2:$R$1002)</f>
        <v>#DIV/0!</v>
      </c>
      <c r="BA75" s="20">
        <f>SUM(BA3:BA74)</f>
        <v>0</v>
      </c>
      <c r="BB75" s="21" t="e">
        <f>BA75/SUM('船长每月数据(2023年)'!$P$2:$P$1002)</f>
        <v>#DIV/0!</v>
      </c>
      <c r="BC75" s="38">
        <f t="shared" ref="BC75:BG75" si="3">SUM(BC3:BC74)</f>
        <v>0</v>
      </c>
      <c r="BD75" s="21" t="e">
        <f>BC75/SUM('船长每月数据(2023年)'!$R$2:$R$1002)</f>
        <v>#DIV/0!</v>
      </c>
      <c r="BE75" s="20">
        <f t="shared" si="3"/>
        <v>0</v>
      </c>
      <c r="BF75" s="21" t="e">
        <f>BE75/SUM('船长每月数据(2023年)'!$P$2:$P$1002)</f>
        <v>#DIV/0!</v>
      </c>
      <c r="BG75" s="38">
        <f t="shared" si="3"/>
        <v>0</v>
      </c>
      <c r="BH75" s="21" t="e">
        <f>BG75/SUM('船长每月数据(2023年)'!$R$2:$R$1002)</f>
        <v>#DIV/0!</v>
      </c>
      <c r="BI75" s="20">
        <f>SUM(BI3:BI74)</f>
        <v>0</v>
      </c>
      <c r="BJ75" s="21" t="e">
        <f>BI75/SUM('船长每月数据(2023年)'!$P$2:$P$1002)</f>
        <v>#DIV/0!</v>
      </c>
      <c r="BK75" s="38">
        <f t="shared" ref="BK75:BO75" si="4">SUM(BK3:BK74)</f>
        <v>0</v>
      </c>
      <c r="BL75" s="21" t="e">
        <f>BK75/SUM('船长每月数据(2023年)'!$R$2:$R$1002)</f>
        <v>#DIV/0!</v>
      </c>
      <c r="BM75" s="20">
        <f t="shared" si="4"/>
        <v>0</v>
      </c>
      <c r="BN75" s="21" t="e">
        <f>BM75/SUM('船长每月数据(2023年)'!$P$2:$P$1002)</f>
        <v>#DIV/0!</v>
      </c>
      <c r="BO75" s="38">
        <f t="shared" si="4"/>
        <v>0</v>
      </c>
      <c r="BP75" s="21" t="e">
        <f>BO75/SUM('船长每月数据(2023年)'!$R$2:$R$1002)</f>
        <v>#DIV/0!</v>
      </c>
      <c r="BQ75" s="20">
        <f>SUM(BQ3:BQ74)</f>
        <v>0</v>
      </c>
      <c r="BR75" s="21" t="e">
        <f>BQ75/SUM('船长每月数据(2023年)'!$P$2:$P$1002)</f>
        <v>#DIV/0!</v>
      </c>
      <c r="BS75" s="38">
        <f t="shared" ref="BS75:BW75" si="5">SUM(BS3:BS74)</f>
        <v>0</v>
      </c>
      <c r="BT75" s="21" t="e">
        <f>BS75/SUM('船长每月数据(2023年)'!$R$2:$R$1002)</f>
        <v>#DIV/0!</v>
      </c>
      <c r="BU75" s="20">
        <f t="shared" si="5"/>
        <v>0</v>
      </c>
      <c r="BV75" s="21" t="e">
        <f>BU75/SUM('船长每月数据(2023年)'!$P$2:$P$1002)</f>
        <v>#DIV/0!</v>
      </c>
      <c r="BW75" s="38">
        <f t="shared" si="5"/>
        <v>0</v>
      </c>
      <c r="BX75" s="21" t="e">
        <f>BW75/SUM('船长每月数据(2023年)'!$R$2:$R$1002)</f>
        <v>#DIV/0!</v>
      </c>
    </row>
  </sheetData>
  <mergeCells count="1">
    <mergeCell ref="A1:BX1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9" tint="-0.25"/>
  </sheetPr>
  <dimension ref="A1:AP77"/>
  <sheetViews>
    <sheetView workbookViewId="0">
      <selection activeCell="B9" sqref="B9"/>
    </sheetView>
  </sheetViews>
  <sheetFormatPr defaultColWidth="9" defaultRowHeight="14.25"/>
  <cols>
    <col min="1" max="1" width="9" style="20"/>
    <col min="2" max="2" width="15.8833333333333" style="20" customWidth="1"/>
    <col min="3" max="3" width="17.6333333333333" style="20" customWidth="1"/>
    <col min="4" max="4" width="65.1333333333333" style="74" customWidth="1"/>
    <col min="5" max="5" width="12.6333333333333" style="85" hidden="1" customWidth="1" outlineLevel="1"/>
    <col min="6" max="16" width="11.5" style="85" hidden="1" customWidth="1" outlineLevel="1"/>
    <col min="17" max="17" width="12.6333333333333" style="85" customWidth="1" collapsed="1"/>
    <col min="18" max="18" width="12.6333333333333" style="21" customWidth="1"/>
    <col min="19" max="19" width="11.5" style="85" customWidth="1"/>
    <col min="20" max="20" width="11.5" style="21" customWidth="1"/>
    <col min="21" max="21" width="11.5" style="85" customWidth="1"/>
    <col min="22" max="22" width="11.5" style="21" customWidth="1"/>
    <col min="23" max="23" width="11.5" style="85" customWidth="1"/>
    <col min="24" max="24" width="11.5" style="21" customWidth="1"/>
    <col min="25" max="25" width="11.5" style="85" customWidth="1"/>
    <col min="26" max="26" width="11.5" style="21" customWidth="1"/>
    <col min="27" max="27" width="11.5" style="85" customWidth="1"/>
    <col min="28" max="28" width="11.5" style="21" customWidth="1"/>
    <col min="29" max="29" width="11.5" style="85" customWidth="1"/>
    <col min="30" max="30" width="11.5" style="21" customWidth="1"/>
    <col min="31" max="31" width="11.5" style="85" customWidth="1"/>
    <col min="32" max="32" width="11.5" style="21" customWidth="1"/>
    <col min="33" max="33" width="11.5" style="85" customWidth="1"/>
    <col min="34" max="34" width="11.5" style="21" customWidth="1"/>
    <col min="35" max="35" width="11.5" style="85" customWidth="1"/>
    <col min="36" max="36" width="11.5" style="21" customWidth="1"/>
    <col min="37" max="37" width="11.5" style="85" customWidth="1"/>
    <col min="38" max="38" width="11.5" style="21" customWidth="1"/>
    <col min="39" max="39" width="11.5" style="85" customWidth="1"/>
    <col min="40" max="40" width="11.5" style="21" customWidth="1"/>
    <col min="41" max="16384" width="9" style="20"/>
  </cols>
  <sheetData>
    <row r="1" ht="26.25" spans="1:40">
      <c r="A1" s="86" t="s">
        <v>168</v>
      </c>
      <c r="B1" s="87"/>
      <c r="C1" s="87"/>
      <c r="D1" s="88"/>
      <c r="E1" s="89" t="s">
        <v>205</v>
      </c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 t="s">
        <v>206</v>
      </c>
      <c r="R1" s="95"/>
      <c r="S1" s="89"/>
      <c r="T1" s="95"/>
      <c r="U1" s="89"/>
      <c r="V1" s="95"/>
      <c r="W1" s="89"/>
      <c r="X1" s="95"/>
      <c r="Y1" s="89"/>
      <c r="Z1" s="95"/>
      <c r="AA1" s="89"/>
      <c r="AB1" s="95"/>
      <c r="AC1" s="89"/>
      <c r="AD1" s="95"/>
      <c r="AE1" s="89"/>
      <c r="AF1" s="95"/>
      <c r="AG1" s="89"/>
      <c r="AH1" s="95"/>
      <c r="AI1" s="89"/>
      <c r="AJ1" s="95"/>
      <c r="AK1" s="89"/>
      <c r="AL1" s="95"/>
      <c r="AM1" s="89"/>
      <c r="AN1" s="95"/>
    </row>
    <row r="2" s="80" customFormat="1" ht="21" customHeight="1" spans="1:40">
      <c r="A2" s="90" t="s">
        <v>167</v>
      </c>
      <c r="B2" s="91" t="s">
        <v>56</v>
      </c>
      <c r="C2" s="91" t="s">
        <v>169</v>
      </c>
      <c r="D2" s="91" t="s">
        <v>207</v>
      </c>
      <c r="E2" s="79">
        <v>44197</v>
      </c>
      <c r="F2" s="79">
        <v>44228</v>
      </c>
      <c r="G2" s="79">
        <v>44256</v>
      </c>
      <c r="H2" s="79">
        <v>44287</v>
      </c>
      <c r="I2" s="79">
        <v>44317</v>
      </c>
      <c r="J2" s="79">
        <v>44348</v>
      </c>
      <c r="K2" s="79">
        <v>44378</v>
      </c>
      <c r="L2" s="79">
        <v>44409</v>
      </c>
      <c r="M2" s="79">
        <v>44440</v>
      </c>
      <c r="N2" s="79">
        <v>44470</v>
      </c>
      <c r="O2" s="79">
        <v>44501</v>
      </c>
      <c r="P2" s="79">
        <v>44531</v>
      </c>
      <c r="Q2" s="79">
        <v>44562</v>
      </c>
      <c r="R2" s="96" t="s">
        <v>208</v>
      </c>
      <c r="S2" s="79">
        <v>44593</v>
      </c>
      <c r="T2" s="96" t="s">
        <v>208</v>
      </c>
      <c r="U2" s="79">
        <v>44621</v>
      </c>
      <c r="V2" s="96" t="s">
        <v>208</v>
      </c>
      <c r="W2" s="79">
        <v>44652</v>
      </c>
      <c r="X2" s="96" t="s">
        <v>208</v>
      </c>
      <c r="Y2" s="79">
        <v>44682</v>
      </c>
      <c r="Z2" s="96" t="s">
        <v>208</v>
      </c>
      <c r="AA2" s="79">
        <v>44713</v>
      </c>
      <c r="AB2" s="96" t="s">
        <v>208</v>
      </c>
      <c r="AC2" s="79">
        <v>44743</v>
      </c>
      <c r="AD2" s="96" t="s">
        <v>208</v>
      </c>
      <c r="AE2" s="79">
        <v>44774</v>
      </c>
      <c r="AF2" s="96" t="s">
        <v>208</v>
      </c>
      <c r="AG2" s="79">
        <v>44805</v>
      </c>
      <c r="AH2" s="96" t="s">
        <v>208</v>
      </c>
      <c r="AI2" s="79">
        <v>44835</v>
      </c>
      <c r="AJ2" s="96" t="s">
        <v>208</v>
      </c>
      <c r="AK2" s="79">
        <v>44866</v>
      </c>
      <c r="AL2" s="96" t="s">
        <v>208</v>
      </c>
      <c r="AM2" s="79">
        <v>44896</v>
      </c>
      <c r="AN2" s="96" t="s">
        <v>208</v>
      </c>
    </row>
    <row r="3" ht="21" customHeight="1" spans="1:40">
      <c r="A3" s="92"/>
      <c r="B3" s="61"/>
      <c r="C3" s="61"/>
      <c r="D3" s="61"/>
      <c r="E3" s="85">
        <f>SUMIF('船长每月数据(2022年)'!$F:$F,E2,'船长每月数据(2022年)'!$R:$R)</f>
        <v>0</v>
      </c>
      <c r="F3" s="85">
        <f>SUMIF('船长每月数据(2022年)'!$F:$F,F2,'船长每月数据(2022年)'!$R:$R)</f>
        <v>0</v>
      </c>
      <c r="G3" s="85">
        <f>SUMIF('船长每月数据(2022年)'!$F:$F,G2,'船长每月数据(2022年)'!$R:$R)</f>
        <v>0</v>
      </c>
      <c r="H3" s="85">
        <f>SUMIF('船长每月数据(2022年)'!$F:$F,H2,'船长每月数据(2022年)'!$R:$R)</f>
        <v>0</v>
      </c>
      <c r="I3" s="85">
        <f>SUMIF('船长每月数据(2022年)'!$F:$F,I2,'船长每月数据(2022年)'!$R:$R)</f>
        <v>0</v>
      </c>
      <c r="J3" s="85">
        <f>SUMIF('船长每月数据(2022年)'!$F:$F,J2,'船长每月数据(2022年)'!$R:$R)</f>
        <v>0</v>
      </c>
      <c r="K3" s="85">
        <f>SUMIF('船长每月数据(2022年)'!$F:$F,K2,'船长每月数据(2022年)'!$R:$R)</f>
        <v>0</v>
      </c>
      <c r="L3" s="85">
        <f>SUMIF('船长每月数据(2022年)'!$F:$F,L2,'船长每月数据(2022年)'!$R:$R)</f>
        <v>0</v>
      </c>
      <c r="M3" s="85">
        <f>SUMIF('船长每月数据(2022年)'!$F:$F,M2,'船长每月数据(2022年)'!$R:$R)</f>
        <v>0</v>
      </c>
      <c r="N3" s="85">
        <f>SUMIF('船长每月数据(2022年)'!$F:$F,N2,'船长每月数据(2022年)'!$R:$R)</f>
        <v>0</v>
      </c>
      <c r="O3" s="85">
        <f>SUMIF('船长每月数据(2022年)'!$F:$F,O2,'船长每月数据(2022年)'!$R:$R)</f>
        <v>0</v>
      </c>
      <c r="P3" s="85">
        <f>SUMIF('船长每月数据(2022年)'!$F:$F,P2,'船长每月数据(2022年)'!$R:$R)</f>
        <v>0</v>
      </c>
      <c r="Q3" s="85">
        <f>SUMIF('船长每月数据(2023年)'!$F:$F,Q2,'船长每月数据(2023年)'!$R:$R)</f>
        <v>0</v>
      </c>
      <c r="R3" s="21">
        <f>IFERROR((Q3-E3)/E3,0)</f>
        <v>0</v>
      </c>
      <c r="S3" s="85">
        <f>SUMIF('船长每月数据(2023年)'!$F:$F,S2,'船长每月数据(2023年)'!$R:$R)</f>
        <v>0</v>
      </c>
      <c r="T3" s="21">
        <f>IFERROR((S3-F3)/F3,0)</f>
        <v>0</v>
      </c>
      <c r="U3" s="85">
        <f>SUMIF('船长每月数据(2023年)'!$F:$F,U2,'船长每月数据(2023年)'!$R:$R)</f>
        <v>0</v>
      </c>
      <c r="V3" s="21">
        <f>IFERROR((U3-G3)/G3,0)</f>
        <v>0</v>
      </c>
      <c r="W3" s="85">
        <f>SUMIF('船长每月数据(2023年)'!$F:$F,W2,'船长每月数据(2023年)'!$R:$R)</f>
        <v>0</v>
      </c>
      <c r="X3" s="21">
        <f>IFERROR((W3-H3)/H3,0)</f>
        <v>0</v>
      </c>
      <c r="Y3" s="85">
        <f>SUMIF('船长每月数据(2023年)'!$F:$F,Y2,'船长每月数据(2023年)'!$R:$R)</f>
        <v>0</v>
      </c>
      <c r="Z3" s="21">
        <f>IFERROR((Y3-I3)/I3,0)</f>
        <v>0</v>
      </c>
      <c r="AA3" s="85">
        <f>SUMIF('船长每月数据(2023年)'!$F:$F,AA2,'船长每月数据(2023年)'!$R:$R)</f>
        <v>0</v>
      </c>
      <c r="AB3" s="21">
        <f>IFERROR((AA3-J3)/J3,0)</f>
        <v>0</v>
      </c>
      <c r="AC3" s="85">
        <f>SUMIF('船长每月数据(2023年)'!$F:$F,AC2,'船长每月数据(2023年)'!$R:$R)</f>
        <v>0</v>
      </c>
      <c r="AD3" s="21">
        <f>IFERROR((AC3-K3)/K3,0)</f>
        <v>0</v>
      </c>
      <c r="AE3" s="85">
        <f>SUMIF('船长每月数据(2023年)'!$F:$F,AE2,'船长每月数据(2023年)'!$R:$R)</f>
        <v>0</v>
      </c>
      <c r="AF3" s="21">
        <f>IFERROR((AE3-L3)/L3,0)</f>
        <v>0</v>
      </c>
      <c r="AG3" s="85">
        <f>SUMIF('船长每月数据(2023年)'!$F:$F,AG2,'船长每月数据(2023年)'!$R:$R)</f>
        <v>0</v>
      </c>
      <c r="AH3" s="21">
        <f>IFERROR((AG3-M3)/M3,0)</f>
        <v>0</v>
      </c>
      <c r="AI3" s="85">
        <f>SUMIF('船长每月数据(2023年)'!$F:$F,AI2,'船长每月数据(2023年)'!$R:$R)</f>
        <v>0</v>
      </c>
      <c r="AJ3" s="21">
        <f>IFERROR((AI3-N3)/N3,0)</f>
        <v>0</v>
      </c>
      <c r="AK3" s="85">
        <f>SUMIF('船长每月数据(2023年)'!$F:$F,AK2,'船长每月数据(2023年)'!$R:$R)</f>
        <v>0</v>
      </c>
      <c r="AL3" s="21">
        <f>IFERROR((AK3-O3)/O3,0)</f>
        <v>0</v>
      </c>
      <c r="AM3" s="85">
        <f>SUMIF('船长每月数据(2023年)'!$F:$F,AM2,'船长每月数据(2023年)'!$R:$R)</f>
        <v>0</v>
      </c>
      <c r="AN3" s="21">
        <f>IFERROR((AM3-P3)/P3,0)</f>
        <v>0</v>
      </c>
    </row>
    <row r="4" s="20" customFormat="1" ht="22.5" spans="1:40">
      <c r="A4" s="93"/>
      <c r="B4" s="61"/>
      <c r="C4" s="61"/>
      <c r="D4" s="61"/>
      <c r="E4" s="94" t="s">
        <v>209</v>
      </c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 t="s">
        <v>210</v>
      </c>
      <c r="R4" s="97"/>
      <c r="S4" s="94"/>
      <c r="T4" s="97"/>
      <c r="U4" s="94"/>
      <c r="V4" s="97"/>
      <c r="W4" s="94"/>
      <c r="X4" s="97"/>
      <c r="Y4" s="94"/>
      <c r="Z4" s="97"/>
      <c r="AA4" s="94"/>
      <c r="AB4" s="97"/>
      <c r="AC4" s="94"/>
      <c r="AD4" s="97"/>
      <c r="AE4" s="94"/>
      <c r="AF4" s="97"/>
      <c r="AG4" s="94"/>
      <c r="AH4" s="97"/>
      <c r="AI4" s="94"/>
      <c r="AJ4" s="97"/>
      <c r="AK4" s="94"/>
      <c r="AL4" s="97"/>
      <c r="AM4" s="94"/>
      <c r="AN4" s="97"/>
    </row>
    <row r="5" ht="24" customHeight="1" spans="1:42">
      <c r="A5" s="36"/>
      <c r="B5" s="36"/>
      <c r="C5" s="20"/>
      <c r="D5" s="74"/>
      <c r="E5" s="21">
        <f>IFERROR(SUMIF('2024年销售情况'!$C:$C,$C:$C,'2024年销售情况'!$F:$F)/$E$3,0)</f>
        <v>0</v>
      </c>
      <c r="F5" s="21">
        <f>IFERROR(SUMIF('2024年销售情况'!$C:$C,$C:$C,'2024年销售情况'!$F:$F)/$F$3,0)</f>
        <v>0</v>
      </c>
      <c r="G5" s="21">
        <f>IFERROR(SUMIF('2024年销售情况'!$C:$C,$C:$C,'2024年销售情况'!$F:$F)/$G$3,0)</f>
        <v>0</v>
      </c>
      <c r="H5" s="21">
        <f>IFERROR(SUMIF('2024年销售情况'!$C:$C,$C:$C,'2024年销售情况'!$F:$F)/$H$3,0)</f>
        <v>0</v>
      </c>
      <c r="I5" s="21">
        <f>IFERROR(SUMIF('2024年销售情况'!$C:$C,$C:$C,'2024年销售情况'!$F:$F)/$I$3,0)</f>
        <v>0</v>
      </c>
      <c r="J5" s="21">
        <f>IFERROR(SUMIF('2024年销售情况'!$C:$C,$C:$C,'2024年销售情况'!$F:$F)/$J$3,0)</f>
        <v>0</v>
      </c>
      <c r="K5" s="21">
        <f>IFERROR(SUMIF('2024年销售情况'!$C:$C,$C:$C,'2024年销售情况'!$F:$F)/$K$3,0)</f>
        <v>0</v>
      </c>
      <c r="L5" s="21">
        <f>IFERROR(SUMIF('2024年销售情况'!$C:$C,$C:$C,'2024年销售情况'!$F:$F)/$L$3,0)</f>
        <v>0</v>
      </c>
      <c r="M5" s="21">
        <f>IFERROR(SUMIF('2024年销售情况'!$C:$C,$C:$C,'2024年销售情况'!$F:$F)/$M$3,0)</f>
        <v>0</v>
      </c>
      <c r="N5" s="21">
        <f>IFERROR(SUMIF('2024年销售情况'!$C:$C,$C:$C,'2024年销售情况'!$F:$F)/$N$3,0)</f>
        <v>0</v>
      </c>
      <c r="O5" s="21">
        <f>IFERROR(SUMIF('2024年销售情况'!$C:$C,$C:$C,'2024年销售情况'!$F:$F)/$O$3,0)</f>
        <v>0</v>
      </c>
      <c r="P5" s="21">
        <f>IFERROR(SUMIF('2024年销售情况'!$C:$C,$C:$C,'2024年销售情况'!$F:$F)/$P$3,0)</f>
        <v>0</v>
      </c>
      <c r="Q5" s="21" t="e">
        <f>'2024年销售情况'!AE3/Q3</f>
        <v>#DIV/0!</v>
      </c>
      <c r="R5" s="21">
        <f>IFERROR((Q5-E5)/E5,0)</f>
        <v>0</v>
      </c>
      <c r="S5" s="21" t="e">
        <f>'2024年销售情况'!AI3/$S$3</f>
        <v>#DIV/0!</v>
      </c>
      <c r="T5" s="21">
        <f>IFERROR((S5-F5)/F5,0)</f>
        <v>0</v>
      </c>
      <c r="U5" s="21" t="e">
        <f>'2024年销售情况'!AM3/$U$3</f>
        <v>#DIV/0!</v>
      </c>
      <c r="V5" s="21">
        <f>IFERROR((U5-G5)/G5,0)</f>
        <v>0</v>
      </c>
      <c r="W5" s="21" t="e">
        <f>'2024年销售情况'!AQ3/$W$3</f>
        <v>#DIV/0!</v>
      </c>
      <c r="X5" s="21">
        <f>IFERROR((W5-H5)/H5,0)</f>
        <v>0</v>
      </c>
      <c r="Y5" s="21" t="e">
        <f>'2024年销售情况'!AU3/$Y$3</f>
        <v>#DIV/0!</v>
      </c>
      <c r="Z5" s="21">
        <f>IFERROR((Y5-I5)/I5,0)</f>
        <v>0</v>
      </c>
      <c r="AA5" s="21" t="e">
        <f>'2024年销售情况'!AY3/$AA$3</f>
        <v>#DIV/0!</v>
      </c>
      <c r="AB5" s="21">
        <f>IFERROR((AA5-J5)/J5,0)</f>
        <v>0</v>
      </c>
      <c r="AC5" s="21" t="e">
        <f>'2024年销售情况'!BC3/$AC$3</f>
        <v>#DIV/0!</v>
      </c>
      <c r="AD5" s="21">
        <f>IFERROR((AC5-K5)/K5,0)</f>
        <v>0</v>
      </c>
      <c r="AE5" s="21" t="e">
        <f>'2024年销售情况'!BG3/$AE$3</f>
        <v>#DIV/0!</v>
      </c>
      <c r="AF5" s="21">
        <f>IFERROR((AE5-L5)/L5,0)</f>
        <v>0</v>
      </c>
      <c r="AG5" s="21" t="e">
        <f>'2024年销售情况'!BK3/$AG$3</f>
        <v>#DIV/0!</v>
      </c>
      <c r="AH5" s="21">
        <f>IFERROR((AG5-M5)/M5,0)</f>
        <v>0</v>
      </c>
      <c r="AI5" s="21" t="e">
        <f>'2024年销售情况'!BO3/$AI$3</f>
        <v>#DIV/0!</v>
      </c>
      <c r="AJ5" s="21">
        <f>IFERROR((AI5-N5)/N5,0)</f>
        <v>0</v>
      </c>
      <c r="AK5" s="21" t="e">
        <f>'2024年销售情况'!BS3/$AK$3</f>
        <v>#DIV/0!</v>
      </c>
      <c r="AL5" s="21">
        <f>IFERROR((AK5-O5)/O5,0)</f>
        <v>0</v>
      </c>
      <c r="AM5" s="21" t="e">
        <f>'2024年销售情况'!BW3/$AM$3</f>
        <v>#DIV/0!</v>
      </c>
      <c r="AN5" s="21">
        <f>IFERROR((AM5-P5)/P5,0)</f>
        <v>0</v>
      </c>
      <c r="AO5" s="21"/>
      <c r="AP5" s="21"/>
    </row>
    <row r="6" ht="24" customHeight="1" spans="1:42">
      <c r="A6" s="36"/>
      <c r="B6" s="36"/>
      <c r="C6" s="20"/>
      <c r="D6" s="74"/>
      <c r="E6" s="21">
        <f>IFERROR(SUMIF('2024年销售情况'!C:C,C:C,'2024年销售情况'!F:F)/$E$3,0)</f>
        <v>0</v>
      </c>
      <c r="F6" s="21">
        <f>IFERROR(SUMIF('2024年销售情况'!$C:$C,$C:$C,'2024年销售情况'!$F:$F)/$F$3,0)</f>
        <v>0</v>
      </c>
      <c r="G6" s="21">
        <f>IFERROR(SUMIF('2024年销售情况'!$C:$C,$C:$C,'2024年销售情况'!$F:$F)/$G$3,0)</f>
        <v>0</v>
      </c>
      <c r="H6" s="21">
        <f>IFERROR(SUMIF('2024年销售情况'!$C:$C,$C:$C,'2024年销售情况'!$F:$F)/$H$3,0)</f>
        <v>0</v>
      </c>
      <c r="I6" s="21">
        <f>IFERROR(SUMIF('2024年销售情况'!$C:$C,$C:$C,'2024年销售情况'!$F:$F)/$I$3,0)</f>
        <v>0</v>
      </c>
      <c r="J6" s="21">
        <f>IFERROR(SUMIF('2024年销售情况'!$C:$C,$C:$C,'2024年销售情况'!$F:$F)/$J$3,0)</f>
        <v>0</v>
      </c>
      <c r="K6" s="21">
        <f>IFERROR(SUMIF('2024年销售情况'!$C:$C,$C:$C,'2024年销售情况'!$F:$F)/$K$3,0)</f>
        <v>0</v>
      </c>
      <c r="L6" s="21">
        <f>IFERROR(SUMIF('2024年销售情况'!$C:$C,$C:$C,'2024年销售情况'!$F:$F)/$L$3,0)</f>
        <v>0</v>
      </c>
      <c r="M6" s="21">
        <f>IFERROR(SUMIF('2024年销售情况'!$C:$C,$C:$C,'2024年销售情况'!$F:$F)/$M$3,0)</f>
        <v>0</v>
      </c>
      <c r="N6" s="21">
        <f>IFERROR(SUMIF('2024年销售情况'!$C:$C,$C:$C,'2024年销售情况'!$F:$F)/$N$3,0)</f>
        <v>0</v>
      </c>
      <c r="O6" s="21">
        <f>IFERROR(SUMIF('2024年销售情况'!$C:$C,$C:$C,'2024年销售情况'!$F:$F)/$O$3,0)</f>
        <v>0</v>
      </c>
      <c r="P6" s="21">
        <f>IFERROR(SUMIF('2024年销售情况'!$C:$C,$C:$C,'2024年销售情况'!$F:$F)/$P$3,0)</f>
        <v>0</v>
      </c>
      <c r="Q6" s="21" t="e">
        <f>'2024年销售情况'!AE4/$Q$3</f>
        <v>#DIV/0!</v>
      </c>
      <c r="R6" s="21">
        <f t="shared" ref="R6:R37" si="0">IFERROR((Q6-E6)/E6,0)</f>
        <v>0</v>
      </c>
      <c r="S6" s="21" t="e">
        <f>'2024年销售情况'!AI4/$S$3</f>
        <v>#DIV/0!</v>
      </c>
      <c r="T6" s="21">
        <f t="shared" ref="T6:T37" si="1">IFERROR((S6-F6)/F6,0)</f>
        <v>0</v>
      </c>
      <c r="U6" s="21" t="e">
        <f>'2024年销售情况'!AM4/$U$3</f>
        <v>#DIV/0!</v>
      </c>
      <c r="V6" s="21">
        <f t="shared" ref="V6:V37" si="2">IFERROR((U6-G6)/G6,0)</f>
        <v>0</v>
      </c>
      <c r="W6" s="21" t="e">
        <f>'2024年销售情况'!AQ4/$W$3</f>
        <v>#DIV/0!</v>
      </c>
      <c r="X6" s="21">
        <f t="shared" ref="X6:X37" si="3">IFERROR((W6-H6)/H6,0)</f>
        <v>0</v>
      </c>
      <c r="Y6" s="21" t="e">
        <f>'2024年销售情况'!AU4/$Y$3</f>
        <v>#DIV/0!</v>
      </c>
      <c r="Z6" s="21">
        <f t="shared" ref="Z6:Z37" si="4">IFERROR((Y6-I6)/I6,0)</f>
        <v>0</v>
      </c>
      <c r="AA6" s="21" t="e">
        <f>'2024年销售情况'!AY4/$AA$3</f>
        <v>#DIV/0!</v>
      </c>
      <c r="AB6" s="21">
        <f t="shared" ref="AB6:AB37" si="5">IFERROR((AA6-J6)/J6,0)</f>
        <v>0</v>
      </c>
      <c r="AC6" s="21" t="e">
        <f>'2024年销售情况'!BC4/$AC$3</f>
        <v>#DIV/0!</v>
      </c>
      <c r="AD6" s="21">
        <f t="shared" ref="AD6:AD37" si="6">IFERROR((AC6-K6)/K6,0)</f>
        <v>0</v>
      </c>
      <c r="AE6" s="21" t="e">
        <f>'2024年销售情况'!BG4/$AE$3</f>
        <v>#DIV/0!</v>
      </c>
      <c r="AF6" s="21">
        <f t="shared" ref="AF6:AF37" si="7">IFERROR((AE6-L6)/L6,0)</f>
        <v>0</v>
      </c>
      <c r="AG6" s="21" t="e">
        <f>'2024年销售情况'!BK4/$AG$3</f>
        <v>#DIV/0!</v>
      </c>
      <c r="AH6" s="21">
        <f t="shared" ref="AH6:AH37" si="8">IFERROR((AG6-M6)/M6,0)</f>
        <v>0</v>
      </c>
      <c r="AI6" s="21" t="e">
        <f>'2024年销售情况'!BO4/$AI$3</f>
        <v>#DIV/0!</v>
      </c>
      <c r="AJ6" s="21">
        <f t="shared" ref="AJ6:AJ37" si="9">IFERROR((AI6-N6)/N6,0)</f>
        <v>0</v>
      </c>
      <c r="AK6" s="21" t="e">
        <f>'2024年销售情况'!BS4/$AK$3</f>
        <v>#DIV/0!</v>
      </c>
      <c r="AL6" s="21">
        <f t="shared" ref="AL6:AL37" si="10">IFERROR((AK6-O6)/O6,0)</f>
        <v>0</v>
      </c>
      <c r="AM6" s="21" t="e">
        <f>'2024年销售情况'!BW4/$AM$3</f>
        <v>#DIV/0!</v>
      </c>
      <c r="AN6" s="21">
        <f t="shared" ref="AN6:AN37" si="11">IFERROR((AM6-P6)/P6,0)</f>
        <v>0</v>
      </c>
      <c r="AO6" s="21"/>
      <c r="AP6" s="21"/>
    </row>
    <row r="7" ht="24" customHeight="1" spans="1:42">
      <c r="A7" s="36"/>
      <c r="B7" s="36"/>
      <c r="C7" s="20"/>
      <c r="D7" s="74"/>
      <c r="E7" s="21">
        <f>IFERROR(SUMIF('2024年销售情况'!C:C,C:C,'2024年销售情况'!F:F)/$E$3,0)</f>
        <v>0</v>
      </c>
      <c r="F7" s="21">
        <f>IFERROR(SUMIF('2024年销售情况'!$C:$C,$C:$C,'2024年销售情况'!$F:$F)/$F$3,0)</f>
        <v>0</v>
      </c>
      <c r="G7" s="21">
        <f>IFERROR(SUMIF('2024年销售情况'!$C:$C,$C:$C,'2024年销售情况'!$F:$F)/$G$3,0)</f>
        <v>0</v>
      </c>
      <c r="H7" s="21">
        <f>IFERROR(SUMIF('2024年销售情况'!$C:$C,$C:$C,'2024年销售情况'!$F:$F)/$H$3,0)</f>
        <v>0</v>
      </c>
      <c r="I7" s="21">
        <f>IFERROR(SUMIF('2024年销售情况'!$C:$C,$C:$C,'2024年销售情况'!$F:$F)/$I$3,0)</f>
        <v>0</v>
      </c>
      <c r="J7" s="21">
        <f>IFERROR(SUMIF('2024年销售情况'!$C:$C,$C:$C,'2024年销售情况'!$F:$F)/$J$3,0)</f>
        <v>0</v>
      </c>
      <c r="K7" s="21">
        <f>IFERROR(SUMIF('2024年销售情况'!$C:$C,$C:$C,'2024年销售情况'!$F:$F)/$K$3,0)</f>
        <v>0</v>
      </c>
      <c r="L7" s="21">
        <f>IFERROR(SUMIF('2024年销售情况'!$C:$C,$C:$C,'2024年销售情况'!$F:$F)/$L$3,0)</f>
        <v>0</v>
      </c>
      <c r="M7" s="21">
        <f>IFERROR(SUMIF('2024年销售情况'!$C:$C,$C:$C,'2024年销售情况'!$F:$F)/$M$3,0)</f>
        <v>0</v>
      </c>
      <c r="N7" s="21">
        <f>IFERROR(SUMIF('2024年销售情况'!$C:$C,$C:$C,'2024年销售情况'!$F:$F)/$N$3,0)</f>
        <v>0</v>
      </c>
      <c r="O7" s="21">
        <f>IFERROR(SUMIF('2024年销售情况'!$C:$C,$C:$C,'2024年销售情况'!$F:$F)/$O$3,0)</f>
        <v>0</v>
      </c>
      <c r="P7" s="21">
        <f>IFERROR(SUMIF('2024年销售情况'!$C:$C,$C:$C,'2024年销售情况'!$F:$F)/$P$3,0)</f>
        <v>0</v>
      </c>
      <c r="Q7" s="21" t="e">
        <f>'2024年销售情况'!AE5/$Q$3</f>
        <v>#DIV/0!</v>
      </c>
      <c r="R7" s="21">
        <f t="shared" si="0"/>
        <v>0</v>
      </c>
      <c r="S7" s="21" t="e">
        <f>'2024年销售情况'!AI5/$S$3</f>
        <v>#DIV/0!</v>
      </c>
      <c r="T7" s="21">
        <f t="shared" si="1"/>
        <v>0</v>
      </c>
      <c r="U7" s="21" t="e">
        <f>'2024年销售情况'!AM5/$U$3</f>
        <v>#DIV/0!</v>
      </c>
      <c r="V7" s="21">
        <f t="shared" si="2"/>
        <v>0</v>
      </c>
      <c r="W7" s="21" t="e">
        <f>'2024年销售情况'!AQ5/$W$3</f>
        <v>#DIV/0!</v>
      </c>
      <c r="X7" s="21">
        <f t="shared" si="3"/>
        <v>0</v>
      </c>
      <c r="Y7" s="21" t="e">
        <f>'2024年销售情况'!AU5/$Y$3</f>
        <v>#DIV/0!</v>
      </c>
      <c r="Z7" s="21">
        <f t="shared" si="4"/>
        <v>0</v>
      </c>
      <c r="AA7" s="21" t="e">
        <f>'2024年销售情况'!AY5/$AA$3</f>
        <v>#DIV/0!</v>
      </c>
      <c r="AB7" s="21">
        <f t="shared" si="5"/>
        <v>0</v>
      </c>
      <c r="AC7" s="21" t="e">
        <f>'2024年销售情况'!BC5/$AC$3</f>
        <v>#DIV/0!</v>
      </c>
      <c r="AD7" s="21">
        <f t="shared" si="6"/>
        <v>0</v>
      </c>
      <c r="AE7" s="21" t="e">
        <f>'2024年销售情况'!BG5/$AE$3</f>
        <v>#DIV/0!</v>
      </c>
      <c r="AF7" s="21">
        <f t="shared" si="7"/>
        <v>0</v>
      </c>
      <c r="AG7" s="21" t="e">
        <f>'2024年销售情况'!BK5/$AG$3</f>
        <v>#DIV/0!</v>
      </c>
      <c r="AH7" s="21">
        <f t="shared" si="8"/>
        <v>0</v>
      </c>
      <c r="AI7" s="21" t="e">
        <f>'2024年销售情况'!BO5/$AI$3</f>
        <v>#DIV/0!</v>
      </c>
      <c r="AJ7" s="21">
        <f t="shared" si="9"/>
        <v>0</v>
      </c>
      <c r="AK7" s="21" t="e">
        <f>'2024年销售情况'!BS5/$AK$3</f>
        <v>#DIV/0!</v>
      </c>
      <c r="AL7" s="21">
        <f t="shared" si="10"/>
        <v>0</v>
      </c>
      <c r="AM7" s="21" t="e">
        <f>'2024年销售情况'!BW5/$AM$3</f>
        <v>#DIV/0!</v>
      </c>
      <c r="AN7" s="21">
        <f t="shared" si="11"/>
        <v>0</v>
      </c>
      <c r="AO7" s="21"/>
      <c r="AP7" s="21"/>
    </row>
    <row r="8" ht="24" customHeight="1" spans="1:42">
      <c r="A8" s="36"/>
      <c r="B8" s="36"/>
      <c r="C8" s="20"/>
      <c r="D8" s="74"/>
      <c r="E8" s="21">
        <f>IFERROR(SUMIF('2024年销售情况'!C:C,C:C,'2024年销售情况'!F:F)/$E$3,0)</f>
        <v>0</v>
      </c>
      <c r="F8" s="21">
        <f>IFERROR(SUMIF('2024年销售情况'!$C:$C,$C:$C,'2024年销售情况'!$F:$F)/$F$3,0)</f>
        <v>0</v>
      </c>
      <c r="G8" s="21">
        <f>IFERROR(SUMIF('2024年销售情况'!$C:$C,$C:$C,'2024年销售情况'!$F:$F)/$G$3,0)</f>
        <v>0</v>
      </c>
      <c r="H8" s="21">
        <f>IFERROR(SUMIF('2024年销售情况'!$C:$C,$C:$C,'2024年销售情况'!$F:$F)/$H$3,0)</f>
        <v>0</v>
      </c>
      <c r="I8" s="21">
        <f>IFERROR(SUMIF('2024年销售情况'!$C:$C,$C:$C,'2024年销售情况'!$F:$F)/$I$3,0)</f>
        <v>0</v>
      </c>
      <c r="J8" s="21">
        <f>IFERROR(SUMIF('2024年销售情况'!$C:$C,$C:$C,'2024年销售情况'!$F:$F)/$J$3,0)</f>
        <v>0</v>
      </c>
      <c r="K8" s="21">
        <f>IFERROR(SUMIF('2024年销售情况'!$C:$C,$C:$C,'2024年销售情况'!$F:$F)/$K$3,0)</f>
        <v>0</v>
      </c>
      <c r="L8" s="21">
        <f>IFERROR(SUMIF('2024年销售情况'!$C:$C,$C:$C,'2024年销售情况'!$F:$F)/$L$3,0)</f>
        <v>0</v>
      </c>
      <c r="M8" s="21">
        <f>IFERROR(SUMIF('2024年销售情况'!$C:$C,$C:$C,'2024年销售情况'!$F:$F)/$M$3,0)</f>
        <v>0</v>
      </c>
      <c r="N8" s="21">
        <f>IFERROR(SUMIF('2024年销售情况'!$C:$C,$C:$C,'2024年销售情况'!$F:$F)/$N$3,0)</f>
        <v>0</v>
      </c>
      <c r="O8" s="21">
        <f>IFERROR(SUMIF('2024年销售情况'!$C:$C,$C:$C,'2024年销售情况'!$F:$F)/$O$3,0)</f>
        <v>0</v>
      </c>
      <c r="P8" s="21">
        <f>IFERROR(SUMIF('2024年销售情况'!$C:$C,$C:$C,'2024年销售情况'!$F:$F)/$P$3,0)</f>
        <v>0</v>
      </c>
      <c r="Q8" s="21" t="e">
        <f>'2024年销售情况'!AE6/$Q$3</f>
        <v>#DIV/0!</v>
      </c>
      <c r="R8" s="21">
        <f t="shared" si="0"/>
        <v>0</v>
      </c>
      <c r="S8" s="21" t="e">
        <f>'2024年销售情况'!AI6/$S$3</f>
        <v>#DIV/0!</v>
      </c>
      <c r="T8" s="21">
        <f t="shared" si="1"/>
        <v>0</v>
      </c>
      <c r="U8" s="21" t="e">
        <f>'2024年销售情况'!AM6/$U$3</f>
        <v>#DIV/0!</v>
      </c>
      <c r="V8" s="21">
        <f t="shared" si="2"/>
        <v>0</v>
      </c>
      <c r="W8" s="21" t="e">
        <f>'2024年销售情况'!AQ6/$W$3</f>
        <v>#DIV/0!</v>
      </c>
      <c r="X8" s="21">
        <f t="shared" si="3"/>
        <v>0</v>
      </c>
      <c r="Y8" s="21" t="e">
        <f>'2024年销售情况'!AU6/$Y$3</f>
        <v>#DIV/0!</v>
      </c>
      <c r="Z8" s="21">
        <f t="shared" si="4"/>
        <v>0</v>
      </c>
      <c r="AA8" s="21" t="e">
        <f>'2024年销售情况'!AY6/$AA$3</f>
        <v>#DIV/0!</v>
      </c>
      <c r="AB8" s="21">
        <f t="shared" si="5"/>
        <v>0</v>
      </c>
      <c r="AC8" s="21" t="e">
        <f>'2024年销售情况'!BC6/$AC$3</f>
        <v>#DIV/0!</v>
      </c>
      <c r="AD8" s="21">
        <f t="shared" si="6"/>
        <v>0</v>
      </c>
      <c r="AE8" s="21" t="e">
        <f>'2024年销售情况'!BG6/$AE$3</f>
        <v>#DIV/0!</v>
      </c>
      <c r="AF8" s="21">
        <f t="shared" si="7"/>
        <v>0</v>
      </c>
      <c r="AG8" s="21" t="e">
        <f>'2024年销售情况'!BK6/$AG$3</f>
        <v>#DIV/0!</v>
      </c>
      <c r="AH8" s="21">
        <f t="shared" si="8"/>
        <v>0</v>
      </c>
      <c r="AI8" s="21" t="e">
        <f>'2024年销售情况'!BO6/$AI$3</f>
        <v>#DIV/0!</v>
      </c>
      <c r="AJ8" s="21">
        <f t="shared" si="9"/>
        <v>0</v>
      </c>
      <c r="AK8" s="21" t="e">
        <f>'2024年销售情况'!BS6/$AK$3</f>
        <v>#DIV/0!</v>
      </c>
      <c r="AL8" s="21">
        <f t="shared" si="10"/>
        <v>0</v>
      </c>
      <c r="AM8" s="21" t="e">
        <f>'2024年销售情况'!BW6/$AM$3</f>
        <v>#DIV/0!</v>
      </c>
      <c r="AN8" s="21">
        <f t="shared" si="11"/>
        <v>0</v>
      </c>
      <c r="AO8" s="21"/>
      <c r="AP8" s="21"/>
    </row>
    <row r="9" ht="24" customHeight="1" spans="1:42">
      <c r="A9" s="36"/>
      <c r="B9" s="36"/>
      <c r="C9" s="20"/>
      <c r="D9" s="74"/>
      <c r="E9" s="21">
        <f>IFERROR(SUMIF('2024年销售情况'!C:C,C:C,'2024年销售情况'!F:F)/$E$3,0)</f>
        <v>0</v>
      </c>
      <c r="F9" s="21">
        <f>IFERROR(SUMIF('2024年销售情况'!$C:$C,$C:$C,'2024年销售情况'!$F:$F)/$F$3,0)</f>
        <v>0</v>
      </c>
      <c r="G9" s="21">
        <f>IFERROR(SUMIF('2024年销售情况'!$C:$C,$C:$C,'2024年销售情况'!$F:$F)/$G$3,0)</f>
        <v>0</v>
      </c>
      <c r="H9" s="21">
        <f>IFERROR(SUMIF('2024年销售情况'!$C:$C,$C:$C,'2024年销售情况'!$F:$F)/$H$3,0)</f>
        <v>0</v>
      </c>
      <c r="I9" s="21">
        <f>IFERROR(SUMIF('2024年销售情况'!$C:$C,$C:$C,'2024年销售情况'!$F:$F)/$I$3,0)</f>
        <v>0</v>
      </c>
      <c r="J9" s="21">
        <f>IFERROR(SUMIF('2024年销售情况'!$C:$C,$C:$C,'2024年销售情况'!$F:$F)/$J$3,0)</f>
        <v>0</v>
      </c>
      <c r="K9" s="21">
        <f>IFERROR(SUMIF('2024年销售情况'!$C:$C,$C:$C,'2024年销售情况'!$F:$F)/$K$3,0)</f>
        <v>0</v>
      </c>
      <c r="L9" s="21">
        <f>IFERROR(SUMIF('2024年销售情况'!$C:$C,$C:$C,'2024年销售情况'!$F:$F)/$L$3,0)</f>
        <v>0</v>
      </c>
      <c r="M9" s="21">
        <f>IFERROR(SUMIF('2024年销售情况'!$C:$C,$C:$C,'2024年销售情况'!$F:$F)/$M$3,0)</f>
        <v>0</v>
      </c>
      <c r="N9" s="21">
        <f>IFERROR(SUMIF('2024年销售情况'!$C:$C,$C:$C,'2024年销售情况'!$F:$F)/$N$3,0)</f>
        <v>0</v>
      </c>
      <c r="O9" s="21">
        <f>IFERROR(SUMIF('2024年销售情况'!$C:$C,$C:$C,'2024年销售情况'!$F:$F)/$O$3,0)</f>
        <v>0</v>
      </c>
      <c r="P9" s="21">
        <f>IFERROR(SUMIF('2024年销售情况'!$C:$C,$C:$C,'2024年销售情况'!$F:$F)/$P$3,0)</f>
        <v>0</v>
      </c>
      <c r="Q9" s="21" t="e">
        <f>'2024年销售情况'!AE7/$Q$3</f>
        <v>#DIV/0!</v>
      </c>
      <c r="R9" s="21">
        <f t="shared" si="0"/>
        <v>0</v>
      </c>
      <c r="S9" s="21" t="e">
        <f>'2024年销售情况'!AI7/$S$3</f>
        <v>#DIV/0!</v>
      </c>
      <c r="T9" s="21">
        <f t="shared" si="1"/>
        <v>0</v>
      </c>
      <c r="U9" s="21" t="e">
        <f>'2024年销售情况'!AM7/$U$3</f>
        <v>#DIV/0!</v>
      </c>
      <c r="V9" s="21">
        <f t="shared" si="2"/>
        <v>0</v>
      </c>
      <c r="W9" s="21" t="e">
        <f>'2024年销售情况'!AQ7/$W$3</f>
        <v>#DIV/0!</v>
      </c>
      <c r="X9" s="21">
        <f t="shared" si="3"/>
        <v>0</v>
      </c>
      <c r="Y9" s="21" t="e">
        <f>'2024年销售情况'!AU7/$Y$3</f>
        <v>#DIV/0!</v>
      </c>
      <c r="Z9" s="21">
        <f t="shared" si="4"/>
        <v>0</v>
      </c>
      <c r="AA9" s="21" t="e">
        <f>'2024年销售情况'!AY7/$AA$3</f>
        <v>#DIV/0!</v>
      </c>
      <c r="AB9" s="21">
        <f t="shared" si="5"/>
        <v>0</v>
      </c>
      <c r="AC9" s="21" t="e">
        <f>'2024年销售情况'!BC7/$AC$3</f>
        <v>#DIV/0!</v>
      </c>
      <c r="AD9" s="21">
        <f t="shared" si="6"/>
        <v>0</v>
      </c>
      <c r="AE9" s="21" t="e">
        <f>'2024年销售情况'!BG7/$AE$3</f>
        <v>#DIV/0!</v>
      </c>
      <c r="AF9" s="21">
        <f t="shared" si="7"/>
        <v>0</v>
      </c>
      <c r="AG9" s="21" t="e">
        <f>'2024年销售情况'!BK7/$AG$3</f>
        <v>#DIV/0!</v>
      </c>
      <c r="AH9" s="21">
        <f t="shared" si="8"/>
        <v>0</v>
      </c>
      <c r="AI9" s="21" t="e">
        <f>'2024年销售情况'!BO7/$AI$3</f>
        <v>#DIV/0!</v>
      </c>
      <c r="AJ9" s="21">
        <f t="shared" si="9"/>
        <v>0</v>
      </c>
      <c r="AK9" s="21" t="e">
        <f>'2024年销售情况'!BS7/$AK$3</f>
        <v>#DIV/0!</v>
      </c>
      <c r="AL9" s="21">
        <f t="shared" si="10"/>
        <v>0</v>
      </c>
      <c r="AM9" s="21" t="e">
        <f>'2024年销售情况'!BW7/$AM$3</f>
        <v>#DIV/0!</v>
      </c>
      <c r="AN9" s="21">
        <f t="shared" si="11"/>
        <v>0</v>
      </c>
      <c r="AO9" s="21"/>
      <c r="AP9" s="21"/>
    </row>
    <row r="10" ht="24" customHeight="1" spans="1:42">
      <c r="A10" s="36"/>
      <c r="B10" s="36"/>
      <c r="C10" s="20"/>
      <c r="D10" s="74"/>
      <c r="E10" s="21">
        <f>IFERROR(SUMIF('2024年销售情况'!C:C,C:C,'2024年销售情况'!F:F)/$E$3,0)</f>
        <v>0</v>
      </c>
      <c r="F10" s="21">
        <f>IFERROR(SUMIF('2024年销售情况'!$C:$C,$C:$C,'2024年销售情况'!$F:$F)/$F$3,0)</f>
        <v>0</v>
      </c>
      <c r="G10" s="21">
        <f>IFERROR(SUMIF('2024年销售情况'!$C:$C,$C:$C,'2024年销售情况'!$F:$F)/$G$3,0)</f>
        <v>0</v>
      </c>
      <c r="H10" s="21">
        <f>IFERROR(SUMIF('2024年销售情况'!$C:$C,$C:$C,'2024年销售情况'!$F:$F)/$H$3,0)</f>
        <v>0</v>
      </c>
      <c r="I10" s="21">
        <f>IFERROR(SUMIF('2024年销售情况'!$C:$C,$C:$C,'2024年销售情况'!$F:$F)/$I$3,0)</f>
        <v>0</v>
      </c>
      <c r="J10" s="21">
        <f>IFERROR(SUMIF('2024年销售情况'!$C:$C,$C:$C,'2024年销售情况'!$F:$F)/$J$3,0)</f>
        <v>0</v>
      </c>
      <c r="K10" s="21">
        <f>IFERROR(SUMIF('2024年销售情况'!$C:$C,$C:$C,'2024年销售情况'!$F:$F)/$K$3,0)</f>
        <v>0</v>
      </c>
      <c r="L10" s="21">
        <f>IFERROR(SUMIF('2024年销售情况'!$C:$C,$C:$C,'2024年销售情况'!$F:$F)/$L$3,0)</f>
        <v>0</v>
      </c>
      <c r="M10" s="21">
        <f>IFERROR(SUMIF('2024年销售情况'!$C:$C,$C:$C,'2024年销售情况'!$F:$F)/$M$3,0)</f>
        <v>0</v>
      </c>
      <c r="N10" s="21">
        <f>IFERROR(SUMIF('2024年销售情况'!$C:$C,$C:$C,'2024年销售情况'!$F:$F)/$N$3,0)</f>
        <v>0</v>
      </c>
      <c r="O10" s="21">
        <f>IFERROR(SUMIF('2024年销售情况'!$C:$C,$C:$C,'2024年销售情况'!$F:$F)/$O$3,0)</f>
        <v>0</v>
      </c>
      <c r="P10" s="21">
        <f>IFERROR(SUMIF('2024年销售情况'!$C:$C,$C:$C,'2024年销售情况'!$F:$F)/$P$3,0)</f>
        <v>0</v>
      </c>
      <c r="Q10" s="21" t="e">
        <f>'2024年销售情况'!AE8/$Q$3</f>
        <v>#DIV/0!</v>
      </c>
      <c r="R10" s="21">
        <f t="shared" si="0"/>
        <v>0</v>
      </c>
      <c r="S10" s="21" t="e">
        <f>'2024年销售情况'!AI8/$S$3</f>
        <v>#DIV/0!</v>
      </c>
      <c r="T10" s="21">
        <f t="shared" si="1"/>
        <v>0</v>
      </c>
      <c r="U10" s="21" t="e">
        <f>'2024年销售情况'!AM8/$U$3</f>
        <v>#DIV/0!</v>
      </c>
      <c r="V10" s="21">
        <f t="shared" si="2"/>
        <v>0</v>
      </c>
      <c r="W10" s="21" t="e">
        <f>'2024年销售情况'!AQ8/$W$3</f>
        <v>#DIV/0!</v>
      </c>
      <c r="X10" s="21">
        <f t="shared" si="3"/>
        <v>0</v>
      </c>
      <c r="Y10" s="21" t="e">
        <f>'2024年销售情况'!AU8/$Y$3</f>
        <v>#DIV/0!</v>
      </c>
      <c r="Z10" s="21">
        <f t="shared" si="4"/>
        <v>0</v>
      </c>
      <c r="AA10" s="21" t="e">
        <f>'2024年销售情况'!AY8/$AA$3</f>
        <v>#DIV/0!</v>
      </c>
      <c r="AB10" s="21">
        <f t="shared" si="5"/>
        <v>0</v>
      </c>
      <c r="AC10" s="21" t="e">
        <f>'2024年销售情况'!BC8/$AC$3</f>
        <v>#DIV/0!</v>
      </c>
      <c r="AD10" s="21">
        <f t="shared" si="6"/>
        <v>0</v>
      </c>
      <c r="AE10" s="21" t="e">
        <f>'2024年销售情况'!BG8/$AE$3</f>
        <v>#DIV/0!</v>
      </c>
      <c r="AF10" s="21">
        <f t="shared" si="7"/>
        <v>0</v>
      </c>
      <c r="AG10" s="21" t="e">
        <f>'2024年销售情况'!BK8/$AG$3</f>
        <v>#DIV/0!</v>
      </c>
      <c r="AH10" s="21">
        <f t="shared" si="8"/>
        <v>0</v>
      </c>
      <c r="AI10" s="21" t="e">
        <f>'2024年销售情况'!BO8/$AI$3</f>
        <v>#DIV/0!</v>
      </c>
      <c r="AJ10" s="21">
        <f t="shared" si="9"/>
        <v>0</v>
      </c>
      <c r="AK10" s="21" t="e">
        <f>'2024年销售情况'!BS8/$AK$3</f>
        <v>#DIV/0!</v>
      </c>
      <c r="AL10" s="21">
        <f t="shared" si="10"/>
        <v>0</v>
      </c>
      <c r="AM10" s="21" t="e">
        <f>'2024年销售情况'!BW8/$AM$3</f>
        <v>#DIV/0!</v>
      </c>
      <c r="AN10" s="21">
        <f t="shared" si="11"/>
        <v>0</v>
      </c>
      <c r="AO10" s="21"/>
      <c r="AP10" s="21"/>
    </row>
    <row r="11" ht="24" customHeight="1" spans="1:42">
      <c r="A11" s="36"/>
      <c r="B11" s="36"/>
      <c r="C11" s="20"/>
      <c r="D11" s="74"/>
      <c r="E11" s="21">
        <f>IFERROR(SUMIF('2024年销售情况'!C:C,C:C,'2024年销售情况'!F:F)/$E$3,0)</f>
        <v>0</v>
      </c>
      <c r="F11" s="21">
        <f>IFERROR(SUMIF('2024年销售情况'!$C:$C,$C:$C,'2024年销售情况'!$F:$F)/$F$3,0)</f>
        <v>0</v>
      </c>
      <c r="G11" s="21">
        <f>IFERROR(SUMIF('2024年销售情况'!$C:$C,$C:$C,'2024年销售情况'!$F:$F)/$G$3,0)</f>
        <v>0</v>
      </c>
      <c r="H11" s="21">
        <f>IFERROR(SUMIF('2024年销售情况'!$C:$C,$C:$C,'2024年销售情况'!$F:$F)/$H$3,0)</f>
        <v>0</v>
      </c>
      <c r="I11" s="21">
        <f>IFERROR(SUMIF('2024年销售情况'!$C:$C,$C:$C,'2024年销售情况'!$F:$F)/$I$3,0)</f>
        <v>0</v>
      </c>
      <c r="J11" s="21">
        <f>IFERROR(SUMIF('2024年销售情况'!$C:$C,$C:$C,'2024年销售情况'!$F:$F)/$J$3,0)</f>
        <v>0</v>
      </c>
      <c r="K11" s="21">
        <f>IFERROR(SUMIF('2024年销售情况'!$C:$C,$C:$C,'2024年销售情况'!$F:$F)/$K$3,0)</f>
        <v>0</v>
      </c>
      <c r="L11" s="21">
        <f>IFERROR(SUMIF('2024年销售情况'!$C:$C,$C:$C,'2024年销售情况'!$F:$F)/$L$3,0)</f>
        <v>0</v>
      </c>
      <c r="M11" s="21">
        <f>IFERROR(SUMIF('2024年销售情况'!$C:$C,$C:$C,'2024年销售情况'!$F:$F)/$M$3,0)</f>
        <v>0</v>
      </c>
      <c r="N11" s="21">
        <f>IFERROR(SUMIF('2024年销售情况'!$C:$C,$C:$C,'2024年销售情况'!$F:$F)/$N$3,0)</f>
        <v>0</v>
      </c>
      <c r="O11" s="21">
        <f>IFERROR(SUMIF('2024年销售情况'!$C:$C,$C:$C,'2024年销售情况'!$F:$F)/$O$3,0)</f>
        <v>0</v>
      </c>
      <c r="P11" s="21">
        <f>IFERROR(SUMIF('2024年销售情况'!$C:$C,$C:$C,'2024年销售情况'!$F:$F)/$P$3,0)</f>
        <v>0</v>
      </c>
      <c r="Q11" s="21" t="e">
        <f>'2024年销售情况'!AE9/$Q$3</f>
        <v>#DIV/0!</v>
      </c>
      <c r="R11" s="21">
        <f t="shared" si="0"/>
        <v>0</v>
      </c>
      <c r="S11" s="21" t="e">
        <f>'2024年销售情况'!AI9/$S$3</f>
        <v>#DIV/0!</v>
      </c>
      <c r="T11" s="21">
        <f t="shared" si="1"/>
        <v>0</v>
      </c>
      <c r="U11" s="21" t="e">
        <f>'2024年销售情况'!AM9/$U$3</f>
        <v>#DIV/0!</v>
      </c>
      <c r="V11" s="21">
        <f t="shared" si="2"/>
        <v>0</v>
      </c>
      <c r="W11" s="21" t="e">
        <f>'2024年销售情况'!AQ9/$W$3</f>
        <v>#DIV/0!</v>
      </c>
      <c r="X11" s="21">
        <f t="shared" si="3"/>
        <v>0</v>
      </c>
      <c r="Y11" s="21" t="e">
        <f>'2024年销售情况'!AU9/$Y$3</f>
        <v>#DIV/0!</v>
      </c>
      <c r="Z11" s="21">
        <f t="shared" si="4"/>
        <v>0</v>
      </c>
      <c r="AA11" s="21" t="e">
        <f>'2024年销售情况'!AY9/$AA$3</f>
        <v>#DIV/0!</v>
      </c>
      <c r="AB11" s="21">
        <f t="shared" si="5"/>
        <v>0</v>
      </c>
      <c r="AC11" s="21" t="e">
        <f>'2024年销售情况'!BC9/$AC$3</f>
        <v>#DIV/0!</v>
      </c>
      <c r="AD11" s="21">
        <f t="shared" si="6"/>
        <v>0</v>
      </c>
      <c r="AE11" s="21" t="e">
        <f>'2024年销售情况'!BG9/$AE$3</f>
        <v>#DIV/0!</v>
      </c>
      <c r="AF11" s="21">
        <f t="shared" si="7"/>
        <v>0</v>
      </c>
      <c r="AG11" s="21" t="e">
        <f>'2024年销售情况'!BK9/$AG$3</f>
        <v>#DIV/0!</v>
      </c>
      <c r="AH11" s="21">
        <f t="shared" si="8"/>
        <v>0</v>
      </c>
      <c r="AI11" s="21" t="e">
        <f>'2024年销售情况'!BO9/$AI$3</f>
        <v>#DIV/0!</v>
      </c>
      <c r="AJ11" s="21">
        <f t="shared" si="9"/>
        <v>0</v>
      </c>
      <c r="AK11" s="21" t="e">
        <f>'2024年销售情况'!BS9/$AK$3</f>
        <v>#DIV/0!</v>
      </c>
      <c r="AL11" s="21">
        <f t="shared" si="10"/>
        <v>0</v>
      </c>
      <c r="AM11" s="21" t="e">
        <f>'2024年销售情况'!BW9/$AM$3</f>
        <v>#DIV/0!</v>
      </c>
      <c r="AN11" s="21">
        <f t="shared" si="11"/>
        <v>0</v>
      </c>
      <c r="AO11" s="21"/>
      <c r="AP11" s="21"/>
    </row>
    <row r="12" ht="24" customHeight="1" spans="1:42">
      <c r="A12" s="36"/>
      <c r="B12" s="36"/>
      <c r="C12" s="20"/>
      <c r="D12" s="74"/>
      <c r="E12" s="21">
        <f>IFERROR(SUMIF('2024年销售情况'!C:C,C:C,'2024年销售情况'!F:F)/$E$3,0)</f>
        <v>0</v>
      </c>
      <c r="F12" s="21">
        <f>IFERROR(SUMIF('2024年销售情况'!$C:$C,$C:$C,'2024年销售情况'!$F:$F)/$F$3,0)</f>
        <v>0</v>
      </c>
      <c r="G12" s="21">
        <f>IFERROR(SUMIF('2024年销售情况'!$C:$C,$C:$C,'2024年销售情况'!$F:$F)/$G$3,0)</f>
        <v>0</v>
      </c>
      <c r="H12" s="21">
        <f>IFERROR(SUMIF('2024年销售情况'!$C:$C,$C:$C,'2024年销售情况'!$F:$F)/$H$3,0)</f>
        <v>0</v>
      </c>
      <c r="I12" s="21">
        <f>IFERROR(SUMIF('2024年销售情况'!$C:$C,$C:$C,'2024年销售情况'!$F:$F)/$I$3,0)</f>
        <v>0</v>
      </c>
      <c r="J12" s="21">
        <f>IFERROR(SUMIF('2024年销售情况'!$C:$C,$C:$C,'2024年销售情况'!$F:$F)/$J$3,0)</f>
        <v>0</v>
      </c>
      <c r="K12" s="21">
        <f>IFERROR(SUMIF('2024年销售情况'!$C:$C,$C:$C,'2024年销售情况'!$F:$F)/$K$3,0)</f>
        <v>0</v>
      </c>
      <c r="L12" s="21">
        <f>IFERROR(SUMIF('2024年销售情况'!$C:$C,$C:$C,'2024年销售情况'!$F:$F)/$L$3,0)</f>
        <v>0</v>
      </c>
      <c r="M12" s="21">
        <f>IFERROR(SUMIF('2024年销售情况'!$C:$C,$C:$C,'2024年销售情况'!$F:$F)/$M$3,0)</f>
        <v>0</v>
      </c>
      <c r="N12" s="21">
        <f>IFERROR(SUMIF('2024年销售情况'!$C:$C,$C:$C,'2024年销售情况'!$F:$F)/$N$3,0)</f>
        <v>0</v>
      </c>
      <c r="O12" s="21">
        <f>IFERROR(SUMIF('2024年销售情况'!$C:$C,$C:$C,'2024年销售情况'!$F:$F)/$O$3,0)</f>
        <v>0</v>
      </c>
      <c r="P12" s="21">
        <f>IFERROR(SUMIF('2024年销售情况'!$C:$C,$C:$C,'2024年销售情况'!$F:$F)/$P$3,0)</f>
        <v>0</v>
      </c>
      <c r="Q12" s="21" t="e">
        <f>'2024年销售情况'!AE10/$Q$3</f>
        <v>#DIV/0!</v>
      </c>
      <c r="R12" s="21">
        <f t="shared" si="0"/>
        <v>0</v>
      </c>
      <c r="S12" s="21" t="e">
        <f>'2024年销售情况'!AI10/$S$3</f>
        <v>#DIV/0!</v>
      </c>
      <c r="T12" s="21">
        <f t="shared" si="1"/>
        <v>0</v>
      </c>
      <c r="U12" s="21" t="e">
        <f>'2024年销售情况'!AM10/$U$3</f>
        <v>#DIV/0!</v>
      </c>
      <c r="V12" s="21">
        <f t="shared" si="2"/>
        <v>0</v>
      </c>
      <c r="W12" s="21" t="e">
        <f>'2024年销售情况'!AQ10/$W$3</f>
        <v>#DIV/0!</v>
      </c>
      <c r="X12" s="21">
        <f t="shared" si="3"/>
        <v>0</v>
      </c>
      <c r="Y12" s="21" t="e">
        <f>'2024年销售情况'!AU10/$Y$3</f>
        <v>#DIV/0!</v>
      </c>
      <c r="Z12" s="21">
        <f t="shared" si="4"/>
        <v>0</v>
      </c>
      <c r="AA12" s="21" t="e">
        <f>'2024年销售情况'!AY10/$AA$3</f>
        <v>#DIV/0!</v>
      </c>
      <c r="AB12" s="21">
        <f t="shared" si="5"/>
        <v>0</v>
      </c>
      <c r="AC12" s="21" t="e">
        <f>'2024年销售情况'!BC10/$AC$3</f>
        <v>#DIV/0!</v>
      </c>
      <c r="AD12" s="21">
        <f t="shared" si="6"/>
        <v>0</v>
      </c>
      <c r="AE12" s="21" t="e">
        <f>'2024年销售情况'!BG10/$AE$3</f>
        <v>#DIV/0!</v>
      </c>
      <c r="AF12" s="21">
        <f t="shared" si="7"/>
        <v>0</v>
      </c>
      <c r="AG12" s="21" t="e">
        <f>'2024年销售情况'!BK10/$AG$3</f>
        <v>#DIV/0!</v>
      </c>
      <c r="AH12" s="21">
        <f t="shared" si="8"/>
        <v>0</v>
      </c>
      <c r="AI12" s="21" t="e">
        <f>'2024年销售情况'!BO10/$AI$3</f>
        <v>#DIV/0!</v>
      </c>
      <c r="AJ12" s="21">
        <f t="shared" si="9"/>
        <v>0</v>
      </c>
      <c r="AK12" s="21" t="e">
        <f>'2024年销售情况'!BS10/$AK$3</f>
        <v>#DIV/0!</v>
      </c>
      <c r="AL12" s="21">
        <f t="shared" si="10"/>
        <v>0</v>
      </c>
      <c r="AM12" s="21" t="e">
        <f>'2024年销售情况'!BW10/$AM$3</f>
        <v>#DIV/0!</v>
      </c>
      <c r="AN12" s="21">
        <f t="shared" si="11"/>
        <v>0</v>
      </c>
      <c r="AO12" s="21"/>
      <c r="AP12" s="21"/>
    </row>
    <row r="13" ht="24" customHeight="1" spans="1:42">
      <c r="A13" s="36"/>
      <c r="B13" s="36"/>
      <c r="C13" s="20"/>
      <c r="D13" s="74"/>
      <c r="E13" s="21">
        <f>IFERROR(SUMIF('2024年销售情况'!C:C,C:C,'2024年销售情况'!F:F)/$E$3,0)</f>
        <v>0</v>
      </c>
      <c r="F13" s="21">
        <f>IFERROR(SUMIF('2024年销售情况'!$C:$C,$C:$C,'2024年销售情况'!$F:$F)/$F$3,0)</f>
        <v>0</v>
      </c>
      <c r="G13" s="21">
        <f>IFERROR(SUMIF('2024年销售情况'!$C:$C,$C:$C,'2024年销售情况'!$F:$F)/$G$3,0)</f>
        <v>0</v>
      </c>
      <c r="H13" s="21">
        <f>IFERROR(SUMIF('2024年销售情况'!$C:$C,$C:$C,'2024年销售情况'!$F:$F)/$H$3,0)</f>
        <v>0</v>
      </c>
      <c r="I13" s="21">
        <f>IFERROR(SUMIF('2024年销售情况'!$C:$C,$C:$C,'2024年销售情况'!$F:$F)/$I$3,0)</f>
        <v>0</v>
      </c>
      <c r="J13" s="21">
        <f>IFERROR(SUMIF('2024年销售情况'!$C:$C,$C:$C,'2024年销售情况'!$F:$F)/$J$3,0)</f>
        <v>0</v>
      </c>
      <c r="K13" s="21">
        <f>IFERROR(SUMIF('2024年销售情况'!$C:$C,$C:$C,'2024年销售情况'!$F:$F)/$K$3,0)</f>
        <v>0</v>
      </c>
      <c r="L13" s="21">
        <f>IFERROR(SUMIF('2024年销售情况'!$C:$C,$C:$C,'2024年销售情况'!$F:$F)/$L$3,0)</f>
        <v>0</v>
      </c>
      <c r="M13" s="21">
        <f>IFERROR(SUMIF('2024年销售情况'!$C:$C,$C:$C,'2024年销售情况'!$F:$F)/$M$3,0)</f>
        <v>0</v>
      </c>
      <c r="N13" s="21">
        <f>IFERROR(SUMIF('2024年销售情况'!$C:$C,$C:$C,'2024年销售情况'!$F:$F)/$N$3,0)</f>
        <v>0</v>
      </c>
      <c r="O13" s="21">
        <f>IFERROR(SUMIF('2024年销售情况'!$C:$C,$C:$C,'2024年销售情况'!$F:$F)/$O$3,0)</f>
        <v>0</v>
      </c>
      <c r="P13" s="21">
        <f>IFERROR(SUMIF('2024年销售情况'!$C:$C,$C:$C,'2024年销售情况'!$F:$F)/$P$3,0)</f>
        <v>0</v>
      </c>
      <c r="Q13" s="21" t="e">
        <f>'2024年销售情况'!AE11/$Q$3</f>
        <v>#DIV/0!</v>
      </c>
      <c r="R13" s="21">
        <f t="shared" si="0"/>
        <v>0</v>
      </c>
      <c r="S13" s="21" t="e">
        <f>'2024年销售情况'!AI11/$S$3</f>
        <v>#DIV/0!</v>
      </c>
      <c r="T13" s="21">
        <f t="shared" si="1"/>
        <v>0</v>
      </c>
      <c r="U13" s="21" t="e">
        <f>'2024年销售情况'!AM11/$U$3</f>
        <v>#DIV/0!</v>
      </c>
      <c r="V13" s="21">
        <f t="shared" si="2"/>
        <v>0</v>
      </c>
      <c r="W13" s="21" t="e">
        <f>'2024年销售情况'!AQ11/$W$3</f>
        <v>#DIV/0!</v>
      </c>
      <c r="X13" s="21">
        <f t="shared" si="3"/>
        <v>0</v>
      </c>
      <c r="Y13" s="21" t="e">
        <f>'2024年销售情况'!AU11/$Y$3</f>
        <v>#DIV/0!</v>
      </c>
      <c r="Z13" s="21">
        <f t="shared" si="4"/>
        <v>0</v>
      </c>
      <c r="AA13" s="21" t="e">
        <f>'2024年销售情况'!AY11/$AA$3</f>
        <v>#DIV/0!</v>
      </c>
      <c r="AB13" s="21">
        <f t="shared" si="5"/>
        <v>0</v>
      </c>
      <c r="AC13" s="21" t="e">
        <f>'2024年销售情况'!BC11/$AC$3</f>
        <v>#DIV/0!</v>
      </c>
      <c r="AD13" s="21">
        <f t="shared" si="6"/>
        <v>0</v>
      </c>
      <c r="AE13" s="21" t="e">
        <f>'2024年销售情况'!BG11/$AE$3</f>
        <v>#DIV/0!</v>
      </c>
      <c r="AF13" s="21">
        <f t="shared" si="7"/>
        <v>0</v>
      </c>
      <c r="AG13" s="21" t="e">
        <f>'2024年销售情况'!BK11/$AG$3</f>
        <v>#DIV/0!</v>
      </c>
      <c r="AH13" s="21">
        <f t="shared" si="8"/>
        <v>0</v>
      </c>
      <c r="AI13" s="21" t="e">
        <f>'2024年销售情况'!BO11/$AI$3</f>
        <v>#DIV/0!</v>
      </c>
      <c r="AJ13" s="21">
        <f t="shared" si="9"/>
        <v>0</v>
      </c>
      <c r="AK13" s="21" t="e">
        <f>'2024年销售情况'!BS11/$AK$3</f>
        <v>#DIV/0!</v>
      </c>
      <c r="AL13" s="21">
        <f t="shared" si="10"/>
        <v>0</v>
      </c>
      <c r="AM13" s="21" t="e">
        <f>'2024年销售情况'!BW11/$AM$3</f>
        <v>#DIV/0!</v>
      </c>
      <c r="AN13" s="21">
        <f t="shared" si="11"/>
        <v>0</v>
      </c>
      <c r="AO13" s="21"/>
      <c r="AP13" s="21"/>
    </row>
    <row r="14" ht="24" customHeight="1" spans="1:42">
      <c r="A14" s="36"/>
      <c r="B14" s="36"/>
      <c r="C14" s="20"/>
      <c r="D14" s="74"/>
      <c r="E14" s="21">
        <f>IFERROR(SUMIF('2024年销售情况'!C:C,C:C,'2024年销售情况'!F:F)/$E$3,0)</f>
        <v>0</v>
      </c>
      <c r="F14" s="21">
        <f>IFERROR(SUMIF('2024年销售情况'!$C:$C,$C:$C,'2024年销售情况'!$F:$F)/$F$3,0)</f>
        <v>0</v>
      </c>
      <c r="G14" s="21">
        <f>IFERROR(SUMIF('2024年销售情况'!$C:$C,$C:$C,'2024年销售情况'!$F:$F)/$G$3,0)</f>
        <v>0</v>
      </c>
      <c r="H14" s="21">
        <f>IFERROR(SUMIF('2024年销售情况'!$C:$C,$C:$C,'2024年销售情况'!$F:$F)/$H$3,0)</f>
        <v>0</v>
      </c>
      <c r="I14" s="21">
        <f>IFERROR(SUMIF('2024年销售情况'!$C:$C,$C:$C,'2024年销售情况'!$F:$F)/$I$3,0)</f>
        <v>0</v>
      </c>
      <c r="J14" s="21">
        <f>IFERROR(SUMIF('2024年销售情况'!$C:$C,$C:$C,'2024年销售情况'!$F:$F)/$J$3,0)</f>
        <v>0</v>
      </c>
      <c r="K14" s="21">
        <f>IFERROR(SUMIF('2024年销售情况'!$C:$C,$C:$C,'2024年销售情况'!$F:$F)/$K$3,0)</f>
        <v>0</v>
      </c>
      <c r="L14" s="21">
        <f>IFERROR(SUMIF('2024年销售情况'!$C:$C,$C:$C,'2024年销售情况'!$F:$F)/$L$3,0)</f>
        <v>0</v>
      </c>
      <c r="M14" s="21">
        <f>IFERROR(SUMIF('2024年销售情况'!$C:$C,$C:$C,'2024年销售情况'!$F:$F)/$M$3,0)</f>
        <v>0</v>
      </c>
      <c r="N14" s="21">
        <f>IFERROR(SUMIF('2024年销售情况'!$C:$C,$C:$C,'2024年销售情况'!$F:$F)/$N$3,0)</f>
        <v>0</v>
      </c>
      <c r="O14" s="21">
        <f>IFERROR(SUMIF('2024年销售情况'!$C:$C,$C:$C,'2024年销售情况'!$F:$F)/$O$3,0)</f>
        <v>0</v>
      </c>
      <c r="P14" s="21">
        <f>IFERROR(SUMIF('2024年销售情况'!$C:$C,$C:$C,'2024年销售情况'!$F:$F)/$P$3,0)</f>
        <v>0</v>
      </c>
      <c r="Q14" s="21" t="e">
        <f>'2024年销售情况'!AE12/$Q$3</f>
        <v>#DIV/0!</v>
      </c>
      <c r="R14" s="21">
        <f t="shared" si="0"/>
        <v>0</v>
      </c>
      <c r="S14" s="21" t="e">
        <f>'2024年销售情况'!AI12/$S$3</f>
        <v>#DIV/0!</v>
      </c>
      <c r="T14" s="21">
        <f t="shared" si="1"/>
        <v>0</v>
      </c>
      <c r="U14" s="21" t="e">
        <f>'2024年销售情况'!AM12/$U$3</f>
        <v>#DIV/0!</v>
      </c>
      <c r="V14" s="21">
        <f t="shared" si="2"/>
        <v>0</v>
      </c>
      <c r="W14" s="21" t="e">
        <f>'2024年销售情况'!AQ12/$W$3</f>
        <v>#DIV/0!</v>
      </c>
      <c r="X14" s="21">
        <f t="shared" si="3"/>
        <v>0</v>
      </c>
      <c r="Y14" s="21" t="e">
        <f>'2024年销售情况'!AU12/$Y$3</f>
        <v>#DIV/0!</v>
      </c>
      <c r="Z14" s="21">
        <f t="shared" si="4"/>
        <v>0</v>
      </c>
      <c r="AA14" s="21" t="e">
        <f>'2024年销售情况'!AY12/$AA$3</f>
        <v>#DIV/0!</v>
      </c>
      <c r="AB14" s="21">
        <f t="shared" si="5"/>
        <v>0</v>
      </c>
      <c r="AC14" s="21" t="e">
        <f>'2024年销售情况'!BC12/$AC$3</f>
        <v>#DIV/0!</v>
      </c>
      <c r="AD14" s="21">
        <f t="shared" si="6"/>
        <v>0</v>
      </c>
      <c r="AE14" s="21" t="e">
        <f>'2024年销售情况'!BG12/$AE$3</f>
        <v>#DIV/0!</v>
      </c>
      <c r="AF14" s="21">
        <f t="shared" si="7"/>
        <v>0</v>
      </c>
      <c r="AG14" s="21" t="e">
        <f>'2024年销售情况'!BK12/$AG$3</f>
        <v>#DIV/0!</v>
      </c>
      <c r="AH14" s="21">
        <f t="shared" si="8"/>
        <v>0</v>
      </c>
      <c r="AI14" s="21" t="e">
        <f>'2024年销售情况'!BO12/$AI$3</f>
        <v>#DIV/0!</v>
      </c>
      <c r="AJ14" s="21">
        <f t="shared" si="9"/>
        <v>0</v>
      </c>
      <c r="AK14" s="21" t="e">
        <f>'2024年销售情况'!BS12/$AK$3</f>
        <v>#DIV/0!</v>
      </c>
      <c r="AL14" s="21">
        <f t="shared" si="10"/>
        <v>0</v>
      </c>
      <c r="AM14" s="21" t="e">
        <f>'2024年销售情况'!BW12/$AM$3</f>
        <v>#DIV/0!</v>
      </c>
      <c r="AN14" s="21">
        <f t="shared" si="11"/>
        <v>0</v>
      </c>
      <c r="AO14" s="21"/>
      <c r="AP14" s="21"/>
    </row>
    <row r="15" ht="24" customHeight="1" spans="1:42">
      <c r="A15" s="36"/>
      <c r="B15" s="36"/>
      <c r="C15" s="20"/>
      <c r="D15" s="74"/>
      <c r="E15" s="21">
        <f>IFERROR(SUMIF('2024年销售情况'!C:C,C:C,'2024年销售情况'!F:F)/$E$3,0)</f>
        <v>0</v>
      </c>
      <c r="F15" s="21">
        <f>IFERROR(SUMIF('2024年销售情况'!$C:$C,$C:$C,'2024年销售情况'!$F:$F)/$F$3,0)</f>
        <v>0</v>
      </c>
      <c r="G15" s="21">
        <f>IFERROR(SUMIF('2024年销售情况'!$C:$C,$C:$C,'2024年销售情况'!$F:$F)/$G$3,0)</f>
        <v>0</v>
      </c>
      <c r="H15" s="21">
        <f>IFERROR(SUMIF('2024年销售情况'!$C:$C,$C:$C,'2024年销售情况'!$F:$F)/$H$3,0)</f>
        <v>0</v>
      </c>
      <c r="I15" s="21">
        <f>IFERROR(SUMIF('2024年销售情况'!$C:$C,$C:$C,'2024年销售情况'!$F:$F)/$I$3,0)</f>
        <v>0</v>
      </c>
      <c r="J15" s="21">
        <f>IFERROR(SUMIF('2024年销售情况'!$C:$C,$C:$C,'2024年销售情况'!$F:$F)/$J$3,0)</f>
        <v>0</v>
      </c>
      <c r="K15" s="21">
        <f>IFERROR(SUMIF('2024年销售情况'!$C:$C,$C:$C,'2024年销售情况'!$F:$F)/$K$3,0)</f>
        <v>0</v>
      </c>
      <c r="L15" s="21">
        <f>IFERROR(SUMIF('2024年销售情况'!$C:$C,$C:$C,'2024年销售情况'!$F:$F)/$L$3,0)</f>
        <v>0</v>
      </c>
      <c r="M15" s="21">
        <f>IFERROR(SUMIF('2024年销售情况'!$C:$C,$C:$C,'2024年销售情况'!$F:$F)/$M$3,0)</f>
        <v>0</v>
      </c>
      <c r="N15" s="21">
        <f>IFERROR(SUMIF('2024年销售情况'!$C:$C,$C:$C,'2024年销售情况'!$F:$F)/$N$3,0)</f>
        <v>0</v>
      </c>
      <c r="O15" s="21">
        <f>IFERROR(SUMIF('2024年销售情况'!$C:$C,$C:$C,'2024年销售情况'!$F:$F)/$O$3,0)</f>
        <v>0</v>
      </c>
      <c r="P15" s="21">
        <f>IFERROR(SUMIF('2024年销售情况'!$C:$C,$C:$C,'2024年销售情况'!$F:$F)/$P$3,0)</f>
        <v>0</v>
      </c>
      <c r="Q15" s="21" t="e">
        <f>'2024年销售情况'!AE13/$Q$3</f>
        <v>#DIV/0!</v>
      </c>
      <c r="R15" s="21">
        <f t="shared" si="0"/>
        <v>0</v>
      </c>
      <c r="S15" s="21" t="e">
        <f>'2024年销售情况'!AI13/$S$3</f>
        <v>#DIV/0!</v>
      </c>
      <c r="T15" s="21">
        <f t="shared" si="1"/>
        <v>0</v>
      </c>
      <c r="U15" s="21" t="e">
        <f>'2024年销售情况'!AM13/$U$3</f>
        <v>#DIV/0!</v>
      </c>
      <c r="V15" s="21">
        <f t="shared" si="2"/>
        <v>0</v>
      </c>
      <c r="W15" s="21" t="e">
        <f>'2024年销售情况'!AQ13/$W$3</f>
        <v>#DIV/0!</v>
      </c>
      <c r="X15" s="21">
        <f t="shared" si="3"/>
        <v>0</v>
      </c>
      <c r="Y15" s="21" t="e">
        <f>'2024年销售情况'!AU13/$Y$3</f>
        <v>#DIV/0!</v>
      </c>
      <c r="Z15" s="21">
        <f t="shared" si="4"/>
        <v>0</v>
      </c>
      <c r="AA15" s="21" t="e">
        <f>'2024年销售情况'!AY13/$AA$3</f>
        <v>#DIV/0!</v>
      </c>
      <c r="AB15" s="21">
        <f t="shared" si="5"/>
        <v>0</v>
      </c>
      <c r="AC15" s="21" t="e">
        <f>'2024年销售情况'!BC13/$AC$3</f>
        <v>#DIV/0!</v>
      </c>
      <c r="AD15" s="21">
        <f t="shared" si="6"/>
        <v>0</v>
      </c>
      <c r="AE15" s="21" t="e">
        <f>'2024年销售情况'!BG13/$AE$3</f>
        <v>#DIV/0!</v>
      </c>
      <c r="AF15" s="21">
        <f t="shared" si="7"/>
        <v>0</v>
      </c>
      <c r="AG15" s="21" t="e">
        <f>'2024年销售情况'!BK13/$AG$3</f>
        <v>#DIV/0!</v>
      </c>
      <c r="AH15" s="21">
        <f t="shared" si="8"/>
        <v>0</v>
      </c>
      <c r="AI15" s="21" t="e">
        <f>'2024年销售情况'!BO13/$AI$3</f>
        <v>#DIV/0!</v>
      </c>
      <c r="AJ15" s="21">
        <f t="shared" si="9"/>
        <v>0</v>
      </c>
      <c r="AK15" s="21" t="e">
        <f>'2024年销售情况'!BS13/$AK$3</f>
        <v>#DIV/0!</v>
      </c>
      <c r="AL15" s="21">
        <f t="shared" si="10"/>
        <v>0</v>
      </c>
      <c r="AM15" s="21" t="e">
        <f>'2024年销售情况'!BW13/$AM$3</f>
        <v>#DIV/0!</v>
      </c>
      <c r="AN15" s="21">
        <f t="shared" si="11"/>
        <v>0</v>
      </c>
      <c r="AO15" s="21"/>
      <c r="AP15" s="21"/>
    </row>
    <row r="16" ht="24" customHeight="1" spans="1:42">
      <c r="A16" s="36"/>
      <c r="B16" s="36"/>
      <c r="C16" s="20"/>
      <c r="D16" s="74"/>
      <c r="E16" s="21">
        <f>IFERROR(SUMIF('2024年销售情况'!C:C,C:C,'2024年销售情况'!F:F)/$E$3,0)</f>
        <v>0</v>
      </c>
      <c r="F16" s="21">
        <f>IFERROR(SUMIF('2024年销售情况'!$C:$C,$C:$C,'2024年销售情况'!$F:$F)/$F$3,0)</f>
        <v>0</v>
      </c>
      <c r="G16" s="21">
        <f>IFERROR(SUMIF('2024年销售情况'!$C:$C,$C:$C,'2024年销售情况'!$F:$F)/$G$3,0)</f>
        <v>0</v>
      </c>
      <c r="H16" s="21">
        <f>IFERROR(SUMIF('2024年销售情况'!$C:$C,$C:$C,'2024年销售情况'!$F:$F)/$H$3,0)</f>
        <v>0</v>
      </c>
      <c r="I16" s="21">
        <f>IFERROR(SUMIF('2024年销售情况'!$C:$C,$C:$C,'2024年销售情况'!$F:$F)/$I$3,0)</f>
        <v>0</v>
      </c>
      <c r="J16" s="21">
        <f>IFERROR(SUMIF('2024年销售情况'!$C:$C,$C:$C,'2024年销售情况'!$F:$F)/$J$3,0)</f>
        <v>0</v>
      </c>
      <c r="K16" s="21">
        <f>IFERROR(SUMIF('2024年销售情况'!$C:$C,$C:$C,'2024年销售情况'!$F:$F)/$K$3,0)</f>
        <v>0</v>
      </c>
      <c r="L16" s="21">
        <f>IFERROR(SUMIF('2024年销售情况'!$C:$C,$C:$C,'2024年销售情况'!$F:$F)/$L$3,0)</f>
        <v>0</v>
      </c>
      <c r="M16" s="21">
        <f>IFERROR(SUMIF('2024年销售情况'!$C:$C,$C:$C,'2024年销售情况'!$F:$F)/$M$3,0)</f>
        <v>0</v>
      </c>
      <c r="N16" s="21">
        <f>IFERROR(SUMIF('2024年销售情况'!$C:$C,$C:$C,'2024年销售情况'!$F:$F)/$N$3,0)</f>
        <v>0</v>
      </c>
      <c r="O16" s="21">
        <f>IFERROR(SUMIF('2024年销售情况'!$C:$C,$C:$C,'2024年销售情况'!$F:$F)/$O$3,0)</f>
        <v>0</v>
      </c>
      <c r="P16" s="21">
        <f>IFERROR(SUMIF('2024年销售情况'!$C:$C,$C:$C,'2024年销售情况'!$F:$F)/$P$3,0)</f>
        <v>0</v>
      </c>
      <c r="Q16" s="21" t="e">
        <f>'2024年销售情况'!AE14/$Q$3</f>
        <v>#DIV/0!</v>
      </c>
      <c r="R16" s="21">
        <f t="shared" si="0"/>
        <v>0</v>
      </c>
      <c r="S16" s="21" t="e">
        <f>'2024年销售情况'!AI14/$S$3</f>
        <v>#DIV/0!</v>
      </c>
      <c r="T16" s="21">
        <f t="shared" si="1"/>
        <v>0</v>
      </c>
      <c r="U16" s="21" t="e">
        <f>'2024年销售情况'!AM14/$U$3</f>
        <v>#DIV/0!</v>
      </c>
      <c r="V16" s="21">
        <f t="shared" si="2"/>
        <v>0</v>
      </c>
      <c r="W16" s="21" t="e">
        <f>'2024年销售情况'!AQ14/$W$3</f>
        <v>#DIV/0!</v>
      </c>
      <c r="X16" s="21">
        <f t="shared" si="3"/>
        <v>0</v>
      </c>
      <c r="Y16" s="21" t="e">
        <f>'2024年销售情况'!AU14/$Y$3</f>
        <v>#DIV/0!</v>
      </c>
      <c r="Z16" s="21">
        <f t="shared" si="4"/>
        <v>0</v>
      </c>
      <c r="AA16" s="21" t="e">
        <f>'2024年销售情况'!AY14/$AA$3</f>
        <v>#DIV/0!</v>
      </c>
      <c r="AB16" s="21">
        <f t="shared" si="5"/>
        <v>0</v>
      </c>
      <c r="AC16" s="21" t="e">
        <f>'2024年销售情况'!BC14/$AC$3</f>
        <v>#DIV/0!</v>
      </c>
      <c r="AD16" s="21">
        <f t="shared" si="6"/>
        <v>0</v>
      </c>
      <c r="AE16" s="21" t="e">
        <f>'2024年销售情况'!BG14/$AE$3</f>
        <v>#DIV/0!</v>
      </c>
      <c r="AF16" s="21">
        <f t="shared" si="7"/>
        <v>0</v>
      </c>
      <c r="AG16" s="21" t="e">
        <f>'2024年销售情况'!BK14/$AG$3</f>
        <v>#DIV/0!</v>
      </c>
      <c r="AH16" s="21">
        <f t="shared" si="8"/>
        <v>0</v>
      </c>
      <c r="AI16" s="21" t="e">
        <f>'2024年销售情况'!BO14/$AI$3</f>
        <v>#DIV/0!</v>
      </c>
      <c r="AJ16" s="21">
        <f t="shared" si="9"/>
        <v>0</v>
      </c>
      <c r="AK16" s="21" t="e">
        <f>'2024年销售情况'!BS14/$AK$3</f>
        <v>#DIV/0!</v>
      </c>
      <c r="AL16" s="21">
        <f t="shared" si="10"/>
        <v>0</v>
      </c>
      <c r="AM16" s="21" t="e">
        <f>'2024年销售情况'!BW14/$AM$3</f>
        <v>#DIV/0!</v>
      </c>
      <c r="AN16" s="21">
        <f t="shared" si="11"/>
        <v>0</v>
      </c>
      <c r="AO16" s="21"/>
      <c r="AP16" s="21"/>
    </row>
    <row r="17" ht="24" customHeight="1" spans="1:42">
      <c r="A17" s="36"/>
      <c r="B17" s="36"/>
      <c r="C17" s="20"/>
      <c r="D17" s="74"/>
      <c r="E17" s="21">
        <f>IFERROR(SUMIF('2024年销售情况'!C:C,C:C,'2024年销售情况'!F:F)/$E$3,0)</f>
        <v>0</v>
      </c>
      <c r="F17" s="21">
        <f>IFERROR(SUMIF('2024年销售情况'!$C:$C,$C:$C,'2024年销售情况'!$F:$F)/$F$3,0)</f>
        <v>0</v>
      </c>
      <c r="G17" s="21">
        <f>IFERROR(SUMIF('2024年销售情况'!$C:$C,$C:$C,'2024年销售情况'!$F:$F)/$G$3,0)</f>
        <v>0</v>
      </c>
      <c r="H17" s="21">
        <f>IFERROR(SUMIF('2024年销售情况'!$C:$C,$C:$C,'2024年销售情况'!$F:$F)/$H$3,0)</f>
        <v>0</v>
      </c>
      <c r="I17" s="21">
        <f>IFERROR(SUMIF('2024年销售情况'!$C:$C,$C:$C,'2024年销售情况'!$F:$F)/$I$3,0)</f>
        <v>0</v>
      </c>
      <c r="J17" s="21">
        <f>IFERROR(SUMIF('2024年销售情况'!$C:$C,$C:$C,'2024年销售情况'!$F:$F)/$J$3,0)</f>
        <v>0</v>
      </c>
      <c r="K17" s="21">
        <f>IFERROR(SUMIF('2024年销售情况'!$C:$C,$C:$C,'2024年销售情况'!$F:$F)/$K$3,0)</f>
        <v>0</v>
      </c>
      <c r="L17" s="21">
        <f>IFERROR(SUMIF('2024年销售情况'!$C:$C,$C:$C,'2024年销售情况'!$F:$F)/$L$3,0)</f>
        <v>0</v>
      </c>
      <c r="M17" s="21">
        <f>IFERROR(SUMIF('2024年销售情况'!$C:$C,$C:$C,'2024年销售情况'!$F:$F)/$M$3,0)</f>
        <v>0</v>
      </c>
      <c r="N17" s="21">
        <f>IFERROR(SUMIF('2024年销售情况'!$C:$C,$C:$C,'2024年销售情况'!$F:$F)/$N$3,0)</f>
        <v>0</v>
      </c>
      <c r="O17" s="21">
        <f>IFERROR(SUMIF('2024年销售情况'!$C:$C,$C:$C,'2024年销售情况'!$F:$F)/$O$3,0)</f>
        <v>0</v>
      </c>
      <c r="P17" s="21">
        <f>IFERROR(SUMIF('2024年销售情况'!$C:$C,$C:$C,'2024年销售情况'!$F:$F)/$P$3,0)</f>
        <v>0</v>
      </c>
      <c r="Q17" s="21" t="e">
        <f>'2024年销售情况'!AE15/$Q$3</f>
        <v>#DIV/0!</v>
      </c>
      <c r="R17" s="21">
        <f t="shared" si="0"/>
        <v>0</v>
      </c>
      <c r="S17" s="21" t="e">
        <f>'2024年销售情况'!AI15/$S$3</f>
        <v>#DIV/0!</v>
      </c>
      <c r="T17" s="21">
        <f t="shared" si="1"/>
        <v>0</v>
      </c>
      <c r="U17" s="21" t="e">
        <f>'2024年销售情况'!AM15/$U$3</f>
        <v>#DIV/0!</v>
      </c>
      <c r="V17" s="21">
        <f t="shared" si="2"/>
        <v>0</v>
      </c>
      <c r="W17" s="21" t="e">
        <f>'2024年销售情况'!AQ15/$W$3</f>
        <v>#DIV/0!</v>
      </c>
      <c r="X17" s="21">
        <f t="shared" si="3"/>
        <v>0</v>
      </c>
      <c r="Y17" s="21" t="e">
        <f>'2024年销售情况'!AU15/$Y$3</f>
        <v>#DIV/0!</v>
      </c>
      <c r="Z17" s="21">
        <f t="shared" si="4"/>
        <v>0</v>
      </c>
      <c r="AA17" s="21" t="e">
        <f>'2024年销售情况'!AY15/$AA$3</f>
        <v>#DIV/0!</v>
      </c>
      <c r="AB17" s="21">
        <f t="shared" si="5"/>
        <v>0</v>
      </c>
      <c r="AC17" s="21" t="e">
        <f>'2024年销售情况'!BC15/$AC$3</f>
        <v>#DIV/0!</v>
      </c>
      <c r="AD17" s="21">
        <f t="shared" si="6"/>
        <v>0</v>
      </c>
      <c r="AE17" s="21" t="e">
        <f>'2024年销售情况'!BG15/$AE$3</f>
        <v>#DIV/0!</v>
      </c>
      <c r="AF17" s="21">
        <f t="shared" si="7"/>
        <v>0</v>
      </c>
      <c r="AG17" s="21" t="e">
        <f>'2024年销售情况'!BK15/$AG$3</f>
        <v>#DIV/0!</v>
      </c>
      <c r="AH17" s="21">
        <f t="shared" si="8"/>
        <v>0</v>
      </c>
      <c r="AI17" s="21" t="e">
        <f>'2024年销售情况'!BO15/$AI$3</f>
        <v>#DIV/0!</v>
      </c>
      <c r="AJ17" s="21">
        <f t="shared" si="9"/>
        <v>0</v>
      </c>
      <c r="AK17" s="21" t="e">
        <f>'2024年销售情况'!BS15/$AK$3</f>
        <v>#DIV/0!</v>
      </c>
      <c r="AL17" s="21">
        <f t="shared" si="10"/>
        <v>0</v>
      </c>
      <c r="AM17" s="21" t="e">
        <f>'2024年销售情况'!BW15/$AM$3</f>
        <v>#DIV/0!</v>
      </c>
      <c r="AN17" s="21">
        <f t="shared" si="11"/>
        <v>0</v>
      </c>
      <c r="AO17" s="21"/>
      <c r="AP17" s="21"/>
    </row>
    <row r="18" ht="24" customHeight="1" spans="1:42">
      <c r="A18" s="36"/>
      <c r="B18" s="36"/>
      <c r="C18" s="20"/>
      <c r="D18" s="74"/>
      <c r="E18" s="21">
        <f>IFERROR(SUMIF('2024年销售情况'!C:C,C:C,'2024年销售情况'!F:F)/$E$3,0)</f>
        <v>0</v>
      </c>
      <c r="F18" s="21">
        <f>IFERROR(SUMIF('2024年销售情况'!$C:$C,$C:$C,'2024年销售情况'!$F:$F)/$F$3,0)</f>
        <v>0</v>
      </c>
      <c r="G18" s="21">
        <f>IFERROR(SUMIF('2024年销售情况'!$C:$C,$C:$C,'2024年销售情况'!$F:$F)/$G$3,0)</f>
        <v>0</v>
      </c>
      <c r="H18" s="21">
        <f>IFERROR(SUMIF('2024年销售情况'!$C:$C,$C:$C,'2024年销售情况'!$F:$F)/$H$3,0)</f>
        <v>0</v>
      </c>
      <c r="I18" s="21">
        <f>IFERROR(SUMIF('2024年销售情况'!$C:$C,$C:$C,'2024年销售情况'!$F:$F)/$I$3,0)</f>
        <v>0</v>
      </c>
      <c r="J18" s="21">
        <f>IFERROR(SUMIF('2024年销售情况'!$C:$C,$C:$C,'2024年销售情况'!$F:$F)/$J$3,0)</f>
        <v>0</v>
      </c>
      <c r="K18" s="21">
        <f>IFERROR(SUMIF('2024年销售情况'!$C:$C,$C:$C,'2024年销售情况'!$F:$F)/$K$3,0)</f>
        <v>0</v>
      </c>
      <c r="L18" s="21">
        <f>IFERROR(SUMIF('2024年销售情况'!$C:$C,$C:$C,'2024年销售情况'!$F:$F)/$L$3,0)</f>
        <v>0</v>
      </c>
      <c r="M18" s="21">
        <f>IFERROR(SUMIF('2024年销售情况'!$C:$C,$C:$C,'2024年销售情况'!$F:$F)/$M$3,0)</f>
        <v>0</v>
      </c>
      <c r="N18" s="21">
        <f>IFERROR(SUMIF('2024年销售情况'!$C:$C,$C:$C,'2024年销售情况'!$F:$F)/$N$3,0)</f>
        <v>0</v>
      </c>
      <c r="O18" s="21">
        <f>IFERROR(SUMIF('2024年销售情况'!$C:$C,$C:$C,'2024年销售情况'!$F:$F)/$O$3,0)</f>
        <v>0</v>
      </c>
      <c r="P18" s="21">
        <f>IFERROR(SUMIF('2024年销售情况'!$C:$C,$C:$C,'2024年销售情况'!$F:$F)/$P$3,0)</f>
        <v>0</v>
      </c>
      <c r="Q18" s="21" t="e">
        <f>'2024年销售情况'!AE16/$Q$3</f>
        <v>#DIV/0!</v>
      </c>
      <c r="R18" s="21">
        <f t="shared" si="0"/>
        <v>0</v>
      </c>
      <c r="S18" s="21" t="e">
        <f>'2024年销售情况'!AI16/$S$3</f>
        <v>#DIV/0!</v>
      </c>
      <c r="T18" s="21">
        <f t="shared" si="1"/>
        <v>0</v>
      </c>
      <c r="U18" s="21" t="e">
        <f>'2024年销售情况'!AM16/$U$3</f>
        <v>#DIV/0!</v>
      </c>
      <c r="V18" s="21">
        <f t="shared" si="2"/>
        <v>0</v>
      </c>
      <c r="W18" s="21" t="e">
        <f>'2024年销售情况'!AQ16/$W$3</f>
        <v>#DIV/0!</v>
      </c>
      <c r="X18" s="21">
        <f t="shared" si="3"/>
        <v>0</v>
      </c>
      <c r="Y18" s="21" t="e">
        <f>'2024年销售情况'!AU16/$Y$3</f>
        <v>#DIV/0!</v>
      </c>
      <c r="Z18" s="21">
        <f t="shared" si="4"/>
        <v>0</v>
      </c>
      <c r="AA18" s="21" t="e">
        <f>'2024年销售情况'!AY16/$AA$3</f>
        <v>#DIV/0!</v>
      </c>
      <c r="AB18" s="21">
        <f t="shared" si="5"/>
        <v>0</v>
      </c>
      <c r="AC18" s="21" t="e">
        <f>'2024年销售情况'!BC16/$AC$3</f>
        <v>#DIV/0!</v>
      </c>
      <c r="AD18" s="21">
        <f t="shared" si="6"/>
        <v>0</v>
      </c>
      <c r="AE18" s="21" t="e">
        <f>'2024年销售情况'!BG16/$AE$3</f>
        <v>#DIV/0!</v>
      </c>
      <c r="AF18" s="21">
        <f t="shared" si="7"/>
        <v>0</v>
      </c>
      <c r="AG18" s="21" t="e">
        <f>'2024年销售情况'!BK16/$AG$3</f>
        <v>#DIV/0!</v>
      </c>
      <c r="AH18" s="21">
        <f t="shared" si="8"/>
        <v>0</v>
      </c>
      <c r="AI18" s="21" t="e">
        <f>'2024年销售情况'!BO16/$AI$3</f>
        <v>#DIV/0!</v>
      </c>
      <c r="AJ18" s="21">
        <f t="shared" si="9"/>
        <v>0</v>
      </c>
      <c r="AK18" s="21" t="e">
        <f>'2024年销售情况'!BS16/$AK$3</f>
        <v>#DIV/0!</v>
      </c>
      <c r="AL18" s="21">
        <f t="shared" si="10"/>
        <v>0</v>
      </c>
      <c r="AM18" s="21" t="e">
        <f>'2024年销售情况'!BW16/$AM$3</f>
        <v>#DIV/0!</v>
      </c>
      <c r="AN18" s="21">
        <f t="shared" si="11"/>
        <v>0</v>
      </c>
      <c r="AO18" s="21"/>
      <c r="AP18" s="21"/>
    </row>
    <row r="19" ht="24" customHeight="1" spans="1:42">
      <c r="A19" s="36"/>
      <c r="B19" s="36"/>
      <c r="C19" s="20"/>
      <c r="D19" s="74"/>
      <c r="E19" s="21">
        <f>IFERROR(SUMIF('2024年销售情况'!C:C,C:C,'2024年销售情况'!F:F)/$E$3,0)</f>
        <v>0</v>
      </c>
      <c r="F19" s="21">
        <f>IFERROR(SUMIF('2024年销售情况'!$C:$C,$C:$C,'2024年销售情况'!$F:$F)/$F$3,0)</f>
        <v>0</v>
      </c>
      <c r="G19" s="21">
        <f>IFERROR(SUMIF('2024年销售情况'!$C:$C,$C:$C,'2024年销售情况'!$F:$F)/$G$3,0)</f>
        <v>0</v>
      </c>
      <c r="H19" s="21">
        <f>IFERROR(SUMIF('2024年销售情况'!$C:$C,$C:$C,'2024年销售情况'!$F:$F)/$H$3,0)</f>
        <v>0</v>
      </c>
      <c r="I19" s="21">
        <f>IFERROR(SUMIF('2024年销售情况'!$C:$C,$C:$C,'2024年销售情况'!$F:$F)/$I$3,0)</f>
        <v>0</v>
      </c>
      <c r="J19" s="21">
        <f>IFERROR(SUMIF('2024年销售情况'!$C:$C,$C:$C,'2024年销售情况'!$F:$F)/$J$3,0)</f>
        <v>0</v>
      </c>
      <c r="K19" s="21">
        <f>IFERROR(SUMIF('2024年销售情况'!$C:$C,$C:$C,'2024年销售情况'!$F:$F)/$K$3,0)</f>
        <v>0</v>
      </c>
      <c r="L19" s="21">
        <f>IFERROR(SUMIF('2024年销售情况'!$C:$C,$C:$C,'2024年销售情况'!$F:$F)/$L$3,0)</f>
        <v>0</v>
      </c>
      <c r="M19" s="21">
        <f>IFERROR(SUMIF('2024年销售情况'!$C:$C,$C:$C,'2024年销售情况'!$F:$F)/$M$3,0)</f>
        <v>0</v>
      </c>
      <c r="N19" s="21">
        <f>IFERROR(SUMIF('2024年销售情况'!$C:$C,$C:$C,'2024年销售情况'!$F:$F)/$N$3,0)</f>
        <v>0</v>
      </c>
      <c r="O19" s="21">
        <f>IFERROR(SUMIF('2024年销售情况'!$C:$C,$C:$C,'2024年销售情况'!$F:$F)/$O$3,0)</f>
        <v>0</v>
      </c>
      <c r="P19" s="21">
        <f>IFERROR(SUMIF('2024年销售情况'!$C:$C,$C:$C,'2024年销售情况'!$F:$F)/$P$3,0)</f>
        <v>0</v>
      </c>
      <c r="Q19" s="21" t="e">
        <f>'2024年销售情况'!AE17/$Q$3</f>
        <v>#DIV/0!</v>
      </c>
      <c r="R19" s="21">
        <f t="shared" si="0"/>
        <v>0</v>
      </c>
      <c r="S19" s="21" t="e">
        <f>'2024年销售情况'!AI17/$S$3</f>
        <v>#DIV/0!</v>
      </c>
      <c r="T19" s="21">
        <f t="shared" si="1"/>
        <v>0</v>
      </c>
      <c r="U19" s="21" t="e">
        <f>'2024年销售情况'!AM17/$U$3</f>
        <v>#DIV/0!</v>
      </c>
      <c r="V19" s="21">
        <f t="shared" si="2"/>
        <v>0</v>
      </c>
      <c r="W19" s="21" t="e">
        <f>'2024年销售情况'!AQ17/$W$3</f>
        <v>#DIV/0!</v>
      </c>
      <c r="X19" s="21">
        <f t="shared" si="3"/>
        <v>0</v>
      </c>
      <c r="Y19" s="21" t="e">
        <f>'2024年销售情况'!AU17/$Y$3</f>
        <v>#DIV/0!</v>
      </c>
      <c r="Z19" s="21">
        <f t="shared" si="4"/>
        <v>0</v>
      </c>
      <c r="AA19" s="21" t="e">
        <f>'2024年销售情况'!AY17/$AA$3</f>
        <v>#DIV/0!</v>
      </c>
      <c r="AB19" s="21">
        <f t="shared" si="5"/>
        <v>0</v>
      </c>
      <c r="AC19" s="21" t="e">
        <f>'2024年销售情况'!BC17/$AC$3</f>
        <v>#DIV/0!</v>
      </c>
      <c r="AD19" s="21">
        <f t="shared" si="6"/>
        <v>0</v>
      </c>
      <c r="AE19" s="21" t="e">
        <f>'2024年销售情况'!BG17/$AE$3</f>
        <v>#DIV/0!</v>
      </c>
      <c r="AF19" s="21">
        <f t="shared" si="7"/>
        <v>0</v>
      </c>
      <c r="AG19" s="21" t="e">
        <f>'2024年销售情况'!BK17/$AG$3</f>
        <v>#DIV/0!</v>
      </c>
      <c r="AH19" s="21">
        <f t="shared" si="8"/>
        <v>0</v>
      </c>
      <c r="AI19" s="21" t="e">
        <f>'2024年销售情况'!BO17/$AI$3</f>
        <v>#DIV/0!</v>
      </c>
      <c r="AJ19" s="21">
        <f t="shared" si="9"/>
        <v>0</v>
      </c>
      <c r="AK19" s="21" t="e">
        <f>'2024年销售情况'!BS17/$AK$3</f>
        <v>#DIV/0!</v>
      </c>
      <c r="AL19" s="21">
        <f t="shared" si="10"/>
        <v>0</v>
      </c>
      <c r="AM19" s="21" t="e">
        <f>'2024年销售情况'!BW17/$AM$3</f>
        <v>#DIV/0!</v>
      </c>
      <c r="AN19" s="21">
        <f t="shared" si="11"/>
        <v>0</v>
      </c>
      <c r="AO19" s="21"/>
      <c r="AP19" s="21"/>
    </row>
    <row r="20" ht="24" customHeight="1" spans="1:42">
      <c r="A20" s="36"/>
      <c r="B20" s="36"/>
      <c r="C20" s="20"/>
      <c r="D20" s="74"/>
      <c r="E20" s="21">
        <f>IFERROR(SUMIF('2024年销售情况'!C:C,C:C,'2024年销售情况'!F:F)/$E$3,0)</f>
        <v>0</v>
      </c>
      <c r="F20" s="21">
        <f>IFERROR(SUMIF('2024年销售情况'!$C:$C,$C:$C,'2024年销售情况'!$F:$F)/$F$3,0)</f>
        <v>0</v>
      </c>
      <c r="G20" s="21">
        <f>IFERROR(SUMIF('2024年销售情况'!$C:$C,$C:$C,'2024年销售情况'!$F:$F)/$G$3,0)</f>
        <v>0</v>
      </c>
      <c r="H20" s="21">
        <f>IFERROR(SUMIF('2024年销售情况'!$C:$C,$C:$C,'2024年销售情况'!$F:$F)/$H$3,0)</f>
        <v>0</v>
      </c>
      <c r="I20" s="21">
        <f>IFERROR(SUMIF('2024年销售情况'!$C:$C,$C:$C,'2024年销售情况'!$F:$F)/$I$3,0)</f>
        <v>0</v>
      </c>
      <c r="J20" s="21">
        <f>IFERROR(SUMIF('2024年销售情况'!$C:$C,$C:$C,'2024年销售情况'!$F:$F)/$J$3,0)</f>
        <v>0</v>
      </c>
      <c r="K20" s="21">
        <f>IFERROR(SUMIF('2024年销售情况'!$C:$C,$C:$C,'2024年销售情况'!$F:$F)/$K$3,0)</f>
        <v>0</v>
      </c>
      <c r="L20" s="21">
        <f>IFERROR(SUMIF('2024年销售情况'!$C:$C,$C:$C,'2024年销售情况'!$F:$F)/$L$3,0)</f>
        <v>0</v>
      </c>
      <c r="M20" s="21">
        <f>IFERROR(SUMIF('2024年销售情况'!$C:$C,$C:$C,'2024年销售情况'!$F:$F)/$M$3,0)</f>
        <v>0</v>
      </c>
      <c r="N20" s="21">
        <f>IFERROR(SUMIF('2024年销售情况'!$C:$C,$C:$C,'2024年销售情况'!$F:$F)/$N$3,0)</f>
        <v>0</v>
      </c>
      <c r="O20" s="21">
        <f>IFERROR(SUMIF('2024年销售情况'!$C:$C,$C:$C,'2024年销售情况'!$F:$F)/$O$3,0)</f>
        <v>0</v>
      </c>
      <c r="P20" s="21">
        <f>IFERROR(SUMIF('2024年销售情况'!$C:$C,$C:$C,'2024年销售情况'!$F:$F)/$P$3,0)</f>
        <v>0</v>
      </c>
      <c r="Q20" s="21" t="e">
        <f>'2024年销售情况'!AE18/$Q$3</f>
        <v>#DIV/0!</v>
      </c>
      <c r="R20" s="21">
        <f t="shared" si="0"/>
        <v>0</v>
      </c>
      <c r="S20" s="21" t="e">
        <f>'2024年销售情况'!AI18/$S$3</f>
        <v>#DIV/0!</v>
      </c>
      <c r="T20" s="21">
        <f t="shared" si="1"/>
        <v>0</v>
      </c>
      <c r="U20" s="21" t="e">
        <f>'2024年销售情况'!AM18/$U$3</f>
        <v>#DIV/0!</v>
      </c>
      <c r="V20" s="21">
        <f t="shared" si="2"/>
        <v>0</v>
      </c>
      <c r="W20" s="21" t="e">
        <f>'2024年销售情况'!AQ18/$W$3</f>
        <v>#DIV/0!</v>
      </c>
      <c r="X20" s="21">
        <f t="shared" si="3"/>
        <v>0</v>
      </c>
      <c r="Y20" s="21" t="e">
        <f>'2024年销售情况'!AU18/$Y$3</f>
        <v>#DIV/0!</v>
      </c>
      <c r="Z20" s="21">
        <f t="shared" si="4"/>
        <v>0</v>
      </c>
      <c r="AA20" s="21" t="e">
        <f>'2024年销售情况'!AY18/$AA$3</f>
        <v>#DIV/0!</v>
      </c>
      <c r="AB20" s="21">
        <f t="shared" si="5"/>
        <v>0</v>
      </c>
      <c r="AC20" s="21" t="e">
        <f>'2024年销售情况'!BC18/$AC$3</f>
        <v>#DIV/0!</v>
      </c>
      <c r="AD20" s="21">
        <f t="shared" si="6"/>
        <v>0</v>
      </c>
      <c r="AE20" s="21" t="e">
        <f>'2024年销售情况'!BG18/$AE$3</f>
        <v>#DIV/0!</v>
      </c>
      <c r="AF20" s="21">
        <f t="shared" si="7"/>
        <v>0</v>
      </c>
      <c r="AG20" s="21" t="e">
        <f>'2024年销售情况'!BK18/$AG$3</f>
        <v>#DIV/0!</v>
      </c>
      <c r="AH20" s="21">
        <f t="shared" si="8"/>
        <v>0</v>
      </c>
      <c r="AI20" s="21" t="e">
        <f>'2024年销售情况'!BO18/$AI$3</f>
        <v>#DIV/0!</v>
      </c>
      <c r="AJ20" s="21">
        <f t="shared" si="9"/>
        <v>0</v>
      </c>
      <c r="AK20" s="21" t="e">
        <f>'2024年销售情况'!BS18/$AK$3</f>
        <v>#DIV/0!</v>
      </c>
      <c r="AL20" s="21">
        <f t="shared" si="10"/>
        <v>0</v>
      </c>
      <c r="AM20" s="21" t="e">
        <f>'2024年销售情况'!BW18/$AM$3</f>
        <v>#DIV/0!</v>
      </c>
      <c r="AN20" s="21">
        <f t="shared" si="11"/>
        <v>0</v>
      </c>
      <c r="AO20" s="21"/>
      <c r="AP20" s="21"/>
    </row>
    <row r="21" ht="24" customHeight="1" spans="1:42">
      <c r="A21" s="36"/>
      <c r="B21" s="36"/>
      <c r="C21" s="20"/>
      <c r="D21" s="74"/>
      <c r="E21" s="21">
        <f>IFERROR(SUMIF('2024年销售情况'!C:C,C:C,'2024年销售情况'!F:F)/$E$3,0)</f>
        <v>0</v>
      </c>
      <c r="F21" s="21">
        <f>IFERROR(SUMIF('2024年销售情况'!$C:$C,$C:$C,'2024年销售情况'!$F:$F)/$F$3,0)</f>
        <v>0</v>
      </c>
      <c r="G21" s="21">
        <f>IFERROR(SUMIF('2024年销售情况'!$C:$C,$C:$C,'2024年销售情况'!$F:$F)/$G$3,0)</f>
        <v>0</v>
      </c>
      <c r="H21" s="21">
        <f>IFERROR(SUMIF('2024年销售情况'!$C:$C,$C:$C,'2024年销售情况'!$F:$F)/$H$3,0)</f>
        <v>0</v>
      </c>
      <c r="I21" s="21">
        <f>IFERROR(SUMIF('2024年销售情况'!$C:$C,$C:$C,'2024年销售情况'!$F:$F)/$I$3,0)</f>
        <v>0</v>
      </c>
      <c r="J21" s="21">
        <f>IFERROR(SUMIF('2024年销售情况'!$C:$C,$C:$C,'2024年销售情况'!$F:$F)/$J$3,0)</f>
        <v>0</v>
      </c>
      <c r="K21" s="21">
        <f>IFERROR(SUMIF('2024年销售情况'!$C:$C,$C:$C,'2024年销售情况'!$F:$F)/$K$3,0)</f>
        <v>0</v>
      </c>
      <c r="L21" s="21">
        <f>IFERROR(SUMIF('2024年销售情况'!$C:$C,$C:$C,'2024年销售情况'!$F:$F)/$L$3,0)</f>
        <v>0</v>
      </c>
      <c r="M21" s="21">
        <f>IFERROR(SUMIF('2024年销售情况'!$C:$C,$C:$C,'2024年销售情况'!$F:$F)/$M$3,0)</f>
        <v>0</v>
      </c>
      <c r="N21" s="21">
        <f>IFERROR(SUMIF('2024年销售情况'!$C:$C,$C:$C,'2024年销售情况'!$F:$F)/$N$3,0)</f>
        <v>0</v>
      </c>
      <c r="O21" s="21">
        <f>IFERROR(SUMIF('2024年销售情况'!$C:$C,$C:$C,'2024年销售情况'!$F:$F)/$O$3,0)</f>
        <v>0</v>
      </c>
      <c r="P21" s="21">
        <f>IFERROR(SUMIF('2024年销售情况'!$C:$C,$C:$C,'2024年销售情况'!$F:$F)/$P$3,0)</f>
        <v>0</v>
      </c>
      <c r="Q21" s="21" t="e">
        <f>'2024年销售情况'!AE19/$Q$3</f>
        <v>#DIV/0!</v>
      </c>
      <c r="R21" s="21">
        <f t="shared" si="0"/>
        <v>0</v>
      </c>
      <c r="S21" s="21" t="e">
        <f>'2024年销售情况'!AI19/$S$3</f>
        <v>#DIV/0!</v>
      </c>
      <c r="T21" s="21">
        <f t="shared" si="1"/>
        <v>0</v>
      </c>
      <c r="U21" s="21" t="e">
        <f>'2024年销售情况'!AM19/$U$3</f>
        <v>#DIV/0!</v>
      </c>
      <c r="V21" s="21">
        <f t="shared" si="2"/>
        <v>0</v>
      </c>
      <c r="W21" s="21" t="e">
        <f>'2024年销售情况'!AQ19/$W$3</f>
        <v>#DIV/0!</v>
      </c>
      <c r="X21" s="21">
        <f t="shared" si="3"/>
        <v>0</v>
      </c>
      <c r="Y21" s="21" t="e">
        <f>'2024年销售情况'!AU19/$Y$3</f>
        <v>#DIV/0!</v>
      </c>
      <c r="Z21" s="21">
        <f t="shared" si="4"/>
        <v>0</v>
      </c>
      <c r="AA21" s="21" t="e">
        <f>'2024年销售情况'!AY19/$AA$3</f>
        <v>#DIV/0!</v>
      </c>
      <c r="AB21" s="21">
        <f t="shared" si="5"/>
        <v>0</v>
      </c>
      <c r="AC21" s="21" t="e">
        <f>'2024年销售情况'!BC19/$AC$3</f>
        <v>#DIV/0!</v>
      </c>
      <c r="AD21" s="21">
        <f t="shared" si="6"/>
        <v>0</v>
      </c>
      <c r="AE21" s="21" t="e">
        <f>'2024年销售情况'!BG19/$AE$3</f>
        <v>#DIV/0!</v>
      </c>
      <c r="AF21" s="21">
        <f t="shared" si="7"/>
        <v>0</v>
      </c>
      <c r="AG21" s="21" t="e">
        <f>'2024年销售情况'!BK19/$AG$3</f>
        <v>#DIV/0!</v>
      </c>
      <c r="AH21" s="21">
        <f t="shared" si="8"/>
        <v>0</v>
      </c>
      <c r="AI21" s="21" t="e">
        <f>'2024年销售情况'!BO19/$AI$3</f>
        <v>#DIV/0!</v>
      </c>
      <c r="AJ21" s="21">
        <f t="shared" si="9"/>
        <v>0</v>
      </c>
      <c r="AK21" s="21" t="e">
        <f>'2024年销售情况'!BS19/$AK$3</f>
        <v>#DIV/0!</v>
      </c>
      <c r="AL21" s="21">
        <f t="shared" si="10"/>
        <v>0</v>
      </c>
      <c r="AM21" s="21" t="e">
        <f>'2024年销售情况'!BW19/$AM$3</f>
        <v>#DIV/0!</v>
      </c>
      <c r="AN21" s="21">
        <f t="shared" si="11"/>
        <v>0</v>
      </c>
      <c r="AO21" s="21"/>
      <c r="AP21" s="21"/>
    </row>
    <row r="22" ht="24" customHeight="1" spans="1:42">
      <c r="A22" s="36"/>
      <c r="B22" s="36"/>
      <c r="C22" s="20"/>
      <c r="D22" s="74"/>
      <c r="E22" s="21">
        <f>IFERROR(SUMIF('2024年销售情况'!C:C,C:C,'2024年销售情况'!F:F)/$E$3,0)</f>
        <v>0</v>
      </c>
      <c r="F22" s="21">
        <f>IFERROR(SUMIF('2024年销售情况'!$C:$C,$C:$C,'2024年销售情况'!$F:$F)/$F$3,0)</f>
        <v>0</v>
      </c>
      <c r="G22" s="21">
        <f>IFERROR(SUMIF('2024年销售情况'!$C:$C,$C:$C,'2024年销售情况'!$F:$F)/$G$3,0)</f>
        <v>0</v>
      </c>
      <c r="H22" s="21">
        <f>IFERROR(SUMIF('2024年销售情况'!$C:$C,$C:$C,'2024年销售情况'!$F:$F)/$H$3,0)</f>
        <v>0</v>
      </c>
      <c r="I22" s="21">
        <f>IFERROR(SUMIF('2024年销售情况'!$C:$C,$C:$C,'2024年销售情况'!$F:$F)/$I$3,0)</f>
        <v>0</v>
      </c>
      <c r="J22" s="21">
        <f>IFERROR(SUMIF('2024年销售情况'!$C:$C,$C:$C,'2024年销售情况'!$F:$F)/$J$3,0)</f>
        <v>0</v>
      </c>
      <c r="K22" s="21">
        <f>IFERROR(SUMIF('2024年销售情况'!$C:$C,$C:$C,'2024年销售情况'!$F:$F)/$K$3,0)</f>
        <v>0</v>
      </c>
      <c r="L22" s="21">
        <f>IFERROR(SUMIF('2024年销售情况'!$C:$C,$C:$C,'2024年销售情况'!$F:$F)/$L$3,0)</f>
        <v>0</v>
      </c>
      <c r="M22" s="21">
        <f>IFERROR(SUMIF('2024年销售情况'!$C:$C,$C:$C,'2024年销售情况'!$F:$F)/$M$3,0)</f>
        <v>0</v>
      </c>
      <c r="N22" s="21">
        <f>IFERROR(SUMIF('2024年销售情况'!$C:$C,$C:$C,'2024年销售情况'!$F:$F)/$N$3,0)</f>
        <v>0</v>
      </c>
      <c r="O22" s="21">
        <f>IFERROR(SUMIF('2024年销售情况'!$C:$C,$C:$C,'2024年销售情况'!$F:$F)/$O$3,0)</f>
        <v>0</v>
      </c>
      <c r="P22" s="21">
        <f>IFERROR(SUMIF('2024年销售情况'!$C:$C,$C:$C,'2024年销售情况'!$F:$F)/$P$3,0)</f>
        <v>0</v>
      </c>
      <c r="Q22" s="21" t="e">
        <f>'2024年销售情况'!AE20/$Q$3</f>
        <v>#DIV/0!</v>
      </c>
      <c r="R22" s="21">
        <f t="shared" si="0"/>
        <v>0</v>
      </c>
      <c r="S22" s="21" t="e">
        <f>'2024年销售情况'!AI20/$S$3</f>
        <v>#DIV/0!</v>
      </c>
      <c r="T22" s="21">
        <f t="shared" si="1"/>
        <v>0</v>
      </c>
      <c r="U22" s="21" t="e">
        <f>'2024年销售情况'!AM20/$U$3</f>
        <v>#DIV/0!</v>
      </c>
      <c r="V22" s="21">
        <f t="shared" si="2"/>
        <v>0</v>
      </c>
      <c r="W22" s="21" t="e">
        <f>'2024年销售情况'!AQ20/$W$3</f>
        <v>#DIV/0!</v>
      </c>
      <c r="X22" s="21">
        <f t="shared" si="3"/>
        <v>0</v>
      </c>
      <c r="Y22" s="21" t="e">
        <f>'2024年销售情况'!AU20/$Y$3</f>
        <v>#DIV/0!</v>
      </c>
      <c r="Z22" s="21">
        <f t="shared" si="4"/>
        <v>0</v>
      </c>
      <c r="AA22" s="21" t="e">
        <f>'2024年销售情况'!AY20/$AA$3</f>
        <v>#DIV/0!</v>
      </c>
      <c r="AB22" s="21">
        <f t="shared" si="5"/>
        <v>0</v>
      </c>
      <c r="AC22" s="21" t="e">
        <f>'2024年销售情况'!BC20/$AC$3</f>
        <v>#DIV/0!</v>
      </c>
      <c r="AD22" s="21">
        <f t="shared" si="6"/>
        <v>0</v>
      </c>
      <c r="AE22" s="21" t="e">
        <f>'2024年销售情况'!BG20/$AE$3</f>
        <v>#DIV/0!</v>
      </c>
      <c r="AF22" s="21">
        <f t="shared" si="7"/>
        <v>0</v>
      </c>
      <c r="AG22" s="21" t="e">
        <f>'2024年销售情况'!BK20/$AG$3</f>
        <v>#DIV/0!</v>
      </c>
      <c r="AH22" s="21">
        <f t="shared" si="8"/>
        <v>0</v>
      </c>
      <c r="AI22" s="21" t="e">
        <f>'2024年销售情况'!BO20/$AI$3</f>
        <v>#DIV/0!</v>
      </c>
      <c r="AJ22" s="21">
        <f t="shared" si="9"/>
        <v>0</v>
      </c>
      <c r="AK22" s="21" t="e">
        <f>'2024年销售情况'!BS20/$AK$3</f>
        <v>#DIV/0!</v>
      </c>
      <c r="AL22" s="21">
        <f t="shared" si="10"/>
        <v>0</v>
      </c>
      <c r="AM22" s="21" t="e">
        <f>'2024年销售情况'!BW20/$AM$3</f>
        <v>#DIV/0!</v>
      </c>
      <c r="AN22" s="21">
        <f t="shared" si="11"/>
        <v>0</v>
      </c>
      <c r="AO22" s="21"/>
      <c r="AP22" s="21"/>
    </row>
    <row r="23" ht="24" customHeight="1" spans="1:42">
      <c r="A23" s="36"/>
      <c r="B23" s="36"/>
      <c r="C23" s="20"/>
      <c r="D23" s="74"/>
      <c r="E23" s="21">
        <f>IFERROR(SUMIF('2024年销售情况'!C:C,C:C,'2024年销售情况'!F:F)/$E$3,0)</f>
        <v>0</v>
      </c>
      <c r="F23" s="21">
        <f>IFERROR(SUMIF('2024年销售情况'!$C:$C,$C:$C,'2024年销售情况'!$F:$F)/$F$3,0)</f>
        <v>0</v>
      </c>
      <c r="G23" s="21">
        <f>IFERROR(SUMIF('2024年销售情况'!$C:$C,$C:$C,'2024年销售情况'!$F:$F)/$G$3,0)</f>
        <v>0</v>
      </c>
      <c r="H23" s="21">
        <f>IFERROR(SUMIF('2024年销售情况'!$C:$C,$C:$C,'2024年销售情况'!$F:$F)/$H$3,0)</f>
        <v>0</v>
      </c>
      <c r="I23" s="21">
        <f>IFERROR(SUMIF('2024年销售情况'!$C:$C,$C:$C,'2024年销售情况'!$F:$F)/$I$3,0)</f>
        <v>0</v>
      </c>
      <c r="J23" s="21">
        <f>IFERROR(SUMIF('2024年销售情况'!$C:$C,$C:$C,'2024年销售情况'!$F:$F)/$J$3,0)</f>
        <v>0</v>
      </c>
      <c r="K23" s="21">
        <f>IFERROR(SUMIF('2024年销售情况'!$C:$C,$C:$C,'2024年销售情况'!$F:$F)/$K$3,0)</f>
        <v>0</v>
      </c>
      <c r="L23" s="21">
        <f>IFERROR(SUMIF('2024年销售情况'!$C:$C,$C:$C,'2024年销售情况'!$F:$F)/$L$3,0)</f>
        <v>0</v>
      </c>
      <c r="M23" s="21">
        <f>IFERROR(SUMIF('2024年销售情况'!$C:$C,$C:$C,'2024年销售情况'!$F:$F)/$M$3,0)</f>
        <v>0</v>
      </c>
      <c r="N23" s="21">
        <f>IFERROR(SUMIF('2024年销售情况'!$C:$C,$C:$C,'2024年销售情况'!$F:$F)/$N$3,0)</f>
        <v>0</v>
      </c>
      <c r="O23" s="21">
        <f>IFERROR(SUMIF('2024年销售情况'!$C:$C,$C:$C,'2024年销售情况'!$F:$F)/$O$3,0)</f>
        <v>0</v>
      </c>
      <c r="P23" s="21">
        <f>IFERROR(SUMIF('2024年销售情况'!$C:$C,$C:$C,'2024年销售情况'!$F:$F)/$P$3,0)</f>
        <v>0</v>
      </c>
      <c r="Q23" s="21" t="e">
        <f>'2024年销售情况'!AE21/$Q$3</f>
        <v>#DIV/0!</v>
      </c>
      <c r="R23" s="21">
        <f t="shared" si="0"/>
        <v>0</v>
      </c>
      <c r="S23" s="21" t="e">
        <f>'2024年销售情况'!AI21/$S$3</f>
        <v>#DIV/0!</v>
      </c>
      <c r="T23" s="21">
        <f t="shared" si="1"/>
        <v>0</v>
      </c>
      <c r="U23" s="21" t="e">
        <f>'2024年销售情况'!AM21/$U$3</f>
        <v>#DIV/0!</v>
      </c>
      <c r="V23" s="21">
        <f t="shared" si="2"/>
        <v>0</v>
      </c>
      <c r="W23" s="21" t="e">
        <f>'2024年销售情况'!AQ21/$W$3</f>
        <v>#DIV/0!</v>
      </c>
      <c r="X23" s="21">
        <f t="shared" si="3"/>
        <v>0</v>
      </c>
      <c r="Y23" s="21" t="e">
        <f>'2024年销售情况'!AU21/$Y$3</f>
        <v>#DIV/0!</v>
      </c>
      <c r="Z23" s="21">
        <f t="shared" si="4"/>
        <v>0</v>
      </c>
      <c r="AA23" s="21" t="e">
        <f>'2024年销售情况'!AY21/$AA$3</f>
        <v>#DIV/0!</v>
      </c>
      <c r="AB23" s="21">
        <f t="shared" si="5"/>
        <v>0</v>
      </c>
      <c r="AC23" s="21" t="e">
        <f>'2024年销售情况'!BC21/$AC$3</f>
        <v>#DIV/0!</v>
      </c>
      <c r="AD23" s="21">
        <f t="shared" si="6"/>
        <v>0</v>
      </c>
      <c r="AE23" s="21" t="e">
        <f>'2024年销售情况'!BG21/$AE$3</f>
        <v>#DIV/0!</v>
      </c>
      <c r="AF23" s="21">
        <f t="shared" si="7"/>
        <v>0</v>
      </c>
      <c r="AG23" s="21" t="e">
        <f>'2024年销售情况'!BK21/$AG$3</f>
        <v>#DIV/0!</v>
      </c>
      <c r="AH23" s="21">
        <f t="shared" si="8"/>
        <v>0</v>
      </c>
      <c r="AI23" s="21" t="e">
        <f>'2024年销售情况'!BO21/$AI$3</f>
        <v>#DIV/0!</v>
      </c>
      <c r="AJ23" s="21">
        <f t="shared" si="9"/>
        <v>0</v>
      </c>
      <c r="AK23" s="21" t="e">
        <f>'2024年销售情况'!BS21/$AK$3</f>
        <v>#DIV/0!</v>
      </c>
      <c r="AL23" s="21">
        <f t="shared" si="10"/>
        <v>0</v>
      </c>
      <c r="AM23" s="21" t="e">
        <f>'2024年销售情况'!BW21/$AM$3</f>
        <v>#DIV/0!</v>
      </c>
      <c r="AN23" s="21">
        <f t="shared" si="11"/>
        <v>0</v>
      </c>
      <c r="AO23" s="21"/>
      <c r="AP23" s="21"/>
    </row>
    <row r="24" ht="24" customHeight="1" spans="1:42">
      <c r="A24" s="36"/>
      <c r="B24" s="40"/>
      <c r="C24" s="20"/>
      <c r="D24" s="74"/>
      <c r="E24" s="21">
        <f>IFERROR(SUMIF('2024年销售情况'!C:C,C:C,'2024年销售情况'!F:F)/$E$3,0)</f>
        <v>0</v>
      </c>
      <c r="F24" s="21">
        <f>IFERROR(SUMIF('2024年销售情况'!$C:$C,$C:$C,'2024年销售情况'!$F:$F)/$F$3,0)</f>
        <v>0</v>
      </c>
      <c r="G24" s="21">
        <f>IFERROR(SUMIF('2024年销售情况'!$C:$C,$C:$C,'2024年销售情况'!$F:$F)/$G$3,0)</f>
        <v>0</v>
      </c>
      <c r="H24" s="21">
        <f>IFERROR(SUMIF('2024年销售情况'!$C:$C,$C:$C,'2024年销售情况'!$F:$F)/$H$3,0)</f>
        <v>0</v>
      </c>
      <c r="I24" s="21">
        <f>IFERROR(SUMIF('2024年销售情况'!$C:$C,$C:$C,'2024年销售情况'!$F:$F)/$I$3,0)</f>
        <v>0</v>
      </c>
      <c r="J24" s="21">
        <f>IFERROR(SUMIF('2024年销售情况'!$C:$C,$C:$C,'2024年销售情况'!$F:$F)/$J$3,0)</f>
        <v>0</v>
      </c>
      <c r="K24" s="21">
        <f>IFERROR(SUMIF('2024年销售情况'!$C:$C,$C:$C,'2024年销售情况'!$F:$F)/$K$3,0)</f>
        <v>0</v>
      </c>
      <c r="L24" s="21">
        <f>IFERROR(SUMIF('2024年销售情况'!$C:$C,$C:$C,'2024年销售情况'!$F:$F)/$L$3,0)</f>
        <v>0</v>
      </c>
      <c r="M24" s="21">
        <f>IFERROR(SUMIF('2024年销售情况'!$C:$C,$C:$C,'2024年销售情况'!$F:$F)/$M$3,0)</f>
        <v>0</v>
      </c>
      <c r="N24" s="21">
        <f>IFERROR(SUMIF('2024年销售情况'!$C:$C,$C:$C,'2024年销售情况'!$F:$F)/$N$3,0)</f>
        <v>0</v>
      </c>
      <c r="O24" s="21">
        <f>IFERROR(SUMIF('2024年销售情况'!$C:$C,$C:$C,'2024年销售情况'!$F:$F)/$O$3,0)</f>
        <v>0</v>
      </c>
      <c r="P24" s="21">
        <f>IFERROR(SUMIF('2024年销售情况'!$C:$C,$C:$C,'2024年销售情况'!$F:$F)/$P$3,0)</f>
        <v>0</v>
      </c>
      <c r="Q24" s="21" t="e">
        <f>'2024年销售情况'!AE22/$Q$3</f>
        <v>#DIV/0!</v>
      </c>
      <c r="R24" s="21">
        <f t="shared" si="0"/>
        <v>0</v>
      </c>
      <c r="S24" s="21" t="e">
        <f>'2024年销售情况'!AI22/$S$3</f>
        <v>#DIV/0!</v>
      </c>
      <c r="T24" s="21">
        <f t="shared" si="1"/>
        <v>0</v>
      </c>
      <c r="U24" s="21" t="e">
        <f>'2024年销售情况'!AM22/$U$3</f>
        <v>#DIV/0!</v>
      </c>
      <c r="V24" s="21">
        <f t="shared" si="2"/>
        <v>0</v>
      </c>
      <c r="W24" s="21" t="e">
        <f>'2024年销售情况'!AQ22/$W$3</f>
        <v>#DIV/0!</v>
      </c>
      <c r="X24" s="21">
        <f t="shared" si="3"/>
        <v>0</v>
      </c>
      <c r="Y24" s="21" t="e">
        <f>'2024年销售情况'!AU22/$Y$3</f>
        <v>#DIV/0!</v>
      </c>
      <c r="Z24" s="21">
        <f t="shared" si="4"/>
        <v>0</v>
      </c>
      <c r="AA24" s="21" t="e">
        <f>'2024年销售情况'!AY22/$AA$3</f>
        <v>#DIV/0!</v>
      </c>
      <c r="AB24" s="21">
        <f t="shared" si="5"/>
        <v>0</v>
      </c>
      <c r="AC24" s="21" t="e">
        <f>'2024年销售情况'!BC22/$AC$3</f>
        <v>#DIV/0!</v>
      </c>
      <c r="AD24" s="21">
        <f t="shared" si="6"/>
        <v>0</v>
      </c>
      <c r="AE24" s="21" t="e">
        <f>'2024年销售情况'!BG22/$AE$3</f>
        <v>#DIV/0!</v>
      </c>
      <c r="AF24" s="21">
        <f t="shared" si="7"/>
        <v>0</v>
      </c>
      <c r="AG24" s="21" t="e">
        <f>'2024年销售情况'!BK22/$AG$3</f>
        <v>#DIV/0!</v>
      </c>
      <c r="AH24" s="21">
        <f t="shared" si="8"/>
        <v>0</v>
      </c>
      <c r="AI24" s="21" t="e">
        <f>'2024年销售情况'!BO22/$AI$3</f>
        <v>#DIV/0!</v>
      </c>
      <c r="AJ24" s="21">
        <f t="shared" si="9"/>
        <v>0</v>
      </c>
      <c r="AK24" s="21" t="e">
        <f>'2024年销售情况'!BS22/$AK$3</f>
        <v>#DIV/0!</v>
      </c>
      <c r="AL24" s="21">
        <f t="shared" si="10"/>
        <v>0</v>
      </c>
      <c r="AM24" s="21" t="e">
        <f>'2024年销售情况'!BW22/$AM$3</f>
        <v>#DIV/0!</v>
      </c>
      <c r="AN24" s="21">
        <f t="shared" si="11"/>
        <v>0</v>
      </c>
      <c r="AO24" s="21"/>
      <c r="AP24" s="21"/>
    </row>
    <row r="25" ht="24" customHeight="1" spans="1:42">
      <c r="A25" s="36"/>
      <c r="B25" s="40"/>
      <c r="C25" s="20"/>
      <c r="D25" s="74"/>
      <c r="E25" s="21">
        <f>IFERROR(SUMIF('2024年销售情况'!C:C,C:C,'2024年销售情况'!F:F)/$E$3,0)</f>
        <v>0</v>
      </c>
      <c r="F25" s="21">
        <f>IFERROR(SUMIF('2024年销售情况'!$C:$C,$C:$C,'2024年销售情况'!$F:$F)/$F$3,0)</f>
        <v>0</v>
      </c>
      <c r="G25" s="21">
        <f>IFERROR(SUMIF('2024年销售情况'!$C:$C,$C:$C,'2024年销售情况'!$F:$F)/$G$3,0)</f>
        <v>0</v>
      </c>
      <c r="H25" s="21">
        <f>IFERROR(SUMIF('2024年销售情况'!$C:$C,$C:$C,'2024年销售情况'!$F:$F)/$H$3,0)</f>
        <v>0</v>
      </c>
      <c r="I25" s="21">
        <f>IFERROR(SUMIF('2024年销售情况'!$C:$C,$C:$C,'2024年销售情况'!$F:$F)/$I$3,0)</f>
        <v>0</v>
      </c>
      <c r="J25" s="21">
        <f>IFERROR(SUMIF('2024年销售情况'!$C:$C,$C:$C,'2024年销售情况'!$F:$F)/$J$3,0)</f>
        <v>0</v>
      </c>
      <c r="K25" s="21">
        <f>IFERROR(SUMIF('2024年销售情况'!$C:$C,$C:$C,'2024年销售情况'!$F:$F)/$K$3,0)</f>
        <v>0</v>
      </c>
      <c r="L25" s="21">
        <f>IFERROR(SUMIF('2024年销售情况'!$C:$C,$C:$C,'2024年销售情况'!$F:$F)/$L$3,0)</f>
        <v>0</v>
      </c>
      <c r="M25" s="21">
        <f>IFERROR(SUMIF('2024年销售情况'!$C:$C,$C:$C,'2024年销售情况'!$F:$F)/$M$3,0)</f>
        <v>0</v>
      </c>
      <c r="N25" s="21">
        <f>IFERROR(SUMIF('2024年销售情况'!$C:$C,$C:$C,'2024年销售情况'!$F:$F)/$N$3,0)</f>
        <v>0</v>
      </c>
      <c r="O25" s="21">
        <f>IFERROR(SUMIF('2024年销售情况'!$C:$C,$C:$C,'2024年销售情况'!$F:$F)/$O$3,0)</f>
        <v>0</v>
      </c>
      <c r="P25" s="21">
        <f>IFERROR(SUMIF('2024年销售情况'!$C:$C,$C:$C,'2024年销售情况'!$F:$F)/$P$3,0)</f>
        <v>0</v>
      </c>
      <c r="Q25" s="21" t="e">
        <f>'2024年销售情况'!AE23/$Q$3</f>
        <v>#DIV/0!</v>
      </c>
      <c r="R25" s="21">
        <f t="shared" si="0"/>
        <v>0</v>
      </c>
      <c r="S25" s="21" t="e">
        <f>'2024年销售情况'!AI23/$S$3</f>
        <v>#DIV/0!</v>
      </c>
      <c r="T25" s="21">
        <f t="shared" si="1"/>
        <v>0</v>
      </c>
      <c r="U25" s="21" t="e">
        <f>'2024年销售情况'!AM23/$U$3</f>
        <v>#DIV/0!</v>
      </c>
      <c r="V25" s="21">
        <f t="shared" si="2"/>
        <v>0</v>
      </c>
      <c r="W25" s="21" t="e">
        <f>'2024年销售情况'!AQ23/$W$3</f>
        <v>#DIV/0!</v>
      </c>
      <c r="X25" s="21">
        <f t="shared" si="3"/>
        <v>0</v>
      </c>
      <c r="Y25" s="21" t="e">
        <f>'2024年销售情况'!AU23/$Y$3</f>
        <v>#DIV/0!</v>
      </c>
      <c r="Z25" s="21">
        <f t="shared" si="4"/>
        <v>0</v>
      </c>
      <c r="AA25" s="21" t="e">
        <f>'2024年销售情况'!AY23/$AA$3</f>
        <v>#DIV/0!</v>
      </c>
      <c r="AB25" s="21">
        <f t="shared" si="5"/>
        <v>0</v>
      </c>
      <c r="AC25" s="21" t="e">
        <f>'2024年销售情况'!BC23/$AC$3</f>
        <v>#DIV/0!</v>
      </c>
      <c r="AD25" s="21">
        <f t="shared" si="6"/>
        <v>0</v>
      </c>
      <c r="AE25" s="21" t="e">
        <f>'2024年销售情况'!BG23/$AE$3</f>
        <v>#DIV/0!</v>
      </c>
      <c r="AF25" s="21">
        <f t="shared" si="7"/>
        <v>0</v>
      </c>
      <c r="AG25" s="21" t="e">
        <f>'2024年销售情况'!BK23/$AG$3</f>
        <v>#DIV/0!</v>
      </c>
      <c r="AH25" s="21">
        <f t="shared" si="8"/>
        <v>0</v>
      </c>
      <c r="AI25" s="21" t="e">
        <f>'2024年销售情况'!BO23/$AI$3</f>
        <v>#DIV/0!</v>
      </c>
      <c r="AJ25" s="21">
        <f t="shared" si="9"/>
        <v>0</v>
      </c>
      <c r="AK25" s="21" t="e">
        <f>'2024年销售情况'!BS23/$AK$3</f>
        <v>#DIV/0!</v>
      </c>
      <c r="AL25" s="21">
        <f t="shared" si="10"/>
        <v>0</v>
      </c>
      <c r="AM25" s="21" t="e">
        <f>'2024年销售情况'!BW23/$AM$3</f>
        <v>#DIV/0!</v>
      </c>
      <c r="AN25" s="21">
        <f t="shared" si="11"/>
        <v>0</v>
      </c>
      <c r="AO25" s="21"/>
      <c r="AP25" s="21"/>
    </row>
    <row r="26" ht="24" customHeight="1" spans="1:42">
      <c r="A26" s="36"/>
      <c r="B26" s="36"/>
      <c r="C26" s="20"/>
      <c r="D26" s="74"/>
      <c r="E26" s="21">
        <f>IFERROR(SUMIF('2024年销售情况'!C:C,C:C,'2024年销售情况'!F:F)/$E$3,0)</f>
        <v>0</v>
      </c>
      <c r="F26" s="21">
        <f>IFERROR(SUMIF('2024年销售情况'!$C:$C,$C:$C,'2024年销售情况'!$F:$F)/$F$3,0)</f>
        <v>0</v>
      </c>
      <c r="G26" s="21">
        <f>IFERROR(SUMIF('2024年销售情况'!$C:$C,$C:$C,'2024年销售情况'!$F:$F)/$G$3,0)</f>
        <v>0</v>
      </c>
      <c r="H26" s="21">
        <f>IFERROR(SUMIF('2024年销售情况'!$C:$C,$C:$C,'2024年销售情况'!$F:$F)/$H$3,0)</f>
        <v>0</v>
      </c>
      <c r="I26" s="21">
        <f>IFERROR(SUMIF('2024年销售情况'!$C:$C,$C:$C,'2024年销售情况'!$F:$F)/$I$3,0)</f>
        <v>0</v>
      </c>
      <c r="J26" s="21">
        <f>IFERROR(SUMIF('2024年销售情况'!$C:$C,$C:$C,'2024年销售情况'!$F:$F)/$J$3,0)</f>
        <v>0</v>
      </c>
      <c r="K26" s="21">
        <f>IFERROR(SUMIF('2024年销售情况'!$C:$C,$C:$C,'2024年销售情况'!$F:$F)/$K$3,0)</f>
        <v>0</v>
      </c>
      <c r="L26" s="21">
        <f>IFERROR(SUMIF('2024年销售情况'!$C:$C,$C:$C,'2024年销售情况'!$F:$F)/$L$3,0)</f>
        <v>0</v>
      </c>
      <c r="M26" s="21">
        <f>IFERROR(SUMIF('2024年销售情况'!$C:$C,$C:$C,'2024年销售情况'!$F:$F)/$M$3,0)</f>
        <v>0</v>
      </c>
      <c r="N26" s="21">
        <f>IFERROR(SUMIF('2024年销售情况'!$C:$C,$C:$C,'2024年销售情况'!$F:$F)/$N$3,0)</f>
        <v>0</v>
      </c>
      <c r="O26" s="21">
        <f>IFERROR(SUMIF('2024年销售情况'!$C:$C,$C:$C,'2024年销售情况'!$F:$F)/$O$3,0)</f>
        <v>0</v>
      </c>
      <c r="P26" s="21">
        <f>IFERROR(SUMIF('2024年销售情况'!$C:$C,$C:$C,'2024年销售情况'!$F:$F)/$P$3,0)</f>
        <v>0</v>
      </c>
      <c r="Q26" s="21" t="e">
        <f>'2024年销售情况'!AE24/$Q$3</f>
        <v>#DIV/0!</v>
      </c>
      <c r="R26" s="21">
        <f t="shared" si="0"/>
        <v>0</v>
      </c>
      <c r="S26" s="21" t="e">
        <f>'2024年销售情况'!AI24/$S$3</f>
        <v>#DIV/0!</v>
      </c>
      <c r="T26" s="21">
        <f t="shared" si="1"/>
        <v>0</v>
      </c>
      <c r="U26" s="21" t="e">
        <f>'2024年销售情况'!AM24/$U$3</f>
        <v>#DIV/0!</v>
      </c>
      <c r="V26" s="21">
        <f t="shared" si="2"/>
        <v>0</v>
      </c>
      <c r="W26" s="21" t="e">
        <f>'2024年销售情况'!AQ24/$W$3</f>
        <v>#DIV/0!</v>
      </c>
      <c r="X26" s="21">
        <f t="shared" si="3"/>
        <v>0</v>
      </c>
      <c r="Y26" s="21" t="e">
        <f>'2024年销售情况'!AU24/$Y$3</f>
        <v>#DIV/0!</v>
      </c>
      <c r="Z26" s="21">
        <f t="shared" si="4"/>
        <v>0</v>
      </c>
      <c r="AA26" s="21" t="e">
        <f>'2024年销售情况'!AY24/$AA$3</f>
        <v>#DIV/0!</v>
      </c>
      <c r="AB26" s="21">
        <f t="shared" si="5"/>
        <v>0</v>
      </c>
      <c r="AC26" s="21" t="e">
        <f>'2024年销售情况'!BC24/$AC$3</f>
        <v>#DIV/0!</v>
      </c>
      <c r="AD26" s="21">
        <f t="shared" si="6"/>
        <v>0</v>
      </c>
      <c r="AE26" s="21" t="e">
        <f>'2024年销售情况'!BG24/$AE$3</f>
        <v>#DIV/0!</v>
      </c>
      <c r="AF26" s="21">
        <f t="shared" si="7"/>
        <v>0</v>
      </c>
      <c r="AG26" s="21" t="e">
        <f>'2024年销售情况'!BK24/$AG$3</f>
        <v>#DIV/0!</v>
      </c>
      <c r="AH26" s="21">
        <f t="shared" si="8"/>
        <v>0</v>
      </c>
      <c r="AI26" s="21" t="e">
        <f>'2024年销售情况'!BO24/$AI$3</f>
        <v>#DIV/0!</v>
      </c>
      <c r="AJ26" s="21">
        <f t="shared" si="9"/>
        <v>0</v>
      </c>
      <c r="AK26" s="21" t="e">
        <f>'2024年销售情况'!BS24/$AK$3</f>
        <v>#DIV/0!</v>
      </c>
      <c r="AL26" s="21">
        <f t="shared" si="10"/>
        <v>0</v>
      </c>
      <c r="AM26" s="21" t="e">
        <f>'2024年销售情况'!BW24/$AM$3</f>
        <v>#DIV/0!</v>
      </c>
      <c r="AN26" s="21">
        <f t="shared" si="11"/>
        <v>0</v>
      </c>
      <c r="AO26" s="21"/>
      <c r="AP26" s="21"/>
    </row>
    <row r="27" ht="24" customHeight="1" spans="1:42">
      <c r="A27" s="36"/>
      <c r="B27" s="36"/>
      <c r="C27" s="20"/>
      <c r="D27" s="74"/>
      <c r="E27" s="21">
        <f>IFERROR(SUMIF('2024年销售情况'!C:C,C:C,'2024年销售情况'!F:F)/$E$3,0)</f>
        <v>0</v>
      </c>
      <c r="F27" s="21">
        <f>IFERROR(SUMIF('2024年销售情况'!$C:$C,$C:$C,'2024年销售情况'!$F:$F)/$F$3,0)</f>
        <v>0</v>
      </c>
      <c r="G27" s="21">
        <f>IFERROR(SUMIF('2024年销售情况'!$C:$C,$C:$C,'2024年销售情况'!$F:$F)/$G$3,0)</f>
        <v>0</v>
      </c>
      <c r="H27" s="21">
        <f>IFERROR(SUMIF('2024年销售情况'!$C:$C,$C:$C,'2024年销售情况'!$F:$F)/$H$3,0)</f>
        <v>0</v>
      </c>
      <c r="I27" s="21">
        <f>IFERROR(SUMIF('2024年销售情况'!$C:$C,$C:$C,'2024年销售情况'!$F:$F)/$I$3,0)</f>
        <v>0</v>
      </c>
      <c r="J27" s="21">
        <f>IFERROR(SUMIF('2024年销售情况'!$C:$C,$C:$C,'2024年销售情况'!$F:$F)/$J$3,0)</f>
        <v>0</v>
      </c>
      <c r="K27" s="21">
        <f>IFERROR(SUMIF('2024年销售情况'!$C:$C,$C:$C,'2024年销售情况'!$F:$F)/$K$3,0)</f>
        <v>0</v>
      </c>
      <c r="L27" s="21">
        <f>IFERROR(SUMIF('2024年销售情况'!$C:$C,$C:$C,'2024年销售情况'!$F:$F)/$L$3,0)</f>
        <v>0</v>
      </c>
      <c r="M27" s="21">
        <f>IFERROR(SUMIF('2024年销售情况'!$C:$C,$C:$C,'2024年销售情况'!$F:$F)/$M$3,0)</f>
        <v>0</v>
      </c>
      <c r="N27" s="21">
        <f>IFERROR(SUMIF('2024年销售情况'!$C:$C,$C:$C,'2024年销售情况'!$F:$F)/$N$3,0)</f>
        <v>0</v>
      </c>
      <c r="O27" s="21">
        <f>IFERROR(SUMIF('2024年销售情况'!$C:$C,$C:$C,'2024年销售情况'!$F:$F)/$O$3,0)</f>
        <v>0</v>
      </c>
      <c r="P27" s="21">
        <f>IFERROR(SUMIF('2024年销售情况'!$C:$C,$C:$C,'2024年销售情况'!$F:$F)/$P$3,0)</f>
        <v>0</v>
      </c>
      <c r="Q27" s="21" t="e">
        <f>'2024年销售情况'!AE25/$Q$3</f>
        <v>#DIV/0!</v>
      </c>
      <c r="R27" s="21">
        <f t="shared" si="0"/>
        <v>0</v>
      </c>
      <c r="S27" s="21" t="e">
        <f>'2024年销售情况'!AI25/$S$3</f>
        <v>#DIV/0!</v>
      </c>
      <c r="T27" s="21">
        <f t="shared" si="1"/>
        <v>0</v>
      </c>
      <c r="U27" s="21" t="e">
        <f>'2024年销售情况'!AM25/$U$3</f>
        <v>#DIV/0!</v>
      </c>
      <c r="V27" s="21">
        <f t="shared" si="2"/>
        <v>0</v>
      </c>
      <c r="W27" s="21" t="e">
        <f>'2024年销售情况'!AQ25/$W$3</f>
        <v>#DIV/0!</v>
      </c>
      <c r="X27" s="21">
        <f t="shared" si="3"/>
        <v>0</v>
      </c>
      <c r="Y27" s="21" t="e">
        <f>'2024年销售情况'!AU25/$Y$3</f>
        <v>#DIV/0!</v>
      </c>
      <c r="Z27" s="21">
        <f t="shared" si="4"/>
        <v>0</v>
      </c>
      <c r="AA27" s="21" t="e">
        <f>'2024年销售情况'!AY25/$AA$3</f>
        <v>#DIV/0!</v>
      </c>
      <c r="AB27" s="21">
        <f t="shared" si="5"/>
        <v>0</v>
      </c>
      <c r="AC27" s="21" t="e">
        <f>'2024年销售情况'!BC25/$AC$3</f>
        <v>#DIV/0!</v>
      </c>
      <c r="AD27" s="21">
        <f t="shared" si="6"/>
        <v>0</v>
      </c>
      <c r="AE27" s="21" t="e">
        <f>'2024年销售情况'!BG25/$AE$3</f>
        <v>#DIV/0!</v>
      </c>
      <c r="AF27" s="21">
        <f t="shared" si="7"/>
        <v>0</v>
      </c>
      <c r="AG27" s="21" t="e">
        <f>'2024年销售情况'!BK25/$AG$3</f>
        <v>#DIV/0!</v>
      </c>
      <c r="AH27" s="21">
        <f t="shared" si="8"/>
        <v>0</v>
      </c>
      <c r="AI27" s="21" t="e">
        <f>'2024年销售情况'!BO25/$AI$3</f>
        <v>#DIV/0!</v>
      </c>
      <c r="AJ27" s="21">
        <f t="shared" si="9"/>
        <v>0</v>
      </c>
      <c r="AK27" s="21" t="e">
        <f>'2024年销售情况'!BS25/$AK$3</f>
        <v>#DIV/0!</v>
      </c>
      <c r="AL27" s="21">
        <f t="shared" si="10"/>
        <v>0</v>
      </c>
      <c r="AM27" s="21" t="e">
        <f>'2024年销售情况'!BW25/$AM$3</f>
        <v>#DIV/0!</v>
      </c>
      <c r="AN27" s="21">
        <f t="shared" si="11"/>
        <v>0</v>
      </c>
      <c r="AO27" s="21"/>
      <c r="AP27" s="21"/>
    </row>
    <row r="28" ht="24" customHeight="1" spans="1:42">
      <c r="A28" s="36"/>
      <c r="B28" s="36"/>
      <c r="C28" s="20"/>
      <c r="D28" s="74"/>
      <c r="E28" s="21">
        <f>IFERROR(SUMIF('2024年销售情况'!C:C,C:C,'2024年销售情况'!F:F)/$E$3,0)</f>
        <v>0</v>
      </c>
      <c r="F28" s="21">
        <f>IFERROR(SUMIF('2024年销售情况'!$C:$C,$C:$C,'2024年销售情况'!$F:$F)/$F$3,0)</f>
        <v>0</v>
      </c>
      <c r="G28" s="21">
        <f>IFERROR(SUMIF('2024年销售情况'!$C:$C,$C:$C,'2024年销售情况'!$F:$F)/$G$3,0)</f>
        <v>0</v>
      </c>
      <c r="H28" s="21">
        <f>IFERROR(SUMIF('2024年销售情况'!$C:$C,$C:$C,'2024年销售情况'!$F:$F)/$H$3,0)</f>
        <v>0</v>
      </c>
      <c r="I28" s="21">
        <f>IFERROR(SUMIF('2024年销售情况'!$C:$C,$C:$C,'2024年销售情况'!$F:$F)/$I$3,0)</f>
        <v>0</v>
      </c>
      <c r="J28" s="21">
        <f>IFERROR(SUMIF('2024年销售情况'!$C:$C,$C:$C,'2024年销售情况'!$F:$F)/$J$3,0)</f>
        <v>0</v>
      </c>
      <c r="K28" s="21">
        <f>IFERROR(SUMIF('2024年销售情况'!$C:$C,$C:$C,'2024年销售情况'!$F:$F)/$K$3,0)</f>
        <v>0</v>
      </c>
      <c r="L28" s="21">
        <f>IFERROR(SUMIF('2024年销售情况'!$C:$C,$C:$C,'2024年销售情况'!$F:$F)/$L$3,0)</f>
        <v>0</v>
      </c>
      <c r="M28" s="21">
        <f>IFERROR(SUMIF('2024年销售情况'!$C:$C,$C:$C,'2024年销售情况'!$F:$F)/$M$3,0)</f>
        <v>0</v>
      </c>
      <c r="N28" s="21">
        <f>IFERROR(SUMIF('2024年销售情况'!$C:$C,$C:$C,'2024年销售情况'!$F:$F)/$N$3,0)</f>
        <v>0</v>
      </c>
      <c r="O28" s="21">
        <f>IFERROR(SUMIF('2024年销售情况'!$C:$C,$C:$C,'2024年销售情况'!$F:$F)/$O$3,0)</f>
        <v>0</v>
      </c>
      <c r="P28" s="21">
        <f>IFERROR(SUMIF('2024年销售情况'!$C:$C,$C:$C,'2024年销售情况'!$F:$F)/$P$3,0)</f>
        <v>0</v>
      </c>
      <c r="Q28" s="21" t="e">
        <f>'2024年销售情况'!AE26/$Q$3</f>
        <v>#DIV/0!</v>
      </c>
      <c r="R28" s="21">
        <f t="shared" si="0"/>
        <v>0</v>
      </c>
      <c r="S28" s="21" t="e">
        <f>'2024年销售情况'!AI26/$S$3</f>
        <v>#DIV/0!</v>
      </c>
      <c r="T28" s="21">
        <f t="shared" si="1"/>
        <v>0</v>
      </c>
      <c r="U28" s="21" t="e">
        <f>'2024年销售情况'!AM26/$U$3</f>
        <v>#DIV/0!</v>
      </c>
      <c r="V28" s="21">
        <f t="shared" si="2"/>
        <v>0</v>
      </c>
      <c r="W28" s="21" t="e">
        <f>'2024年销售情况'!AQ26/$W$3</f>
        <v>#DIV/0!</v>
      </c>
      <c r="X28" s="21">
        <f t="shared" si="3"/>
        <v>0</v>
      </c>
      <c r="Y28" s="21" t="e">
        <f>'2024年销售情况'!AU26/$Y$3</f>
        <v>#DIV/0!</v>
      </c>
      <c r="Z28" s="21">
        <f t="shared" si="4"/>
        <v>0</v>
      </c>
      <c r="AA28" s="21" t="e">
        <f>'2024年销售情况'!AY26/$AA$3</f>
        <v>#DIV/0!</v>
      </c>
      <c r="AB28" s="21">
        <f t="shared" si="5"/>
        <v>0</v>
      </c>
      <c r="AC28" s="21" t="e">
        <f>'2024年销售情况'!BC26/$AC$3</f>
        <v>#DIV/0!</v>
      </c>
      <c r="AD28" s="21">
        <f t="shared" si="6"/>
        <v>0</v>
      </c>
      <c r="AE28" s="21" t="e">
        <f>'2024年销售情况'!BG26/$AE$3</f>
        <v>#DIV/0!</v>
      </c>
      <c r="AF28" s="21">
        <f t="shared" si="7"/>
        <v>0</v>
      </c>
      <c r="AG28" s="21" t="e">
        <f>'2024年销售情况'!BK26/$AG$3</f>
        <v>#DIV/0!</v>
      </c>
      <c r="AH28" s="21">
        <f t="shared" si="8"/>
        <v>0</v>
      </c>
      <c r="AI28" s="21" t="e">
        <f>'2024年销售情况'!BO26/$AI$3</f>
        <v>#DIV/0!</v>
      </c>
      <c r="AJ28" s="21">
        <f t="shared" si="9"/>
        <v>0</v>
      </c>
      <c r="AK28" s="21" t="e">
        <f>'2024年销售情况'!BS26/$AK$3</f>
        <v>#DIV/0!</v>
      </c>
      <c r="AL28" s="21">
        <f t="shared" si="10"/>
        <v>0</v>
      </c>
      <c r="AM28" s="21" t="e">
        <f>'2024年销售情况'!BW26/$AM$3</f>
        <v>#DIV/0!</v>
      </c>
      <c r="AN28" s="21">
        <f t="shared" si="11"/>
        <v>0</v>
      </c>
      <c r="AO28" s="21"/>
      <c r="AP28" s="21"/>
    </row>
    <row r="29" ht="24" customHeight="1" spans="1:42">
      <c r="A29" s="36"/>
      <c r="B29" s="36"/>
      <c r="C29" s="20"/>
      <c r="D29" s="74"/>
      <c r="E29" s="21">
        <f>IFERROR(SUMIF('2024年销售情况'!C:C,C:C,'2024年销售情况'!F:F)/$E$3,0)</f>
        <v>0</v>
      </c>
      <c r="F29" s="21">
        <f>IFERROR(SUMIF('2024年销售情况'!$C:$C,$C:$C,'2024年销售情况'!$F:$F)/$F$3,0)</f>
        <v>0</v>
      </c>
      <c r="G29" s="21">
        <f>IFERROR(SUMIF('2024年销售情况'!$C:$C,$C:$C,'2024年销售情况'!$F:$F)/$G$3,0)</f>
        <v>0</v>
      </c>
      <c r="H29" s="21">
        <f>IFERROR(SUMIF('2024年销售情况'!$C:$C,$C:$C,'2024年销售情况'!$F:$F)/$H$3,0)</f>
        <v>0</v>
      </c>
      <c r="I29" s="21">
        <f>IFERROR(SUMIF('2024年销售情况'!$C:$C,$C:$C,'2024年销售情况'!$F:$F)/$I$3,0)</f>
        <v>0</v>
      </c>
      <c r="J29" s="21">
        <f>IFERROR(SUMIF('2024年销售情况'!$C:$C,$C:$C,'2024年销售情况'!$F:$F)/$J$3,0)</f>
        <v>0</v>
      </c>
      <c r="K29" s="21">
        <f>IFERROR(SUMIF('2024年销售情况'!$C:$C,$C:$C,'2024年销售情况'!$F:$F)/$K$3,0)</f>
        <v>0</v>
      </c>
      <c r="L29" s="21">
        <f>IFERROR(SUMIF('2024年销售情况'!$C:$C,$C:$C,'2024年销售情况'!$F:$F)/$L$3,0)</f>
        <v>0</v>
      </c>
      <c r="M29" s="21">
        <f>IFERROR(SUMIF('2024年销售情况'!$C:$C,$C:$C,'2024年销售情况'!$F:$F)/$M$3,0)</f>
        <v>0</v>
      </c>
      <c r="N29" s="21">
        <f>IFERROR(SUMIF('2024年销售情况'!$C:$C,$C:$C,'2024年销售情况'!$F:$F)/$N$3,0)</f>
        <v>0</v>
      </c>
      <c r="O29" s="21">
        <f>IFERROR(SUMIF('2024年销售情况'!$C:$C,$C:$C,'2024年销售情况'!$F:$F)/$O$3,0)</f>
        <v>0</v>
      </c>
      <c r="P29" s="21">
        <f>IFERROR(SUMIF('2024年销售情况'!$C:$C,$C:$C,'2024年销售情况'!$F:$F)/$P$3,0)</f>
        <v>0</v>
      </c>
      <c r="Q29" s="21" t="e">
        <f>'2024年销售情况'!AE27/$Q$3</f>
        <v>#DIV/0!</v>
      </c>
      <c r="R29" s="21">
        <f t="shared" si="0"/>
        <v>0</v>
      </c>
      <c r="S29" s="21" t="e">
        <f>'2024年销售情况'!AI27/$S$3</f>
        <v>#DIV/0!</v>
      </c>
      <c r="T29" s="21">
        <f t="shared" si="1"/>
        <v>0</v>
      </c>
      <c r="U29" s="21" t="e">
        <f>'2024年销售情况'!AM27/$U$3</f>
        <v>#DIV/0!</v>
      </c>
      <c r="V29" s="21">
        <f t="shared" si="2"/>
        <v>0</v>
      </c>
      <c r="W29" s="21" t="e">
        <f>'2024年销售情况'!AQ27/$W$3</f>
        <v>#DIV/0!</v>
      </c>
      <c r="X29" s="21">
        <f t="shared" si="3"/>
        <v>0</v>
      </c>
      <c r="Y29" s="21" t="e">
        <f>'2024年销售情况'!AU27/$Y$3</f>
        <v>#DIV/0!</v>
      </c>
      <c r="Z29" s="21">
        <f t="shared" si="4"/>
        <v>0</v>
      </c>
      <c r="AA29" s="21" t="e">
        <f>'2024年销售情况'!AY27/$AA$3</f>
        <v>#DIV/0!</v>
      </c>
      <c r="AB29" s="21">
        <f t="shared" si="5"/>
        <v>0</v>
      </c>
      <c r="AC29" s="21" t="e">
        <f>'2024年销售情况'!BC27/$AC$3</f>
        <v>#DIV/0!</v>
      </c>
      <c r="AD29" s="21">
        <f t="shared" si="6"/>
        <v>0</v>
      </c>
      <c r="AE29" s="21" t="e">
        <f>'2024年销售情况'!BG27/$AE$3</f>
        <v>#DIV/0!</v>
      </c>
      <c r="AF29" s="21">
        <f t="shared" si="7"/>
        <v>0</v>
      </c>
      <c r="AG29" s="21" t="e">
        <f>'2024年销售情况'!BK27/$AG$3</f>
        <v>#DIV/0!</v>
      </c>
      <c r="AH29" s="21">
        <f t="shared" si="8"/>
        <v>0</v>
      </c>
      <c r="AI29" s="21" t="e">
        <f>'2024年销售情况'!BO27/$AI$3</f>
        <v>#DIV/0!</v>
      </c>
      <c r="AJ29" s="21">
        <f t="shared" si="9"/>
        <v>0</v>
      </c>
      <c r="AK29" s="21" t="e">
        <f>'2024年销售情况'!BS27/$AK$3</f>
        <v>#DIV/0!</v>
      </c>
      <c r="AL29" s="21">
        <f t="shared" si="10"/>
        <v>0</v>
      </c>
      <c r="AM29" s="21" t="e">
        <f>'2024年销售情况'!BW27/$AM$3</f>
        <v>#DIV/0!</v>
      </c>
      <c r="AN29" s="21">
        <f t="shared" si="11"/>
        <v>0</v>
      </c>
      <c r="AO29" s="21"/>
      <c r="AP29" s="21"/>
    </row>
    <row r="30" ht="24" customHeight="1" spans="1:42">
      <c r="A30" s="36"/>
      <c r="B30" s="36"/>
      <c r="C30" s="20"/>
      <c r="D30" s="74"/>
      <c r="E30" s="21">
        <f>IFERROR(SUMIF('2024年销售情况'!C:C,C:C,'2024年销售情况'!F:F)/$E$3,0)</f>
        <v>0</v>
      </c>
      <c r="F30" s="21">
        <f>IFERROR(SUMIF('2024年销售情况'!$C:$C,$C:$C,'2024年销售情况'!$F:$F)/$F$3,0)</f>
        <v>0</v>
      </c>
      <c r="G30" s="21">
        <f>IFERROR(SUMIF('2024年销售情况'!$C:$C,$C:$C,'2024年销售情况'!$F:$F)/$G$3,0)</f>
        <v>0</v>
      </c>
      <c r="H30" s="21">
        <f>IFERROR(SUMIF('2024年销售情况'!$C:$C,$C:$C,'2024年销售情况'!$F:$F)/$H$3,0)</f>
        <v>0</v>
      </c>
      <c r="I30" s="21">
        <f>IFERROR(SUMIF('2024年销售情况'!$C:$C,$C:$C,'2024年销售情况'!$F:$F)/$I$3,0)</f>
        <v>0</v>
      </c>
      <c r="J30" s="21">
        <f>IFERROR(SUMIF('2024年销售情况'!$C:$C,$C:$C,'2024年销售情况'!$F:$F)/$J$3,0)</f>
        <v>0</v>
      </c>
      <c r="K30" s="21">
        <f>IFERROR(SUMIF('2024年销售情况'!$C:$C,$C:$C,'2024年销售情况'!$F:$F)/$K$3,0)</f>
        <v>0</v>
      </c>
      <c r="L30" s="21">
        <f>IFERROR(SUMIF('2024年销售情况'!$C:$C,$C:$C,'2024年销售情况'!$F:$F)/$L$3,0)</f>
        <v>0</v>
      </c>
      <c r="M30" s="21">
        <f>IFERROR(SUMIF('2024年销售情况'!$C:$C,$C:$C,'2024年销售情况'!$F:$F)/$M$3,0)</f>
        <v>0</v>
      </c>
      <c r="N30" s="21">
        <f>IFERROR(SUMIF('2024年销售情况'!$C:$C,$C:$C,'2024年销售情况'!$F:$F)/$N$3,0)</f>
        <v>0</v>
      </c>
      <c r="O30" s="21">
        <f>IFERROR(SUMIF('2024年销售情况'!$C:$C,$C:$C,'2024年销售情况'!$F:$F)/$O$3,0)</f>
        <v>0</v>
      </c>
      <c r="P30" s="21">
        <f>IFERROR(SUMIF('2024年销售情况'!$C:$C,$C:$C,'2024年销售情况'!$F:$F)/$P$3,0)</f>
        <v>0</v>
      </c>
      <c r="Q30" s="21" t="e">
        <f>'2024年销售情况'!AE28/$Q$3</f>
        <v>#DIV/0!</v>
      </c>
      <c r="R30" s="21">
        <f t="shared" si="0"/>
        <v>0</v>
      </c>
      <c r="S30" s="21" t="e">
        <f>'2024年销售情况'!AI28/$S$3</f>
        <v>#DIV/0!</v>
      </c>
      <c r="T30" s="21">
        <f t="shared" si="1"/>
        <v>0</v>
      </c>
      <c r="U30" s="21" t="e">
        <f>'2024年销售情况'!AM28/$U$3</f>
        <v>#DIV/0!</v>
      </c>
      <c r="V30" s="21">
        <f t="shared" si="2"/>
        <v>0</v>
      </c>
      <c r="W30" s="21" t="e">
        <f>'2024年销售情况'!AQ28/$W$3</f>
        <v>#DIV/0!</v>
      </c>
      <c r="X30" s="21">
        <f t="shared" si="3"/>
        <v>0</v>
      </c>
      <c r="Y30" s="21" t="e">
        <f>'2024年销售情况'!AU28/$Y$3</f>
        <v>#DIV/0!</v>
      </c>
      <c r="Z30" s="21">
        <f t="shared" si="4"/>
        <v>0</v>
      </c>
      <c r="AA30" s="21" t="e">
        <f>'2024年销售情况'!AY28/$AA$3</f>
        <v>#DIV/0!</v>
      </c>
      <c r="AB30" s="21">
        <f t="shared" si="5"/>
        <v>0</v>
      </c>
      <c r="AC30" s="21" t="e">
        <f>'2024年销售情况'!BC28/$AC$3</f>
        <v>#DIV/0!</v>
      </c>
      <c r="AD30" s="21">
        <f t="shared" si="6"/>
        <v>0</v>
      </c>
      <c r="AE30" s="21" t="e">
        <f>'2024年销售情况'!BG28/$AE$3</f>
        <v>#DIV/0!</v>
      </c>
      <c r="AF30" s="21">
        <f t="shared" si="7"/>
        <v>0</v>
      </c>
      <c r="AG30" s="21" t="e">
        <f>'2024年销售情况'!BK28/$AG$3</f>
        <v>#DIV/0!</v>
      </c>
      <c r="AH30" s="21">
        <f t="shared" si="8"/>
        <v>0</v>
      </c>
      <c r="AI30" s="21" t="e">
        <f>'2024年销售情况'!BO28/$AI$3</f>
        <v>#DIV/0!</v>
      </c>
      <c r="AJ30" s="21">
        <f t="shared" si="9"/>
        <v>0</v>
      </c>
      <c r="AK30" s="21" t="e">
        <f>'2024年销售情况'!BS28/$AK$3</f>
        <v>#DIV/0!</v>
      </c>
      <c r="AL30" s="21">
        <f t="shared" si="10"/>
        <v>0</v>
      </c>
      <c r="AM30" s="21" t="e">
        <f>'2024年销售情况'!BW28/$AM$3</f>
        <v>#DIV/0!</v>
      </c>
      <c r="AN30" s="21">
        <f t="shared" si="11"/>
        <v>0</v>
      </c>
      <c r="AO30" s="21"/>
      <c r="AP30" s="21"/>
    </row>
    <row r="31" ht="24" customHeight="1" spans="1:42">
      <c r="A31" s="36"/>
      <c r="B31" s="36"/>
      <c r="C31" s="20"/>
      <c r="D31" s="74"/>
      <c r="E31" s="21">
        <f>IFERROR(SUMIF('2024年销售情况'!C:C,C:C,'2024年销售情况'!F:F)/$E$3,0)</f>
        <v>0</v>
      </c>
      <c r="F31" s="21">
        <f>IFERROR(SUMIF('2024年销售情况'!$C:$C,$C:$C,'2024年销售情况'!$F:$F)/$F$3,0)</f>
        <v>0</v>
      </c>
      <c r="G31" s="21">
        <f>IFERROR(SUMIF('2024年销售情况'!$C:$C,$C:$C,'2024年销售情况'!$F:$F)/$G$3,0)</f>
        <v>0</v>
      </c>
      <c r="H31" s="21">
        <f>IFERROR(SUMIF('2024年销售情况'!$C:$C,$C:$C,'2024年销售情况'!$F:$F)/$H$3,0)</f>
        <v>0</v>
      </c>
      <c r="I31" s="21">
        <f>IFERROR(SUMIF('2024年销售情况'!$C:$C,$C:$C,'2024年销售情况'!$F:$F)/$I$3,0)</f>
        <v>0</v>
      </c>
      <c r="J31" s="21">
        <f>IFERROR(SUMIF('2024年销售情况'!$C:$C,$C:$C,'2024年销售情况'!$F:$F)/$J$3,0)</f>
        <v>0</v>
      </c>
      <c r="K31" s="21">
        <f>IFERROR(SUMIF('2024年销售情况'!$C:$C,$C:$C,'2024年销售情况'!$F:$F)/$K$3,0)</f>
        <v>0</v>
      </c>
      <c r="L31" s="21">
        <f>IFERROR(SUMIF('2024年销售情况'!$C:$C,$C:$C,'2024年销售情况'!$F:$F)/$L$3,0)</f>
        <v>0</v>
      </c>
      <c r="M31" s="21">
        <f>IFERROR(SUMIF('2024年销售情况'!$C:$C,$C:$C,'2024年销售情况'!$F:$F)/$M$3,0)</f>
        <v>0</v>
      </c>
      <c r="N31" s="21">
        <f>IFERROR(SUMIF('2024年销售情况'!$C:$C,$C:$C,'2024年销售情况'!$F:$F)/$N$3,0)</f>
        <v>0</v>
      </c>
      <c r="O31" s="21">
        <f>IFERROR(SUMIF('2024年销售情况'!$C:$C,$C:$C,'2024年销售情况'!$F:$F)/$O$3,0)</f>
        <v>0</v>
      </c>
      <c r="P31" s="21">
        <f>IFERROR(SUMIF('2024年销售情况'!$C:$C,$C:$C,'2024年销售情况'!$F:$F)/$P$3,0)</f>
        <v>0</v>
      </c>
      <c r="Q31" s="21" t="e">
        <f>'2024年销售情况'!AE29/$Q$3</f>
        <v>#DIV/0!</v>
      </c>
      <c r="R31" s="21">
        <f t="shared" si="0"/>
        <v>0</v>
      </c>
      <c r="S31" s="21" t="e">
        <f>'2024年销售情况'!AI29/$S$3</f>
        <v>#DIV/0!</v>
      </c>
      <c r="T31" s="21">
        <f t="shared" si="1"/>
        <v>0</v>
      </c>
      <c r="U31" s="21" t="e">
        <f>'2024年销售情况'!AM29/$U$3</f>
        <v>#DIV/0!</v>
      </c>
      <c r="V31" s="21">
        <f t="shared" si="2"/>
        <v>0</v>
      </c>
      <c r="W31" s="21" t="e">
        <f>'2024年销售情况'!AQ29/$W$3</f>
        <v>#DIV/0!</v>
      </c>
      <c r="X31" s="21">
        <f t="shared" si="3"/>
        <v>0</v>
      </c>
      <c r="Y31" s="21" t="e">
        <f>'2024年销售情况'!AU29/$Y$3</f>
        <v>#DIV/0!</v>
      </c>
      <c r="Z31" s="21">
        <f t="shared" si="4"/>
        <v>0</v>
      </c>
      <c r="AA31" s="21" t="e">
        <f>'2024年销售情况'!AY29/$AA$3</f>
        <v>#DIV/0!</v>
      </c>
      <c r="AB31" s="21">
        <f t="shared" si="5"/>
        <v>0</v>
      </c>
      <c r="AC31" s="21" t="e">
        <f>'2024年销售情况'!BC29/$AC$3</f>
        <v>#DIV/0!</v>
      </c>
      <c r="AD31" s="21">
        <f t="shared" si="6"/>
        <v>0</v>
      </c>
      <c r="AE31" s="21" t="e">
        <f>'2024年销售情况'!BG29/$AE$3</f>
        <v>#DIV/0!</v>
      </c>
      <c r="AF31" s="21">
        <f t="shared" si="7"/>
        <v>0</v>
      </c>
      <c r="AG31" s="21" t="e">
        <f>'2024年销售情况'!BK29/$AG$3</f>
        <v>#DIV/0!</v>
      </c>
      <c r="AH31" s="21">
        <f t="shared" si="8"/>
        <v>0</v>
      </c>
      <c r="AI31" s="21" t="e">
        <f>'2024年销售情况'!BO29/$AI$3</f>
        <v>#DIV/0!</v>
      </c>
      <c r="AJ31" s="21">
        <f t="shared" si="9"/>
        <v>0</v>
      </c>
      <c r="AK31" s="21" t="e">
        <f>'2024年销售情况'!BS29/$AK$3</f>
        <v>#DIV/0!</v>
      </c>
      <c r="AL31" s="21">
        <f t="shared" si="10"/>
        <v>0</v>
      </c>
      <c r="AM31" s="21" t="e">
        <f>'2024年销售情况'!BW29/$AM$3</f>
        <v>#DIV/0!</v>
      </c>
      <c r="AN31" s="21">
        <f t="shared" si="11"/>
        <v>0</v>
      </c>
      <c r="AO31" s="21"/>
      <c r="AP31" s="21"/>
    </row>
    <row r="32" ht="24" customHeight="1" spans="1:42">
      <c r="A32" s="36"/>
      <c r="B32" s="36"/>
      <c r="C32" s="20"/>
      <c r="D32" s="74"/>
      <c r="E32" s="21">
        <f>IFERROR(SUMIF('2024年销售情况'!C:C,C:C,'2024年销售情况'!F:F)/$E$3,0)</f>
        <v>0</v>
      </c>
      <c r="F32" s="21">
        <f>IFERROR(SUMIF('2024年销售情况'!$C:$C,$C:$C,'2024年销售情况'!$F:$F)/$F$3,0)</f>
        <v>0</v>
      </c>
      <c r="G32" s="21">
        <f>IFERROR(SUMIF('2024年销售情况'!$C:$C,$C:$C,'2024年销售情况'!$F:$F)/$G$3,0)</f>
        <v>0</v>
      </c>
      <c r="H32" s="21">
        <f>IFERROR(SUMIF('2024年销售情况'!$C:$C,$C:$C,'2024年销售情况'!$F:$F)/$H$3,0)</f>
        <v>0</v>
      </c>
      <c r="I32" s="21">
        <f>IFERROR(SUMIF('2024年销售情况'!$C:$C,$C:$C,'2024年销售情况'!$F:$F)/$I$3,0)</f>
        <v>0</v>
      </c>
      <c r="J32" s="21">
        <f>IFERROR(SUMIF('2024年销售情况'!$C:$C,$C:$C,'2024年销售情况'!$F:$F)/$J$3,0)</f>
        <v>0</v>
      </c>
      <c r="K32" s="21">
        <f>IFERROR(SUMIF('2024年销售情况'!$C:$C,$C:$C,'2024年销售情况'!$F:$F)/$K$3,0)</f>
        <v>0</v>
      </c>
      <c r="L32" s="21">
        <f>IFERROR(SUMIF('2024年销售情况'!$C:$C,$C:$C,'2024年销售情况'!$F:$F)/$L$3,0)</f>
        <v>0</v>
      </c>
      <c r="M32" s="21">
        <f>IFERROR(SUMIF('2024年销售情况'!$C:$C,$C:$C,'2024年销售情况'!$F:$F)/$M$3,0)</f>
        <v>0</v>
      </c>
      <c r="N32" s="21">
        <f>IFERROR(SUMIF('2024年销售情况'!$C:$C,$C:$C,'2024年销售情况'!$F:$F)/$N$3,0)</f>
        <v>0</v>
      </c>
      <c r="O32" s="21">
        <f>IFERROR(SUMIF('2024年销售情况'!$C:$C,$C:$C,'2024年销售情况'!$F:$F)/$O$3,0)</f>
        <v>0</v>
      </c>
      <c r="P32" s="21">
        <f>IFERROR(SUMIF('2024年销售情况'!$C:$C,$C:$C,'2024年销售情况'!$F:$F)/$P$3,0)</f>
        <v>0</v>
      </c>
      <c r="Q32" s="21" t="e">
        <f>'2024年销售情况'!AE30/$Q$3</f>
        <v>#DIV/0!</v>
      </c>
      <c r="R32" s="21">
        <f t="shared" si="0"/>
        <v>0</v>
      </c>
      <c r="S32" s="21" t="e">
        <f>'2024年销售情况'!AI30/$S$3</f>
        <v>#DIV/0!</v>
      </c>
      <c r="T32" s="21">
        <f t="shared" si="1"/>
        <v>0</v>
      </c>
      <c r="U32" s="21" t="e">
        <f>'2024年销售情况'!AM30/$U$3</f>
        <v>#DIV/0!</v>
      </c>
      <c r="V32" s="21">
        <f t="shared" si="2"/>
        <v>0</v>
      </c>
      <c r="W32" s="21" t="e">
        <f>'2024年销售情况'!AQ30/$W$3</f>
        <v>#DIV/0!</v>
      </c>
      <c r="X32" s="21">
        <f t="shared" si="3"/>
        <v>0</v>
      </c>
      <c r="Y32" s="21" t="e">
        <f>'2024年销售情况'!AU30/$Y$3</f>
        <v>#DIV/0!</v>
      </c>
      <c r="Z32" s="21">
        <f t="shared" si="4"/>
        <v>0</v>
      </c>
      <c r="AA32" s="21" t="e">
        <f>'2024年销售情况'!AY30/$AA$3</f>
        <v>#DIV/0!</v>
      </c>
      <c r="AB32" s="21">
        <f t="shared" si="5"/>
        <v>0</v>
      </c>
      <c r="AC32" s="21" t="e">
        <f>'2024年销售情况'!BC30/$AC$3</f>
        <v>#DIV/0!</v>
      </c>
      <c r="AD32" s="21">
        <f t="shared" si="6"/>
        <v>0</v>
      </c>
      <c r="AE32" s="21" t="e">
        <f>'2024年销售情况'!BG30/$AE$3</f>
        <v>#DIV/0!</v>
      </c>
      <c r="AF32" s="21">
        <f t="shared" si="7"/>
        <v>0</v>
      </c>
      <c r="AG32" s="21" t="e">
        <f>'2024年销售情况'!BK30/$AG$3</f>
        <v>#DIV/0!</v>
      </c>
      <c r="AH32" s="21">
        <f t="shared" si="8"/>
        <v>0</v>
      </c>
      <c r="AI32" s="21" t="e">
        <f>'2024年销售情况'!BO30/$AI$3</f>
        <v>#DIV/0!</v>
      </c>
      <c r="AJ32" s="21">
        <f t="shared" si="9"/>
        <v>0</v>
      </c>
      <c r="AK32" s="21" t="e">
        <f>'2024年销售情况'!BS30/$AK$3</f>
        <v>#DIV/0!</v>
      </c>
      <c r="AL32" s="21">
        <f t="shared" si="10"/>
        <v>0</v>
      </c>
      <c r="AM32" s="21" t="e">
        <f>'2024年销售情况'!BW30/$AM$3</f>
        <v>#DIV/0!</v>
      </c>
      <c r="AN32" s="21">
        <f t="shared" si="11"/>
        <v>0</v>
      </c>
      <c r="AO32" s="21"/>
      <c r="AP32" s="21"/>
    </row>
    <row r="33" ht="24" customHeight="1" spans="1:42">
      <c r="A33" s="36"/>
      <c r="B33" s="36"/>
      <c r="C33" s="20"/>
      <c r="D33" s="74"/>
      <c r="E33" s="21">
        <f>IFERROR(SUMIF('2024年销售情况'!C:C,C:C,'2024年销售情况'!F:F)/$E$3,0)</f>
        <v>0</v>
      </c>
      <c r="F33" s="21">
        <f>IFERROR(SUMIF('2024年销售情况'!$C:$C,$C:$C,'2024年销售情况'!$F:$F)/$F$3,0)</f>
        <v>0</v>
      </c>
      <c r="G33" s="21">
        <f>IFERROR(SUMIF('2024年销售情况'!$C:$C,$C:$C,'2024年销售情况'!$F:$F)/$G$3,0)</f>
        <v>0</v>
      </c>
      <c r="H33" s="21">
        <f>IFERROR(SUMIF('2024年销售情况'!$C:$C,$C:$C,'2024年销售情况'!$F:$F)/$H$3,0)</f>
        <v>0</v>
      </c>
      <c r="I33" s="21">
        <f>IFERROR(SUMIF('2024年销售情况'!$C:$C,$C:$C,'2024年销售情况'!$F:$F)/$I$3,0)</f>
        <v>0</v>
      </c>
      <c r="J33" s="21">
        <f>IFERROR(SUMIF('2024年销售情况'!$C:$C,$C:$C,'2024年销售情况'!$F:$F)/$J$3,0)</f>
        <v>0</v>
      </c>
      <c r="K33" s="21">
        <f>IFERROR(SUMIF('2024年销售情况'!$C:$C,$C:$C,'2024年销售情况'!$F:$F)/$K$3,0)</f>
        <v>0</v>
      </c>
      <c r="L33" s="21">
        <f>IFERROR(SUMIF('2024年销售情况'!$C:$C,$C:$C,'2024年销售情况'!$F:$F)/$L$3,0)</f>
        <v>0</v>
      </c>
      <c r="M33" s="21">
        <f>IFERROR(SUMIF('2024年销售情况'!$C:$C,$C:$C,'2024年销售情况'!$F:$F)/$M$3,0)</f>
        <v>0</v>
      </c>
      <c r="N33" s="21">
        <f>IFERROR(SUMIF('2024年销售情况'!$C:$C,$C:$C,'2024年销售情况'!$F:$F)/$N$3,0)</f>
        <v>0</v>
      </c>
      <c r="O33" s="21">
        <f>IFERROR(SUMIF('2024年销售情况'!$C:$C,$C:$C,'2024年销售情况'!$F:$F)/$O$3,0)</f>
        <v>0</v>
      </c>
      <c r="P33" s="21">
        <f>IFERROR(SUMIF('2024年销售情况'!$C:$C,$C:$C,'2024年销售情况'!$F:$F)/$P$3,0)</f>
        <v>0</v>
      </c>
      <c r="Q33" s="21" t="e">
        <f>'2024年销售情况'!AE31/$Q$3</f>
        <v>#DIV/0!</v>
      </c>
      <c r="R33" s="21">
        <f t="shared" si="0"/>
        <v>0</v>
      </c>
      <c r="S33" s="21" t="e">
        <f>'2024年销售情况'!AI31/$S$3</f>
        <v>#DIV/0!</v>
      </c>
      <c r="T33" s="21">
        <f t="shared" si="1"/>
        <v>0</v>
      </c>
      <c r="U33" s="21" t="e">
        <f>'2024年销售情况'!AM31/$U$3</f>
        <v>#DIV/0!</v>
      </c>
      <c r="V33" s="21">
        <f t="shared" si="2"/>
        <v>0</v>
      </c>
      <c r="W33" s="21" t="e">
        <f>'2024年销售情况'!AQ31/$W$3</f>
        <v>#DIV/0!</v>
      </c>
      <c r="X33" s="21">
        <f t="shared" si="3"/>
        <v>0</v>
      </c>
      <c r="Y33" s="21" t="e">
        <f>'2024年销售情况'!AU31/$Y$3</f>
        <v>#DIV/0!</v>
      </c>
      <c r="Z33" s="21">
        <f t="shared" si="4"/>
        <v>0</v>
      </c>
      <c r="AA33" s="21" t="e">
        <f>'2024年销售情况'!AY31/$AA$3</f>
        <v>#DIV/0!</v>
      </c>
      <c r="AB33" s="21">
        <f t="shared" si="5"/>
        <v>0</v>
      </c>
      <c r="AC33" s="21" t="e">
        <f>'2024年销售情况'!BC31/$AC$3</f>
        <v>#DIV/0!</v>
      </c>
      <c r="AD33" s="21">
        <f t="shared" si="6"/>
        <v>0</v>
      </c>
      <c r="AE33" s="21" t="e">
        <f>'2024年销售情况'!BG31/$AE$3</f>
        <v>#DIV/0!</v>
      </c>
      <c r="AF33" s="21">
        <f t="shared" si="7"/>
        <v>0</v>
      </c>
      <c r="AG33" s="21" t="e">
        <f>'2024年销售情况'!BK31/$AG$3</f>
        <v>#DIV/0!</v>
      </c>
      <c r="AH33" s="21">
        <f t="shared" si="8"/>
        <v>0</v>
      </c>
      <c r="AI33" s="21" t="e">
        <f>'2024年销售情况'!BO31/$AI$3</f>
        <v>#DIV/0!</v>
      </c>
      <c r="AJ33" s="21">
        <f t="shared" si="9"/>
        <v>0</v>
      </c>
      <c r="AK33" s="21" t="e">
        <f>'2024年销售情况'!BS31/$AK$3</f>
        <v>#DIV/0!</v>
      </c>
      <c r="AL33" s="21">
        <f t="shared" si="10"/>
        <v>0</v>
      </c>
      <c r="AM33" s="21" t="e">
        <f>'2024年销售情况'!BW31/$AM$3</f>
        <v>#DIV/0!</v>
      </c>
      <c r="AN33" s="21">
        <f t="shared" si="11"/>
        <v>0</v>
      </c>
      <c r="AO33" s="21"/>
      <c r="AP33" s="21"/>
    </row>
    <row r="34" ht="24" customHeight="1" spans="1:42">
      <c r="A34" s="36"/>
      <c r="B34" s="36"/>
      <c r="C34" s="20"/>
      <c r="D34" s="74"/>
      <c r="E34" s="21">
        <f>IFERROR(SUMIF('2024年销售情况'!C:C,C:C,'2024年销售情况'!F:F)/$E$3,0)</f>
        <v>0</v>
      </c>
      <c r="F34" s="21">
        <f>IFERROR(SUMIF('2024年销售情况'!$C:$C,$C:$C,'2024年销售情况'!$F:$F)/$F$3,0)</f>
        <v>0</v>
      </c>
      <c r="G34" s="21">
        <f>IFERROR(SUMIF('2024年销售情况'!$C:$C,$C:$C,'2024年销售情况'!$F:$F)/$G$3,0)</f>
        <v>0</v>
      </c>
      <c r="H34" s="21">
        <f>IFERROR(SUMIF('2024年销售情况'!$C:$C,$C:$C,'2024年销售情况'!$F:$F)/$H$3,0)</f>
        <v>0</v>
      </c>
      <c r="I34" s="21">
        <f>IFERROR(SUMIF('2024年销售情况'!$C:$C,$C:$C,'2024年销售情况'!$F:$F)/$I$3,0)</f>
        <v>0</v>
      </c>
      <c r="J34" s="21">
        <f>IFERROR(SUMIF('2024年销售情况'!$C:$C,$C:$C,'2024年销售情况'!$F:$F)/$J$3,0)</f>
        <v>0</v>
      </c>
      <c r="K34" s="21">
        <f>IFERROR(SUMIF('2024年销售情况'!$C:$C,$C:$C,'2024年销售情况'!$F:$F)/$K$3,0)</f>
        <v>0</v>
      </c>
      <c r="L34" s="21">
        <f>IFERROR(SUMIF('2024年销售情况'!$C:$C,$C:$C,'2024年销售情况'!$F:$F)/$L$3,0)</f>
        <v>0</v>
      </c>
      <c r="M34" s="21">
        <f>IFERROR(SUMIF('2024年销售情况'!$C:$C,$C:$C,'2024年销售情况'!$F:$F)/$M$3,0)</f>
        <v>0</v>
      </c>
      <c r="N34" s="21">
        <f>IFERROR(SUMIF('2024年销售情况'!$C:$C,$C:$C,'2024年销售情况'!$F:$F)/$N$3,0)</f>
        <v>0</v>
      </c>
      <c r="O34" s="21">
        <f>IFERROR(SUMIF('2024年销售情况'!$C:$C,$C:$C,'2024年销售情况'!$F:$F)/$O$3,0)</f>
        <v>0</v>
      </c>
      <c r="P34" s="21">
        <f>IFERROR(SUMIF('2024年销售情况'!$C:$C,$C:$C,'2024年销售情况'!$F:$F)/$P$3,0)</f>
        <v>0</v>
      </c>
      <c r="Q34" s="21" t="e">
        <f>'2024年销售情况'!AE32/$Q$3</f>
        <v>#DIV/0!</v>
      </c>
      <c r="R34" s="21">
        <f t="shared" si="0"/>
        <v>0</v>
      </c>
      <c r="S34" s="21" t="e">
        <f>'2024年销售情况'!AI32/$S$3</f>
        <v>#DIV/0!</v>
      </c>
      <c r="T34" s="21">
        <f t="shared" si="1"/>
        <v>0</v>
      </c>
      <c r="U34" s="21" t="e">
        <f>'2024年销售情况'!AM32/$U$3</f>
        <v>#DIV/0!</v>
      </c>
      <c r="V34" s="21">
        <f t="shared" si="2"/>
        <v>0</v>
      </c>
      <c r="W34" s="21" t="e">
        <f>'2024年销售情况'!AQ32/$W$3</f>
        <v>#DIV/0!</v>
      </c>
      <c r="X34" s="21">
        <f t="shared" si="3"/>
        <v>0</v>
      </c>
      <c r="Y34" s="21" t="e">
        <f>'2024年销售情况'!AU32/$Y$3</f>
        <v>#DIV/0!</v>
      </c>
      <c r="Z34" s="21">
        <f t="shared" si="4"/>
        <v>0</v>
      </c>
      <c r="AA34" s="21" t="e">
        <f>'2024年销售情况'!AY32/$AA$3</f>
        <v>#DIV/0!</v>
      </c>
      <c r="AB34" s="21">
        <f t="shared" si="5"/>
        <v>0</v>
      </c>
      <c r="AC34" s="21" t="e">
        <f>'2024年销售情况'!BC32/$AC$3</f>
        <v>#DIV/0!</v>
      </c>
      <c r="AD34" s="21">
        <f t="shared" si="6"/>
        <v>0</v>
      </c>
      <c r="AE34" s="21" t="e">
        <f>'2024年销售情况'!BG32/$AE$3</f>
        <v>#DIV/0!</v>
      </c>
      <c r="AF34" s="21">
        <f t="shared" si="7"/>
        <v>0</v>
      </c>
      <c r="AG34" s="21" t="e">
        <f>'2024年销售情况'!BK32/$AG$3</f>
        <v>#DIV/0!</v>
      </c>
      <c r="AH34" s="21">
        <f t="shared" si="8"/>
        <v>0</v>
      </c>
      <c r="AI34" s="21" t="e">
        <f>'2024年销售情况'!BO32/$AI$3</f>
        <v>#DIV/0!</v>
      </c>
      <c r="AJ34" s="21">
        <f t="shared" si="9"/>
        <v>0</v>
      </c>
      <c r="AK34" s="21" t="e">
        <f>'2024年销售情况'!BS32/$AK$3</f>
        <v>#DIV/0!</v>
      </c>
      <c r="AL34" s="21">
        <f t="shared" si="10"/>
        <v>0</v>
      </c>
      <c r="AM34" s="21" t="e">
        <f>'2024年销售情况'!BW32/$AM$3</f>
        <v>#DIV/0!</v>
      </c>
      <c r="AN34" s="21">
        <f t="shared" si="11"/>
        <v>0</v>
      </c>
      <c r="AO34" s="21"/>
      <c r="AP34" s="21"/>
    </row>
    <row r="35" ht="24" customHeight="1" spans="1:42">
      <c r="A35" s="82"/>
      <c r="B35" s="36"/>
      <c r="C35" s="20"/>
      <c r="D35" s="74"/>
      <c r="E35" s="21">
        <f>IFERROR(SUMIF('2024年销售情况'!C:C,C:C,'2024年销售情况'!F:F)/$E$3,0)</f>
        <v>0</v>
      </c>
      <c r="F35" s="21">
        <f>IFERROR(SUMIF('2024年销售情况'!$C:$C,$C:$C,'2024年销售情况'!$F:$F)/$F$3,0)</f>
        <v>0</v>
      </c>
      <c r="G35" s="21">
        <f>IFERROR(SUMIF('2024年销售情况'!$C:$C,$C:$C,'2024年销售情况'!$F:$F)/$G$3,0)</f>
        <v>0</v>
      </c>
      <c r="H35" s="21">
        <f>IFERROR(SUMIF('2024年销售情况'!$C:$C,$C:$C,'2024年销售情况'!$F:$F)/$H$3,0)</f>
        <v>0</v>
      </c>
      <c r="I35" s="21">
        <f>IFERROR(SUMIF('2024年销售情况'!$C:$C,$C:$C,'2024年销售情况'!$F:$F)/$I$3,0)</f>
        <v>0</v>
      </c>
      <c r="J35" s="21">
        <f>IFERROR(SUMIF('2024年销售情况'!$C:$C,$C:$C,'2024年销售情况'!$F:$F)/$J$3,0)</f>
        <v>0</v>
      </c>
      <c r="K35" s="21">
        <f>IFERROR(SUMIF('2024年销售情况'!$C:$C,$C:$C,'2024年销售情况'!$F:$F)/$K$3,0)</f>
        <v>0</v>
      </c>
      <c r="L35" s="21">
        <f>IFERROR(SUMIF('2024年销售情况'!$C:$C,$C:$C,'2024年销售情况'!$F:$F)/$L$3,0)</f>
        <v>0</v>
      </c>
      <c r="M35" s="21">
        <f>IFERROR(SUMIF('2024年销售情况'!$C:$C,$C:$C,'2024年销售情况'!$F:$F)/$M$3,0)</f>
        <v>0</v>
      </c>
      <c r="N35" s="21">
        <f>IFERROR(SUMIF('2024年销售情况'!$C:$C,$C:$C,'2024年销售情况'!$F:$F)/$N$3,0)</f>
        <v>0</v>
      </c>
      <c r="O35" s="21">
        <f>IFERROR(SUMIF('2024年销售情况'!$C:$C,$C:$C,'2024年销售情况'!$F:$F)/$O$3,0)</f>
        <v>0</v>
      </c>
      <c r="P35" s="21">
        <f>IFERROR(SUMIF('2024年销售情况'!$C:$C,$C:$C,'2024年销售情况'!$F:$F)/$P$3,0)</f>
        <v>0</v>
      </c>
      <c r="Q35" s="21" t="e">
        <f>'2024年销售情况'!AE33/$Q$3</f>
        <v>#DIV/0!</v>
      </c>
      <c r="R35" s="21">
        <f t="shared" si="0"/>
        <v>0</v>
      </c>
      <c r="S35" s="21" t="e">
        <f>'2024年销售情况'!AI33/$S$3</f>
        <v>#DIV/0!</v>
      </c>
      <c r="T35" s="21">
        <f t="shared" si="1"/>
        <v>0</v>
      </c>
      <c r="U35" s="21" t="e">
        <f>'2024年销售情况'!AM33/$U$3</f>
        <v>#DIV/0!</v>
      </c>
      <c r="V35" s="21">
        <f t="shared" si="2"/>
        <v>0</v>
      </c>
      <c r="W35" s="21" t="e">
        <f>'2024年销售情况'!AQ33/$W$3</f>
        <v>#DIV/0!</v>
      </c>
      <c r="X35" s="21">
        <f t="shared" si="3"/>
        <v>0</v>
      </c>
      <c r="Y35" s="21" t="e">
        <f>'2024年销售情况'!AU33/$Y$3</f>
        <v>#DIV/0!</v>
      </c>
      <c r="Z35" s="21">
        <f t="shared" si="4"/>
        <v>0</v>
      </c>
      <c r="AA35" s="21" t="e">
        <f>'2024年销售情况'!AY33/$AA$3</f>
        <v>#DIV/0!</v>
      </c>
      <c r="AB35" s="21">
        <f t="shared" si="5"/>
        <v>0</v>
      </c>
      <c r="AC35" s="21" t="e">
        <f>'2024年销售情况'!BC33/$AC$3</f>
        <v>#DIV/0!</v>
      </c>
      <c r="AD35" s="21">
        <f t="shared" si="6"/>
        <v>0</v>
      </c>
      <c r="AE35" s="21" t="e">
        <f>'2024年销售情况'!BG33/$AE$3</f>
        <v>#DIV/0!</v>
      </c>
      <c r="AF35" s="21">
        <f t="shared" si="7"/>
        <v>0</v>
      </c>
      <c r="AG35" s="21" t="e">
        <f>'2024年销售情况'!BK33/$AG$3</f>
        <v>#DIV/0!</v>
      </c>
      <c r="AH35" s="21">
        <f t="shared" si="8"/>
        <v>0</v>
      </c>
      <c r="AI35" s="21" t="e">
        <f>'2024年销售情况'!BO33/$AI$3</f>
        <v>#DIV/0!</v>
      </c>
      <c r="AJ35" s="21">
        <f t="shared" si="9"/>
        <v>0</v>
      </c>
      <c r="AK35" s="21" t="e">
        <f>'2024年销售情况'!BS33/$AK$3</f>
        <v>#DIV/0!</v>
      </c>
      <c r="AL35" s="21">
        <f t="shared" si="10"/>
        <v>0</v>
      </c>
      <c r="AM35" s="21" t="e">
        <f>'2024年销售情况'!BW33/$AM$3</f>
        <v>#DIV/0!</v>
      </c>
      <c r="AN35" s="21">
        <f t="shared" si="11"/>
        <v>0</v>
      </c>
      <c r="AO35" s="21"/>
      <c r="AP35" s="21"/>
    </row>
    <row r="36" ht="24" customHeight="1" spans="1:42">
      <c r="A36" s="82"/>
      <c r="B36" s="36"/>
      <c r="C36" s="20"/>
      <c r="D36" s="74"/>
      <c r="E36" s="21">
        <f>IFERROR(SUMIF('2024年销售情况'!C:C,C:C,'2024年销售情况'!F:F)/$E$3,0)</f>
        <v>0</v>
      </c>
      <c r="F36" s="21">
        <f>IFERROR(SUMIF('2024年销售情况'!$C:$C,$C:$C,'2024年销售情况'!$F:$F)/$F$3,0)</f>
        <v>0</v>
      </c>
      <c r="G36" s="21">
        <f>IFERROR(SUMIF('2024年销售情况'!$C:$C,$C:$C,'2024年销售情况'!$F:$F)/$G$3,0)</f>
        <v>0</v>
      </c>
      <c r="H36" s="21">
        <f>IFERROR(SUMIF('2024年销售情况'!$C:$C,$C:$C,'2024年销售情况'!$F:$F)/$H$3,0)</f>
        <v>0</v>
      </c>
      <c r="I36" s="21">
        <f>IFERROR(SUMIF('2024年销售情况'!$C:$C,$C:$C,'2024年销售情况'!$F:$F)/$I$3,0)</f>
        <v>0</v>
      </c>
      <c r="J36" s="21">
        <f>IFERROR(SUMIF('2024年销售情况'!$C:$C,$C:$C,'2024年销售情况'!$F:$F)/$J$3,0)</f>
        <v>0</v>
      </c>
      <c r="K36" s="21">
        <f>IFERROR(SUMIF('2024年销售情况'!$C:$C,$C:$C,'2024年销售情况'!$F:$F)/$K$3,0)</f>
        <v>0</v>
      </c>
      <c r="L36" s="21">
        <f>IFERROR(SUMIF('2024年销售情况'!$C:$C,$C:$C,'2024年销售情况'!$F:$F)/$L$3,0)</f>
        <v>0</v>
      </c>
      <c r="M36" s="21">
        <f>IFERROR(SUMIF('2024年销售情况'!$C:$C,$C:$C,'2024年销售情况'!$F:$F)/$M$3,0)</f>
        <v>0</v>
      </c>
      <c r="N36" s="21">
        <f>IFERROR(SUMIF('2024年销售情况'!$C:$C,$C:$C,'2024年销售情况'!$F:$F)/$N$3,0)</f>
        <v>0</v>
      </c>
      <c r="O36" s="21">
        <f>IFERROR(SUMIF('2024年销售情况'!$C:$C,$C:$C,'2024年销售情况'!$F:$F)/$O$3,0)</f>
        <v>0</v>
      </c>
      <c r="P36" s="21">
        <f>IFERROR(SUMIF('2024年销售情况'!$C:$C,$C:$C,'2024年销售情况'!$F:$F)/$P$3,0)</f>
        <v>0</v>
      </c>
      <c r="Q36" s="21" t="e">
        <f>'2024年销售情况'!AE34/$Q$3</f>
        <v>#DIV/0!</v>
      </c>
      <c r="R36" s="21">
        <f t="shared" si="0"/>
        <v>0</v>
      </c>
      <c r="S36" s="21" t="e">
        <f>'2024年销售情况'!AI34/$S$3</f>
        <v>#DIV/0!</v>
      </c>
      <c r="T36" s="21">
        <f t="shared" si="1"/>
        <v>0</v>
      </c>
      <c r="U36" s="21" t="e">
        <f>'2024年销售情况'!AM34/$U$3</f>
        <v>#DIV/0!</v>
      </c>
      <c r="V36" s="21">
        <f t="shared" si="2"/>
        <v>0</v>
      </c>
      <c r="W36" s="21" t="e">
        <f>'2024年销售情况'!AQ34/$W$3</f>
        <v>#DIV/0!</v>
      </c>
      <c r="X36" s="21">
        <f t="shared" si="3"/>
        <v>0</v>
      </c>
      <c r="Y36" s="21" t="e">
        <f>'2024年销售情况'!AU34/$Y$3</f>
        <v>#DIV/0!</v>
      </c>
      <c r="Z36" s="21">
        <f t="shared" si="4"/>
        <v>0</v>
      </c>
      <c r="AA36" s="21" t="e">
        <f>'2024年销售情况'!AY34/$AA$3</f>
        <v>#DIV/0!</v>
      </c>
      <c r="AB36" s="21">
        <f t="shared" si="5"/>
        <v>0</v>
      </c>
      <c r="AC36" s="21" t="e">
        <f>'2024年销售情况'!BC34/$AC$3</f>
        <v>#DIV/0!</v>
      </c>
      <c r="AD36" s="21">
        <f t="shared" si="6"/>
        <v>0</v>
      </c>
      <c r="AE36" s="21" t="e">
        <f>'2024年销售情况'!BG34/$AE$3</f>
        <v>#DIV/0!</v>
      </c>
      <c r="AF36" s="21">
        <f t="shared" si="7"/>
        <v>0</v>
      </c>
      <c r="AG36" s="21" t="e">
        <f>'2024年销售情况'!BK34/$AG$3</f>
        <v>#DIV/0!</v>
      </c>
      <c r="AH36" s="21">
        <f t="shared" si="8"/>
        <v>0</v>
      </c>
      <c r="AI36" s="21" t="e">
        <f>'2024年销售情况'!BO34/$AI$3</f>
        <v>#DIV/0!</v>
      </c>
      <c r="AJ36" s="21">
        <f t="shared" si="9"/>
        <v>0</v>
      </c>
      <c r="AK36" s="21" t="e">
        <f>'2024年销售情况'!BS34/$AK$3</f>
        <v>#DIV/0!</v>
      </c>
      <c r="AL36" s="21">
        <f t="shared" si="10"/>
        <v>0</v>
      </c>
      <c r="AM36" s="21" t="e">
        <f>'2024年销售情况'!BW34/$AM$3</f>
        <v>#DIV/0!</v>
      </c>
      <c r="AN36" s="21">
        <f t="shared" si="11"/>
        <v>0</v>
      </c>
      <c r="AO36" s="21"/>
      <c r="AP36" s="21"/>
    </row>
    <row r="37" ht="24" customHeight="1" spans="1:42">
      <c r="A37" s="82"/>
      <c r="B37" s="36"/>
      <c r="C37" s="20"/>
      <c r="D37" s="74"/>
      <c r="E37" s="21">
        <f>IFERROR(SUMIF('2024年销售情况'!C:C,C:C,'2024年销售情况'!F:F)/$E$3,0)</f>
        <v>0</v>
      </c>
      <c r="F37" s="21">
        <f>IFERROR(SUMIF('2024年销售情况'!$C:$C,$C:$C,'2024年销售情况'!$F:$F)/$F$3,0)</f>
        <v>0</v>
      </c>
      <c r="G37" s="21">
        <f>IFERROR(SUMIF('2024年销售情况'!$C:$C,$C:$C,'2024年销售情况'!$F:$F)/$G$3,0)</f>
        <v>0</v>
      </c>
      <c r="H37" s="21">
        <f>IFERROR(SUMIF('2024年销售情况'!$C:$C,$C:$C,'2024年销售情况'!$F:$F)/$H$3,0)</f>
        <v>0</v>
      </c>
      <c r="I37" s="21">
        <f>IFERROR(SUMIF('2024年销售情况'!$C:$C,$C:$C,'2024年销售情况'!$F:$F)/$I$3,0)</f>
        <v>0</v>
      </c>
      <c r="J37" s="21">
        <f>IFERROR(SUMIF('2024年销售情况'!$C:$C,$C:$C,'2024年销售情况'!$F:$F)/$J$3,0)</f>
        <v>0</v>
      </c>
      <c r="K37" s="21">
        <f>IFERROR(SUMIF('2024年销售情况'!$C:$C,$C:$C,'2024年销售情况'!$F:$F)/$K$3,0)</f>
        <v>0</v>
      </c>
      <c r="L37" s="21">
        <f>IFERROR(SUMIF('2024年销售情况'!$C:$C,$C:$C,'2024年销售情况'!$F:$F)/$L$3,0)</f>
        <v>0</v>
      </c>
      <c r="M37" s="21">
        <f>IFERROR(SUMIF('2024年销售情况'!$C:$C,$C:$C,'2024年销售情况'!$F:$F)/$M$3,0)</f>
        <v>0</v>
      </c>
      <c r="N37" s="21">
        <f>IFERROR(SUMIF('2024年销售情况'!$C:$C,$C:$C,'2024年销售情况'!$F:$F)/$N$3,0)</f>
        <v>0</v>
      </c>
      <c r="O37" s="21">
        <f>IFERROR(SUMIF('2024年销售情况'!$C:$C,$C:$C,'2024年销售情况'!$F:$F)/$O$3,0)</f>
        <v>0</v>
      </c>
      <c r="P37" s="21">
        <f>IFERROR(SUMIF('2024年销售情况'!$C:$C,$C:$C,'2024年销售情况'!$F:$F)/$P$3,0)</f>
        <v>0</v>
      </c>
      <c r="Q37" s="21" t="e">
        <f>'2024年销售情况'!AE35/$Q$3</f>
        <v>#DIV/0!</v>
      </c>
      <c r="R37" s="21">
        <f t="shared" si="0"/>
        <v>0</v>
      </c>
      <c r="S37" s="21" t="e">
        <f>'2024年销售情况'!AI35/$S$3</f>
        <v>#DIV/0!</v>
      </c>
      <c r="T37" s="21">
        <f t="shared" si="1"/>
        <v>0</v>
      </c>
      <c r="U37" s="21" t="e">
        <f>'2024年销售情况'!AM35/$U$3</f>
        <v>#DIV/0!</v>
      </c>
      <c r="V37" s="21">
        <f t="shared" si="2"/>
        <v>0</v>
      </c>
      <c r="W37" s="21" t="e">
        <f>'2024年销售情况'!AQ35/$W$3</f>
        <v>#DIV/0!</v>
      </c>
      <c r="X37" s="21">
        <f t="shared" si="3"/>
        <v>0</v>
      </c>
      <c r="Y37" s="21" t="e">
        <f>'2024年销售情况'!AU35/$Y$3</f>
        <v>#DIV/0!</v>
      </c>
      <c r="Z37" s="21">
        <f t="shared" si="4"/>
        <v>0</v>
      </c>
      <c r="AA37" s="21" t="e">
        <f>'2024年销售情况'!AY35/$AA$3</f>
        <v>#DIV/0!</v>
      </c>
      <c r="AB37" s="21">
        <f t="shared" si="5"/>
        <v>0</v>
      </c>
      <c r="AC37" s="21" t="e">
        <f>'2024年销售情况'!BC35/$AC$3</f>
        <v>#DIV/0!</v>
      </c>
      <c r="AD37" s="21">
        <f t="shared" si="6"/>
        <v>0</v>
      </c>
      <c r="AE37" s="21" t="e">
        <f>'2024年销售情况'!BG35/$AE$3</f>
        <v>#DIV/0!</v>
      </c>
      <c r="AF37" s="21">
        <f t="shared" si="7"/>
        <v>0</v>
      </c>
      <c r="AG37" s="21" t="e">
        <f>'2024年销售情况'!BK35/$AG$3</f>
        <v>#DIV/0!</v>
      </c>
      <c r="AH37" s="21">
        <f t="shared" si="8"/>
        <v>0</v>
      </c>
      <c r="AI37" s="21" t="e">
        <f>'2024年销售情况'!BO35/$AI$3</f>
        <v>#DIV/0!</v>
      </c>
      <c r="AJ37" s="21">
        <f t="shared" si="9"/>
        <v>0</v>
      </c>
      <c r="AK37" s="21" t="e">
        <f>'2024年销售情况'!BS35/$AK$3</f>
        <v>#DIV/0!</v>
      </c>
      <c r="AL37" s="21">
        <f t="shared" si="10"/>
        <v>0</v>
      </c>
      <c r="AM37" s="21" t="e">
        <f>'2024年销售情况'!BW35/$AM$3</f>
        <v>#DIV/0!</v>
      </c>
      <c r="AN37" s="21">
        <f t="shared" si="11"/>
        <v>0</v>
      </c>
      <c r="AO37" s="21"/>
      <c r="AP37" s="21"/>
    </row>
    <row r="38" ht="24" customHeight="1" spans="1:42">
      <c r="A38" s="82"/>
      <c r="B38" s="36"/>
      <c r="C38" s="20"/>
      <c r="D38" s="74"/>
      <c r="E38" s="21">
        <f>IFERROR(SUMIF('2024年销售情况'!C:C,C:C,'2024年销售情况'!F:F)/$E$3,0)</f>
        <v>0</v>
      </c>
      <c r="F38" s="21">
        <f>IFERROR(SUMIF('2024年销售情况'!$C:$C,$C:$C,'2024年销售情况'!$F:$F)/$F$3,0)</f>
        <v>0</v>
      </c>
      <c r="G38" s="21">
        <f>IFERROR(SUMIF('2024年销售情况'!$C:$C,$C:$C,'2024年销售情况'!$F:$F)/$G$3,0)</f>
        <v>0</v>
      </c>
      <c r="H38" s="21">
        <f>IFERROR(SUMIF('2024年销售情况'!$C:$C,$C:$C,'2024年销售情况'!$F:$F)/$H$3,0)</f>
        <v>0</v>
      </c>
      <c r="I38" s="21">
        <f>IFERROR(SUMIF('2024年销售情况'!$C:$C,$C:$C,'2024年销售情况'!$F:$F)/$I$3,0)</f>
        <v>0</v>
      </c>
      <c r="J38" s="21">
        <f>IFERROR(SUMIF('2024年销售情况'!$C:$C,$C:$C,'2024年销售情况'!$F:$F)/$J$3,0)</f>
        <v>0</v>
      </c>
      <c r="K38" s="21">
        <f>IFERROR(SUMIF('2024年销售情况'!$C:$C,$C:$C,'2024年销售情况'!$F:$F)/$K$3,0)</f>
        <v>0</v>
      </c>
      <c r="L38" s="21">
        <f>IFERROR(SUMIF('2024年销售情况'!$C:$C,$C:$C,'2024年销售情况'!$F:$F)/$L$3,0)</f>
        <v>0</v>
      </c>
      <c r="M38" s="21">
        <f>IFERROR(SUMIF('2024年销售情况'!$C:$C,$C:$C,'2024年销售情况'!$F:$F)/$M$3,0)</f>
        <v>0</v>
      </c>
      <c r="N38" s="21">
        <f>IFERROR(SUMIF('2024年销售情况'!$C:$C,$C:$C,'2024年销售情况'!$F:$F)/$N$3,0)</f>
        <v>0</v>
      </c>
      <c r="O38" s="21">
        <f>IFERROR(SUMIF('2024年销售情况'!$C:$C,$C:$C,'2024年销售情况'!$F:$F)/$O$3,0)</f>
        <v>0</v>
      </c>
      <c r="P38" s="21">
        <f>IFERROR(SUMIF('2024年销售情况'!$C:$C,$C:$C,'2024年销售情况'!$F:$F)/$P$3,0)</f>
        <v>0</v>
      </c>
      <c r="Q38" s="21" t="e">
        <f>'2024年销售情况'!AE36/$Q$3</f>
        <v>#DIV/0!</v>
      </c>
      <c r="R38" s="21">
        <f t="shared" ref="R38:R76" si="12">IFERROR((Q38-E38)/E38,0)</f>
        <v>0</v>
      </c>
      <c r="S38" s="21" t="e">
        <f>'2024年销售情况'!AI36/$S$3</f>
        <v>#DIV/0!</v>
      </c>
      <c r="T38" s="21">
        <f t="shared" ref="T38:T76" si="13">IFERROR((S38-F38)/F38,0)</f>
        <v>0</v>
      </c>
      <c r="U38" s="21" t="e">
        <f>'2024年销售情况'!AM36/$U$3</f>
        <v>#DIV/0!</v>
      </c>
      <c r="V38" s="21">
        <f t="shared" ref="V38:V76" si="14">IFERROR((U38-G38)/G38,0)</f>
        <v>0</v>
      </c>
      <c r="W38" s="21" t="e">
        <f>'2024年销售情况'!AQ36/$W$3</f>
        <v>#DIV/0!</v>
      </c>
      <c r="X38" s="21">
        <f t="shared" ref="X38:X76" si="15">IFERROR((W38-H38)/H38,0)</f>
        <v>0</v>
      </c>
      <c r="Y38" s="21" t="e">
        <f>'2024年销售情况'!AU36/$Y$3</f>
        <v>#DIV/0!</v>
      </c>
      <c r="Z38" s="21">
        <f t="shared" ref="Z38:Z76" si="16">IFERROR((Y38-I38)/I38,0)</f>
        <v>0</v>
      </c>
      <c r="AA38" s="21" t="e">
        <f>'2024年销售情况'!AY36/$AA$3</f>
        <v>#DIV/0!</v>
      </c>
      <c r="AB38" s="21">
        <f t="shared" ref="AB38:AB76" si="17">IFERROR((AA38-J38)/J38,0)</f>
        <v>0</v>
      </c>
      <c r="AC38" s="21" t="e">
        <f>'2024年销售情况'!BC36/$AC$3</f>
        <v>#DIV/0!</v>
      </c>
      <c r="AD38" s="21">
        <f t="shared" ref="AD38:AD76" si="18">IFERROR((AC38-K38)/K38,0)</f>
        <v>0</v>
      </c>
      <c r="AE38" s="21" t="e">
        <f>'2024年销售情况'!BG36/$AE$3</f>
        <v>#DIV/0!</v>
      </c>
      <c r="AF38" s="21">
        <f t="shared" ref="AF38:AF76" si="19">IFERROR((AE38-L38)/L38,0)</f>
        <v>0</v>
      </c>
      <c r="AG38" s="21" t="e">
        <f>'2024年销售情况'!BK36/$AG$3</f>
        <v>#DIV/0!</v>
      </c>
      <c r="AH38" s="21">
        <f t="shared" ref="AH38:AH76" si="20">IFERROR((AG38-M38)/M38,0)</f>
        <v>0</v>
      </c>
      <c r="AI38" s="21" t="e">
        <f>'2024年销售情况'!BO36/$AI$3</f>
        <v>#DIV/0!</v>
      </c>
      <c r="AJ38" s="21">
        <f t="shared" ref="AJ38:AJ76" si="21">IFERROR((AI38-N38)/N38,0)</f>
        <v>0</v>
      </c>
      <c r="AK38" s="21" t="e">
        <f>'2024年销售情况'!BS36/$AK$3</f>
        <v>#DIV/0!</v>
      </c>
      <c r="AL38" s="21">
        <f t="shared" ref="AL38:AL76" si="22">IFERROR((AK38-O38)/O38,0)</f>
        <v>0</v>
      </c>
      <c r="AM38" s="21" t="e">
        <f>'2024年销售情况'!BW36/$AM$3</f>
        <v>#DIV/0!</v>
      </c>
      <c r="AN38" s="21">
        <f t="shared" ref="AN38:AN76" si="23">IFERROR((AM38-P38)/P38,0)</f>
        <v>0</v>
      </c>
      <c r="AO38" s="21"/>
      <c r="AP38" s="21"/>
    </row>
    <row r="39" ht="24" customHeight="1" spans="1:42">
      <c r="A39" s="82"/>
      <c r="B39" s="36"/>
      <c r="C39" s="20"/>
      <c r="D39" s="74"/>
      <c r="E39" s="21">
        <f>IFERROR(SUMIF('2024年销售情况'!C:C,C:C,'2024年销售情况'!F:F)/$E$3,0)</f>
        <v>0</v>
      </c>
      <c r="F39" s="21">
        <f>IFERROR(SUMIF('2024年销售情况'!$C:$C,$C:$C,'2024年销售情况'!$F:$F)/$F$3,0)</f>
        <v>0</v>
      </c>
      <c r="G39" s="21">
        <f>IFERROR(SUMIF('2024年销售情况'!$C:$C,$C:$C,'2024年销售情况'!$F:$F)/$G$3,0)</f>
        <v>0</v>
      </c>
      <c r="H39" s="21">
        <f>IFERROR(SUMIF('2024年销售情况'!$C:$C,$C:$C,'2024年销售情况'!$F:$F)/$H$3,0)</f>
        <v>0</v>
      </c>
      <c r="I39" s="21">
        <f>IFERROR(SUMIF('2024年销售情况'!$C:$C,$C:$C,'2024年销售情况'!$F:$F)/$I$3,0)</f>
        <v>0</v>
      </c>
      <c r="J39" s="21">
        <f>IFERROR(SUMIF('2024年销售情况'!$C:$C,$C:$C,'2024年销售情况'!$F:$F)/$J$3,0)</f>
        <v>0</v>
      </c>
      <c r="K39" s="21">
        <f>IFERROR(SUMIF('2024年销售情况'!$C:$C,$C:$C,'2024年销售情况'!$F:$F)/$K$3,0)</f>
        <v>0</v>
      </c>
      <c r="L39" s="21">
        <f>IFERROR(SUMIF('2024年销售情况'!$C:$C,$C:$C,'2024年销售情况'!$F:$F)/$L$3,0)</f>
        <v>0</v>
      </c>
      <c r="M39" s="21">
        <f>IFERROR(SUMIF('2024年销售情况'!$C:$C,$C:$C,'2024年销售情况'!$F:$F)/$M$3,0)</f>
        <v>0</v>
      </c>
      <c r="N39" s="21">
        <f>IFERROR(SUMIF('2024年销售情况'!$C:$C,$C:$C,'2024年销售情况'!$F:$F)/$N$3,0)</f>
        <v>0</v>
      </c>
      <c r="O39" s="21">
        <f>IFERROR(SUMIF('2024年销售情况'!$C:$C,$C:$C,'2024年销售情况'!$F:$F)/$O$3,0)</f>
        <v>0</v>
      </c>
      <c r="P39" s="21">
        <f>IFERROR(SUMIF('2024年销售情况'!$C:$C,$C:$C,'2024年销售情况'!$F:$F)/$P$3,0)</f>
        <v>0</v>
      </c>
      <c r="Q39" s="21" t="e">
        <f>'2024年销售情况'!AE37/$Q$3</f>
        <v>#DIV/0!</v>
      </c>
      <c r="R39" s="21">
        <f t="shared" si="12"/>
        <v>0</v>
      </c>
      <c r="S39" s="21" t="e">
        <f>'2024年销售情况'!AI37/$S$3</f>
        <v>#DIV/0!</v>
      </c>
      <c r="T39" s="21">
        <f t="shared" si="13"/>
        <v>0</v>
      </c>
      <c r="U39" s="21" t="e">
        <f>'2024年销售情况'!AM37/$U$3</f>
        <v>#DIV/0!</v>
      </c>
      <c r="V39" s="21">
        <f t="shared" si="14"/>
        <v>0</v>
      </c>
      <c r="W39" s="21" t="e">
        <f>'2024年销售情况'!AQ37/$W$3</f>
        <v>#DIV/0!</v>
      </c>
      <c r="X39" s="21">
        <f t="shared" si="15"/>
        <v>0</v>
      </c>
      <c r="Y39" s="21" t="e">
        <f>'2024年销售情况'!AU37/$Y$3</f>
        <v>#DIV/0!</v>
      </c>
      <c r="Z39" s="21">
        <f t="shared" si="16"/>
        <v>0</v>
      </c>
      <c r="AA39" s="21" t="e">
        <f>'2024年销售情况'!AY37/$AA$3</f>
        <v>#DIV/0!</v>
      </c>
      <c r="AB39" s="21">
        <f t="shared" si="17"/>
        <v>0</v>
      </c>
      <c r="AC39" s="21" t="e">
        <f>'2024年销售情况'!BC37/$AC$3</f>
        <v>#DIV/0!</v>
      </c>
      <c r="AD39" s="21">
        <f t="shared" si="18"/>
        <v>0</v>
      </c>
      <c r="AE39" s="21" t="e">
        <f>'2024年销售情况'!BG37/$AE$3</f>
        <v>#DIV/0!</v>
      </c>
      <c r="AF39" s="21">
        <f t="shared" si="19"/>
        <v>0</v>
      </c>
      <c r="AG39" s="21" t="e">
        <f>'2024年销售情况'!BK37/$AG$3</f>
        <v>#DIV/0!</v>
      </c>
      <c r="AH39" s="21">
        <f t="shared" si="20"/>
        <v>0</v>
      </c>
      <c r="AI39" s="21" t="e">
        <f>'2024年销售情况'!BO37/$AI$3</f>
        <v>#DIV/0!</v>
      </c>
      <c r="AJ39" s="21">
        <f t="shared" si="21"/>
        <v>0</v>
      </c>
      <c r="AK39" s="21" t="e">
        <f>'2024年销售情况'!BS37/$AK$3</f>
        <v>#DIV/0!</v>
      </c>
      <c r="AL39" s="21">
        <f t="shared" si="22"/>
        <v>0</v>
      </c>
      <c r="AM39" s="21" t="e">
        <f>'2024年销售情况'!BW37/$AM$3</f>
        <v>#DIV/0!</v>
      </c>
      <c r="AN39" s="21">
        <f t="shared" si="23"/>
        <v>0</v>
      </c>
      <c r="AO39" s="21"/>
      <c r="AP39" s="21"/>
    </row>
    <row r="40" ht="24" customHeight="1" spans="1:42">
      <c r="A40" s="82"/>
      <c r="B40" s="36"/>
      <c r="C40" s="20"/>
      <c r="D40" s="74"/>
      <c r="E40" s="21">
        <f>IFERROR(SUMIF('2024年销售情况'!C:C,C:C,'2024年销售情况'!F:F)/$E$3,0)</f>
        <v>0</v>
      </c>
      <c r="F40" s="21">
        <f>IFERROR(SUMIF('2024年销售情况'!$C:$C,$C:$C,'2024年销售情况'!$F:$F)/$F$3,0)</f>
        <v>0</v>
      </c>
      <c r="G40" s="21">
        <f>IFERROR(SUMIF('2024年销售情况'!$C:$C,$C:$C,'2024年销售情况'!$F:$F)/$G$3,0)</f>
        <v>0</v>
      </c>
      <c r="H40" s="21">
        <f>IFERROR(SUMIF('2024年销售情况'!$C:$C,$C:$C,'2024年销售情况'!$F:$F)/$H$3,0)</f>
        <v>0</v>
      </c>
      <c r="I40" s="21">
        <f>IFERROR(SUMIF('2024年销售情况'!$C:$C,$C:$C,'2024年销售情况'!$F:$F)/$I$3,0)</f>
        <v>0</v>
      </c>
      <c r="J40" s="21">
        <f>IFERROR(SUMIF('2024年销售情况'!$C:$C,$C:$C,'2024年销售情况'!$F:$F)/$J$3,0)</f>
        <v>0</v>
      </c>
      <c r="K40" s="21">
        <f>IFERROR(SUMIF('2024年销售情况'!$C:$C,$C:$C,'2024年销售情况'!$F:$F)/$K$3,0)</f>
        <v>0</v>
      </c>
      <c r="L40" s="21">
        <f>IFERROR(SUMIF('2024年销售情况'!$C:$C,$C:$C,'2024年销售情况'!$F:$F)/$L$3,0)</f>
        <v>0</v>
      </c>
      <c r="M40" s="21">
        <f>IFERROR(SUMIF('2024年销售情况'!$C:$C,$C:$C,'2024年销售情况'!$F:$F)/$M$3,0)</f>
        <v>0</v>
      </c>
      <c r="N40" s="21">
        <f>IFERROR(SUMIF('2024年销售情况'!$C:$C,$C:$C,'2024年销售情况'!$F:$F)/$N$3,0)</f>
        <v>0</v>
      </c>
      <c r="O40" s="21">
        <f>IFERROR(SUMIF('2024年销售情况'!$C:$C,$C:$C,'2024年销售情况'!$F:$F)/$O$3,0)</f>
        <v>0</v>
      </c>
      <c r="P40" s="21">
        <f>IFERROR(SUMIF('2024年销售情况'!$C:$C,$C:$C,'2024年销售情况'!$F:$F)/$P$3,0)</f>
        <v>0</v>
      </c>
      <c r="Q40" s="21" t="e">
        <f>'2024年销售情况'!AE38/$Q$3</f>
        <v>#DIV/0!</v>
      </c>
      <c r="R40" s="21">
        <f t="shared" si="12"/>
        <v>0</v>
      </c>
      <c r="S40" s="21" t="e">
        <f>'2024年销售情况'!AI38/$S$3</f>
        <v>#DIV/0!</v>
      </c>
      <c r="T40" s="21">
        <f t="shared" si="13"/>
        <v>0</v>
      </c>
      <c r="U40" s="21" t="e">
        <f>'2024年销售情况'!AM38/$U$3</f>
        <v>#DIV/0!</v>
      </c>
      <c r="V40" s="21">
        <f t="shared" si="14"/>
        <v>0</v>
      </c>
      <c r="W40" s="21" t="e">
        <f>'2024年销售情况'!AQ38/$W$3</f>
        <v>#DIV/0!</v>
      </c>
      <c r="X40" s="21">
        <f t="shared" si="15"/>
        <v>0</v>
      </c>
      <c r="Y40" s="21" t="e">
        <f>'2024年销售情况'!AU38/$Y$3</f>
        <v>#DIV/0!</v>
      </c>
      <c r="Z40" s="21">
        <f t="shared" si="16"/>
        <v>0</v>
      </c>
      <c r="AA40" s="21" t="e">
        <f>'2024年销售情况'!AY38/$AA$3</f>
        <v>#DIV/0!</v>
      </c>
      <c r="AB40" s="21">
        <f t="shared" si="17"/>
        <v>0</v>
      </c>
      <c r="AC40" s="21" t="e">
        <f>'2024年销售情况'!BC38/$AC$3</f>
        <v>#DIV/0!</v>
      </c>
      <c r="AD40" s="21">
        <f t="shared" si="18"/>
        <v>0</v>
      </c>
      <c r="AE40" s="21" t="e">
        <f>'2024年销售情况'!BG38/$AE$3</f>
        <v>#DIV/0!</v>
      </c>
      <c r="AF40" s="21">
        <f t="shared" si="19"/>
        <v>0</v>
      </c>
      <c r="AG40" s="21" t="e">
        <f>'2024年销售情况'!BK38/$AG$3</f>
        <v>#DIV/0!</v>
      </c>
      <c r="AH40" s="21">
        <f t="shared" si="20"/>
        <v>0</v>
      </c>
      <c r="AI40" s="21" t="e">
        <f>'2024年销售情况'!BO38/$AI$3</f>
        <v>#DIV/0!</v>
      </c>
      <c r="AJ40" s="21">
        <f t="shared" si="21"/>
        <v>0</v>
      </c>
      <c r="AK40" s="21" t="e">
        <f>'2024年销售情况'!BS38/$AK$3</f>
        <v>#DIV/0!</v>
      </c>
      <c r="AL40" s="21">
        <f t="shared" si="22"/>
        <v>0</v>
      </c>
      <c r="AM40" s="21" t="e">
        <f>'2024年销售情况'!BW38/$AM$3</f>
        <v>#DIV/0!</v>
      </c>
      <c r="AN40" s="21">
        <f t="shared" si="23"/>
        <v>0</v>
      </c>
      <c r="AO40" s="21"/>
      <c r="AP40" s="21"/>
    </row>
    <row r="41" ht="24" customHeight="1" spans="1:42">
      <c r="A41" s="40"/>
      <c r="B41" s="36"/>
      <c r="C41" s="20"/>
      <c r="D41" s="74"/>
      <c r="E41" s="21">
        <f>IFERROR(SUMIF('2024年销售情况'!C:C,C:C,'2024年销售情况'!F:F)/$E$3,0)</f>
        <v>0</v>
      </c>
      <c r="F41" s="21">
        <f>IFERROR(SUMIF('2024年销售情况'!$C:$C,$C:$C,'2024年销售情况'!$F:$F)/$F$3,0)</f>
        <v>0</v>
      </c>
      <c r="G41" s="21">
        <f>IFERROR(SUMIF('2024年销售情况'!$C:$C,$C:$C,'2024年销售情况'!$F:$F)/$G$3,0)</f>
        <v>0</v>
      </c>
      <c r="H41" s="21">
        <f>IFERROR(SUMIF('2024年销售情况'!$C:$C,$C:$C,'2024年销售情况'!$F:$F)/$H$3,0)</f>
        <v>0</v>
      </c>
      <c r="I41" s="21">
        <f>IFERROR(SUMIF('2024年销售情况'!$C:$C,$C:$C,'2024年销售情况'!$F:$F)/$I$3,0)</f>
        <v>0</v>
      </c>
      <c r="J41" s="21">
        <f>IFERROR(SUMIF('2024年销售情况'!$C:$C,$C:$C,'2024年销售情况'!$F:$F)/$J$3,0)</f>
        <v>0</v>
      </c>
      <c r="K41" s="21">
        <f>IFERROR(SUMIF('2024年销售情况'!$C:$C,$C:$C,'2024年销售情况'!$F:$F)/$K$3,0)</f>
        <v>0</v>
      </c>
      <c r="L41" s="21">
        <f>IFERROR(SUMIF('2024年销售情况'!$C:$C,$C:$C,'2024年销售情况'!$F:$F)/$L$3,0)</f>
        <v>0</v>
      </c>
      <c r="M41" s="21">
        <f>IFERROR(SUMIF('2024年销售情况'!$C:$C,$C:$C,'2024年销售情况'!$F:$F)/$M$3,0)</f>
        <v>0</v>
      </c>
      <c r="N41" s="21">
        <f>IFERROR(SUMIF('2024年销售情况'!$C:$C,$C:$C,'2024年销售情况'!$F:$F)/$N$3,0)</f>
        <v>0</v>
      </c>
      <c r="O41" s="21">
        <f>IFERROR(SUMIF('2024年销售情况'!$C:$C,$C:$C,'2024年销售情况'!$F:$F)/$O$3,0)</f>
        <v>0</v>
      </c>
      <c r="P41" s="21">
        <f>IFERROR(SUMIF('2024年销售情况'!$C:$C,$C:$C,'2024年销售情况'!$F:$F)/$P$3,0)</f>
        <v>0</v>
      </c>
      <c r="Q41" s="21" t="e">
        <f>'2024年销售情况'!AE39/$Q$3</f>
        <v>#DIV/0!</v>
      </c>
      <c r="R41" s="21">
        <f t="shared" si="12"/>
        <v>0</v>
      </c>
      <c r="S41" s="21" t="e">
        <f>'2024年销售情况'!AI39/$S$3</f>
        <v>#DIV/0!</v>
      </c>
      <c r="T41" s="21">
        <f t="shared" si="13"/>
        <v>0</v>
      </c>
      <c r="U41" s="21" t="e">
        <f>'2024年销售情况'!AM39/$U$3</f>
        <v>#DIV/0!</v>
      </c>
      <c r="V41" s="21">
        <f t="shared" si="14"/>
        <v>0</v>
      </c>
      <c r="W41" s="21" t="e">
        <f>'2024年销售情况'!AQ39/$W$3</f>
        <v>#DIV/0!</v>
      </c>
      <c r="X41" s="21">
        <f t="shared" si="15"/>
        <v>0</v>
      </c>
      <c r="Y41" s="21" t="e">
        <f>'2024年销售情况'!AU39/$Y$3</f>
        <v>#DIV/0!</v>
      </c>
      <c r="Z41" s="21">
        <f t="shared" si="16"/>
        <v>0</v>
      </c>
      <c r="AA41" s="21" t="e">
        <f>'2024年销售情况'!AY39/$AA$3</f>
        <v>#DIV/0!</v>
      </c>
      <c r="AB41" s="21">
        <f t="shared" si="17"/>
        <v>0</v>
      </c>
      <c r="AC41" s="21" t="e">
        <f>'2024年销售情况'!BC39/$AC$3</f>
        <v>#DIV/0!</v>
      </c>
      <c r="AD41" s="21">
        <f t="shared" si="18"/>
        <v>0</v>
      </c>
      <c r="AE41" s="21" t="e">
        <f>'2024年销售情况'!BG39/$AE$3</f>
        <v>#DIV/0!</v>
      </c>
      <c r="AF41" s="21">
        <f t="shared" si="19"/>
        <v>0</v>
      </c>
      <c r="AG41" s="21" t="e">
        <f>'2024年销售情况'!BK39/$AG$3</f>
        <v>#DIV/0!</v>
      </c>
      <c r="AH41" s="21">
        <f t="shared" si="20"/>
        <v>0</v>
      </c>
      <c r="AI41" s="21" t="e">
        <f>'2024年销售情况'!BO39/$AI$3</f>
        <v>#DIV/0!</v>
      </c>
      <c r="AJ41" s="21">
        <f t="shared" si="21"/>
        <v>0</v>
      </c>
      <c r="AK41" s="21" t="e">
        <f>'2024年销售情况'!BS39/$AK$3</f>
        <v>#DIV/0!</v>
      </c>
      <c r="AL41" s="21">
        <f t="shared" si="22"/>
        <v>0</v>
      </c>
      <c r="AM41" s="21" t="e">
        <f>'2024年销售情况'!BW39/$AM$3</f>
        <v>#DIV/0!</v>
      </c>
      <c r="AN41" s="21">
        <f t="shared" si="23"/>
        <v>0</v>
      </c>
      <c r="AO41" s="21"/>
      <c r="AP41" s="21"/>
    </row>
    <row r="42" ht="24" customHeight="1" spans="1:42">
      <c r="A42" s="82"/>
      <c r="B42" s="36"/>
      <c r="C42" s="20"/>
      <c r="D42" s="74"/>
      <c r="E42" s="21">
        <f>IFERROR(SUMIF('2024年销售情况'!C:C,C:C,'2024年销售情况'!F:F)/$E$3,0)</f>
        <v>0</v>
      </c>
      <c r="F42" s="21">
        <f>IFERROR(SUMIF('2024年销售情况'!$C:$C,$C:$C,'2024年销售情况'!$F:$F)/$F$3,0)</f>
        <v>0</v>
      </c>
      <c r="G42" s="21">
        <f>IFERROR(SUMIF('2024年销售情况'!$C:$C,$C:$C,'2024年销售情况'!$F:$F)/$G$3,0)</f>
        <v>0</v>
      </c>
      <c r="H42" s="21">
        <f>IFERROR(SUMIF('2024年销售情况'!$C:$C,$C:$C,'2024年销售情况'!$F:$F)/$H$3,0)</f>
        <v>0</v>
      </c>
      <c r="I42" s="21">
        <f>IFERROR(SUMIF('2024年销售情况'!$C:$C,$C:$C,'2024年销售情况'!$F:$F)/$I$3,0)</f>
        <v>0</v>
      </c>
      <c r="J42" s="21">
        <f>IFERROR(SUMIF('2024年销售情况'!$C:$C,$C:$C,'2024年销售情况'!$F:$F)/$J$3,0)</f>
        <v>0</v>
      </c>
      <c r="K42" s="21">
        <f>IFERROR(SUMIF('2024年销售情况'!$C:$C,$C:$C,'2024年销售情况'!$F:$F)/$K$3,0)</f>
        <v>0</v>
      </c>
      <c r="L42" s="21">
        <f>IFERROR(SUMIF('2024年销售情况'!$C:$C,$C:$C,'2024年销售情况'!$F:$F)/$L$3,0)</f>
        <v>0</v>
      </c>
      <c r="M42" s="21">
        <f>IFERROR(SUMIF('2024年销售情况'!$C:$C,$C:$C,'2024年销售情况'!$F:$F)/$M$3,0)</f>
        <v>0</v>
      </c>
      <c r="N42" s="21">
        <f>IFERROR(SUMIF('2024年销售情况'!$C:$C,$C:$C,'2024年销售情况'!$F:$F)/$N$3,0)</f>
        <v>0</v>
      </c>
      <c r="O42" s="21">
        <f>IFERROR(SUMIF('2024年销售情况'!$C:$C,$C:$C,'2024年销售情况'!$F:$F)/$O$3,0)</f>
        <v>0</v>
      </c>
      <c r="P42" s="21">
        <f>IFERROR(SUMIF('2024年销售情况'!$C:$C,$C:$C,'2024年销售情况'!$F:$F)/$P$3,0)</f>
        <v>0</v>
      </c>
      <c r="Q42" s="21" t="e">
        <f>'2024年销售情况'!AE40/$Q$3</f>
        <v>#DIV/0!</v>
      </c>
      <c r="R42" s="21">
        <f t="shared" si="12"/>
        <v>0</v>
      </c>
      <c r="S42" s="21" t="e">
        <f>'2024年销售情况'!AI40/$S$3</f>
        <v>#DIV/0!</v>
      </c>
      <c r="T42" s="21">
        <f t="shared" si="13"/>
        <v>0</v>
      </c>
      <c r="U42" s="21" t="e">
        <f>'2024年销售情况'!AM40/$U$3</f>
        <v>#DIV/0!</v>
      </c>
      <c r="V42" s="21">
        <f t="shared" si="14"/>
        <v>0</v>
      </c>
      <c r="W42" s="21" t="e">
        <f>'2024年销售情况'!AQ40/$W$3</f>
        <v>#DIV/0!</v>
      </c>
      <c r="X42" s="21">
        <f t="shared" si="15"/>
        <v>0</v>
      </c>
      <c r="Y42" s="21" t="e">
        <f>'2024年销售情况'!AU40/$Y$3</f>
        <v>#DIV/0!</v>
      </c>
      <c r="Z42" s="21">
        <f t="shared" si="16"/>
        <v>0</v>
      </c>
      <c r="AA42" s="21" t="e">
        <f>'2024年销售情况'!AY40/$AA$3</f>
        <v>#DIV/0!</v>
      </c>
      <c r="AB42" s="21">
        <f t="shared" si="17"/>
        <v>0</v>
      </c>
      <c r="AC42" s="21" t="e">
        <f>'2024年销售情况'!BC40/$AC$3</f>
        <v>#DIV/0!</v>
      </c>
      <c r="AD42" s="21">
        <f t="shared" si="18"/>
        <v>0</v>
      </c>
      <c r="AE42" s="21" t="e">
        <f>'2024年销售情况'!BG40/$AE$3</f>
        <v>#DIV/0!</v>
      </c>
      <c r="AF42" s="21">
        <f t="shared" si="19"/>
        <v>0</v>
      </c>
      <c r="AG42" s="21" t="e">
        <f>'2024年销售情况'!BK40/$AG$3</f>
        <v>#DIV/0!</v>
      </c>
      <c r="AH42" s="21">
        <f t="shared" si="20"/>
        <v>0</v>
      </c>
      <c r="AI42" s="21" t="e">
        <f>'2024年销售情况'!BO40/$AI$3</f>
        <v>#DIV/0!</v>
      </c>
      <c r="AJ42" s="21">
        <f t="shared" si="21"/>
        <v>0</v>
      </c>
      <c r="AK42" s="21" t="e">
        <f>'2024年销售情况'!BS40/$AK$3</f>
        <v>#DIV/0!</v>
      </c>
      <c r="AL42" s="21">
        <f t="shared" si="22"/>
        <v>0</v>
      </c>
      <c r="AM42" s="21" t="e">
        <f>'2024年销售情况'!BW40/$AM$3</f>
        <v>#DIV/0!</v>
      </c>
      <c r="AN42" s="21">
        <f t="shared" si="23"/>
        <v>0</v>
      </c>
      <c r="AO42" s="21"/>
      <c r="AP42" s="21"/>
    </row>
    <row r="43" ht="24" customHeight="1" spans="1:42">
      <c r="A43" s="82"/>
      <c r="B43" s="36"/>
      <c r="C43" s="20"/>
      <c r="D43" s="74"/>
      <c r="E43" s="21">
        <f>IFERROR(SUMIF('2024年销售情况'!C:C,C:C,'2024年销售情况'!F:F)/$E$3,0)</f>
        <v>0</v>
      </c>
      <c r="F43" s="21">
        <f>IFERROR(SUMIF('2024年销售情况'!$C:$C,$C:$C,'2024年销售情况'!$F:$F)/$F$3,0)</f>
        <v>0</v>
      </c>
      <c r="G43" s="21">
        <f>IFERROR(SUMIF('2024年销售情况'!$C:$C,$C:$C,'2024年销售情况'!$F:$F)/$G$3,0)</f>
        <v>0</v>
      </c>
      <c r="H43" s="21">
        <f>IFERROR(SUMIF('2024年销售情况'!$C:$C,$C:$C,'2024年销售情况'!$F:$F)/$H$3,0)</f>
        <v>0</v>
      </c>
      <c r="I43" s="21">
        <f>IFERROR(SUMIF('2024年销售情况'!$C:$C,$C:$C,'2024年销售情况'!$F:$F)/$I$3,0)</f>
        <v>0</v>
      </c>
      <c r="J43" s="21">
        <f>IFERROR(SUMIF('2024年销售情况'!$C:$C,$C:$C,'2024年销售情况'!$F:$F)/$J$3,0)</f>
        <v>0</v>
      </c>
      <c r="K43" s="21">
        <f>IFERROR(SUMIF('2024年销售情况'!$C:$C,$C:$C,'2024年销售情况'!$F:$F)/$K$3,0)</f>
        <v>0</v>
      </c>
      <c r="L43" s="21">
        <f>IFERROR(SUMIF('2024年销售情况'!$C:$C,$C:$C,'2024年销售情况'!$F:$F)/$L$3,0)</f>
        <v>0</v>
      </c>
      <c r="M43" s="21">
        <f>IFERROR(SUMIF('2024年销售情况'!$C:$C,$C:$C,'2024年销售情况'!$F:$F)/$M$3,0)</f>
        <v>0</v>
      </c>
      <c r="N43" s="21">
        <f>IFERROR(SUMIF('2024年销售情况'!$C:$C,$C:$C,'2024年销售情况'!$F:$F)/$N$3,0)</f>
        <v>0</v>
      </c>
      <c r="O43" s="21">
        <f>IFERROR(SUMIF('2024年销售情况'!$C:$C,$C:$C,'2024年销售情况'!$F:$F)/$O$3,0)</f>
        <v>0</v>
      </c>
      <c r="P43" s="21">
        <f>IFERROR(SUMIF('2024年销售情况'!$C:$C,$C:$C,'2024年销售情况'!$F:$F)/$P$3,0)</f>
        <v>0</v>
      </c>
      <c r="Q43" s="21" t="e">
        <f>'2024年销售情况'!AE41/$Q$3</f>
        <v>#DIV/0!</v>
      </c>
      <c r="R43" s="21">
        <f t="shared" si="12"/>
        <v>0</v>
      </c>
      <c r="S43" s="21" t="e">
        <f>'2024年销售情况'!AI41/$S$3</f>
        <v>#DIV/0!</v>
      </c>
      <c r="T43" s="21">
        <f t="shared" si="13"/>
        <v>0</v>
      </c>
      <c r="U43" s="21" t="e">
        <f>'2024年销售情况'!AM41/$U$3</f>
        <v>#DIV/0!</v>
      </c>
      <c r="V43" s="21">
        <f t="shared" si="14"/>
        <v>0</v>
      </c>
      <c r="W43" s="21" t="e">
        <f>'2024年销售情况'!AQ41/$W$3</f>
        <v>#DIV/0!</v>
      </c>
      <c r="X43" s="21">
        <f t="shared" si="15"/>
        <v>0</v>
      </c>
      <c r="Y43" s="21" t="e">
        <f>'2024年销售情况'!AU41/$Y$3</f>
        <v>#DIV/0!</v>
      </c>
      <c r="Z43" s="21">
        <f t="shared" si="16"/>
        <v>0</v>
      </c>
      <c r="AA43" s="21" t="e">
        <f>'2024年销售情况'!AY41/$AA$3</f>
        <v>#DIV/0!</v>
      </c>
      <c r="AB43" s="21">
        <f t="shared" si="17"/>
        <v>0</v>
      </c>
      <c r="AC43" s="21" t="e">
        <f>'2024年销售情况'!BC41/$AC$3</f>
        <v>#DIV/0!</v>
      </c>
      <c r="AD43" s="21">
        <f t="shared" si="18"/>
        <v>0</v>
      </c>
      <c r="AE43" s="21" t="e">
        <f>'2024年销售情况'!BG41/$AE$3</f>
        <v>#DIV/0!</v>
      </c>
      <c r="AF43" s="21">
        <f t="shared" si="19"/>
        <v>0</v>
      </c>
      <c r="AG43" s="21" t="e">
        <f>'2024年销售情况'!BK41/$AG$3</f>
        <v>#DIV/0!</v>
      </c>
      <c r="AH43" s="21">
        <f t="shared" si="20"/>
        <v>0</v>
      </c>
      <c r="AI43" s="21" t="e">
        <f>'2024年销售情况'!BO41/$AI$3</f>
        <v>#DIV/0!</v>
      </c>
      <c r="AJ43" s="21">
        <f t="shared" si="21"/>
        <v>0</v>
      </c>
      <c r="AK43" s="21" t="e">
        <f>'2024年销售情况'!BS41/$AK$3</f>
        <v>#DIV/0!</v>
      </c>
      <c r="AL43" s="21">
        <f t="shared" si="22"/>
        <v>0</v>
      </c>
      <c r="AM43" s="21" t="e">
        <f>'2024年销售情况'!BW41/$AM$3</f>
        <v>#DIV/0!</v>
      </c>
      <c r="AN43" s="21">
        <f t="shared" si="23"/>
        <v>0</v>
      </c>
      <c r="AO43" s="21"/>
      <c r="AP43" s="21"/>
    </row>
    <row r="44" ht="24" customHeight="1" spans="1:42">
      <c r="A44" s="82"/>
      <c r="B44" s="36"/>
      <c r="C44" s="20"/>
      <c r="D44" s="74"/>
      <c r="E44" s="21">
        <f>IFERROR(SUMIF('2024年销售情况'!C:C,C:C,'2024年销售情况'!F:F)/$E$3,0)</f>
        <v>0</v>
      </c>
      <c r="F44" s="21">
        <f>IFERROR(SUMIF('2024年销售情况'!$C:$C,$C:$C,'2024年销售情况'!$F:$F)/$F$3,0)</f>
        <v>0</v>
      </c>
      <c r="G44" s="21">
        <f>IFERROR(SUMIF('2024年销售情况'!$C:$C,$C:$C,'2024年销售情况'!$F:$F)/$G$3,0)</f>
        <v>0</v>
      </c>
      <c r="H44" s="21">
        <f>IFERROR(SUMIF('2024年销售情况'!$C:$C,$C:$C,'2024年销售情况'!$F:$F)/$H$3,0)</f>
        <v>0</v>
      </c>
      <c r="I44" s="21">
        <f>IFERROR(SUMIF('2024年销售情况'!$C:$C,$C:$C,'2024年销售情况'!$F:$F)/$I$3,0)</f>
        <v>0</v>
      </c>
      <c r="J44" s="21">
        <f>IFERROR(SUMIF('2024年销售情况'!$C:$C,$C:$C,'2024年销售情况'!$F:$F)/$J$3,0)</f>
        <v>0</v>
      </c>
      <c r="K44" s="21">
        <f>IFERROR(SUMIF('2024年销售情况'!$C:$C,$C:$C,'2024年销售情况'!$F:$F)/$K$3,0)</f>
        <v>0</v>
      </c>
      <c r="L44" s="21">
        <f>IFERROR(SUMIF('2024年销售情况'!$C:$C,$C:$C,'2024年销售情况'!$F:$F)/$L$3,0)</f>
        <v>0</v>
      </c>
      <c r="M44" s="21">
        <f>IFERROR(SUMIF('2024年销售情况'!$C:$C,$C:$C,'2024年销售情况'!$F:$F)/$M$3,0)</f>
        <v>0</v>
      </c>
      <c r="N44" s="21">
        <f>IFERROR(SUMIF('2024年销售情况'!$C:$C,$C:$C,'2024年销售情况'!$F:$F)/$N$3,0)</f>
        <v>0</v>
      </c>
      <c r="O44" s="21">
        <f>IFERROR(SUMIF('2024年销售情况'!$C:$C,$C:$C,'2024年销售情况'!$F:$F)/$O$3,0)</f>
        <v>0</v>
      </c>
      <c r="P44" s="21">
        <f>IFERROR(SUMIF('2024年销售情况'!$C:$C,$C:$C,'2024年销售情况'!$F:$F)/$P$3,0)</f>
        <v>0</v>
      </c>
      <c r="Q44" s="21" t="e">
        <f>'2024年销售情况'!AE42/$Q$3</f>
        <v>#DIV/0!</v>
      </c>
      <c r="R44" s="21">
        <f t="shared" si="12"/>
        <v>0</v>
      </c>
      <c r="S44" s="21" t="e">
        <f>'2024年销售情况'!AI42/$S$3</f>
        <v>#DIV/0!</v>
      </c>
      <c r="T44" s="21">
        <f t="shared" si="13"/>
        <v>0</v>
      </c>
      <c r="U44" s="21" t="e">
        <f>'2024年销售情况'!AM42/$U$3</f>
        <v>#DIV/0!</v>
      </c>
      <c r="V44" s="21">
        <f t="shared" si="14"/>
        <v>0</v>
      </c>
      <c r="W44" s="21" t="e">
        <f>'2024年销售情况'!AQ42/$W$3</f>
        <v>#DIV/0!</v>
      </c>
      <c r="X44" s="21">
        <f t="shared" si="15"/>
        <v>0</v>
      </c>
      <c r="Y44" s="21" t="e">
        <f>'2024年销售情况'!AU42/$Y$3</f>
        <v>#DIV/0!</v>
      </c>
      <c r="Z44" s="21">
        <f t="shared" si="16"/>
        <v>0</v>
      </c>
      <c r="AA44" s="21" t="e">
        <f>'2024年销售情况'!AY42/$AA$3</f>
        <v>#DIV/0!</v>
      </c>
      <c r="AB44" s="21">
        <f t="shared" si="17"/>
        <v>0</v>
      </c>
      <c r="AC44" s="21" t="e">
        <f>'2024年销售情况'!BC42/$AC$3</f>
        <v>#DIV/0!</v>
      </c>
      <c r="AD44" s="21">
        <f t="shared" si="18"/>
        <v>0</v>
      </c>
      <c r="AE44" s="21" t="e">
        <f>'2024年销售情况'!BG42/$AE$3</f>
        <v>#DIV/0!</v>
      </c>
      <c r="AF44" s="21">
        <f t="shared" si="19"/>
        <v>0</v>
      </c>
      <c r="AG44" s="21" t="e">
        <f>'2024年销售情况'!BK42/$AG$3</f>
        <v>#DIV/0!</v>
      </c>
      <c r="AH44" s="21">
        <f t="shared" si="20"/>
        <v>0</v>
      </c>
      <c r="AI44" s="21" t="e">
        <f>'2024年销售情况'!BO42/$AI$3</f>
        <v>#DIV/0!</v>
      </c>
      <c r="AJ44" s="21">
        <f t="shared" si="21"/>
        <v>0</v>
      </c>
      <c r="AK44" s="21" t="e">
        <f>'2024年销售情况'!BS42/$AK$3</f>
        <v>#DIV/0!</v>
      </c>
      <c r="AL44" s="21">
        <f t="shared" si="22"/>
        <v>0</v>
      </c>
      <c r="AM44" s="21" t="e">
        <f>'2024年销售情况'!BW42/$AM$3</f>
        <v>#DIV/0!</v>
      </c>
      <c r="AN44" s="21">
        <f t="shared" si="23"/>
        <v>0</v>
      </c>
      <c r="AO44" s="21"/>
      <c r="AP44" s="21"/>
    </row>
    <row r="45" ht="24" customHeight="1" spans="1:42">
      <c r="A45" s="82"/>
      <c r="B45" s="36"/>
      <c r="C45" s="20"/>
      <c r="D45" s="74"/>
      <c r="E45" s="21">
        <f>IFERROR(SUMIF('2024年销售情况'!C:C,C:C,'2024年销售情况'!F:F)/$E$3,0)</f>
        <v>0</v>
      </c>
      <c r="F45" s="21">
        <f>IFERROR(SUMIF('2024年销售情况'!$C:$C,$C:$C,'2024年销售情况'!$F:$F)/$F$3,0)</f>
        <v>0</v>
      </c>
      <c r="G45" s="21">
        <f>IFERROR(SUMIF('2024年销售情况'!$C:$C,$C:$C,'2024年销售情况'!$F:$F)/$G$3,0)</f>
        <v>0</v>
      </c>
      <c r="H45" s="21">
        <f>IFERROR(SUMIF('2024年销售情况'!$C:$C,$C:$C,'2024年销售情况'!$F:$F)/$H$3,0)</f>
        <v>0</v>
      </c>
      <c r="I45" s="21">
        <f>IFERROR(SUMIF('2024年销售情况'!$C:$C,$C:$C,'2024年销售情况'!$F:$F)/$I$3,0)</f>
        <v>0</v>
      </c>
      <c r="J45" s="21">
        <f>IFERROR(SUMIF('2024年销售情况'!$C:$C,$C:$C,'2024年销售情况'!$F:$F)/$J$3,0)</f>
        <v>0</v>
      </c>
      <c r="K45" s="21">
        <f>IFERROR(SUMIF('2024年销售情况'!$C:$C,$C:$C,'2024年销售情况'!$F:$F)/$K$3,0)</f>
        <v>0</v>
      </c>
      <c r="L45" s="21">
        <f>IFERROR(SUMIF('2024年销售情况'!$C:$C,$C:$C,'2024年销售情况'!$F:$F)/$L$3,0)</f>
        <v>0</v>
      </c>
      <c r="M45" s="21">
        <f>IFERROR(SUMIF('2024年销售情况'!$C:$C,$C:$C,'2024年销售情况'!$F:$F)/$M$3,0)</f>
        <v>0</v>
      </c>
      <c r="N45" s="21">
        <f>IFERROR(SUMIF('2024年销售情况'!$C:$C,$C:$C,'2024年销售情况'!$F:$F)/$N$3,0)</f>
        <v>0</v>
      </c>
      <c r="O45" s="21">
        <f>IFERROR(SUMIF('2024年销售情况'!$C:$C,$C:$C,'2024年销售情况'!$F:$F)/$O$3,0)</f>
        <v>0</v>
      </c>
      <c r="P45" s="21">
        <f>IFERROR(SUMIF('2024年销售情况'!$C:$C,$C:$C,'2024年销售情况'!$F:$F)/$P$3,0)</f>
        <v>0</v>
      </c>
      <c r="Q45" s="21" t="e">
        <f>'2024年销售情况'!AE43/$Q$3</f>
        <v>#DIV/0!</v>
      </c>
      <c r="R45" s="21">
        <f t="shared" si="12"/>
        <v>0</v>
      </c>
      <c r="S45" s="21" t="e">
        <f>'2024年销售情况'!AI43/$S$3</f>
        <v>#DIV/0!</v>
      </c>
      <c r="T45" s="21">
        <f t="shared" si="13"/>
        <v>0</v>
      </c>
      <c r="U45" s="21" t="e">
        <f>'2024年销售情况'!AM43/$U$3</f>
        <v>#DIV/0!</v>
      </c>
      <c r="V45" s="21">
        <f t="shared" si="14"/>
        <v>0</v>
      </c>
      <c r="W45" s="21" t="e">
        <f>'2024年销售情况'!AQ43/$W$3</f>
        <v>#DIV/0!</v>
      </c>
      <c r="X45" s="21">
        <f t="shared" si="15"/>
        <v>0</v>
      </c>
      <c r="Y45" s="21" t="e">
        <f>'2024年销售情况'!AU43/$Y$3</f>
        <v>#DIV/0!</v>
      </c>
      <c r="Z45" s="21">
        <f t="shared" si="16"/>
        <v>0</v>
      </c>
      <c r="AA45" s="21" t="e">
        <f>'2024年销售情况'!AY43/$AA$3</f>
        <v>#DIV/0!</v>
      </c>
      <c r="AB45" s="21">
        <f t="shared" si="17"/>
        <v>0</v>
      </c>
      <c r="AC45" s="21" t="e">
        <f>'2024年销售情况'!BC43/$AC$3</f>
        <v>#DIV/0!</v>
      </c>
      <c r="AD45" s="21">
        <f t="shared" si="18"/>
        <v>0</v>
      </c>
      <c r="AE45" s="21" t="e">
        <f>'2024年销售情况'!BG43/$AE$3</f>
        <v>#DIV/0!</v>
      </c>
      <c r="AF45" s="21">
        <f t="shared" si="19"/>
        <v>0</v>
      </c>
      <c r="AG45" s="21" t="e">
        <f>'2024年销售情况'!BK43/$AG$3</f>
        <v>#DIV/0!</v>
      </c>
      <c r="AH45" s="21">
        <f t="shared" si="20"/>
        <v>0</v>
      </c>
      <c r="AI45" s="21" t="e">
        <f>'2024年销售情况'!BO43/$AI$3</f>
        <v>#DIV/0!</v>
      </c>
      <c r="AJ45" s="21">
        <f t="shared" si="21"/>
        <v>0</v>
      </c>
      <c r="AK45" s="21" t="e">
        <f>'2024年销售情况'!BS43/$AK$3</f>
        <v>#DIV/0!</v>
      </c>
      <c r="AL45" s="21">
        <f t="shared" si="22"/>
        <v>0</v>
      </c>
      <c r="AM45" s="21" t="e">
        <f>'2024年销售情况'!BW43/$AM$3</f>
        <v>#DIV/0!</v>
      </c>
      <c r="AN45" s="21">
        <f t="shared" si="23"/>
        <v>0</v>
      </c>
      <c r="AO45" s="21"/>
      <c r="AP45" s="21"/>
    </row>
    <row r="46" ht="24" customHeight="1" spans="1:42">
      <c r="A46" s="82"/>
      <c r="B46" s="36"/>
      <c r="C46" s="20"/>
      <c r="D46" s="74"/>
      <c r="E46" s="21">
        <f>IFERROR(SUMIF('2024年销售情况'!C:C,C:C,'2024年销售情况'!F:F)/$E$3,0)</f>
        <v>0</v>
      </c>
      <c r="F46" s="21">
        <f>IFERROR(SUMIF('2024年销售情况'!$C:$C,$C:$C,'2024年销售情况'!$F:$F)/$F$3,0)</f>
        <v>0</v>
      </c>
      <c r="G46" s="21">
        <f>IFERROR(SUMIF('2024年销售情况'!$C:$C,$C:$C,'2024年销售情况'!$F:$F)/$G$3,0)</f>
        <v>0</v>
      </c>
      <c r="H46" s="21">
        <f>IFERROR(SUMIF('2024年销售情况'!$C:$C,$C:$C,'2024年销售情况'!$F:$F)/$H$3,0)</f>
        <v>0</v>
      </c>
      <c r="I46" s="21">
        <f>IFERROR(SUMIF('2024年销售情况'!$C:$C,$C:$C,'2024年销售情况'!$F:$F)/$I$3,0)</f>
        <v>0</v>
      </c>
      <c r="J46" s="21">
        <f>IFERROR(SUMIF('2024年销售情况'!$C:$C,$C:$C,'2024年销售情况'!$F:$F)/$J$3,0)</f>
        <v>0</v>
      </c>
      <c r="K46" s="21">
        <f>IFERROR(SUMIF('2024年销售情况'!$C:$C,$C:$C,'2024年销售情况'!$F:$F)/$K$3,0)</f>
        <v>0</v>
      </c>
      <c r="L46" s="21">
        <f>IFERROR(SUMIF('2024年销售情况'!$C:$C,$C:$C,'2024年销售情况'!$F:$F)/$L$3,0)</f>
        <v>0</v>
      </c>
      <c r="M46" s="21">
        <f>IFERROR(SUMIF('2024年销售情况'!$C:$C,$C:$C,'2024年销售情况'!$F:$F)/$M$3,0)</f>
        <v>0</v>
      </c>
      <c r="N46" s="21">
        <f>IFERROR(SUMIF('2024年销售情况'!$C:$C,$C:$C,'2024年销售情况'!$F:$F)/$N$3,0)</f>
        <v>0</v>
      </c>
      <c r="O46" s="21">
        <f>IFERROR(SUMIF('2024年销售情况'!$C:$C,$C:$C,'2024年销售情况'!$F:$F)/$O$3,0)</f>
        <v>0</v>
      </c>
      <c r="P46" s="21">
        <f>IFERROR(SUMIF('2024年销售情况'!$C:$C,$C:$C,'2024年销售情况'!$F:$F)/$P$3,0)</f>
        <v>0</v>
      </c>
      <c r="Q46" s="21" t="e">
        <f>'2024年销售情况'!AE44/$Q$3</f>
        <v>#DIV/0!</v>
      </c>
      <c r="R46" s="21">
        <f t="shared" si="12"/>
        <v>0</v>
      </c>
      <c r="S46" s="21" t="e">
        <f>'2024年销售情况'!AI44/$S$3</f>
        <v>#DIV/0!</v>
      </c>
      <c r="T46" s="21">
        <f t="shared" si="13"/>
        <v>0</v>
      </c>
      <c r="U46" s="21" t="e">
        <f>'2024年销售情况'!AM44/$U$3</f>
        <v>#DIV/0!</v>
      </c>
      <c r="V46" s="21">
        <f t="shared" si="14"/>
        <v>0</v>
      </c>
      <c r="W46" s="21" t="e">
        <f>'2024年销售情况'!AQ44/$W$3</f>
        <v>#DIV/0!</v>
      </c>
      <c r="X46" s="21">
        <f t="shared" si="15"/>
        <v>0</v>
      </c>
      <c r="Y46" s="21" t="e">
        <f>'2024年销售情况'!AU44/$Y$3</f>
        <v>#DIV/0!</v>
      </c>
      <c r="Z46" s="21">
        <f t="shared" si="16"/>
        <v>0</v>
      </c>
      <c r="AA46" s="21" t="e">
        <f>'2024年销售情况'!AY44/$AA$3</f>
        <v>#DIV/0!</v>
      </c>
      <c r="AB46" s="21">
        <f t="shared" si="17"/>
        <v>0</v>
      </c>
      <c r="AC46" s="21" t="e">
        <f>'2024年销售情况'!BC44/$AC$3</f>
        <v>#DIV/0!</v>
      </c>
      <c r="AD46" s="21">
        <f t="shared" si="18"/>
        <v>0</v>
      </c>
      <c r="AE46" s="21" t="e">
        <f>'2024年销售情况'!BG44/$AE$3</f>
        <v>#DIV/0!</v>
      </c>
      <c r="AF46" s="21">
        <f t="shared" si="19"/>
        <v>0</v>
      </c>
      <c r="AG46" s="21" t="e">
        <f>'2024年销售情况'!BK44/$AG$3</f>
        <v>#DIV/0!</v>
      </c>
      <c r="AH46" s="21">
        <f t="shared" si="20"/>
        <v>0</v>
      </c>
      <c r="AI46" s="21" t="e">
        <f>'2024年销售情况'!BO44/$AI$3</f>
        <v>#DIV/0!</v>
      </c>
      <c r="AJ46" s="21">
        <f t="shared" si="21"/>
        <v>0</v>
      </c>
      <c r="AK46" s="21" t="e">
        <f>'2024年销售情况'!BS44/$AK$3</f>
        <v>#DIV/0!</v>
      </c>
      <c r="AL46" s="21">
        <f t="shared" si="22"/>
        <v>0</v>
      </c>
      <c r="AM46" s="21" t="e">
        <f>'2024年销售情况'!BW44/$AM$3</f>
        <v>#DIV/0!</v>
      </c>
      <c r="AN46" s="21">
        <f t="shared" si="23"/>
        <v>0</v>
      </c>
      <c r="AO46" s="21"/>
      <c r="AP46" s="21"/>
    </row>
    <row r="47" ht="24" customHeight="1" spans="1:42">
      <c r="A47" s="82"/>
      <c r="B47" s="36"/>
      <c r="C47" s="20"/>
      <c r="D47" s="74"/>
      <c r="E47" s="21">
        <f>IFERROR(SUMIF('2024年销售情况'!C:C,C:C,'2024年销售情况'!F:F)/$E$3,0)</f>
        <v>0</v>
      </c>
      <c r="F47" s="21">
        <f>IFERROR(SUMIF('2024年销售情况'!$C:$C,$C:$C,'2024年销售情况'!$F:$F)/$F$3,0)</f>
        <v>0</v>
      </c>
      <c r="G47" s="21">
        <f>IFERROR(SUMIF('2024年销售情况'!$C:$C,$C:$C,'2024年销售情况'!$F:$F)/$G$3,0)</f>
        <v>0</v>
      </c>
      <c r="H47" s="21">
        <f>IFERROR(SUMIF('2024年销售情况'!$C:$C,$C:$C,'2024年销售情况'!$F:$F)/$H$3,0)</f>
        <v>0</v>
      </c>
      <c r="I47" s="21">
        <f>IFERROR(SUMIF('2024年销售情况'!$C:$C,$C:$C,'2024年销售情况'!$F:$F)/$I$3,0)</f>
        <v>0</v>
      </c>
      <c r="J47" s="21">
        <f>IFERROR(SUMIF('2024年销售情况'!$C:$C,$C:$C,'2024年销售情况'!$F:$F)/$J$3,0)</f>
        <v>0</v>
      </c>
      <c r="K47" s="21">
        <f>IFERROR(SUMIF('2024年销售情况'!$C:$C,$C:$C,'2024年销售情况'!$F:$F)/$K$3,0)</f>
        <v>0</v>
      </c>
      <c r="L47" s="21">
        <f>IFERROR(SUMIF('2024年销售情况'!$C:$C,$C:$C,'2024年销售情况'!$F:$F)/$L$3,0)</f>
        <v>0</v>
      </c>
      <c r="M47" s="21">
        <f>IFERROR(SUMIF('2024年销售情况'!$C:$C,$C:$C,'2024年销售情况'!$F:$F)/$M$3,0)</f>
        <v>0</v>
      </c>
      <c r="N47" s="21">
        <f>IFERROR(SUMIF('2024年销售情况'!$C:$C,$C:$C,'2024年销售情况'!$F:$F)/$N$3,0)</f>
        <v>0</v>
      </c>
      <c r="O47" s="21">
        <f>IFERROR(SUMIF('2024年销售情况'!$C:$C,$C:$C,'2024年销售情况'!$F:$F)/$O$3,0)</f>
        <v>0</v>
      </c>
      <c r="P47" s="21">
        <f>IFERROR(SUMIF('2024年销售情况'!$C:$C,$C:$C,'2024年销售情况'!$F:$F)/$P$3,0)</f>
        <v>0</v>
      </c>
      <c r="Q47" s="21" t="e">
        <f>'2024年销售情况'!AE45/$Q$3</f>
        <v>#DIV/0!</v>
      </c>
      <c r="R47" s="21">
        <f t="shared" si="12"/>
        <v>0</v>
      </c>
      <c r="S47" s="21" t="e">
        <f>'2024年销售情况'!AI45/$S$3</f>
        <v>#DIV/0!</v>
      </c>
      <c r="T47" s="21">
        <f t="shared" si="13"/>
        <v>0</v>
      </c>
      <c r="U47" s="21" t="e">
        <f>'2024年销售情况'!AM45/$U$3</f>
        <v>#DIV/0!</v>
      </c>
      <c r="V47" s="21">
        <f t="shared" si="14"/>
        <v>0</v>
      </c>
      <c r="W47" s="21" t="e">
        <f>'2024年销售情况'!AQ45/$W$3</f>
        <v>#DIV/0!</v>
      </c>
      <c r="X47" s="21">
        <f t="shared" si="15"/>
        <v>0</v>
      </c>
      <c r="Y47" s="21" t="e">
        <f>'2024年销售情况'!AU45/$Y$3</f>
        <v>#DIV/0!</v>
      </c>
      <c r="Z47" s="21">
        <f t="shared" si="16"/>
        <v>0</v>
      </c>
      <c r="AA47" s="21" t="e">
        <f>'2024年销售情况'!AY45/$AA$3</f>
        <v>#DIV/0!</v>
      </c>
      <c r="AB47" s="21">
        <f t="shared" si="17"/>
        <v>0</v>
      </c>
      <c r="AC47" s="21" t="e">
        <f>'2024年销售情况'!BC45/$AC$3</f>
        <v>#DIV/0!</v>
      </c>
      <c r="AD47" s="21">
        <f t="shared" si="18"/>
        <v>0</v>
      </c>
      <c r="AE47" s="21" t="e">
        <f>'2024年销售情况'!BG45/$AE$3</f>
        <v>#DIV/0!</v>
      </c>
      <c r="AF47" s="21">
        <f t="shared" si="19"/>
        <v>0</v>
      </c>
      <c r="AG47" s="21" t="e">
        <f>'2024年销售情况'!BK45/$AG$3</f>
        <v>#DIV/0!</v>
      </c>
      <c r="AH47" s="21">
        <f t="shared" si="20"/>
        <v>0</v>
      </c>
      <c r="AI47" s="21" t="e">
        <f>'2024年销售情况'!BO45/$AI$3</f>
        <v>#DIV/0!</v>
      </c>
      <c r="AJ47" s="21">
        <f t="shared" si="21"/>
        <v>0</v>
      </c>
      <c r="AK47" s="21" t="e">
        <f>'2024年销售情况'!BS45/$AK$3</f>
        <v>#DIV/0!</v>
      </c>
      <c r="AL47" s="21">
        <f t="shared" si="22"/>
        <v>0</v>
      </c>
      <c r="AM47" s="21" t="e">
        <f>'2024年销售情况'!BW45/$AM$3</f>
        <v>#DIV/0!</v>
      </c>
      <c r="AN47" s="21">
        <f t="shared" si="23"/>
        <v>0</v>
      </c>
      <c r="AO47" s="21"/>
      <c r="AP47" s="21"/>
    </row>
    <row r="48" ht="24" customHeight="1" spans="1:42">
      <c r="A48" s="82"/>
      <c r="B48" s="36"/>
      <c r="C48" s="20"/>
      <c r="D48" s="74"/>
      <c r="E48" s="21">
        <f>IFERROR(SUMIF('2024年销售情况'!C:C,C:C,'2024年销售情况'!F:F)/$E$3,0)</f>
        <v>0</v>
      </c>
      <c r="F48" s="21">
        <f>IFERROR(SUMIF('2024年销售情况'!$C:$C,$C:$C,'2024年销售情况'!$F:$F)/$F$3,0)</f>
        <v>0</v>
      </c>
      <c r="G48" s="21">
        <f>IFERROR(SUMIF('2024年销售情况'!$C:$C,$C:$C,'2024年销售情况'!$F:$F)/$G$3,0)</f>
        <v>0</v>
      </c>
      <c r="H48" s="21">
        <f>IFERROR(SUMIF('2024年销售情况'!$C:$C,$C:$C,'2024年销售情况'!$F:$F)/$H$3,0)</f>
        <v>0</v>
      </c>
      <c r="I48" s="21">
        <f>IFERROR(SUMIF('2024年销售情况'!$C:$C,$C:$C,'2024年销售情况'!$F:$F)/$I$3,0)</f>
        <v>0</v>
      </c>
      <c r="J48" s="21">
        <f>IFERROR(SUMIF('2024年销售情况'!$C:$C,$C:$C,'2024年销售情况'!$F:$F)/$J$3,0)</f>
        <v>0</v>
      </c>
      <c r="K48" s="21">
        <f>IFERROR(SUMIF('2024年销售情况'!$C:$C,$C:$C,'2024年销售情况'!$F:$F)/$K$3,0)</f>
        <v>0</v>
      </c>
      <c r="L48" s="21">
        <f>IFERROR(SUMIF('2024年销售情况'!$C:$C,$C:$C,'2024年销售情况'!$F:$F)/$L$3,0)</f>
        <v>0</v>
      </c>
      <c r="M48" s="21">
        <f>IFERROR(SUMIF('2024年销售情况'!$C:$C,$C:$C,'2024年销售情况'!$F:$F)/$M$3,0)</f>
        <v>0</v>
      </c>
      <c r="N48" s="21">
        <f>IFERROR(SUMIF('2024年销售情况'!$C:$C,$C:$C,'2024年销售情况'!$F:$F)/$N$3,0)</f>
        <v>0</v>
      </c>
      <c r="O48" s="21">
        <f>IFERROR(SUMIF('2024年销售情况'!$C:$C,$C:$C,'2024年销售情况'!$F:$F)/$O$3,0)</f>
        <v>0</v>
      </c>
      <c r="P48" s="21">
        <f>IFERROR(SUMIF('2024年销售情况'!$C:$C,$C:$C,'2024年销售情况'!$F:$F)/$P$3,0)</f>
        <v>0</v>
      </c>
      <c r="Q48" s="21" t="e">
        <f>'2024年销售情况'!AE46/$Q$3</f>
        <v>#DIV/0!</v>
      </c>
      <c r="R48" s="21">
        <f t="shared" si="12"/>
        <v>0</v>
      </c>
      <c r="S48" s="21" t="e">
        <f>'2024年销售情况'!AI46/$S$3</f>
        <v>#DIV/0!</v>
      </c>
      <c r="T48" s="21">
        <f t="shared" si="13"/>
        <v>0</v>
      </c>
      <c r="U48" s="21" t="e">
        <f>'2024年销售情况'!AM46/$U$3</f>
        <v>#DIV/0!</v>
      </c>
      <c r="V48" s="21">
        <f t="shared" si="14"/>
        <v>0</v>
      </c>
      <c r="W48" s="21" t="e">
        <f>'2024年销售情况'!AQ46/$W$3</f>
        <v>#DIV/0!</v>
      </c>
      <c r="X48" s="21">
        <f t="shared" si="15"/>
        <v>0</v>
      </c>
      <c r="Y48" s="21" t="e">
        <f>'2024年销售情况'!AU46/$Y$3</f>
        <v>#DIV/0!</v>
      </c>
      <c r="Z48" s="21">
        <f t="shared" si="16"/>
        <v>0</v>
      </c>
      <c r="AA48" s="21" t="e">
        <f>'2024年销售情况'!AY46/$AA$3</f>
        <v>#DIV/0!</v>
      </c>
      <c r="AB48" s="21">
        <f t="shared" si="17"/>
        <v>0</v>
      </c>
      <c r="AC48" s="21" t="e">
        <f>'2024年销售情况'!BC46/$AC$3</f>
        <v>#DIV/0!</v>
      </c>
      <c r="AD48" s="21">
        <f t="shared" si="18"/>
        <v>0</v>
      </c>
      <c r="AE48" s="21" t="e">
        <f>'2024年销售情况'!BG46/$AE$3</f>
        <v>#DIV/0!</v>
      </c>
      <c r="AF48" s="21">
        <f t="shared" si="19"/>
        <v>0</v>
      </c>
      <c r="AG48" s="21" t="e">
        <f>'2024年销售情况'!BK46/$AG$3</f>
        <v>#DIV/0!</v>
      </c>
      <c r="AH48" s="21">
        <f t="shared" si="20"/>
        <v>0</v>
      </c>
      <c r="AI48" s="21" t="e">
        <f>'2024年销售情况'!BO46/$AI$3</f>
        <v>#DIV/0!</v>
      </c>
      <c r="AJ48" s="21">
        <f t="shared" si="21"/>
        <v>0</v>
      </c>
      <c r="AK48" s="21" t="e">
        <f>'2024年销售情况'!BS46/$AK$3</f>
        <v>#DIV/0!</v>
      </c>
      <c r="AL48" s="21">
        <f t="shared" si="22"/>
        <v>0</v>
      </c>
      <c r="AM48" s="21" t="e">
        <f>'2024年销售情况'!BW46/$AM$3</f>
        <v>#DIV/0!</v>
      </c>
      <c r="AN48" s="21">
        <f t="shared" si="23"/>
        <v>0</v>
      </c>
      <c r="AO48" s="21"/>
      <c r="AP48" s="21"/>
    </row>
    <row r="49" ht="24" customHeight="1" spans="1:42">
      <c r="A49" s="82"/>
      <c r="B49" s="36"/>
      <c r="C49" s="20"/>
      <c r="D49" s="74"/>
      <c r="E49" s="21">
        <f>IFERROR(SUMIF('2024年销售情况'!C:C,C:C,'2024年销售情况'!F:F)/$E$3,0)</f>
        <v>0</v>
      </c>
      <c r="F49" s="21">
        <f>IFERROR(SUMIF('2024年销售情况'!$C:$C,$C:$C,'2024年销售情况'!$F:$F)/$F$3,0)</f>
        <v>0</v>
      </c>
      <c r="G49" s="21">
        <f>IFERROR(SUMIF('2024年销售情况'!$C:$C,$C:$C,'2024年销售情况'!$F:$F)/$G$3,0)</f>
        <v>0</v>
      </c>
      <c r="H49" s="21">
        <f>IFERROR(SUMIF('2024年销售情况'!$C:$C,$C:$C,'2024年销售情况'!$F:$F)/$H$3,0)</f>
        <v>0</v>
      </c>
      <c r="I49" s="21">
        <f>IFERROR(SUMIF('2024年销售情况'!$C:$C,$C:$C,'2024年销售情况'!$F:$F)/$I$3,0)</f>
        <v>0</v>
      </c>
      <c r="J49" s="21">
        <f>IFERROR(SUMIF('2024年销售情况'!$C:$C,$C:$C,'2024年销售情况'!$F:$F)/$J$3,0)</f>
        <v>0</v>
      </c>
      <c r="K49" s="21">
        <f>IFERROR(SUMIF('2024年销售情况'!$C:$C,$C:$C,'2024年销售情况'!$F:$F)/$K$3,0)</f>
        <v>0</v>
      </c>
      <c r="L49" s="21">
        <f>IFERROR(SUMIF('2024年销售情况'!$C:$C,$C:$C,'2024年销售情况'!$F:$F)/$L$3,0)</f>
        <v>0</v>
      </c>
      <c r="M49" s="21">
        <f>IFERROR(SUMIF('2024年销售情况'!$C:$C,$C:$C,'2024年销售情况'!$F:$F)/$M$3,0)</f>
        <v>0</v>
      </c>
      <c r="N49" s="21">
        <f>IFERROR(SUMIF('2024年销售情况'!$C:$C,$C:$C,'2024年销售情况'!$F:$F)/$N$3,0)</f>
        <v>0</v>
      </c>
      <c r="O49" s="21">
        <f>IFERROR(SUMIF('2024年销售情况'!$C:$C,$C:$C,'2024年销售情况'!$F:$F)/$O$3,0)</f>
        <v>0</v>
      </c>
      <c r="P49" s="21">
        <f>IFERROR(SUMIF('2024年销售情况'!$C:$C,$C:$C,'2024年销售情况'!$F:$F)/$P$3,0)</f>
        <v>0</v>
      </c>
      <c r="Q49" s="21" t="e">
        <f>'2024年销售情况'!AE47/$Q$3</f>
        <v>#DIV/0!</v>
      </c>
      <c r="R49" s="21">
        <f t="shared" si="12"/>
        <v>0</v>
      </c>
      <c r="S49" s="21" t="e">
        <f>'2024年销售情况'!AI47/$S$3</f>
        <v>#DIV/0!</v>
      </c>
      <c r="T49" s="21">
        <f t="shared" si="13"/>
        <v>0</v>
      </c>
      <c r="U49" s="21" t="e">
        <f>'2024年销售情况'!AM47/$U$3</f>
        <v>#DIV/0!</v>
      </c>
      <c r="V49" s="21">
        <f t="shared" si="14"/>
        <v>0</v>
      </c>
      <c r="W49" s="21" t="e">
        <f>'2024年销售情况'!AQ47/$W$3</f>
        <v>#DIV/0!</v>
      </c>
      <c r="X49" s="21">
        <f t="shared" si="15"/>
        <v>0</v>
      </c>
      <c r="Y49" s="21" t="e">
        <f>'2024年销售情况'!AU47/$Y$3</f>
        <v>#DIV/0!</v>
      </c>
      <c r="Z49" s="21">
        <f t="shared" si="16"/>
        <v>0</v>
      </c>
      <c r="AA49" s="21" t="e">
        <f>'2024年销售情况'!AY47/$AA$3</f>
        <v>#DIV/0!</v>
      </c>
      <c r="AB49" s="21">
        <f t="shared" si="17"/>
        <v>0</v>
      </c>
      <c r="AC49" s="21" t="e">
        <f>'2024年销售情况'!BC47/$AC$3</f>
        <v>#DIV/0!</v>
      </c>
      <c r="AD49" s="21">
        <f t="shared" si="18"/>
        <v>0</v>
      </c>
      <c r="AE49" s="21" t="e">
        <f>'2024年销售情况'!BG47/$AE$3</f>
        <v>#DIV/0!</v>
      </c>
      <c r="AF49" s="21">
        <f t="shared" si="19"/>
        <v>0</v>
      </c>
      <c r="AG49" s="21" t="e">
        <f>'2024年销售情况'!BK47/$AG$3</f>
        <v>#DIV/0!</v>
      </c>
      <c r="AH49" s="21">
        <f t="shared" si="20"/>
        <v>0</v>
      </c>
      <c r="AI49" s="21" t="e">
        <f>'2024年销售情况'!BO47/$AI$3</f>
        <v>#DIV/0!</v>
      </c>
      <c r="AJ49" s="21">
        <f t="shared" si="21"/>
        <v>0</v>
      </c>
      <c r="AK49" s="21" t="e">
        <f>'2024年销售情况'!BS47/$AK$3</f>
        <v>#DIV/0!</v>
      </c>
      <c r="AL49" s="21">
        <f t="shared" si="22"/>
        <v>0</v>
      </c>
      <c r="AM49" s="21" t="e">
        <f>'2024年销售情况'!BW47/$AM$3</f>
        <v>#DIV/0!</v>
      </c>
      <c r="AN49" s="21">
        <f t="shared" si="23"/>
        <v>0</v>
      </c>
      <c r="AO49" s="21"/>
      <c r="AP49" s="21"/>
    </row>
    <row r="50" ht="24" customHeight="1" spans="1:42">
      <c r="A50" s="82"/>
      <c r="B50" s="36"/>
      <c r="C50" s="20"/>
      <c r="D50" s="74"/>
      <c r="E50" s="21">
        <f>IFERROR(SUMIF('2024年销售情况'!C:C,C:C,'2024年销售情况'!F:F)/$E$3,0)</f>
        <v>0</v>
      </c>
      <c r="F50" s="21">
        <f>IFERROR(SUMIF('2024年销售情况'!$C:$C,$C:$C,'2024年销售情况'!$F:$F)/$F$3,0)</f>
        <v>0</v>
      </c>
      <c r="G50" s="21">
        <f>IFERROR(SUMIF('2024年销售情况'!$C:$C,$C:$C,'2024年销售情况'!$F:$F)/$G$3,0)</f>
        <v>0</v>
      </c>
      <c r="H50" s="21">
        <f>IFERROR(SUMIF('2024年销售情况'!$C:$C,$C:$C,'2024年销售情况'!$F:$F)/$H$3,0)</f>
        <v>0</v>
      </c>
      <c r="I50" s="21">
        <f>IFERROR(SUMIF('2024年销售情况'!$C:$C,$C:$C,'2024年销售情况'!$F:$F)/$I$3,0)</f>
        <v>0</v>
      </c>
      <c r="J50" s="21">
        <f>IFERROR(SUMIF('2024年销售情况'!$C:$C,$C:$C,'2024年销售情况'!$F:$F)/$J$3,0)</f>
        <v>0</v>
      </c>
      <c r="K50" s="21">
        <f>IFERROR(SUMIF('2024年销售情况'!$C:$C,$C:$C,'2024年销售情况'!$F:$F)/$K$3,0)</f>
        <v>0</v>
      </c>
      <c r="L50" s="21">
        <f>IFERROR(SUMIF('2024年销售情况'!$C:$C,$C:$C,'2024年销售情况'!$F:$F)/$L$3,0)</f>
        <v>0</v>
      </c>
      <c r="M50" s="21">
        <f>IFERROR(SUMIF('2024年销售情况'!$C:$C,$C:$C,'2024年销售情况'!$F:$F)/$M$3,0)</f>
        <v>0</v>
      </c>
      <c r="N50" s="21">
        <f>IFERROR(SUMIF('2024年销售情况'!$C:$C,$C:$C,'2024年销售情况'!$F:$F)/$N$3,0)</f>
        <v>0</v>
      </c>
      <c r="O50" s="21">
        <f>IFERROR(SUMIF('2024年销售情况'!$C:$C,$C:$C,'2024年销售情况'!$F:$F)/$O$3,0)</f>
        <v>0</v>
      </c>
      <c r="P50" s="21">
        <f>IFERROR(SUMIF('2024年销售情况'!$C:$C,$C:$C,'2024年销售情况'!$F:$F)/$P$3,0)</f>
        <v>0</v>
      </c>
      <c r="Q50" s="21" t="e">
        <f>'2024年销售情况'!AE48/$Q$3</f>
        <v>#DIV/0!</v>
      </c>
      <c r="R50" s="21">
        <f t="shared" si="12"/>
        <v>0</v>
      </c>
      <c r="S50" s="21" t="e">
        <f>'2024年销售情况'!AI48/$S$3</f>
        <v>#DIV/0!</v>
      </c>
      <c r="T50" s="21">
        <f t="shared" si="13"/>
        <v>0</v>
      </c>
      <c r="U50" s="21" t="e">
        <f>'2024年销售情况'!AM48/$U$3</f>
        <v>#DIV/0!</v>
      </c>
      <c r="V50" s="21">
        <f t="shared" si="14"/>
        <v>0</v>
      </c>
      <c r="W50" s="21" t="e">
        <f>'2024年销售情况'!AQ48/$W$3</f>
        <v>#DIV/0!</v>
      </c>
      <c r="X50" s="21">
        <f t="shared" si="15"/>
        <v>0</v>
      </c>
      <c r="Y50" s="21" t="e">
        <f>'2024年销售情况'!AU48/$Y$3</f>
        <v>#DIV/0!</v>
      </c>
      <c r="Z50" s="21">
        <f t="shared" si="16"/>
        <v>0</v>
      </c>
      <c r="AA50" s="21" t="e">
        <f>'2024年销售情况'!AY48/$AA$3</f>
        <v>#DIV/0!</v>
      </c>
      <c r="AB50" s="21">
        <f t="shared" si="17"/>
        <v>0</v>
      </c>
      <c r="AC50" s="21" t="e">
        <f>'2024年销售情况'!BC48/$AC$3</f>
        <v>#DIV/0!</v>
      </c>
      <c r="AD50" s="21">
        <f t="shared" si="18"/>
        <v>0</v>
      </c>
      <c r="AE50" s="21" t="e">
        <f>'2024年销售情况'!BG48/$AE$3</f>
        <v>#DIV/0!</v>
      </c>
      <c r="AF50" s="21">
        <f t="shared" si="19"/>
        <v>0</v>
      </c>
      <c r="AG50" s="21" t="e">
        <f>'2024年销售情况'!BK48/$AG$3</f>
        <v>#DIV/0!</v>
      </c>
      <c r="AH50" s="21">
        <f t="shared" si="20"/>
        <v>0</v>
      </c>
      <c r="AI50" s="21" t="e">
        <f>'2024年销售情况'!BO48/$AI$3</f>
        <v>#DIV/0!</v>
      </c>
      <c r="AJ50" s="21">
        <f t="shared" si="21"/>
        <v>0</v>
      </c>
      <c r="AK50" s="21" t="e">
        <f>'2024年销售情况'!BS48/$AK$3</f>
        <v>#DIV/0!</v>
      </c>
      <c r="AL50" s="21">
        <f t="shared" si="22"/>
        <v>0</v>
      </c>
      <c r="AM50" s="21" t="e">
        <f>'2024年销售情况'!BW48/$AM$3</f>
        <v>#DIV/0!</v>
      </c>
      <c r="AN50" s="21">
        <f t="shared" si="23"/>
        <v>0</v>
      </c>
      <c r="AO50" s="21"/>
      <c r="AP50" s="21"/>
    </row>
    <row r="51" ht="24" customHeight="1" spans="1:42">
      <c r="A51" s="82"/>
      <c r="B51" s="36"/>
      <c r="C51" s="20"/>
      <c r="D51" s="74"/>
      <c r="E51" s="21">
        <f>IFERROR(SUMIF('2024年销售情况'!C:C,C:C,'2024年销售情况'!F:F)/$E$3,0)</f>
        <v>0</v>
      </c>
      <c r="F51" s="21">
        <f>IFERROR(SUMIF('2024年销售情况'!$C:$C,$C:$C,'2024年销售情况'!$F:$F)/$F$3,0)</f>
        <v>0</v>
      </c>
      <c r="G51" s="21">
        <f>IFERROR(SUMIF('2024年销售情况'!$C:$C,$C:$C,'2024年销售情况'!$F:$F)/$G$3,0)</f>
        <v>0</v>
      </c>
      <c r="H51" s="21">
        <f>IFERROR(SUMIF('2024年销售情况'!$C:$C,$C:$C,'2024年销售情况'!$F:$F)/$H$3,0)</f>
        <v>0</v>
      </c>
      <c r="I51" s="21">
        <f>IFERROR(SUMIF('2024年销售情况'!$C:$C,$C:$C,'2024年销售情况'!$F:$F)/$I$3,0)</f>
        <v>0</v>
      </c>
      <c r="J51" s="21">
        <f>IFERROR(SUMIF('2024年销售情况'!$C:$C,$C:$C,'2024年销售情况'!$F:$F)/$J$3,0)</f>
        <v>0</v>
      </c>
      <c r="K51" s="21">
        <f>IFERROR(SUMIF('2024年销售情况'!$C:$C,$C:$C,'2024年销售情况'!$F:$F)/$K$3,0)</f>
        <v>0</v>
      </c>
      <c r="L51" s="21">
        <f>IFERROR(SUMIF('2024年销售情况'!$C:$C,$C:$C,'2024年销售情况'!$F:$F)/$L$3,0)</f>
        <v>0</v>
      </c>
      <c r="M51" s="21">
        <f>IFERROR(SUMIF('2024年销售情况'!$C:$C,$C:$C,'2024年销售情况'!$F:$F)/$M$3,0)</f>
        <v>0</v>
      </c>
      <c r="N51" s="21">
        <f>IFERROR(SUMIF('2024年销售情况'!$C:$C,$C:$C,'2024年销售情况'!$F:$F)/$N$3,0)</f>
        <v>0</v>
      </c>
      <c r="O51" s="21">
        <f>IFERROR(SUMIF('2024年销售情况'!$C:$C,$C:$C,'2024年销售情况'!$F:$F)/$O$3,0)</f>
        <v>0</v>
      </c>
      <c r="P51" s="21">
        <f>IFERROR(SUMIF('2024年销售情况'!$C:$C,$C:$C,'2024年销售情况'!$F:$F)/$P$3,0)</f>
        <v>0</v>
      </c>
      <c r="Q51" s="21" t="e">
        <f>'2024年销售情况'!AE49/$Q$3</f>
        <v>#DIV/0!</v>
      </c>
      <c r="R51" s="21">
        <f t="shared" si="12"/>
        <v>0</v>
      </c>
      <c r="S51" s="21" t="e">
        <f>'2024年销售情况'!AI49/$S$3</f>
        <v>#DIV/0!</v>
      </c>
      <c r="T51" s="21">
        <f t="shared" si="13"/>
        <v>0</v>
      </c>
      <c r="U51" s="21" t="e">
        <f>'2024年销售情况'!AM49/$U$3</f>
        <v>#DIV/0!</v>
      </c>
      <c r="V51" s="21">
        <f t="shared" si="14"/>
        <v>0</v>
      </c>
      <c r="W51" s="21" t="e">
        <f>'2024年销售情况'!AQ49/$W$3</f>
        <v>#DIV/0!</v>
      </c>
      <c r="X51" s="21">
        <f t="shared" si="15"/>
        <v>0</v>
      </c>
      <c r="Y51" s="21" t="e">
        <f>'2024年销售情况'!AU49/$Y$3</f>
        <v>#DIV/0!</v>
      </c>
      <c r="Z51" s="21">
        <f t="shared" si="16"/>
        <v>0</v>
      </c>
      <c r="AA51" s="21" t="e">
        <f>'2024年销售情况'!AY49/$AA$3</f>
        <v>#DIV/0!</v>
      </c>
      <c r="AB51" s="21">
        <f t="shared" si="17"/>
        <v>0</v>
      </c>
      <c r="AC51" s="21" t="e">
        <f>'2024年销售情况'!BC49/$AC$3</f>
        <v>#DIV/0!</v>
      </c>
      <c r="AD51" s="21">
        <f t="shared" si="18"/>
        <v>0</v>
      </c>
      <c r="AE51" s="21" t="e">
        <f>'2024年销售情况'!BG49/$AE$3</f>
        <v>#DIV/0!</v>
      </c>
      <c r="AF51" s="21">
        <f t="shared" si="19"/>
        <v>0</v>
      </c>
      <c r="AG51" s="21" t="e">
        <f>'2024年销售情况'!BK49/$AG$3</f>
        <v>#DIV/0!</v>
      </c>
      <c r="AH51" s="21">
        <f t="shared" si="20"/>
        <v>0</v>
      </c>
      <c r="AI51" s="21" t="e">
        <f>'2024年销售情况'!BO49/$AI$3</f>
        <v>#DIV/0!</v>
      </c>
      <c r="AJ51" s="21">
        <f t="shared" si="21"/>
        <v>0</v>
      </c>
      <c r="AK51" s="21" t="e">
        <f>'2024年销售情况'!BS49/$AK$3</f>
        <v>#DIV/0!</v>
      </c>
      <c r="AL51" s="21">
        <f t="shared" si="22"/>
        <v>0</v>
      </c>
      <c r="AM51" s="21" t="e">
        <f>'2024年销售情况'!BW49/$AM$3</f>
        <v>#DIV/0!</v>
      </c>
      <c r="AN51" s="21">
        <f t="shared" si="23"/>
        <v>0</v>
      </c>
      <c r="AO51" s="21"/>
      <c r="AP51" s="21"/>
    </row>
    <row r="52" ht="24" customHeight="1" spans="1:42">
      <c r="A52" s="40"/>
      <c r="B52" s="36"/>
      <c r="C52" s="20"/>
      <c r="D52" s="74"/>
      <c r="E52" s="21">
        <f>IFERROR(SUMIF('2024年销售情况'!C:C,C:C,'2024年销售情况'!F:F)/$E$3,0)</f>
        <v>0</v>
      </c>
      <c r="F52" s="21">
        <f>IFERROR(SUMIF('2024年销售情况'!$C:$C,$C:$C,'2024年销售情况'!$F:$F)/$F$3,0)</f>
        <v>0</v>
      </c>
      <c r="G52" s="21">
        <f>IFERROR(SUMIF('2024年销售情况'!$C:$C,$C:$C,'2024年销售情况'!$F:$F)/$G$3,0)</f>
        <v>0</v>
      </c>
      <c r="H52" s="21">
        <f>IFERROR(SUMIF('2024年销售情况'!$C:$C,$C:$C,'2024年销售情况'!$F:$F)/$H$3,0)</f>
        <v>0</v>
      </c>
      <c r="I52" s="21">
        <f>IFERROR(SUMIF('2024年销售情况'!$C:$C,$C:$C,'2024年销售情况'!$F:$F)/$I$3,0)</f>
        <v>0</v>
      </c>
      <c r="J52" s="21">
        <f>IFERROR(SUMIF('2024年销售情况'!$C:$C,$C:$C,'2024年销售情况'!$F:$F)/$J$3,0)</f>
        <v>0</v>
      </c>
      <c r="K52" s="21">
        <f>IFERROR(SUMIF('2024年销售情况'!$C:$C,$C:$C,'2024年销售情况'!$F:$F)/$K$3,0)</f>
        <v>0</v>
      </c>
      <c r="L52" s="21">
        <f>IFERROR(SUMIF('2024年销售情况'!$C:$C,$C:$C,'2024年销售情况'!$F:$F)/$L$3,0)</f>
        <v>0</v>
      </c>
      <c r="M52" s="21">
        <f>IFERROR(SUMIF('2024年销售情况'!$C:$C,$C:$C,'2024年销售情况'!$F:$F)/$M$3,0)</f>
        <v>0</v>
      </c>
      <c r="N52" s="21">
        <f>IFERROR(SUMIF('2024年销售情况'!$C:$C,$C:$C,'2024年销售情况'!$F:$F)/$N$3,0)</f>
        <v>0</v>
      </c>
      <c r="O52" s="21">
        <f>IFERROR(SUMIF('2024年销售情况'!$C:$C,$C:$C,'2024年销售情况'!$F:$F)/$O$3,0)</f>
        <v>0</v>
      </c>
      <c r="P52" s="21">
        <f>IFERROR(SUMIF('2024年销售情况'!$C:$C,$C:$C,'2024年销售情况'!$F:$F)/$P$3,0)</f>
        <v>0</v>
      </c>
      <c r="Q52" s="21" t="e">
        <f>'2024年销售情况'!AE50/$Q$3</f>
        <v>#DIV/0!</v>
      </c>
      <c r="R52" s="21">
        <f t="shared" si="12"/>
        <v>0</v>
      </c>
      <c r="S52" s="21" t="e">
        <f>'2024年销售情况'!AI50/$S$3</f>
        <v>#DIV/0!</v>
      </c>
      <c r="T52" s="21">
        <f t="shared" si="13"/>
        <v>0</v>
      </c>
      <c r="U52" s="21" t="e">
        <f>'2024年销售情况'!AM50/$U$3</f>
        <v>#DIV/0!</v>
      </c>
      <c r="V52" s="21">
        <f t="shared" si="14"/>
        <v>0</v>
      </c>
      <c r="W52" s="21" t="e">
        <f>'2024年销售情况'!AQ50/$W$3</f>
        <v>#DIV/0!</v>
      </c>
      <c r="X52" s="21">
        <f t="shared" si="15"/>
        <v>0</v>
      </c>
      <c r="Y52" s="21" t="e">
        <f>'2024年销售情况'!AU50/$Y$3</f>
        <v>#DIV/0!</v>
      </c>
      <c r="Z52" s="21">
        <f t="shared" si="16"/>
        <v>0</v>
      </c>
      <c r="AA52" s="21" t="e">
        <f>'2024年销售情况'!AY50/$AA$3</f>
        <v>#DIV/0!</v>
      </c>
      <c r="AB52" s="21">
        <f t="shared" si="17"/>
        <v>0</v>
      </c>
      <c r="AC52" s="21" t="e">
        <f>'2024年销售情况'!BC50/$AC$3</f>
        <v>#DIV/0!</v>
      </c>
      <c r="AD52" s="21">
        <f t="shared" si="18"/>
        <v>0</v>
      </c>
      <c r="AE52" s="21" t="e">
        <f>'2024年销售情况'!BG50/$AE$3</f>
        <v>#DIV/0!</v>
      </c>
      <c r="AF52" s="21">
        <f t="shared" si="19"/>
        <v>0</v>
      </c>
      <c r="AG52" s="21" t="e">
        <f>'2024年销售情况'!BK50/$AG$3</f>
        <v>#DIV/0!</v>
      </c>
      <c r="AH52" s="21">
        <f t="shared" si="20"/>
        <v>0</v>
      </c>
      <c r="AI52" s="21" t="e">
        <f>'2024年销售情况'!BO50/$AI$3</f>
        <v>#DIV/0!</v>
      </c>
      <c r="AJ52" s="21">
        <f t="shared" si="21"/>
        <v>0</v>
      </c>
      <c r="AK52" s="21" t="e">
        <f>'2024年销售情况'!BS50/$AK$3</f>
        <v>#DIV/0!</v>
      </c>
      <c r="AL52" s="21">
        <f t="shared" si="22"/>
        <v>0</v>
      </c>
      <c r="AM52" s="21" t="e">
        <f>'2024年销售情况'!BW50/$AM$3</f>
        <v>#DIV/0!</v>
      </c>
      <c r="AN52" s="21">
        <f t="shared" si="23"/>
        <v>0</v>
      </c>
      <c r="AO52" s="21"/>
      <c r="AP52" s="21"/>
    </row>
    <row r="53" ht="24" customHeight="1" spans="1:42">
      <c r="A53" s="40"/>
      <c r="B53" s="36"/>
      <c r="C53" s="20"/>
      <c r="D53" s="74"/>
      <c r="E53" s="21">
        <f>IFERROR(SUMIF('2024年销售情况'!C:C,C:C,'2024年销售情况'!F:F)/$E$3,0)</f>
        <v>0</v>
      </c>
      <c r="F53" s="21">
        <f>IFERROR(SUMIF('2024年销售情况'!$C:$C,$C:$C,'2024年销售情况'!$F:$F)/$F$3,0)</f>
        <v>0</v>
      </c>
      <c r="G53" s="21">
        <f>IFERROR(SUMIF('2024年销售情况'!$C:$C,$C:$C,'2024年销售情况'!$F:$F)/$G$3,0)</f>
        <v>0</v>
      </c>
      <c r="H53" s="21">
        <f>IFERROR(SUMIF('2024年销售情况'!$C:$C,$C:$C,'2024年销售情况'!$F:$F)/$H$3,0)</f>
        <v>0</v>
      </c>
      <c r="I53" s="21">
        <f>IFERROR(SUMIF('2024年销售情况'!$C:$C,$C:$C,'2024年销售情况'!$F:$F)/$I$3,0)</f>
        <v>0</v>
      </c>
      <c r="J53" s="21">
        <f>IFERROR(SUMIF('2024年销售情况'!$C:$C,$C:$C,'2024年销售情况'!$F:$F)/$J$3,0)</f>
        <v>0</v>
      </c>
      <c r="K53" s="21">
        <f>IFERROR(SUMIF('2024年销售情况'!$C:$C,$C:$C,'2024年销售情况'!$F:$F)/$K$3,0)</f>
        <v>0</v>
      </c>
      <c r="L53" s="21">
        <f>IFERROR(SUMIF('2024年销售情况'!$C:$C,$C:$C,'2024年销售情况'!$F:$F)/$L$3,0)</f>
        <v>0</v>
      </c>
      <c r="M53" s="21">
        <f>IFERROR(SUMIF('2024年销售情况'!$C:$C,$C:$C,'2024年销售情况'!$F:$F)/$M$3,0)</f>
        <v>0</v>
      </c>
      <c r="N53" s="21">
        <f>IFERROR(SUMIF('2024年销售情况'!$C:$C,$C:$C,'2024年销售情况'!$F:$F)/$N$3,0)</f>
        <v>0</v>
      </c>
      <c r="O53" s="21">
        <f>IFERROR(SUMIF('2024年销售情况'!$C:$C,$C:$C,'2024年销售情况'!$F:$F)/$O$3,0)</f>
        <v>0</v>
      </c>
      <c r="P53" s="21">
        <f>IFERROR(SUMIF('2024年销售情况'!$C:$C,$C:$C,'2024年销售情况'!$F:$F)/$P$3,0)</f>
        <v>0</v>
      </c>
      <c r="Q53" s="21" t="e">
        <f>'2024年销售情况'!AE51/$Q$3</f>
        <v>#DIV/0!</v>
      </c>
      <c r="R53" s="21">
        <f t="shared" si="12"/>
        <v>0</v>
      </c>
      <c r="S53" s="21" t="e">
        <f>'2024年销售情况'!AI51/$S$3</f>
        <v>#DIV/0!</v>
      </c>
      <c r="T53" s="21">
        <f t="shared" si="13"/>
        <v>0</v>
      </c>
      <c r="U53" s="21" t="e">
        <f>'2024年销售情况'!AM51/$U$3</f>
        <v>#DIV/0!</v>
      </c>
      <c r="V53" s="21">
        <f t="shared" si="14"/>
        <v>0</v>
      </c>
      <c r="W53" s="21" t="e">
        <f>'2024年销售情况'!AQ51/$W$3</f>
        <v>#DIV/0!</v>
      </c>
      <c r="X53" s="21">
        <f t="shared" si="15"/>
        <v>0</v>
      </c>
      <c r="Y53" s="21" t="e">
        <f>'2024年销售情况'!AU51/$Y$3</f>
        <v>#DIV/0!</v>
      </c>
      <c r="Z53" s="21">
        <f t="shared" si="16"/>
        <v>0</v>
      </c>
      <c r="AA53" s="21" t="e">
        <f>'2024年销售情况'!AY51/$AA$3</f>
        <v>#DIV/0!</v>
      </c>
      <c r="AB53" s="21">
        <f t="shared" si="17"/>
        <v>0</v>
      </c>
      <c r="AC53" s="21" t="e">
        <f>'2024年销售情况'!BC51/$AC$3</f>
        <v>#DIV/0!</v>
      </c>
      <c r="AD53" s="21">
        <f t="shared" si="18"/>
        <v>0</v>
      </c>
      <c r="AE53" s="21" t="e">
        <f>'2024年销售情况'!BG51/$AE$3</f>
        <v>#DIV/0!</v>
      </c>
      <c r="AF53" s="21">
        <f t="shared" si="19"/>
        <v>0</v>
      </c>
      <c r="AG53" s="21" t="e">
        <f>'2024年销售情况'!BK51/$AG$3</f>
        <v>#DIV/0!</v>
      </c>
      <c r="AH53" s="21">
        <f t="shared" si="20"/>
        <v>0</v>
      </c>
      <c r="AI53" s="21" t="e">
        <f>'2024年销售情况'!BO51/$AI$3</f>
        <v>#DIV/0!</v>
      </c>
      <c r="AJ53" s="21">
        <f t="shared" si="21"/>
        <v>0</v>
      </c>
      <c r="AK53" s="21" t="e">
        <f>'2024年销售情况'!BS51/$AK$3</f>
        <v>#DIV/0!</v>
      </c>
      <c r="AL53" s="21">
        <f t="shared" si="22"/>
        <v>0</v>
      </c>
      <c r="AM53" s="21" t="e">
        <f>'2024年销售情况'!BW51/$AM$3</f>
        <v>#DIV/0!</v>
      </c>
      <c r="AN53" s="21">
        <f t="shared" si="23"/>
        <v>0</v>
      </c>
      <c r="AO53" s="21"/>
      <c r="AP53" s="21"/>
    </row>
    <row r="54" ht="24" customHeight="1" spans="1:42">
      <c r="A54" s="82"/>
      <c r="B54" s="36"/>
      <c r="C54" s="20"/>
      <c r="D54" s="74"/>
      <c r="E54" s="21">
        <f>IFERROR(SUMIF('2024年销售情况'!C:C,C:C,'2024年销售情况'!F:F)/$E$3,0)</f>
        <v>0</v>
      </c>
      <c r="F54" s="21">
        <f>IFERROR(SUMIF('2024年销售情况'!$C:$C,$C:$C,'2024年销售情况'!$F:$F)/$F$3,0)</f>
        <v>0</v>
      </c>
      <c r="G54" s="21">
        <f>IFERROR(SUMIF('2024年销售情况'!$C:$C,$C:$C,'2024年销售情况'!$F:$F)/$G$3,0)</f>
        <v>0</v>
      </c>
      <c r="H54" s="21">
        <f>IFERROR(SUMIF('2024年销售情况'!$C:$C,$C:$C,'2024年销售情况'!$F:$F)/$H$3,0)</f>
        <v>0</v>
      </c>
      <c r="I54" s="21">
        <f>IFERROR(SUMIF('2024年销售情况'!$C:$C,$C:$C,'2024年销售情况'!$F:$F)/$I$3,0)</f>
        <v>0</v>
      </c>
      <c r="J54" s="21">
        <f>IFERROR(SUMIF('2024年销售情况'!$C:$C,$C:$C,'2024年销售情况'!$F:$F)/$J$3,0)</f>
        <v>0</v>
      </c>
      <c r="K54" s="21">
        <f>IFERROR(SUMIF('2024年销售情况'!$C:$C,$C:$C,'2024年销售情况'!$F:$F)/$K$3,0)</f>
        <v>0</v>
      </c>
      <c r="L54" s="21">
        <f>IFERROR(SUMIF('2024年销售情况'!$C:$C,$C:$C,'2024年销售情况'!$F:$F)/$L$3,0)</f>
        <v>0</v>
      </c>
      <c r="M54" s="21">
        <f>IFERROR(SUMIF('2024年销售情况'!$C:$C,$C:$C,'2024年销售情况'!$F:$F)/$M$3,0)</f>
        <v>0</v>
      </c>
      <c r="N54" s="21">
        <f>IFERROR(SUMIF('2024年销售情况'!$C:$C,$C:$C,'2024年销售情况'!$F:$F)/$N$3,0)</f>
        <v>0</v>
      </c>
      <c r="O54" s="21">
        <f>IFERROR(SUMIF('2024年销售情况'!$C:$C,$C:$C,'2024年销售情况'!$F:$F)/$O$3,0)</f>
        <v>0</v>
      </c>
      <c r="P54" s="21">
        <f>IFERROR(SUMIF('2024年销售情况'!$C:$C,$C:$C,'2024年销售情况'!$F:$F)/$P$3,0)</f>
        <v>0</v>
      </c>
      <c r="Q54" s="21" t="e">
        <f>'2024年销售情况'!AE52/$Q$3</f>
        <v>#DIV/0!</v>
      </c>
      <c r="R54" s="21">
        <f t="shared" si="12"/>
        <v>0</v>
      </c>
      <c r="S54" s="21" t="e">
        <f>'2024年销售情况'!AI52/$S$3</f>
        <v>#DIV/0!</v>
      </c>
      <c r="T54" s="21">
        <f t="shared" si="13"/>
        <v>0</v>
      </c>
      <c r="U54" s="21" t="e">
        <f>'2024年销售情况'!AM52/$U$3</f>
        <v>#DIV/0!</v>
      </c>
      <c r="V54" s="21">
        <f t="shared" si="14"/>
        <v>0</v>
      </c>
      <c r="W54" s="21" t="e">
        <f>'2024年销售情况'!AQ52/$W$3</f>
        <v>#DIV/0!</v>
      </c>
      <c r="X54" s="21">
        <f t="shared" si="15"/>
        <v>0</v>
      </c>
      <c r="Y54" s="21" t="e">
        <f>'2024年销售情况'!AU52/$Y$3</f>
        <v>#DIV/0!</v>
      </c>
      <c r="Z54" s="21">
        <f t="shared" si="16"/>
        <v>0</v>
      </c>
      <c r="AA54" s="21" t="e">
        <f>'2024年销售情况'!AY52/$AA$3</f>
        <v>#DIV/0!</v>
      </c>
      <c r="AB54" s="21">
        <f t="shared" si="17"/>
        <v>0</v>
      </c>
      <c r="AC54" s="21" t="e">
        <f>'2024年销售情况'!BC52/$AC$3</f>
        <v>#DIV/0!</v>
      </c>
      <c r="AD54" s="21">
        <f t="shared" si="18"/>
        <v>0</v>
      </c>
      <c r="AE54" s="21" t="e">
        <f>'2024年销售情况'!BG52/$AE$3</f>
        <v>#DIV/0!</v>
      </c>
      <c r="AF54" s="21">
        <f t="shared" si="19"/>
        <v>0</v>
      </c>
      <c r="AG54" s="21" t="e">
        <f>'2024年销售情况'!BK52/$AG$3</f>
        <v>#DIV/0!</v>
      </c>
      <c r="AH54" s="21">
        <f t="shared" si="20"/>
        <v>0</v>
      </c>
      <c r="AI54" s="21" t="e">
        <f>'2024年销售情况'!BO52/$AI$3</f>
        <v>#DIV/0!</v>
      </c>
      <c r="AJ54" s="21">
        <f t="shared" si="21"/>
        <v>0</v>
      </c>
      <c r="AK54" s="21" t="e">
        <f>'2024年销售情况'!BS52/$AK$3</f>
        <v>#DIV/0!</v>
      </c>
      <c r="AL54" s="21">
        <f t="shared" si="22"/>
        <v>0</v>
      </c>
      <c r="AM54" s="21" t="e">
        <f>'2024年销售情况'!BW52/$AM$3</f>
        <v>#DIV/0!</v>
      </c>
      <c r="AN54" s="21">
        <f t="shared" si="23"/>
        <v>0</v>
      </c>
      <c r="AO54" s="21"/>
      <c r="AP54" s="21"/>
    </row>
    <row r="55" ht="24" customHeight="1" spans="1:42">
      <c r="A55" s="82"/>
      <c r="B55" s="36"/>
      <c r="C55" s="20"/>
      <c r="D55" s="74"/>
      <c r="E55" s="21">
        <f>IFERROR(SUMIF('2024年销售情况'!C:C,C:C,'2024年销售情况'!F:F)/$E$3,0)</f>
        <v>0</v>
      </c>
      <c r="F55" s="21">
        <f>IFERROR(SUMIF('2024年销售情况'!$C:$C,$C:$C,'2024年销售情况'!$F:$F)/$F$3,0)</f>
        <v>0</v>
      </c>
      <c r="G55" s="21">
        <f>IFERROR(SUMIF('2024年销售情况'!$C:$C,$C:$C,'2024年销售情况'!$F:$F)/$G$3,0)</f>
        <v>0</v>
      </c>
      <c r="H55" s="21">
        <f>IFERROR(SUMIF('2024年销售情况'!$C:$C,$C:$C,'2024年销售情况'!$F:$F)/$H$3,0)</f>
        <v>0</v>
      </c>
      <c r="I55" s="21">
        <f>IFERROR(SUMIF('2024年销售情况'!$C:$C,$C:$C,'2024年销售情况'!$F:$F)/$I$3,0)</f>
        <v>0</v>
      </c>
      <c r="J55" s="21">
        <f>IFERROR(SUMIF('2024年销售情况'!$C:$C,$C:$C,'2024年销售情况'!$F:$F)/$J$3,0)</f>
        <v>0</v>
      </c>
      <c r="K55" s="21">
        <f>IFERROR(SUMIF('2024年销售情况'!$C:$C,$C:$C,'2024年销售情况'!$F:$F)/$K$3,0)</f>
        <v>0</v>
      </c>
      <c r="L55" s="21">
        <f>IFERROR(SUMIF('2024年销售情况'!$C:$C,$C:$C,'2024年销售情况'!$F:$F)/$L$3,0)</f>
        <v>0</v>
      </c>
      <c r="M55" s="21">
        <f>IFERROR(SUMIF('2024年销售情况'!$C:$C,$C:$C,'2024年销售情况'!$F:$F)/$M$3,0)</f>
        <v>0</v>
      </c>
      <c r="N55" s="21">
        <f>IFERROR(SUMIF('2024年销售情况'!$C:$C,$C:$C,'2024年销售情况'!$F:$F)/$N$3,0)</f>
        <v>0</v>
      </c>
      <c r="O55" s="21">
        <f>IFERROR(SUMIF('2024年销售情况'!$C:$C,$C:$C,'2024年销售情况'!$F:$F)/$O$3,0)</f>
        <v>0</v>
      </c>
      <c r="P55" s="21">
        <f>IFERROR(SUMIF('2024年销售情况'!$C:$C,$C:$C,'2024年销售情况'!$F:$F)/$P$3,0)</f>
        <v>0</v>
      </c>
      <c r="Q55" s="21" t="e">
        <f>'2024年销售情况'!AE53/$Q$3</f>
        <v>#DIV/0!</v>
      </c>
      <c r="R55" s="21">
        <f t="shared" si="12"/>
        <v>0</v>
      </c>
      <c r="S55" s="21" t="e">
        <f>'2024年销售情况'!AI53/$S$3</f>
        <v>#DIV/0!</v>
      </c>
      <c r="T55" s="21">
        <f t="shared" si="13"/>
        <v>0</v>
      </c>
      <c r="U55" s="21" t="e">
        <f>'2024年销售情况'!AM53/$U$3</f>
        <v>#DIV/0!</v>
      </c>
      <c r="V55" s="21">
        <f t="shared" si="14"/>
        <v>0</v>
      </c>
      <c r="W55" s="21" t="e">
        <f>'2024年销售情况'!AQ53/$W$3</f>
        <v>#DIV/0!</v>
      </c>
      <c r="X55" s="21">
        <f t="shared" si="15"/>
        <v>0</v>
      </c>
      <c r="Y55" s="21" t="e">
        <f>'2024年销售情况'!AU53/$Y$3</f>
        <v>#DIV/0!</v>
      </c>
      <c r="Z55" s="21">
        <f t="shared" si="16"/>
        <v>0</v>
      </c>
      <c r="AA55" s="21" t="e">
        <f>'2024年销售情况'!AY53/$AA$3</f>
        <v>#DIV/0!</v>
      </c>
      <c r="AB55" s="21">
        <f t="shared" si="17"/>
        <v>0</v>
      </c>
      <c r="AC55" s="21" t="e">
        <f>'2024年销售情况'!BC53/$AC$3</f>
        <v>#DIV/0!</v>
      </c>
      <c r="AD55" s="21">
        <f t="shared" si="18"/>
        <v>0</v>
      </c>
      <c r="AE55" s="21" t="e">
        <f>'2024年销售情况'!BG53/$AE$3</f>
        <v>#DIV/0!</v>
      </c>
      <c r="AF55" s="21">
        <f t="shared" si="19"/>
        <v>0</v>
      </c>
      <c r="AG55" s="21" t="e">
        <f>'2024年销售情况'!BK53/$AG$3</f>
        <v>#DIV/0!</v>
      </c>
      <c r="AH55" s="21">
        <f t="shared" si="20"/>
        <v>0</v>
      </c>
      <c r="AI55" s="21" t="e">
        <f>'2024年销售情况'!BO53/$AI$3</f>
        <v>#DIV/0!</v>
      </c>
      <c r="AJ55" s="21">
        <f t="shared" si="21"/>
        <v>0</v>
      </c>
      <c r="AK55" s="21" t="e">
        <f>'2024年销售情况'!BS53/$AK$3</f>
        <v>#DIV/0!</v>
      </c>
      <c r="AL55" s="21">
        <f t="shared" si="22"/>
        <v>0</v>
      </c>
      <c r="AM55" s="21" t="e">
        <f>'2024年销售情况'!BW53/$AM$3</f>
        <v>#DIV/0!</v>
      </c>
      <c r="AN55" s="21">
        <f t="shared" si="23"/>
        <v>0</v>
      </c>
      <c r="AO55" s="21"/>
      <c r="AP55" s="21"/>
    </row>
    <row r="56" ht="24" customHeight="1" spans="1:42">
      <c r="A56" s="82"/>
      <c r="B56" s="36"/>
      <c r="C56" s="20"/>
      <c r="D56" s="74"/>
      <c r="E56" s="21">
        <f>IFERROR(SUMIF('2024年销售情况'!C:C,C:C,'2024年销售情况'!F:F)/$E$3,0)</f>
        <v>0</v>
      </c>
      <c r="F56" s="21">
        <f>IFERROR(SUMIF('2024年销售情况'!$C:$C,$C:$C,'2024年销售情况'!$F:$F)/$F$3,0)</f>
        <v>0</v>
      </c>
      <c r="G56" s="21">
        <f>IFERROR(SUMIF('2024年销售情况'!$C:$C,$C:$C,'2024年销售情况'!$F:$F)/$G$3,0)</f>
        <v>0</v>
      </c>
      <c r="H56" s="21">
        <f>IFERROR(SUMIF('2024年销售情况'!$C:$C,$C:$C,'2024年销售情况'!$F:$F)/$H$3,0)</f>
        <v>0</v>
      </c>
      <c r="I56" s="21">
        <f>IFERROR(SUMIF('2024年销售情况'!$C:$C,$C:$C,'2024年销售情况'!$F:$F)/$I$3,0)</f>
        <v>0</v>
      </c>
      <c r="J56" s="21">
        <f>IFERROR(SUMIF('2024年销售情况'!$C:$C,$C:$C,'2024年销售情况'!$F:$F)/$J$3,0)</f>
        <v>0</v>
      </c>
      <c r="K56" s="21">
        <f>IFERROR(SUMIF('2024年销售情况'!$C:$C,$C:$C,'2024年销售情况'!$F:$F)/$K$3,0)</f>
        <v>0</v>
      </c>
      <c r="L56" s="21">
        <f>IFERROR(SUMIF('2024年销售情况'!$C:$C,$C:$C,'2024年销售情况'!$F:$F)/$L$3,0)</f>
        <v>0</v>
      </c>
      <c r="M56" s="21">
        <f>IFERROR(SUMIF('2024年销售情况'!$C:$C,$C:$C,'2024年销售情况'!$F:$F)/$M$3,0)</f>
        <v>0</v>
      </c>
      <c r="N56" s="21">
        <f>IFERROR(SUMIF('2024年销售情况'!$C:$C,$C:$C,'2024年销售情况'!$F:$F)/$N$3,0)</f>
        <v>0</v>
      </c>
      <c r="O56" s="21">
        <f>IFERROR(SUMIF('2024年销售情况'!$C:$C,$C:$C,'2024年销售情况'!$F:$F)/$O$3,0)</f>
        <v>0</v>
      </c>
      <c r="P56" s="21">
        <f>IFERROR(SUMIF('2024年销售情况'!$C:$C,$C:$C,'2024年销售情况'!$F:$F)/$P$3,0)</f>
        <v>0</v>
      </c>
      <c r="Q56" s="21" t="e">
        <f>'2024年销售情况'!AE54/$Q$3</f>
        <v>#DIV/0!</v>
      </c>
      <c r="R56" s="21">
        <f t="shared" si="12"/>
        <v>0</v>
      </c>
      <c r="S56" s="21" t="e">
        <f>'2024年销售情况'!AI54/$S$3</f>
        <v>#DIV/0!</v>
      </c>
      <c r="T56" s="21">
        <f t="shared" si="13"/>
        <v>0</v>
      </c>
      <c r="U56" s="21" t="e">
        <f>'2024年销售情况'!AM54/$U$3</f>
        <v>#DIV/0!</v>
      </c>
      <c r="V56" s="21">
        <f t="shared" si="14"/>
        <v>0</v>
      </c>
      <c r="W56" s="21" t="e">
        <f>'2024年销售情况'!AQ54/$W$3</f>
        <v>#DIV/0!</v>
      </c>
      <c r="X56" s="21">
        <f t="shared" si="15"/>
        <v>0</v>
      </c>
      <c r="Y56" s="21" t="e">
        <f>'2024年销售情况'!AU54/$Y$3</f>
        <v>#DIV/0!</v>
      </c>
      <c r="Z56" s="21">
        <f t="shared" si="16"/>
        <v>0</v>
      </c>
      <c r="AA56" s="21" t="e">
        <f>'2024年销售情况'!AY54/$AA$3</f>
        <v>#DIV/0!</v>
      </c>
      <c r="AB56" s="21">
        <f t="shared" si="17"/>
        <v>0</v>
      </c>
      <c r="AC56" s="21" t="e">
        <f>'2024年销售情况'!BC54/$AC$3</f>
        <v>#DIV/0!</v>
      </c>
      <c r="AD56" s="21">
        <f t="shared" si="18"/>
        <v>0</v>
      </c>
      <c r="AE56" s="21" t="e">
        <f>'2024年销售情况'!BG54/$AE$3</f>
        <v>#DIV/0!</v>
      </c>
      <c r="AF56" s="21">
        <f t="shared" si="19"/>
        <v>0</v>
      </c>
      <c r="AG56" s="21" t="e">
        <f>'2024年销售情况'!BK54/$AG$3</f>
        <v>#DIV/0!</v>
      </c>
      <c r="AH56" s="21">
        <f t="shared" si="20"/>
        <v>0</v>
      </c>
      <c r="AI56" s="21" t="e">
        <f>'2024年销售情况'!BO54/$AI$3</f>
        <v>#DIV/0!</v>
      </c>
      <c r="AJ56" s="21">
        <f t="shared" si="21"/>
        <v>0</v>
      </c>
      <c r="AK56" s="21" t="e">
        <f>'2024年销售情况'!BS54/$AK$3</f>
        <v>#DIV/0!</v>
      </c>
      <c r="AL56" s="21">
        <f t="shared" si="22"/>
        <v>0</v>
      </c>
      <c r="AM56" s="21" t="e">
        <f>'2024年销售情况'!BW54/$AM$3</f>
        <v>#DIV/0!</v>
      </c>
      <c r="AN56" s="21">
        <f t="shared" si="23"/>
        <v>0</v>
      </c>
      <c r="AO56" s="21"/>
      <c r="AP56" s="21"/>
    </row>
    <row r="57" ht="24" customHeight="1" spans="1:42">
      <c r="A57" s="82"/>
      <c r="B57" s="36"/>
      <c r="C57" s="20"/>
      <c r="D57" s="74"/>
      <c r="E57" s="21">
        <f>IFERROR(SUMIF('2024年销售情况'!C:C,C:C,'2024年销售情况'!F:F)/$E$3,0)</f>
        <v>0</v>
      </c>
      <c r="F57" s="21">
        <f>IFERROR(SUMIF('2024年销售情况'!$C:$C,$C:$C,'2024年销售情况'!$F:$F)/$F$3,0)</f>
        <v>0</v>
      </c>
      <c r="G57" s="21">
        <f>IFERROR(SUMIF('2024年销售情况'!$C:$C,$C:$C,'2024年销售情况'!$F:$F)/$G$3,0)</f>
        <v>0</v>
      </c>
      <c r="H57" s="21">
        <f>IFERROR(SUMIF('2024年销售情况'!$C:$C,$C:$C,'2024年销售情况'!$F:$F)/$H$3,0)</f>
        <v>0</v>
      </c>
      <c r="I57" s="21">
        <f>IFERROR(SUMIF('2024年销售情况'!$C:$C,$C:$C,'2024年销售情况'!$F:$F)/$I$3,0)</f>
        <v>0</v>
      </c>
      <c r="J57" s="21">
        <f>IFERROR(SUMIF('2024年销售情况'!$C:$C,$C:$C,'2024年销售情况'!$F:$F)/$J$3,0)</f>
        <v>0</v>
      </c>
      <c r="K57" s="21">
        <f>IFERROR(SUMIF('2024年销售情况'!$C:$C,$C:$C,'2024年销售情况'!$F:$F)/$K$3,0)</f>
        <v>0</v>
      </c>
      <c r="L57" s="21">
        <f>IFERROR(SUMIF('2024年销售情况'!$C:$C,$C:$C,'2024年销售情况'!$F:$F)/$L$3,0)</f>
        <v>0</v>
      </c>
      <c r="M57" s="21">
        <f>IFERROR(SUMIF('2024年销售情况'!$C:$C,$C:$C,'2024年销售情况'!$F:$F)/$M$3,0)</f>
        <v>0</v>
      </c>
      <c r="N57" s="21">
        <f>IFERROR(SUMIF('2024年销售情况'!$C:$C,$C:$C,'2024年销售情况'!$F:$F)/$N$3,0)</f>
        <v>0</v>
      </c>
      <c r="O57" s="21">
        <f>IFERROR(SUMIF('2024年销售情况'!$C:$C,$C:$C,'2024年销售情况'!$F:$F)/$O$3,0)</f>
        <v>0</v>
      </c>
      <c r="P57" s="21">
        <f>IFERROR(SUMIF('2024年销售情况'!$C:$C,$C:$C,'2024年销售情况'!$F:$F)/$P$3,0)</f>
        <v>0</v>
      </c>
      <c r="Q57" s="21" t="e">
        <f>'2024年销售情况'!AE55/$Q$3</f>
        <v>#DIV/0!</v>
      </c>
      <c r="R57" s="21">
        <f t="shared" si="12"/>
        <v>0</v>
      </c>
      <c r="S57" s="21" t="e">
        <f>'2024年销售情况'!AI55/$S$3</f>
        <v>#DIV/0!</v>
      </c>
      <c r="T57" s="21">
        <f t="shared" si="13"/>
        <v>0</v>
      </c>
      <c r="U57" s="21" t="e">
        <f>'2024年销售情况'!AM55/$U$3</f>
        <v>#DIV/0!</v>
      </c>
      <c r="V57" s="21">
        <f t="shared" si="14"/>
        <v>0</v>
      </c>
      <c r="W57" s="21" t="e">
        <f>'2024年销售情况'!AQ55/$W$3</f>
        <v>#DIV/0!</v>
      </c>
      <c r="X57" s="21">
        <f t="shared" si="15"/>
        <v>0</v>
      </c>
      <c r="Y57" s="21" t="e">
        <f>'2024年销售情况'!AU55/$Y$3</f>
        <v>#DIV/0!</v>
      </c>
      <c r="Z57" s="21">
        <f t="shared" si="16"/>
        <v>0</v>
      </c>
      <c r="AA57" s="21" t="e">
        <f>'2024年销售情况'!AY55/$AA$3</f>
        <v>#DIV/0!</v>
      </c>
      <c r="AB57" s="21">
        <f t="shared" si="17"/>
        <v>0</v>
      </c>
      <c r="AC57" s="21" t="e">
        <f>'2024年销售情况'!BC55/$AC$3</f>
        <v>#DIV/0!</v>
      </c>
      <c r="AD57" s="21">
        <f t="shared" si="18"/>
        <v>0</v>
      </c>
      <c r="AE57" s="21" t="e">
        <f>'2024年销售情况'!BG55/$AE$3</f>
        <v>#DIV/0!</v>
      </c>
      <c r="AF57" s="21">
        <f t="shared" si="19"/>
        <v>0</v>
      </c>
      <c r="AG57" s="21" t="e">
        <f>'2024年销售情况'!BK55/$AG$3</f>
        <v>#DIV/0!</v>
      </c>
      <c r="AH57" s="21">
        <f t="shared" si="20"/>
        <v>0</v>
      </c>
      <c r="AI57" s="21" t="e">
        <f>'2024年销售情况'!BO55/$AI$3</f>
        <v>#DIV/0!</v>
      </c>
      <c r="AJ57" s="21">
        <f t="shared" si="21"/>
        <v>0</v>
      </c>
      <c r="AK57" s="21" t="e">
        <f>'2024年销售情况'!BS55/$AK$3</f>
        <v>#DIV/0!</v>
      </c>
      <c r="AL57" s="21">
        <f t="shared" si="22"/>
        <v>0</v>
      </c>
      <c r="AM57" s="21" t="e">
        <f>'2024年销售情况'!BW55/$AM$3</f>
        <v>#DIV/0!</v>
      </c>
      <c r="AN57" s="21">
        <f t="shared" si="23"/>
        <v>0</v>
      </c>
      <c r="AO57" s="21"/>
      <c r="AP57" s="21"/>
    </row>
    <row r="58" ht="24" customHeight="1" spans="1:42">
      <c r="A58" s="83"/>
      <c r="B58" s="36"/>
      <c r="C58" s="20"/>
      <c r="D58" s="74"/>
      <c r="E58" s="21">
        <f>IFERROR(SUMIF('2024年销售情况'!C:C,C:C,'2024年销售情况'!F:F)/$E$3,0)</f>
        <v>0</v>
      </c>
      <c r="F58" s="21">
        <f>IFERROR(SUMIF('2024年销售情况'!$C:$C,$C:$C,'2024年销售情况'!$F:$F)/$F$3,0)</f>
        <v>0</v>
      </c>
      <c r="G58" s="21">
        <f>IFERROR(SUMIF('2024年销售情况'!$C:$C,$C:$C,'2024年销售情况'!$F:$F)/$G$3,0)</f>
        <v>0</v>
      </c>
      <c r="H58" s="21">
        <f>IFERROR(SUMIF('2024年销售情况'!$C:$C,$C:$C,'2024年销售情况'!$F:$F)/$H$3,0)</f>
        <v>0</v>
      </c>
      <c r="I58" s="21">
        <f>IFERROR(SUMIF('2024年销售情况'!$C:$C,$C:$C,'2024年销售情况'!$F:$F)/$I$3,0)</f>
        <v>0</v>
      </c>
      <c r="J58" s="21">
        <f>IFERROR(SUMIF('2024年销售情况'!$C:$C,$C:$C,'2024年销售情况'!$F:$F)/$J$3,0)</f>
        <v>0</v>
      </c>
      <c r="K58" s="21">
        <f>IFERROR(SUMIF('2024年销售情况'!$C:$C,$C:$C,'2024年销售情况'!$F:$F)/$K$3,0)</f>
        <v>0</v>
      </c>
      <c r="L58" s="21">
        <f>IFERROR(SUMIF('2024年销售情况'!$C:$C,$C:$C,'2024年销售情况'!$F:$F)/$L$3,0)</f>
        <v>0</v>
      </c>
      <c r="M58" s="21">
        <f>IFERROR(SUMIF('2024年销售情况'!$C:$C,$C:$C,'2024年销售情况'!$F:$F)/$M$3,0)</f>
        <v>0</v>
      </c>
      <c r="N58" s="21">
        <f>IFERROR(SUMIF('2024年销售情况'!$C:$C,$C:$C,'2024年销售情况'!$F:$F)/$N$3,0)</f>
        <v>0</v>
      </c>
      <c r="O58" s="21">
        <f>IFERROR(SUMIF('2024年销售情况'!$C:$C,$C:$C,'2024年销售情况'!$F:$F)/$O$3,0)</f>
        <v>0</v>
      </c>
      <c r="P58" s="21">
        <f>IFERROR(SUMIF('2024年销售情况'!$C:$C,$C:$C,'2024年销售情况'!$F:$F)/$P$3,0)</f>
        <v>0</v>
      </c>
      <c r="Q58" s="21" t="e">
        <f>'2024年销售情况'!AE56/$Q$3</f>
        <v>#DIV/0!</v>
      </c>
      <c r="R58" s="21">
        <f t="shared" si="12"/>
        <v>0</v>
      </c>
      <c r="S58" s="21" t="e">
        <f>'2024年销售情况'!AI56/$S$3</f>
        <v>#DIV/0!</v>
      </c>
      <c r="T58" s="21">
        <f t="shared" si="13"/>
        <v>0</v>
      </c>
      <c r="U58" s="21" t="e">
        <f>'2024年销售情况'!AM56/$U$3</f>
        <v>#DIV/0!</v>
      </c>
      <c r="V58" s="21">
        <f t="shared" si="14"/>
        <v>0</v>
      </c>
      <c r="W58" s="21" t="e">
        <f>'2024年销售情况'!AQ56/$W$3</f>
        <v>#DIV/0!</v>
      </c>
      <c r="X58" s="21">
        <f t="shared" si="15"/>
        <v>0</v>
      </c>
      <c r="Y58" s="21" t="e">
        <f>'2024年销售情况'!AU56/$Y$3</f>
        <v>#DIV/0!</v>
      </c>
      <c r="Z58" s="21">
        <f t="shared" si="16"/>
        <v>0</v>
      </c>
      <c r="AA58" s="21" t="e">
        <f>'2024年销售情况'!AY56/$AA$3</f>
        <v>#DIV/0!</v>
      </c>
      <c r="AB58" s="21">
        <f t="shared" si="17"/>
        <v>0</v>
      </c>
      <c r="AC58" s="21" t="e">
        <f>'2024年销售情况'!BC56/$AC$3</f>
        <v>#DIV/0!</v>
      </c>
      <c r="AD58" s="21">
        <f t="shared" si="18"/>
        <v>0</v>
      </c>
      <c r="AE58" s="21" t="e">
        <f>'2024年销售情况'!BG56/$AE$3</f>
        <v>#DIV/0!</v>
      </c>
      <c r="AF58" s="21">
        <f t="shared" si="19"/>
        <v>0</v>
      </c>
      <c r="AG58" s="21" t="e">
        <f>'2024年销售情况'!BK56/$AG$3</f>
        <v>#DIV/0!</v>
      </c>
      <c r="AH58" s="21">
        <f t="shared" si="20"/>
        <v>0</v>
      </c>
      <c r="AI58" s="21" t="e">
        <f>'2024年销售情况'!BO56/$AI$3</f>
        <v>#DIV/0!</v>
      </c>
      <c r="AJ58" s="21">
        <f t="shared" si="21"/>
        <v>0</v>
      </c>
      <c r="AK58" s="21" t="e">
        <f>'2024年销售情况'!BS56/$AK$3</f>
        <v>#DIV/0!</v>
      </c>
      <c r="AL58" s="21">
        <f t="shared" si="22"/>
        <v>0</v>
      </c>
      <c r="AM58" s="21" t="e">
        <f>'2024年销售情况'!BW56/$AM$3</f>
        <v>#DIV/0!</v>
      </c>
      <c r="AN58" s="21">
        <f t="shared" si="23"/>
        <v>0</v>
      </c>
      <c r="AO58" s="21"/>
      <c r="AP58" s="21"/>
    </row>
    <row r="59" ht="24" customHeight="1" spans="1:42">
      <c r="A59" s="83"/>
      <c r="B59" s="36"/>
      <c r="C59" s="20"/>
      <c r="D59" s="74"/>
      <c r="E59" s="21">
        <f>IFERROR(SUMIF('2024年销售情况'!C:C,C:C,'2024年销售情况'!F:F)/$E$3,0)</f>
        <v>0</v>
      </c>
      <c r="F59" s="21">
        <f>IFERROR(SUMIF('2024年销售情况'!$C:$C,$C:$C,'2024年销售情况'!$F:$F)/$F$3,0)</f>
        <v>0</v>
      </c>
      <c r="G59" s="21">
        <f>IFERROR(SUMIF('2024年销售情况'!$C:$C,$C:$C,'2024年销售情况'!$F:$F)/$G$3,0)</f>
        <v>0</v>
      </c>
      <c r="H59" s="21">
        <f>IFERROR(SUMIF('2024年销售情况'!$C:$C,$C:$C,'2024年销售情况'!$F:$F)/$H$3,0)</f>
        <v>0</v>
      </c>
      <c r="I59" s="21">
        <f>IFERROR(SUMIF('2024年销售情况'!$C:$C,$C:$C,'2024年销售情况'!$F:$F)/$I$3,0)</f>
        <v>0</v>
      </c>
      <c r="J59" s="21">
        <f>IFERROR(SUMIF('2024年销售情况'!$C:$C,$C:$C,'2024年销售情况'!$F:$F)/$J$3,0)</f>
        <v>0</v>
      </c>
      <c r="K59" s="21">
        <f>IFERROR(SUMIF('2024年销售情况'!$C:$C,$C:$C,'2024年销售情况'!$F:$F)/$K$3,0)</f>
        <v>0</v>
      </c>
      <c r="L59" s="21">
        <f>IFERROR(SUMIF('2024年销售情况'!$C:$C,$C:$C,'2024年销售情况'!$F:$F)/$L$3,0)</f>
        <v>0</v>
      </c>
      <c r="M59" s="21">
        <f>IFERROR(SUMIF('2024年销售情况'!$C:$C,$C:$C,'2024年销售情况'!$F:$F)/$M$3,0)</f>
        <v>0</v>
      </c>
      <c r="N59" s="21">
        <f>IFERROR(SUMIF('2024年销售情况'!$C:$C,$C:$C,'2024年销售情况'!$F:$F)/$N$3,0)</f>
        <v>0</v>
      </c>
      <c r="O59" s="21">
        <f>IFERROR(SUMIF('2024年销售情况'!$C:$C,$C:$C,'2024年销售情况'!$F:$F)/$O$3,0)</f>
        <v>0</v>
      </c>
      <c r="P59" s="21">
        <f>IFERROR(SUMIF('2024年销售情况'!$C:$C,$C:$C,'2024年销售情况'!$F:$F)/$P$3,0)</f>
        <v>0</v>
      </c>
      <c r="Q59" s="21" t="e">
        <f>'2024年销售情况'!AE57/$Q$3</f>
        <v>#DIV/0!</v>
      </c>
      <c r="R59" s="21">
        <f t="shared" si="12"/>
        <v>0</v>
      </c>
      <c r="S59" s="21" t="e">
        <f>'2024年销售情况'!AI57/$S$3</f>
        <v>#DIV/0!</v>
      </c>
      <c r="T59" s="21">
        <f t="shared" si="13"/>
        <v>0</v>
      </c>
      <c r="U59" s="21" t="e">
        <f>'2024年销售情况'!AM57/$U$3</f>
        <v>#DIV/0!</v>
      </c>
      <c r="V59" s="21">
        <f t="shared" si="14"/>
        <v>0</v>
      </c>
      <c r="W59" s="21" t="e">
        <f>'2024年销售情况'!AQ57/$W$3</f>
        <v>#DIV/0!</v>
      </c>
      <c r="X59" s="21">
        <f t="shared" si="15"/>
        <v>0</v>
      </c>
      <c r="Y59" s="21" t="e">
        <f>'2024年销售情况'!AU57/$Y$3</f>
        <v>#DIV/0!</v>
      </c>
      <c r="Z59" s="21">
        <f t="shared" si="16"/>
        <v>0</v>
      </c>
      <c r="AA59" s="21" t="e">
        <f>'2024年销售情况'!AY57/$AA$3</f>
        <v>#DIV/0!</v>
      </c>
      <c r="AB59" s="21">
        <f t="shared" si="17"/>
        <v>0</v>
      </c>
      <c r="AC59" s="21" t="e">
        <f>'2024年销售情况'!BC57/$AC$3</f>
        <v>#DIV/0!</v>
      </c>
      <c r="AD59" s="21">
        <f t="shared" si="18"/>
        <v>0</v>
      </c>
      <c r="AE59" s="21" t="e">
        <f>'2024年销售情况'!BG57/$AE$3</f>
        <v>#DIV/0!</v>
      </c>
      <c r="AF59" s="21">
        <f t="shared" si="19"/>
        <v>0</v>
      </c>
      <c r="AG59" s="21" t="e">
        <f>'2024年销售情况'!BK57/$AG$3</f>
        <v>#DIV/0!</v>
      </c>
      <c r="AH59" s="21">
        <f t="shared" si="20"/>
        <v>0</v>
      </c>
      <c r="AI59" s="21" t="e">
        <f>'2024年销售情况'!BO57/$AI$3</f>
        <v>#DIV/0!</v>
      </c>
      <c r="AJ59" s="21">
        <f t="shared" si="21"/>
        <v>0</v>
      </c>
      <c r="AK59" s="21" t="e">
        <f>'2024年销售情况'!BS57/$AK$3</f>
        <v>#DIV/0!</v>
      </c>
      <c r="AL59" s="21">
        <f t="shared" si="22"/>
        <v>0</v>
      </c>
      <c r="AM59" s="21" t="e">
        <f>'2024年销售情况'!BW57/$AM$3</f>
        <v>#DIV/0!</v>
      </c>
      <c r="AN59" s="21">
        <f t="shared" si="23"/>
        <v>0</v>
      </c>
      <c r="AO59" s="21"/>
      <c r="AP59" s="21"/>
    </row>
    <row r="60" ht="24" customHeight="1" spans="1:42">
      <c r="A60" s="83"/>
      <c r="B60" s="36"/>
      <c r="C60" s="20"/>
      <c r="D60" s="74"/>
      <c r="E60" s="21">
        <f>IFERROR(SUMIF('2024年销售情况'!C:C,C:C,'2024年销售情况'!F:F)/$E$3,0)</f>
        <v>0</v>
      </c>
      <c r="F60" s="21">
        <f>IFERROR(SUMIF('2024年销售情况'!$C:$C,$C:$C,'2024年销售情况'!$F:$F)/$F$3,0)</f>
        <v>0</v>
      </c>
      <c r="G60" s="21">
        <f>IFERROR(SUMIF('2024年销售情况'!$C:$C,$C:$C,'2024年销售情况'!$F:$F)/$G$3,0)</f>
        <v>0</v>
      </c>
      <c r="H60" s="21">
        <f>IFERROR(SUMIF('2024年销售情况'!$C:$C,$C:$C,'2024年销售情况'!$F:$F)/$H$3,0)</f>
        <v>0</v>
      </c>
      <c r="I60" s="21">
        <f>IFERROR(SUMIF('2024年销售情况'!$C:$C,$C:$C,'2024年销售情况'!$F:$F)/$I$3,0)</f>
        <v>0</v>
      </c>
      <c r="J60" s="21">
        <f>IFERROR(SUMIF('2024年销售情况'!$C:$C,$C:$C,'2024年销售情况'!$F:$F)/$J$3,0)</f>
        <v>0</v>
      </c>
      <c r="K60" s="21">
        <f>IFERROR(SUMIF('2024年销售情况'!$C:$C,$C:$C,'2024年销售情况'!$F:$F)/$K$3,0)</f>
        <v>0</v>
      </c>
      <c r="L60" s="21">
        <f>IFERROR(SUMIF('2024年销售情况'!$C:$C,$C:$C,'2024年销售情况'!$F:$F)/$L$3,0)</f>
        <v>0</v>
      </c>
      <c r="M60" s="21">
        <f>IFERROR(SUMIF('2024年销售情况'!$C:$C,$C:$C,'2024年销售情况'!$F:$F)/$M$3,0)</f>
        <v>0</v>
      </c>
      <c r="N60" s="21">
        <f>IFERROR(SUMIF('2024年销售情况'!$C:$C,$C:$C,'2024年销售情况'!$F:$F)/$N$3,0)</f>
        <v>0</v>
      </c>
      <c r="O60" s="21">
        <f>IFERROR(SUMIF('2024年销售情况'!$C:$C,$C:$C,'2024年销售情况'!$F:$F)/$O$3,0)</f>
        <v>0</v>
      </c>
      <c r="P60" s="21">
        <f>IFERROR(SUMIF('2024年销售情况'!$C:$C,$C:$C,'2024年销售情况'!$F:$F)/$P$3,0)</f>
        <v>0</v>
      </c>
      <c r="Q60" s="21" t="e">
        <f>'2024年销售情况'!AE58/$Q$3</f>
        <v>#DIV/0!</v>
      </c>
      <c r="R60" s="21">
        <f t="shared" si="12"/>
        <v>0</v>
      </c>
      <c r="S60" s="21" t="e">
        <f>'2024年销售情况'!AI58/$S$3</f>
        <v>#DIV/0!</v>
      </c>
      <c r="T60" s="21">
        <f t="shared" si="13"/>
        <v>0</v>
      </c>
      <c r="U60" s="21" t="e">
        <f>'2024年销售情况'!AM58/$U$3</f>
        <v>#DIV/0!</v>
      </c>
      <c r="V60" s="21">
        <f t="shared" si="14"/>
        <v>0</v>
      </c>
      <c r="W60" s="21" t="e">
        <f>'2024年销售情况'!AQ58/$W$3</f>
        <v>#DIV/0!</v>
      </c>
      <c r="X60" s="21">
        <f t="shared" si="15"/>
        <v>0</v>
      </c>
      <c r="Y60" s="21" t="e">
        <f>'2024年销售情况'!AU58/$Y$3</f>
        <v>#DIV/0!</v>
      </c>
      <c r="Z60" s="21">
        <f t="shared" si="16"/>
        <v>0</v>
      </c>
      <c r="AA60" s="21" t="e">
        <f>'2024年销售情况'!AY58/$AA$3</f>
        <v>#DIV/0!</v>
      </c>
      <c r="AB60" s="21">
        <f t="shared" si="17"/>
        <v>0</v>
      </c>
      <c r="AC60" s="21" t="e">
        <f>'2024年销售情况'!BC58/$AC$3</f>
        <v>#DIV/0!</v>
      </c>
      <c r="AD60" s="21">
        <f t="shared" si="18"/>
        <v>0</v>
      </c>
      <c r="AE60" s="21" t="e">
        <f>'2024年销售情况'!BG58/$AE$3</f>
        <v>#DIV/0!</v>
      </c>
      <c r="AF60" s="21">
        <f t="shared" si="19"/>
        <v>0</v>
      </c>
      <c r="AG60" s="21" t="e">
        <f>'2024年销售情况'!BK58/$AG$3</f>
        <v>#DIV/0!</v>
      </c>
      <c r="AH60" s="21">
        <f t="shared" si="20"/>
        <v>0</v>
      </c>
      <c r="AI60" s="21" t="e">
        <f>'2024年销售情况'!BO58/$AI$3</f>
        <v>#DIV/0!</v>
      </c>
      <c r="AJ60" s="21">
        <f t="shared" si="21"/>
        <v>0</v>
      </c>
      <c r="AK60" s="21" t="e">
        <f>'2024年销售情况'!BS58/$AK$3</f>
        <v>#DIV/0!</v>
      </c>
      <c r="AL60" s="21">
        <f t="shared" si="22"/>
        <v>0</v>
      </c>
      <c r="AM60" s="21" t="e">
        <f>'2024年销售情况'!BW58/$AM$3</f>
        <v>#DIV/0!</v>
      </c>
      <c r="AN60" s="21">
        <f t="shared" si="23"/>
        <v>0</v>
      </c>
      <c r="AO60" s="21"/>
      <c r="AP60" s="21"/>
    </row>
    <row r="61" ht="24" customHeight="1" spans="1:42">
      <c r="A61" s="83"/>
      <c r="B61" s="36"/>
      <c r="C61" s="20"/>
      <c r="D61" s="74"/>
      <c r="E61" s="21">
        <f>IFERROR(SUMIF('2024年销售情况'!C:C,C:C,'2024年销售情况'!F:F)/$E$3,0)</f>
        <v>0</v>
      </c>
      <c r="F61" s="21">
        <f>IFERROR(SUMIF('2024年销售情况'!$C:$C,$C:$C,'2024年销售情况'!$F:$F)/$F$3,0)</f>
        <v>0</v>
      </c>
      <c r="G61" s="21">
        <f>IFERROR(SUMIF('2024年销售情况'!$C:$C,$C:$C,'2024年销售情况'!$F:$F)/$G$3,0)</f>
        <v>0</v>
      </c>
      <c r="H61" s="21">
        <f>IFERROR(SUMIF('2024年销售情况'!$C:$C,$C:$C,'2024年销售情况'!$F:$F)/$H$3,0)</f>
        <v>0</v>
      </c>
      <c r="I61" s="21">
        <f>IFERROR(SUMIF('2024年销售情况'!$C:$C,$C:$C,'2024年销售情况'!$F:$F)/$I$3,0)</f>
        <v>0</v>
      </c>
      <c r="J61" s="21">
        <f>IFERROR(SUMIF('2024年销售情况'!$C:$C,$C:$C,'2024年销售情况'!$F:$F)/$J$3,0)</f>
        <v>0</v>
      </c>
      <c r="K61" s="21">
        <f>IFERROR(SUMIF('2024年销售情况'!$C:$C,$C:$C,'2024年销售情况'!$F:$F)/$K$3,0)</f>
        <v>0</v>
      </c>
      <c r="L61" s="21">
        <f>IFERROR(SUMIF('2024年销售情况'!$C:$C,$C:$C,'2024年销售情况'!$F:$F)/$L$3,0)</f>
        <v>0</v>
      </c>
      <c r="M61" s="21">
        <f>IFERROR(SUMIF('2024年销售情况'!$C:$C,$C:$C,'2024年销售情况'!$F:$F)/$M$3,0)</f>
        <v>0</v>
      </c>
      <c r="N61" s="21">
        <f>IFERROR(SUMIF('2024年销售情况'!$C:$C,$C:$C,'2024年销售情况'!$F:$F)/$N$3,0)</f>
        <v>0</v>
      </c>
      <c r="O61" s="21">
        <f>IFERROR(SUMIF('2024年销售情况'!$C:$C,$C:$C,'2024年销售情况'!$F:$F)/$O$3,0)</f>
        <v>0</v>
      </c>
      <c r="P61" s="21">
        <f>IFERROR(SUMIF('2024年销售情况'!$C:$C,$C:$C,'2024年销售情况'!$F:$F)/$P$3,0)</f>
        <v>0</v>
      </c>
      <c r="Q61" s="21" t="e">
        <f>'2024年销售情况'!AE59/$Q$3</f>
        <v>#DIV/0!</v>
      </c>
      <c r="R61" s="21">
        <f t="shared" si="12"/>
        <v>0</v>
      </c>
      <c r="S61" s="21" t="e">
        <f>'2024年销售情况'!AI59/$S$3</f>
        <v>#DIV/0!</v>
      </c>
      <c r="T61" s="21">
        <f t="shared" si="13"/>
        <v>0</v>
      </c>
      <c r="U61" s="21" t="e">
        <f>'2024年销售情况'!AM59/$U$3</f>
        <v>#DIV/0!</v>
      </c>
      <c r="V61" s="21">
        <f t="shared" si="14"/>
        <v>0</v>
      </c>
      <c r="W61" s="21" t="e">
        <f>'2024年销售情况'!AQ59/$W$3</f>
        <v>#DIV/0!</v>
      </c>
      <c r="X61" s="21">
        <f t="shared" si="15"/>
        <v>0</v>
      </c>
      <c r="Y61" s="21" t="e">
        <f>'2024年销售情况'!AU59/$Y$3</f>
        <v>#DIV/0!</v>
      </c>
      <c r="Z61" s="21">
        <f t="shared" si="16"/>
        <v>0</v>
      </c>
      <c r="AA61" s="21" t="e">
        <f>'2024年销售情况'!AY59/$AA$3</f>
        <v>#DIV/0!</v>
      </c>
      <c r="AB61" s="21">
        <f t="shared" si="17"/>
        <v>0</v>
      </c>
      <c r="AC61" s="21" t="e">
        <f>'2024年销售情况'!BC59/$AC$3</f>
        <v>#DIV/0!</v>
      </c>
      <c r="AD61" s="21">
        <f t="shared" si="18"/>
        <v>0</v>
      </c>
      <c r="AE61" s="21" t="e">
        <f>'2024年销售情况'!BG59/$AE$3</f>
        <v>#DIV/0!</v>
      </c>
      <c r="AF61" s="21">
        <f t="shared" si="19"/>
        <v>0</v>
      </c>
      <c r="AG61" s="21" t="e">
        <f>'2024年销售情况'!BK59/$AG$3</f>
        <v>#DIV/0!</v>
      </c>
      <c r="AH61" s="21">
        <f t="shared" si="20"/>
        <v>0</v>
      </c>
      <c r="AI61" s="21" t="e">
        <f>'2024年销售情况'!BO59/$AI$3</f>
        <v>#DIV/0!</v>
      </c>
      <c r="AJ61" s="21">
        <f t="shared" si="21"/>
        <v>0</v>
      </c>
      <c r="AK61" s="21" t="e">
        <f>'2024年销售情况'!BS59/$AK$3</f>
        <v>#DIV/0!</v>
      </c>
      <c r="AL61" s="21">
        <f t="shared" si="22"/>
        <v>0</v>
      </c>
      <c r="AM61" s="21" t="e">
        <f>'2024年销售情况'!BW59/$AM$3</f>
        <v>#DIV/0!</v>
      </c>
      <c r="AN61" s="21">
        <f t="shared" si="23"/>
        <v>0</v>
      </c>
      <c r="AO61" s="21"/>
      <c r="AP61" s="21"/>
    </row>
    <row r="62" ht="24" customHeight="1" spans="1:42">
      <c r="A62" s="36"/>
      <c r="B62" s="36"/>
      <c r="C62" s="20"/>
      <c r="D62" s="74"/>
      <c r="E62" s="21">
        <f>IFERROR(SUMIF('2024年销售情况'!C:C,C:C,'2024年销售情况'!F:F)/$E$3,0)</f>
        <v>0</v>
      </c>
      <c r="F62" s="21">
        <f>IFERROR(SUMIF('2024年销售情况'!$C:$C,$C:$C,'2024年销售情况'!$F:$F)/$F$3,0)</f>
        <v>0</v>
      </c>
      <c r="G62" s="21">
        <f>IFERROR(SUMIF('2024年销售情况'!$C:$C,$C:$C,'2024年销售情况'!$F:$F)/$G$3,0)</f>
        <v>0</v>
      </c>
      <c r="H62" s="21">
        <f>IFERROR(SUMIF('2024年销售情况'!$C:$C,$C:$C,'2024年销售情况'!$F:$F)/$H$3,0)</f>
        <v>0</v>
      </c>
      <c r="I62" s="21">
        <f>IFERROR(SUMIF('2024年销售情况'!$C:$C,$C:$C,'2024年销售情况'!$F:$F)/$I$3,0)</f>
        <v>0</v>
      </c>
      <c r="J62" s="21">
        <f>IFERROR(SUMIF('2024年销售情况'!$C:$C,$C:$C,'2024年销售情况'!$F:$F)/$J$3,0)</f>
        <v>0</v>
      </c>
      <c r="K62" s="21">
        <f>IFERROR(SUMIF('2024年销售情况'!$C:$C,$C:$C,'2024年销售情况'!$F:$F)/$K$3,0)</f>
        <v>0</v>
      </c>
      <c r="L62" s="21">
        <f>IFERROR(SUMIF('2024年销售情况'!$C:$C,$C:$C,'2024年销售情况'!$F:$F)/$L$3,0)</f>
        <v>0</v>
      </c>
      <c r="M62" s="21">
        <f>IFERROR(SUMIF('2024年销售情况'!$C:$C,$C:$C,'2024年销售情况'!$F:$F)/$M$3,0)</f>
        <v>0</v>
      </c>
      <c r="N62" s="21">
        <f>IFERROR(SUMIF('2024年销售情况'!$C:$C,$C:$C,'2024年销售情况'!$F:$F)/$N$3,0)</f>
        <v>0</v>
      </c>
      <c r="O62" s="21">
        <f>IFERROR(SUMIF('2024年销售情况'!$C:$C,$C:$C,'2024年销售情况'!$F:$F)/$O$3,0)</f>
        <v>0</v>
      </c>
      <c r="P62" s="21">
        <f>IFERROR(SUMIF('2024年销售情况'!$C:$C,$C:$C,'2024年销售情况'!$F:$F)/$P$3,0)</f>
        <v>0</v>
      </c>
      <c r="Q62" s="21" t="e">
        <f>'2024年销售情况'!AE60/$Q$3</f>
        <v>#DIV/0!</v>
      </c>
      <c r="R62" s="21">
        <f t="shared" si="12"/>
        <v>0</v>
      </c>
      <c r="S62" s="21" t="e">
        <f>'2024年销售情况'!AI60/$S$3</f>
        <v>#DIV/0!</v>
      </c>
      <c r="T62" s="21">
        <f t="shared" si="13"/>
        <v>0</v>
      </c>
      <c r="U62" s="21" t="e">
        <f>'2024年销售情况'!AM60/$U$3</f>
        <v>#DIV/0!</v>
      </c>
      <c r="V62" s="21">
        <f t="shared" si="14"/>
        <v>0</v>
      </c>
      <c r="W62" s="21" t="e">
        <f>'2024年销售情况'!AQ60/$W$3</f>
        <v>#DIV/0!</v>
      </c>
      <c r="X62" s="21">
        <f t="shared" si="15"/>
        <v>0</v>
      </c>
      <c r="Y62" s="21" t="e">
        <f>'2024年销售情况'!AU60/$Y$3</f>
        <v>#DIV/0!</v>
      </c>
      <c r="Z62" s="21">
        <f t="shared" si="16"/>
        <v>0</v>
      </c>
      <c r="AA62" s="21" t="e">
        <f>'2024年销售情况'!AY60/$AA$3</f>
        <v>#DIV/0!</v>
      </c>
      <c r="AB62" s="21">
        <f t="shared" si="17"/>
        <v>0</v>
      </c>
      <c r="AC62" s="21" t="e">
        <f>'2024年销售情况'!BC60/$AC$3</f>
        <v>#DIV/0!</v>
      </c>
      <c r="AD62" s="21">
        <f t="shared" si="18"/>
        <v>0</v>
      </c>
      <c r="AE62" s="21" t="e">
        <f>'2024年销售情况'!BG60/$AE$3</f>
        <v>#DIV/0!</v>
      </c>
      <c r="AF62" s="21">
        <f t="shared" si="19"/>
        <v>0</v>
      </c>
      <c r="AG62" s="21" t="e">
        <f>'2024年销售情况'!BK60/$AG$3</f>
        <v>#DIV/0!</v>
      </c>
      <c r="AH62" s="21">
        <f t="shared" si="20"/>
        <v>0</v>
      </c>
      <c r="AI62" s="21" t="e">
        <f>'2024年销售情况'!BO60/$AI$3</f>
        <v>#DIV/0!</v>
      </c>
      <c r="AJ62" s="21">
        <f t="shared" si="21"/>
        <v>0</v>
      </c>
      <c r="AK62" s="21" t="e">
        <f>'2024年销售情况'!BS60/$AK$3</f>
        <v>#DIV/0!</v>
      </c>
      <c r="AL62" s="21">
        <f t="shared" si="22"/>
        <v>0</v>
      </c>
      <c r="AM62" s="21" t="e">
        <f>'2024年销售情况'!BW60/$AM$3</f>
        <v>#DIV/0!</v>
      </c>
      <c r="AN62" s="21">
        <f t="shared" si="23"/>
        <v>0</v>
      </c>
      <c r="AO62" s="21"/>
      <c r="AP62" s="21"/>
    </row>
    <row r="63" ht="24" customHeight="1" spans="1:42">
      <c r="A63" s="36"/>
      <c r="B63" s="36"/>
      <c r="C63" s="20"/>
      <c r="D63" s="74"/>
      <c r="E63" s="21">
        <f>IFERROR(SUMIF('2024年销售情况'!C:C,C:C,'2024年销售情况'!F:F)/$E$3,0)</f>
        <v>0</v>
      </c>
      <c r="F63" s="21">
        <f>IFERROR(SUMIF('2024年销售情况'!$C:$C,$C:$C,'2024年销售情况'!$F:$F)/$F$3,0)</f>
        <v>0</v>
      </c>
      <c r="G63" s="21">
        <f>IFERROR(SUMIF('2024年销售情况'!$C:$C,$C:$C,'2024年销售情况'!$F:$F)/$G$3,0)</f>
        <v>0</v>
      </c>
      <c r="H63" s="21">
        <f>IFERROR(SUMIF('2024年销售情况'!$C:$C,$C:$C,'2024年销售情况'!$F:$F)/$H$3,0)</f>
        <v>0</v>
      </c>
      <c r="I63" s="21">
        <f>IFERROR(SUMIF('2024年销售情况'!$C:$C,$C:$C,'2024年销售情况'!$F:$F)/$I$3,0)</f>
        <v>0</v>
      </c>
      <c r="J63" s="21">
        <f>IFERROR(SUMIF('2024年销售情况'!$C:$C,$C:$C,'2024年销售情况'!$F:$F)/$J$3,0)</f>
        <v>0</v>
      </c>
      <c r="K63" s="21">
        <f>IFERROR(SUMIF('2024年销售情况'!$C:$C,$C:$C,'2024年销售情况'!$F:$F)/$K$3,0)</f>
        <v>0</v>
      </c>
      <c r="L63" s="21">
        <f>IFERROR(SUMIF('2024年销售情况'!$C:$C,$C:$C,'2024年销售情况'!$F:$F)/$L$3,0)</f>
        <v>0</v>
      </c>
      <c r="M63" s="21">
        <f>IFERROR(SUMIF('2024年销售情况'!$C:$C,$C:$C,'2024年销售情况'!$F:$F)/$M$3,0)</f>
        <v>0</v>
      </c>
      <c r="N63" s="21">
        <f>IFERROR(SUMIF('2024年销售情况'!$C:$C,$C:$C,'2024年销售情况'!$F:$F)/$N$3,0)</f>
        <v>0</v>
      </c>
      <c r="O63" s="21">
        <f>IFERROR(SUMIF('2024年销售情况'!$C:$C,$C:$C,'2024年销售情况'!$F:$F)/$O$3,0)</f>
        <v>0</v>
      </c>
      <c r="P63" s="21">
        <f>IFERROR(SUMIF('2024年销售情况'!$C:$C,$C:$C,'2024年销售情况'!$F:$F)/$P$3,0)</f>
        <v>0</v>
      </c>
      <c r="Q63" s="21" t="e">
        <f>'2024年销售情况'!AE61/$Q$3</f>
        <v>#DIV/0!</v>
      </c>
      <c r="R63" s="21">
        <f t="shared" si="12"/>
        <v>0</v>
      </c>
      <c r="S63" s="21" t="e">
        <f>'2024年销售情况'!AI61/$S$3</f>
        <v>#DIV/0!</v>
      </c>
      <c r="T63" s="21">
        <f t="shared" si="13"/>
        <v>0</v>
      </c>
      <c r="U63" s="21" t="e">
        <f>'2024年销售情况'!AM61/$U$3</f>
        <v>#DIV/0!</v>
      </c>
      <c r="V63" s="21">
        <f t="shared" si="14"/>
        <v>0</v>
      </c>
      <c r="W63" s="21" t="e">
        <f>'2024年销售情况'!AQ61/$W$3</f>
        <v>#DIV/0!</v>
      </c>
      <c r="X63" s="21">
        <f t="shared" si="15"/>
        <v>0</v>
      </c>
      <c r="Y63" s="21" t="e">
        <f>'2024年销售情况'!AU61/$Y$3</f>
        <v>#DIV/0!</v>
      </c>
      <c r="Z63" s="21">
        <f t="shared" si="16"/>
        <v>0</v>
      </c>
      <c r="AA63" s="21" t="e">
        <f>'2024年销售情况'!AY61/$AA$3</f>
        <v>#DIV/0!</v>
      </c>
      <c r="AB63" s="21">
        <f t="shared" si="17"/>
        <v>0</v>
      </c>
      <c r="AC63" s="21" t="e">
        <f>'2024年销售情况'!BC61/$AC$3</f>
        <v>#DIV/0!</v>
      </c>
      <c r="AD63" s="21">
        <f t="shared" si="18"/>
        <v>0</v>
      </c>
      <c r="AE63" s="21" t="e">
        <f>'2024年销售情况'!BG61/$AE$3</f>
        <v>#DIV/0!</v>
      </c>
      <c r="AF63" s="21">
        <f t="shared" si="19"/>
        <v>0</v>
      </c>
      <c r="AG63" s="21" t="e">
        <f>'2024年销售情况'!BK61/$AG$3</f>
        <v>#DIV/0!</v>
      </c>
      <c r="AH63" s="21">
        <f t="shared" si="20"/>
        <v>0</v>
      </c>
      <c r="AI63" s="21" t="e">
        <f>'2024年销售情况'!BO61/$AI$3</f>
        <v>#DIV/0!</v>
      </c>
      <c r="AJ63" s="21">
        <f t="shared" si="21"/>
        <v>0</v>
      </c>
      <c r="AK63" s="21" t="e">
        <f>'2024年销售情况'!BS61/$AK$3</f>
        <v>#DIV/0!</v>
      </c>
      <c r="AL63" s="21">
        <f t="shared" si="22"/>
        <v>0</v>
      </c>
      <c r="AM63" s="21" t="e">
        <f>'2024年销售情况'!BW61/$AM$3</f>
        <v>#DIV/0!</v>
      </c>
      <c r="AN63" s="21">
        <f t="shared" si="23"/>
        <v>0</v>
      </c>
      <c r="AO63" s="21"/>
      <c r="AP63" s="21"/>
    </row>
    <row r="64" ht="24" customHeight="1" spans="1:42">
      <c r="A64" s="36"/>
      <c r="B64" s="36"/>
      <c r="C64" s="20"/>
      <c r="D64" s="74"/>
      <c r="E64" s="21">
        <f>IFERROR(SUMIF('2024年销售情况'!C:C,C:C,'2024年销售情况'!F:F)/$E$3,0)</f>
        <v>0</v>
      </c>
      <c r="F64" s="21">
        <f>IFERROR(SUMIF('2024年销售情况'!$C:$C,$C:$C,'2024年销售情况'!$F:$F)/$F$3,0)</f>
        <v>0</v>
      </c>
      <c r="G64" s="21">
        <f>IFERROR(SUMIF('2024年销售情况'!$C:$C,$C:$C,'2024年销售情况'!$F:$F)/$G$3,0)</f>
        <v>0</v>
      </c>
      <c r="H64" s="21">
        <f>IFERROR(SUMIF('2024年销售情况'!$C:$C,$C:$C,'2024年销售情况'!$F:$F)/$H$3,0)</f>
        <v>0</v>
      </c>
      <c r="I64" s="21">
        <f>IFERROR(SUMIF('2024年销售情况'!$C:$C,$C:$C,'2024年销售情况'!$F:$F)/$I$3,0)</f>
        <v>0</v>
      </c>
      <c r="J64" s="21">
        <f>IFERROR(SUMIF('2024年销售情况'!$C:$C,$C:$C,'2024年销售情况'!$F:$F)/$J$3,0)</f>
        <v>0</v>
      </c>
      <c r="K64" s="21">
        <f>IFERROR(SUMIF('2024年销售情况'!$C:$C,$C:$C,'2024年销售情况'!$F:$F)/$K$3,0)</f>
        <v>0</v>
      </c>
      <c r="L64" s="21">
        <f>IFERROR(SUMIF('2024年销售情况'!$C:$C,$C:$C,'2024年销售情况'!$F:$F)/$L$3,0)</f>
        <v>0</v>
      </c>
      <c r="M64" s="21">
        <f>IFERROR(SUMIF('2024年销售情况'!$C:$C,$C:$C,'2024年销售情况'!$F:$F)/$M$3,0)</f>
        <v>0</v>
      </c>
      <c r="N64" s="21">
        <f>IFERROR(SUMIF('2024年销售情况'!$C:$C,$C:$C,'2024年销售情况'!$F:$F)/$N$3,0)</f>
        <v>0</v>
      </c>
      <c r="O64" s="21">
        <f>IFERROR(SUMIF('2024年销售情况'!$C:$C,$C:$C,'2024年销售情况'!$F:$F)/$O$3,0)</f>
        <v>0</v>
      </c>
      <c r="P64" s="21">
        <f>IFERROR(SUMIF('2024年销售情况'!$C:$C,$C:$C,'2024年销售情况'!$F:$F)/$P$3,0)</f>
        <v>0</v>
      </c>
      <c r="Q64" s="21" t="e">
        <f>'2024年销售情况'!AE62/$Q$3</f>
        <v>#DIV/0!</v>
      </c>
      <c r="R64" s="21">
        <f t="shared" si="12"/>
        <v>0</v>
      </c>
      <c r="S64" s="21" t="e">
        <f>'2024年销售情况'!AI62/$S$3</f>
        <v>#DIV/0!</v>
      </c>
      <c r="T64" s="21">
        <f t="shared" si="13"/>
        <v>0</v>
      </c>
      <c r="U64" s="21" t="e">
        <f>'2024年销售情况'!AM62/$U$3</f>
        <v>#DIV/0!</v>
      </c>
      <c r="V64" s="21">
        <f t="shared" si="14"/>
        <v>0</v>
      </c>
      <c r="W64" s="21" t="e">
        <f>'2024年销售情况'!AQ62/$W$3</f>
        <v>#DIV/0!</v>
      </c>
      <c r="X64" s="21">
        <f t="shared" si="15"/>
        <v>0</v>
      </c>
      <c r="Y64" s="21" t="e">
        <f>'2024年销售情况'!AU62/$Y$3</f>
        <v>#DIV/0!</v>
      </c>
      <c r="Z64" s="21">
        <f t="shared" si="16"/>
        <v>0</v>
      </c>
      <c r="AA64" s="21" t="e">
        <f>'2024年销售情况'!AY62/$AA$3</f>
        <v>#DIV/0!</v>
      </c>
      <c r="AB64" s="21">
        <f t="shared" si="17"/>
        <v>0</v>
      </c>
      <c r="AC64" s="21" t="e">
        <f>'2024年销售情况'!BC62/$AC$3</f>
        <v>#DIV/0!</v>
      </c>
      <c r="AD64" s="21">
        <f t="shared" si="18"/>
        <v>0</v>
      </c>
      <c r="AE64" s="21" t="e">
        <f>'2024年销售情况'!BG62/$AE$3</f>
        <v>#DIV/0!</v>
      </c>
      <c r="AF64" s="21">
        <f t="shared" si="19"/>
        <v>0</v>
      </c>
      <c r="AG64" s="21" t="e">
        <f>'2024年销售情况'!BK62/$AG$3</f>
        <v>#DIV/0!</v>
      </c>
      <c r="AH64" s="21">
        <f t="shared" si="20"/>
        <v>0</v>
      </c>
      <c r="AI64" s="21" t="e">
        <f>'2024年销售情况'!BO62/$AI$3</f>
        <v>#DIV/0!</v>
      </c>
      <c r="AJ64" s="21">
        <f t="shared" si="21"/>
        <v>0</v>
      </c>
      <c r="AK64" s="21" t="e">
        <f>'2024年销售情况'!BS62/$AK$3</f>
        <v>#DIV/0!</v>
      </c>
      <c r="AL64" s="21">
        <f t="shared" si="22"/>
        <v>0</v>
      </c>
      <c r="AM64" s="21" t="e">
        <f>'2024年销售情况'!BW62/$AM$3</f>
        <v>#DIV/0!</v>
      </c>
      <c r="AN64" s="21">
        <f t="shared" si="23"/>
        <v>0</v>
      </c>
      <c r="AO64" s="21"/>
      <c r="AP64" s="21"/>
    </row>
    <row r="65" ht="24" customHeight="1" spans="1:42">
      <c r="A65" s="36"/>
      <c r="B65" s="36"/>
      <c r="C65" s="20"/>
      <c r="D65" s="74"/>
      <c r="E65" s="21">
        <f>IFERROR(SUMIF('2024年销售情况'!C:C,C:C,'2024年销售情况'!F:F)/$E$3,0)</f>
        <v>0</v>
      </c>
      <c r="F65" s="21">
        <f>IFERROR(SUMIF('2024年销售情况'!$C:$C,$C:$C,'2024年销售情况'!$F:$F)/$F$3,0)</f>
        <v>0</v>
      </c>
      <c r="G65" s="21">
        <f>IFERROR(SUMIF('2024年销售情况'!$C:$C,$C:$C,'2024年销售情况'!$F:$F)/$G$3,0)</f>
        <v>0</v>
      </c>
      <c r="H65" s="21">
        <f>IFERROR(SUMIF('2024年销售情况'!$C:$C,$C:$C,'2024年销售情况'!$F:$F)/$H$3,0)</f>
        <v>0</v>
      </c>
      <c r="I65" s="21">
        <f>IFERROR(SUMIF('2024年销售情况'!$C:$C,$C:$C,'2024年销售情况'!$F:$F)/$I$3,0)</f>
        <v>0</v>
      </c>
      <c r="J65" s="21">
        <f>IFERROR(SUMIF('2024年销售情况'!$C:$C,$C:$C,'2024年销售情况'!$F:$F)/$J$3,0)</f>
        <v>0</v>
      </c>
      <c r="K65" s="21">
        <f>IFERROR(SUMIF('2024年销售情况'!$C:$C,$C:$C,'2024年销售情况'!$F:$F)/$K$3,0)</f>
        <v>0</v>
      </c>
      <c r="L65" s="21">
        <f>IFERROR(SUMIF('2024年销售情况'!$C:$C,$C:$C,'2024年销售情况'!$F:$F)/$L$3,0)</f>
        <v>0</v>
      </c>
      <c r="M65" s="21">
        <f>IFERROR(SUMIF('2024年销售情况'!$C:$C,$C:$C,'2024年销售情况'!$F:$F)/$M$3,0)</f>
        <v>0</v>
      </c>
      <c r="N65" s="21">
        <f>IFERROR(SUMIF('2024年销售情况'!$C:$C,$C:$C,'2024年销售情况'!$F:$F)/$N$3,0)</f>
        <v>0</v>
      </c>
      <c r="O65" s="21">
        <f>IFERROR(SUMIF('2024年销售情况'!$C:$C,$C:$C,'2024年销售情况'!$F:$F)/$O$3,0)</f>
        <v>0</v>
      </c>
      <c r="P65" s="21">
        <f>IFERROR(SUMIF('2024年销售情况'!$C:$C,$C:$C,'2024年销售情况'!$F:$F)/$P$3,0)</f>
        <v>0</v>
      </c>
      <c r="Q65" s="21" t="e">
        <f>'2024年销售情况'!AE63/$Q$3</f>
        <v>#DIV/0!</v>
      </c>
      <c r="R65" s="21">
        <f t="shared" si="12"/>
        <v>0</v>
      </c>
      <c r="S65" s="21" t="e">
        <f>'2024年销售情况'!AI63/$S$3</f>
        <v>#DIV/0!</v>
      </c>
      <c r="T65" s="21">
        <f t="shared" si="13"/>
        <v>0</v>
      </c>
      <c r="U65" s="21" t="e">
        <f>'2024年销售情况'!AM63/$U$3</f>
        <v>#DIV/0!</v>
      </c>
      <c r="V65" s="21">
        <f t="shared" si="14"/>
        <v>0</v>
      </c>
      <c r="W65" s="21" t="e">
        <f>'2024年销售情况'!AQ63/$W$3</f>
        <v>#DIV/0!</v>
      </c>
      <c r="X65" s="21">
        <f t="shared" si="15"/>
        <v>0</v>
      </c>
      <c r="Y65" s="21" t="e">
        <f>'2024年销售情况'!AU63/$Y$3</f>
        <v>#DIV/0!</v>
      </c>
      <c r="Z65" s="21">
        <f t="shared" si="16"/>
        <v>0</v>
      </c>
      <c r="AA65" s="21" t="e">
        <f>'2024年销售情况'!AY63/$AA$3</f>
        <v>#DIV/0!</v>
      </c>
      <c r="AB65" s="21">
        <f t="shared" si="17"/>
        <v>0</v>
      </c>
      <c r="AC65" s="21" t="e">
        <f>'2024年销售情况'!BC63/$AC$3</f>
        <v>#DIV/0!</v>
      </c>
      <c r="AD65" s="21">
        <f t="shared" si="18"/>
        <v>0</v>
      </c>
      <c r="AE65" s="21" t="e">
        <f>'2024年销售情况'!BG63/$AE$3</f>
        <v>#DIV/0!</v>
      </c>
      <c r="AF65" s="21">
        <f t="shared" si="19"/>
        <v>0</v>
      </c>
      <c r="AG65" s="21" t="e">
        <f>'2024年销售情况'!BK63/$AG$3</f>
        <v>#DIV/0!</v>
      </c>
      <c r="AH65" s="21">
        <f t="shared" si="20"/>
        <v>0</v>
      </c>
      <c r="AI65" s="21" t="e">
        <f>'2024年销售情况'!BO63/$AI$3</f>
        <v>#DIV/0!</v>
      </c>
      <c r="AJ65" s="21">
        <f t="shared" si="21"/>
        <v>0</v>
      </c>
      <c r="AK65" s="21" t="e">
        <f>'2024年销售情况'!BS63/$AK$3</f>
        <v>#DIV/0!</v>
      </c>
      <c r="AL65" s="21">
        <f t="shared" si="22"/>
        <v>0</v>
      </c>
      <c r="AM65" s="21" t="e">
        <f>'2024年销售情况'!BW63/$AM$3</f>
        <v>#DIV/0!</v>
      </c>
      <c r="AN65" s="21">
        <f t="shared" si="23"/>
        <v>0</v>
      </c>
      <c r="AO65" s="21"/>
      <c r="AP65" s="21"/>
    </row>
    <row r="66" ht="24" customHeight="1" spans="1:42">
      <c r="A66" s="36"/>
      <c r="B66" s="84"/>
      <c r="C66" s="20"/>
      <c r="D66" s="74"/>
      <c r="E66" s="21">
        <f>IFERROR(SUMIF('2024年销售情况'!C:C,C:C,'2024年销售情况'!F:F)/$E$3,0)</f>
        <v>0</v>
      </c>
      <c r="F66" s="21">
        <f>IFERROR(SUMIF('2024年销售情况'!$C:$C,$C:$C,'2024年销售情况'!$F:$F)/$F$3,0)</f>
        <v>0</v>
      </c>
      <c r="G66" s="21">
        <f>IFERROR(SUMIF('2024年销售情况'!$C:$C,$C:$C,'2024年销售情况'!$F:$F)/$G$3,0)</f>
        <v>0</v>
      </c>
      <c r="H66" s="21">
        <f>IFERROR(SUMIF('2024年销售情况'!$C:$C,$C:$C,'2024年销售情况'!$F:$F)/$H$3,0)</f>
        <v>0</v>
      </c>
      <c r="I66" s="21">
        <f>IFERROR(SUMIF('2024年销售情况'!$C:$C,$C:$C,'2024年销售情况'!$F:$F)/$I$3,0)</f>
        <v>0</v>
      </c>
      <c r="J66" s="21">
        <f>IFERROR(SUMIF('2024年销售情况'!$C:$C,$C:$C,'2024年销售情况'!$F:$F)/$J$3,0)</f>
        <v>0</v>
      </c>
      <c r="K66" s="21">
        <f>IFERROR(SUMIF('2024年销售情况'!$C:$C,$C:$C,'2024年销售情况'!$F:$F)/$K$3,0)</f>
        <v>0</v>
      </c>
      <c r="L66" s="21">
        <f>IFERROR(SUMIF('2024年销售情况'!$C:$C,$C:$C,'2024年销售情况'!$F:$F)/$L$3,0)</f>
        <v>0</v>
      </c>
      <c r="M66" s="21">
        <f>IFERROR(SUMIF('2024年销售情况'!$C:$C,$C:$C,'2024年销售情况'!$F:$F)/$M$3,0)</f>
        <v>0</v>
      </c>
      <c r="N66" s="21">
        <f>IFERROR(SUMIF('2024年销售情况'!$C:$C,$C:$C,'2024年销售情况'!$F:$F)/$N$3,0)</f>
        <v>0</v>
      </c>
      <c r="O66" s="21">
        <f>IFERROR(SUMIF('2024年销售情况'!$C:$C,$C:$C,'2024年销售情况'!$F:$F)/$O$3,0)</f>
        <v>0</v>
      </c>
      <c r="P66" s="21">
        <f>IFERROR(SUMIF('2024年销售情况'!$C:$C,$C:$C,'2024年销售情况'!$F:$F)/$P$3,0)</f>
        <v>0</v>
      </c>
      <c r="Q66" s="21" t="e">
        <f>'2024年销售情况'!AE64/$Q$3</f>
        <v>#DIV/0!</v>
      </c>
      <c r="R66" s="21">
        <f t="shared" si="12"/>
        <v>0</v>
      </c>
      <c r="S66" s="21" t="e">
        <f>'2024年销售情况'!AI64/$S$3</f>
        <v>#DIV/0!</v>
      </c>
      <c r="T66" s="21">
        <f t="shared" si="13"/>
        <v>0</v>
      </c>
      <c r="U66" s="21" t="e">
        <f>'2024年销售情况'!AM64/$U$3</f>
        <v>#DIV/0!</v>
      </c>
      <c r="V66" s="21">
        <f t="shared" si="14"/>
        <v>0</v>
      </c>
      <c r="W66" s="21" t="e">
        <f>'2024年销售情况'!AQ64/$W$3</f>
        <v>#DIV/0!</v>
      </c>
      <c r="X66" s="21">
        <f t="shared" si="15"/>
        <v>0</v>
      </c>
      <c r="Y66" s="21" t="e">
        <f>'2024年销售情况'!AU64/$Y$3</f>
        <v>#DIV/0!</v>
      </c>
      <c r="Z66" s="21">
        <f t="shared" si="16"/>
        <v>0</v>
      </c>
      <c r="AA66" s="21" t="e">
        <f>'2024年销售情况'!AY64/$AA$3</f>
        <v>#DIV/0!</v>
      </c>
      <c r="AB66" s="21">
        <f t="shared" si="17"/>
        <v>0</v>
      </c>
      <c r="AC66" s="21" t="e">
        <f>'2024年销售情况'!BC64/$AC$3</f>
        <v>#DIV/0!</v>
      </c>
      <c r="AD66" s="21">
        <f t="shared" si="18"/>
        <v>0</v>
      </c>
      <c r="AE66" s="21" t="e">
        <f>'2024年销售情况'!BG64/$AE$3</f>
        <v>#DIV/0!</v>
      </c>
      <c r="AF66" s="21">
        <f t="shared" si="19"/>
        <v>0</v>
      </c>
      <c r="AG66" s="21" t="e">
        <f>'2024年销售情况'!BK64/$AG$3</f>
        <v>#DIV/0!</v>
      </c>
      <c r="AH66" s="21">
        <f t="shared" si="20"/>
        <v>0</v>
      </c>
      <c r="AI66" s="21" t="e">
        <f>'2024年销售情况'!BO64/$AI$3</f>
        <v>#DIV/0!</v>
      </c>
      <c r="AJ66" s="21">
        <f t="shared" si="21"/>
        <v>0</v>
      </c>
      <c r="AK66" s="21" t="e">
        <f>'2024年销售情况'!BS64/$AK$3</f>
        <v>#DIV/0!</v>
      </c>
      <c r="AL66" s="21">
        <f t="shared" si="22"/>
        <v>0</v>
      </c>
      <c r="AM66" s="21" t="e">
        <f>'2024年销售情况'!BW64/$AM$3</f>
        <v>#DIV/0!</v>
      </c>
      <c r="AN66" s="21">
        <f t="shared" si="23"/>
        <v>0</v>
      </c>
      <c r="AO66" s="21"/>
      <c r="AP66" s="21"/>
    </row>
    <row r="67" ht="24" customHeight="1" spans="1:42">
      <c r="A67" s="36"/>
      <c r="B67" s="36"/>
      <c r="C67" s="20"/>
      <c r="D67" s="74"/>
      <c r="E67" s="21">
        <f>IFERROR(SUMIF('2024年销售情况'!C:C,C:C,'2024年销售情况'!F:F)/$E$3,0)</f>
        <v>0</v>
      </c>
      <c r="F67" s="21">
        <f>IFERROR(SUMIF('2024年销售情况'!$C:$C,$C:$C,'2024年销售情况'!$F:$F)/$F$3,0)</f>
        <v>0</v>
      </c>
      <c r="G67" s="21">
        <f>IFERROR(SUMIF('2024年销售情况'!$C:$C,$C:$C,'2024年销售情况'!$F:$F)/$G$3,0)</f>
        <v>0</v>
      </c>
      <c r="H67" s="21">
        <f>IFERROR(SUMIF('2024年销售情况'!$C:$C,$C:$C,'2024年销售情况'!$F:$F)/$H$3,0)</f>
        <v>0</v>
      </c>
      <c r="I67" s="21">
        <f>IFERROR(SUMIF('2024年销售情况'!$C:$C,$C:$C,'2024年销售情况'!$F:$F)/$I$3,0)</f>
        <v>0</v>
      </c>
      <c r="J67" s="21">
        <f>IFERROR(SUMIF('2024年销售情况'!$C:$C,$C:$C,'2024年销售情况'!$F:$F)/$J$3,0)</f>
        <v>0</v>
      </c>
      <c r="K67" s="21">
        <f>IFERROR(SUMIF('2024年销售情况'!$C:$C,$C:$C,'2024年销售情况'!$F:$F)/$K$3,0)</f>
        <v>0</v>
      </c>
      <c r="L67" s="21">
        <f>IFERROR(SUMIF('2024年销售情况'!$C:$C,$C:$C,'2024年销售情况'!$F:$F)/$L$3,0)</f>
        <v>0</v>
      </c>
      <c r="M67" s="21">
        <f>IFERROR(SUMIF('2024年销售情况'!$C:$C,$C:$C,'2024年销售情况'!$F:$F)/$M$3,0)</f>
        <v>0</v>
      </c>
      <c r="N67" s="21">
        <f>IFERROR(SUMIF('2024年销售情况'!$C:$C,$C:$C,'2024年销售情况'!$F:$F)/$N$3,0)</f>
        <v>0</v>
      </c>
      <c r="O67" s="21">
        <f>IFERROR(SUMIF('2024年销售情况'!$C:$C,$C:$C,'2024年销售情况'!$F:$F)/$O$3,0)</f>
        <v>0</v>
      </c>
      <c r="P67" s="21">
        <f>IFERROR(SUMIF('2024年销售情况'!$C:$C,$C:$C,'2024年销售情况'!$F:$F)/$P$3,0)</f>
        <v>0</v>
      </c>
      <c r="Q67" s="21" t="e">
        <f>'2024年销售情况'!AE65/$Q$3</f>
        <v>#DIV/0!</v>
      </c>
      <c r="R67" s="21">
        <f t="shared" si="12"/>
        <v>0</v>
      </c>
      <c r="S67" s="21" t="e">
        <f>'2024年销售情况'!AI65/$S$3</f>
        <v>#DIV/0!</v>
      </c>
      <c r="T67" s="21">
        <f t="shared" si="13"/>
        <v>0</v>
      </c>
      <c r="U67" s="21" t="e">
        <f>'2024年销售情况'!AM65/$U$3</f>
        <v>#DIV/0!</v>
      </c>
      <c r="V67" s="21">
        <f t="shared" si="14"/>
        <v>0</v>
      </c>
      <c r="W67" s="21" t="e">
        <f>'2024年销售情况'!AQ65/$W$3</f>
        <v>#DIV/0!</v>
      </c>
      <c r="X67" s="21">
        <f t="shared" si="15"/>
        <v>0</v>
      </c>
      <c r="Y67" s="21" t="e">
        <f>'2024年销售情况'!AU65/$Y$3</f>
        <v>#DIV/0!</v>
      </c>
      <c r="Z67" s="21">
        <f t="shared" si="16"/>
        <v>0</v>
      </c>
      <c r="AA67" s="21" t="e">
        <f>'2024年销售情况'!AY65/$AA$3</f>
        <v>#DIV/0!</v>
      </c>
      <c r="AB67" s="21">
        <f t="shared" si="17"/>
        <v>0</v>
      </c>
      <c r="AC67" s="21" t="e">
        <f>'2024年销售情况'!BC65/$AC$3</f>
        <v>#DIV/0!</v>
      </c>
      <c r="AD67" s="21">
        <f t="shared" si="18"/>
        <v>0</v>
      </c>
      <c r="AE67" s="21" t="e">
        <f>'2024年销售情况'!BG65/$AE$3</f>
        <v>#DIV/0!</v>
      </c>
      <c r="AF67" s="21">
        <f t="shared" si="19"/>
        <v>0</v>
      </c>
      <c r="AG67" s="21" t="e">
        <f>'2024年销售情况'!BK65/$AG$3</f>
        <v>#DIV/0!</v>
      </c>
      <c r="AH67" s="21">
        <f t="shared" si="20"/>
        <v>0</v>
      </c>
      <c r="AI67" s="21" t="e">
        <f>'2024年销售情况'!BO65/$AI$3</f>
        <v>#DIV/0!</v>
      </c>
      <c r="AJ67" s="21">
        <f t="shared" si="21"/>
        <v>0</v>
      </c>
      <c r="AK67" s="21" t="e">
        <f>'2024年销售情况'!BS65/$AK$3</f>
        <v>#DIV/0!</v>
      </c>
      <c r="AL67" s="21">
        <f t="shared" si="22"/>
        <v>0</v>
      </c>
      <c r="AM67" s="21" t="e">
        <f>'2024年销售情况'!BW65/$AM$3</f>
        <v>#DIV/0!</v>
      </c>
      <c r="AN67" s="21">
        <f t="shared" si="23"/>
        <v>0</v>
      </c>
      <c r="AO67" s="21"/>
      <c r="AP67" s="21"/>
    </row>
    <row r="68" ht="24" customHeight="1" spans="1:42">
      <c r="A68" s="36"/>
      <c r="B68" s="36"/>
      <c r="C68" s="20"/>
      <c r="D68" s="74"/>
      <c r="E68" s="21">
        <f>IFERROR(SUMIF('2024年销售情况'!C:C,C:C,'2024年销售情况'!F:F)/$E$3,0)</f>
        <v>0</v>
      </c>
      <c r="F68" s="21">
        <f>IFERROR(SUMIF('2024年销售情况'!$C:$C,$C:$C,'2024年销售情况'!$F:$F)/$F$3,0)</f>
        <v>0</v>
      </c>
      <c r="G68" s="21">
        <f>IFERROR(SUMIF('2024年销售情况'!$C:$C,$C:$C,'2024年销售情况'!$F:$F)/$G$3,0)</f>
        <v>0</v>
      </c>
      <c r="H68" s="21">
        <f>IFERROR(SUMIF('2024年销售情况'!$C:$C,$C:$C,'2024年销售情况'!$F:$F)/$H$3,0)</f>
        <v>0</v>
      </c>
      <c r="I68" s="21">
        <f>IFERROR(SUMIF('2024年销售情况'!$C:$C,$C:$C,'2024年销售情况'!$F:$F)/$I$3,0)</f>
        <v>0</v>
      </c>
      <c r="J68" s="21">
        <f>IFERROR(SUMIF('2024年销售情况'!$C:$C,$C:$C,'2024年销售情况'!$F:$F)/$J$3,0)</f>
        <v>0</v>
      </c>
      <c r="K68" s="21">
        <f>IFERROR(SUMIF('2024年销售情况'!$C:$C,$C:$C,'2024年销售情况'!$F:$F)/$K$3,0)</f>
        <v>0</v>
      </c>
      <c r="L68" s="21">
        <f>IFERROR(SUMIF('2024年销售情况'!$C:$C,$C:$C,'2024年销售情况'!$F:$F)/$L$3,0)</f>
        <v>0</v>
      </c>
      <c r="M68" s="21">
        <f>IFERROR(SUMIF('2024年销售情况'!$C:$C,$C:$C,'2024年销售情况'!$F:$F)/$M$3,0)</f>
        <v>0</v>
      </c>
      <c r="N68" s="21">
        <f>IFERROR(SUMIF('2024年销售情况'!$C:$C,$C:$C,'2024年销售情况'!$F:$F)/$N$3,0)</f>
        <v>0</v>
      </c>
      <c r="O68" s="21">
        <f>IFERROR(SUMIF('2024年销售情况'!$C:$C,$C:$C,'2024年销售情况'!$F:$F)/$O$3,0)</f>
        <v>0</v>
      </c>
      <c r="P68" s="21">
        <f>IFERROR(SUMIF('2024年销售情况'!$C:$C,$C:$C,'2024年销售情况'!$F:$F)/$P$3,0)</f>
        <v>0</v>
      </c>
      <c r="Q68" s="21" t="e">
        <f>'2024年销售情况'!AE66/$Q$3</f>
        <v>#DIV/0!</v>
      </c>
      <c r="R68" s="21">
        <f t="shared" si="12"/>
        <v>0</v>
      </c>
      <c r="S68" s="21" t="e">
        <f>'2024年销售情况'!AI66/$S$3</f>
        <v>#DIV/0!</v>
      </c>
      <c r="T68" s="21">
        <f t="shared" si="13"/>
        <v>0</v>
      </c>
      <c r="U68" s="21" t="e">
        <f>'2024年销售情况'!AM66/$U$3</f>
        <v>#DIV/0!</v>
      </c>
      <c r="V68" s="21">
        <f t="shared" si="14"/>
        <v>0</v>
      </c>
      <c r="W68" s="21" t="e">
        <f>'2024年销售情况'!AQ66/$W$3</f>
        <v>#DIV/0!</v>
      </c>
      <c r="X68" s="21">
        <f t="shared" si="15"/>
        <v>0</v>
      </c>
      <c r="Y68" s="21" t="e">
        <f>'2024年销售情况'!AU66/$Y$3</f>
        <v>#DIV/0!</v>
      </c>
      <c r="Z68" s="21">
        <f t="shared" si="16"/>
        <v>0</v>
      </c>
      <c r="AA68" s="21" t="e">
        <f>'2024年销售情况'!AY66/$AA$3</f>
        <v>#DIV/0!</v>
      </c>
      <c r="AB68" s="21">
        <f t="shared" si="17"/>
        <v>0</v>
      </c>
      <c r="AC68" s="21" t="e">
        <f>'2024年销售情况'!BC66/$AC$3</f>
        <v>#DIV/0!</v>
      </c>
      <c r="AD68" s="21">
        <f t="shared" si="18"/>
        <v>0</v>
      </c>
      <c r="AE68" s="21" t="e">
        <f>'2024年销售情况'!BG66/$AE$3</f>
        <v>#DIV/0!</v>
      </c>
      <c r="AF68" s="21">
        <f t="shared" si="19"/>
        <v>0</v>
      </c>
      <c r="AG68" s="21" t="e">
        <f>'2024年销售情况'!BK66/$AG$3</f>
        <v>#DIV/0!</v>
      </c>
      <c r="AH68" s="21">
        <f t="shared" si="20"/>
        <v>0</v>
      </c>
      <c r="AI68" s="21" t="e">
        <f>'2024年销售情况'!BO66/$AI$3</f>
        <v>#DIV/0!</v>
      </c>
      <c r="AJ68" s="21">
        <f t="shared" si="21"/>
        <v>0</v>
      </c>
      <c r="AK68" s="21" t="e">
        <f>'2024年销售情况'!BS66/$AK$3</f>
        <v>#DIV/0!</v>
      </c>
      <c r="AL68" s="21">
        <f t="shared" si="22"/>
        <v>0</v>
      </c>
      <c r="AM68" s="21" t="e">
        <f>'2024年销售情况'!BW66/$AM$3</f>
        <v>#DIV/0!</v>
      </c>
      <c r="AN68" s="21">
        <f t="shared" si="23"/>
        <v>0</v>
      </c>
      <c r="AO68" s="21"/>
      <c r="AP68" s="21"/>
    </row>
    <row r="69" ht="24" customHeight="1" spans="1:42">
      <c r="A69" s="36"/>
      <c r="B69" s="36"/>
      <c r="C69" s="20"/>
      <c r="D69" s="74"/>
      <c r="E69" s="21">
        <f>IFERROR(SUMIF('2024年销售情况'!C:C,C:C,'2024年销售情况'!F:F)/$E$3,0)</f>
        <v>0</v>
      </c>
      <c r="F69" s="21">
        <f>IFERROR(SUMIF('2024年销售情况'!$C:$C,$C:$C,'2024年销售情况'!$F:$F)/$F$3,0)</f>
        <v>0</v>
      </c>
      <c r="G69" s="21">
        <f>IFERROR(SUMIF('2024年销售情况'!$C:$C,$C:$C,'2024年销售情况'!$F:$F)/$G$3,0)</f>
        <v>0</v>
      </c>
      <c r="H69" s="21">
        <f>IFERROR(SUMIF('2024年销售情况'!$C:$C,$C:$C,'2024年销售情况'!$F:$F)/$H$3,0)</f>
        <v>0</v>
      </c>
      <c r="I69" s="21">
        <f>IFERROR(SUMIF('2024年销售情况'!$C:$C,$C:$C,'2024年销售情况'!$F:$F)/$I$3,0)</f>
        <v>0</v>
      </c>
      <c r="J69" s="21">
        <f>IFERROR(SUMIF('2024年销售情况'!$C:$C,$C:$C,'2024年销售情况'!$F:$F)/$J$3,0)</f>
        <v>0</v>
      </c>
      <c r="K69" s="21">
        <f>IFERROR(SUMIF('2024年销售情况'!$C:$C,$C:$C,'2024年销售情况'!$F:$F)/$K$3,0)</f>
        <v>0</v>
      </c>
      <c r="L69" s="21">
        <f>IFERROR(SUMIF('2024年销售情况'!$C:$C,$C:$C,'2024年销售情况'!$F:$F)/$L$3,0)</f>
        <v>0</v>
      </c>
      <c r="M69" s="21">
        <f>IFERROR(SUMIF('2024年销售情况'!$C:$C,$C:$C,'2024年销售情况'!$F:$F)/$M$3,0)</f>
        <v>0</v>
      </c>
      <c r="N69" s="21">
        <f>IFERROR(SUMIF('2024年销售情况'!$C:$C,$C:$C,'2024年销售情况'!$F:$F)/$N$3,0)</f>
        <v>0</v>
      </c>
      <c r="O69" s="21">
        <f>IFERROR(SUMIF('2024年销售情况'!$C:$C,$C:$C,'2024年销售情况'!$F:$F)/$O$3,0)</f>
        <v>0</v>
      </c>
      <c r="P69" s="21">
        <f>IFERROR(SUMIF('2024年销售情况'!$C:$C,$C:$C,'2024年销售情况'!$F:$F)/$P$3,0)</f>
        <v>0</v>
      </c>
      <c r="Q69" s="21" t="e">
        <f>'2024年销售情况'!AE67/$Q$3</f>
        <v>#DIV/0!</v>
      </c>
      <c r="R69" s="21">
        <f t="shared" si="12"/>
        <v>0</v>
      </c>
      <c r="S69" s="21" t="e">
        <f>'2024年销售情况'!AI67/$S$3</f>
        <v>#DIV/0!</v>
      </c>
      <c r="T69" s="21">
        <f t="shared" si="13"/>
        <v>0</v>
      </c>
      <c r="U69" s="21" t="e">
        <f>'2024年销售情况'!AM67/$U$3</f>
        <v>#DIV/0!</v>
      </c>
      <c r="V69" s="21">
        <f t="shared" si="14"/>
        <v>0</v>
      </c>
      <c r="W69" s="21" t="e">
        <f>'2024年销售情况'!AQ67/$W$3</f>
        <v>#DIV/0!</v>
      </c>
      <c r="X69" s="21">
        <f t="shared" si="15"/>
        <v>0</v>
      </c>
      <c r="Y69" s="21" t="e">
        <f>'2024年销售情况'!AU67/$Y$3</f>
        <v>#DIV/0!</v>
      </c>
      <c r="Z69" s="21">
        <f t="shared" si="16"/>
        <v>0</v>
      </c>
      <c r="AA69" s="21" t="e">
        <f>'2024年销售情况'!AY67/$AA$3</f>
        <v>#DIV/0!</v>
      </c>
      <c r="AB69" s="21">
        <f t="shared" si="17"/>
        <v>0</v>
      </c>
      <c r="AC69" s="21" t="e">
        <f>'2024年销售情况'!BC67/$AC$3</f>
        <v>#DIV/0!</v>
      </c>
      <c r="AD69" s="21">
        <f t="shared" si="18"/>
        <v>0</v>
      </c>
      <c r="AE69" s="21" t="e">
        <f>'2024年销售情况'!BG67/$AE$3</f>
        <v>#DIV/0!</v>
      </c>
      <c r="AF69" s="21">
        <f t="shared" si="19"/>
        <v>0</v>
      </c>
      <c r="AG69" s="21" t="e">
        <f>'2024年销售情况'!BK67/$AG$3</f>
        <v>#DIV/0!</v>
      </c>
      <c r="AH69" s="21">
        <f t="shared" si="20"/>
        <v>0</v>
      </c>
      <c r="AI69" s="21" t="e">
        <f>'2024年销售情况'!BO67/$AI$3</f>
        <v>#DIV/0!</v>
      </c>
      <c r="AJ69" s="21">
        <f t="shared" si="21"/>
        <v>0</v>
      </c>
      <c r="AK69" s="21" t="e">
        <f>'2024年销售情况'!BS67/$AK$3</f>
        <v>#DIV/0!</v>
      </c>
      <c r="AL69" s="21">
        <f t="shared" si="22"/>
        <v>0</v>
      </c>
      <c r="AM69" s="21" t="e">
        <f>'2024年销售情况'!BW67/$AM$3</f>
        <v>#DIV/0!</v>
      </c>
      <c r="AN69" s="21">
        <f t="shared" si="23"/>
        <v>0</v>
      </c>
      <c r="AO69" s="21"/>
      <c r="AP69" s="21"/>
    </row>
    <row r="70" ht="24" customHeight="1" spans="1:42">
      <c r="A70" s="36"/>
      <c r="B70" s="36"/>
      <c r="C70" s="20"/>
      <c r="D70" s="74"/>
      <c r="E70" s="21">
        <f>IFERROR(SUMIF('2024年销售情况'!C:C,C:C,'2024年销售情况'!F:F)/$E$3,0)</f>
        <v>0</v>
      </c>
      <c r="F70" s="21">
        <f>IFERROR(SUMIF('2024年销售情况'!$C:$C,$C:$C,'2024年销售情况'!$F:$F)/$F$3,0)</f>
        <v>0</v>
      </c>
      <c r="G70" s="21">
        <f>IFERROR(SUMIF('2024年销售情况'!$C:$C,$C:$C,'2024年销售情况'!$F:$F)/$G$3,0)</f>
        <v>0</v>
      </c>
      <c r="H70" s="21">
        <f>IFERROR(SUMIF('2024年销售情况'!$C:$C,$C:$C,'2024年销售情况'!$F:$F)/$H$3,0)</f>
        <v>0</v>
      </c>
      <c r="I70" s="21">
        <f>IFERROR(SUMIF('2024年销售情况'!$C:$C,$C:$C,'2024年销售情况'!$F:$F)/$I$3,0)</f>
        <v>0</v>
      </c>
      <c r="J70" s="21">
        <f>IFERROR(SUMIF('2024年销售情况'!$C:$C,$C:$C,'2024年销售情况'!$F:$F)/$J$3,0)</f>
        <v>0</v>
      </c>
      <c r="K70" s="21">
        <f>IFERROR(SUMIF('2024年销售情况'!$C:$C,$C:$C,'2024年销售情况'!$F:$F)/$K$3,0)</f>
        <v>0</v>
      </c>
      <c r="L70" s="21">
        <f>IFERROR(SUMIF('2024年销售情况'!$C:$C,$C:$C,'2024年销售情况'!$F:$F)/$L$3,0)</f>
        <v>0</v>
      </c>
      <c r="M70" s="21">
        <f>IFERROR(SUMIF('2024年销售情况'!$C:$C,$C:$C,'2024年销售情况'!$F:$F)/$M$3,0)</f>
        <v>0</v>
      </c>
      <c r="N70" s="21">
        <f>IFERROR(SUMIF('2024年销售情况'!$C:$C,$C:$C,'2024年销售情况'!$F:$F)/$N$3,0)</f>
        <v>0</v>
      </c>
      <c r="O70" s="21">
        <f>IFERROR(SUMIF('2024年销售情况'!$C:$C,$C:$C,'2024年销售情况'!$F:$F)/$O$3,0)</f>
        <v>0</v>
      </c>
      <c r="P70" s="21">
        <f>IFERROR(SUMIF('2024年销售情况'!$C:$C,$C:$C,'2024年销售情况'!$F:$F)/$P$3,0)</f>
        <v>0</v>
      </c>
      <c r="Q70" s="21" t="e">
        <f>'2024年销售情况'!AE68/$Q$3</f>
        <v>#DIV/0!</v>
      </c>
      <c r="R70" s="21">
        <f t="shared" si="12"/>
        <v>0</v>
      </c>
      <c r="S70" s="21" t="e">
        <f>'2024年销售情况'!AI68/$S$3</f>
        <v>#DIV/0!</v>
      </c>
      <c r="T70" s="21">
        <f t="shared" si="13"/>
        <v>0</v>
      </c>
      <c r="U70" s="21" t="e">
        <f>'2024年销售情况'!AM68/$U$3</f>
        <v>#DIV/0!</v>
      </c>
      <c r="V70" s="21">
        <f t="shared" si="14"/>
        <v>0</v>
      </c>
      <c r="W70" s="21" t="e">
        <f>'2024年销售情况'!AQ68/$W$3</f>
        <v>#DIV/0!</v>
      </c>
      <c r="X70" s="21">
        <f t="shared" si="15"/>
        <v>0</v>
      </c>
      <c r="Y70" s="21" t="e">
        <f>'2024年销售情况'!AU68/$Y$3</f>
        <v>#DIV/0!</v>
      </c>
      <c r="Z70" s="21">
        <f t="shared" si="16"/>
        <v>0</v>
      </c>
      <c r="AA70" s="21" t="e">
        <f>'2024年销售情况'!AY68/$AA$3</f>
        <v>#DIV/0!</v>
      </c>
      <c r="AB70" s="21">
        <f t="shared" si="17"/>
        <v>0</v>
      </c>
      <c r="AC70" s="21" t="e">
        <f>'2024年销售情况'!BC68/$AC$3</f>
        <v>#DIV/0!</v>
      </c>
      <c r="AD70" s="21">
        <f t="shared" si="18"/>
        <v>0</v>
      </c>
      <c r="AE70" s="21" t="e">
        <f>'2024年销售情况'!BG68/$AE$3</f>
        <v>#DIV/0!</v>
      </c>
      <c r="AF70" s="21">
        <f t="shared" si="19"/>
        <v>0</v>
      </c>
      <c r="AG70" s="21" t="e">
        <f>'2024年销售情况'!BK68/$AG$3</f>
        <v>#DIV/0!</v>
      </c>
      <c r="AH70" s="21">
        <f t="shared" si="20"/>
        <v>0</v>
      </c>
      <c r="AI70" s="21" t="e">
        <f>'2024年销售情况'!BO68/$AI$3</f>
        <v>#DIV/0!</v>
      </c>
      <c r="AJ70" s="21">
        <f t="shared" si="21"/>
        <v>0</v>
      </c>
      <c r="AK70" s="21" t="e">
        <f>'2024年销售情况'!BS68/$AK$3</f>
        <v>#DIV/0!</v>
      </c>
      <c r="AL70" s="21">
        <f t="shared" si="22"/>
        <v>0</v>
      </c>
      <c r="AM70" s="21" t="e">
        <f>'2024年销售情况'!BW68/$AM$3</f>
        <v>#DIV/0!</v>
      </c>
      <c r="AN70" s="21">
        <f t="shared" si="23"/>
        <v>0</v>
      </c>
      <c r="AO70" s="21"/>
      <c r="AP70" s="21"/>
    </row>
    <row r="71" ht="24" customHeight="1" spans="1:42">
      <c r="A71" s="36"/>
      <c r="B71" s="36"/>
      <c r="C71" s="20"/>
      <c r="D71" s="74"/>
      <c r="E71" s="21">
        <f>IFERROR(SUMIF('2024年销售情况'!C:C,C:C,'2024年销售情况'!F:F)/$E$3,0)</f>
        <v>0</v>
      </c>
      <c r="F71" s="21">
        <f>IFERROR(SUMIF('2024年销售情况'!$C:$C,$C:$C,'2024年销售情况'!$F:$F)/$F$3,0)</f>
        <v>0</v>
      </c>
      <c r="G71" s="21">
        <f>IFERROR(SUMIF('2024年销售情况'!$C:$C,$C:$C,'2024年销售情况'!$F:$F)/$G$3,0)</f>
        <v>0</v>
      </c>
      <c r="H71" s="21">
        <f>IFERROR(SUMIF('2024年销售情况'!$C:$C,$C:$C,'2024年销售情况'!$F:$F)/$H$3,0)</f>
        <v>0</v>
      </c>
      <c r="I71" s="21">
        <f>IFERROR(SUMIF('2024年销售情况'!$C:$C,$C:$C,'2024年销售情况'!$F:$F)/$I$3,0)</f>
        <v>0</v>
      </c>
      <c r="J71" s="21">
        <f>IFERROR(SUMIF('2024年销售情况'!$C:$C,$C:$C,'2024年销售情况'!$F:$F)/$J$3,0)</f>
        <v>0</v>
      </c>
      <c r="K71" s="21">
        <f>IFERROR(SUMIF('2024年销售情况'!$C:$C,$C:$C,'2024年销售情况'!$F:$F)/$K$3,0)</f>
        <v>0</v>
      </c>
      <c r="L71" s="21">
        <f>IFERROR(SUMIF('2024年销售情况'!$C:$C,$C:$C,'2024年销售情况'!$F:$F)/$L$3,0)</f>
        <v>0</v>
      </c>
      <c r="M71" s="21">
        <f>IFERROR(SUMIF('2024年销售情况'!$C:$C,$C:$C,'2024年销售情况'!$F:$F)/$M$3,0)</f>
        <v>0</v>
      </c>
      <c r="N71" s="21">
        <f>IFERROR(SUMIF('2024年销售情况'!$C:$C,$C:$C,'2024年销售情况'!$F:$F)/$N$3,0)</f>
        <v>0</v>
      </c>
      <c r="O71" s="21">
        <f>IFERROR(SUMIF('2024年销售情况'!$C:$C,$C:$C,'2024年销售情况'!$F:$F)/$O$3,0)</f>
        <v>0</v>
      </c>
      <c r="P71" s="21">
        <f>IFERROR(SUMIF('2024年销售情况'!$C:$C,$C:$C,'2024年销售情况'!$F:$F)/$P$3,0)</f>
        <v>0</v>
      </c>
      <c r="Q71" s="21" t="e">
        <f>'2024年销售情况'!AE69/$Q$3</f>
        <v>#DIV/0!</v>
      </c>
      <c r="R71" s="21">
        <f t="shared" si="12"/>
        <v>0</v>
      </c>
      <c r="S71" s="21" t="e">
        <f>'2024年销售情况'!AI69/$S$3</f>
        <v>#DIV/0!</v>
      </c>
      <c r="T71" s="21">
        <f t="shared" si="13"/>
        <v>0</v>
      </c>
      <c r="U71" s="21" t="e">
        <f>'2024年销售情况'!AM69/$U$3</f>
        <v>#DIV/0!</v>
      </c>
      <c r="V71" s="21">
        <f t="shared" si="14"/>
        <v>0</v>
      </c>
      <c r="W71" s="21" t="e">
        <f>'2024年销售情况'!AQ69/$W$3</f>
        <v>#DIV/0!</v>
      </c>
      <c r="X71" s="21">
        <f t="shared" si="15"/>
        <v>0</v>
      </c>
      <c r="Y71" s="21" t="e">
        <f>'2024年销售情况'!AU69/$Y$3</f>
        <v>#DIV/0!</v>
      </c>
      <c r="Z71" s="21">
        <f t="shared" si="16"/>
        <v>0</v>
      </c>
      <c r="AA71" s="21" t="e">
        <f>'2024年销售情况'!AY69/$AA$3</f>
        <v>#DIV/0!</v>
      </c>
      <c r="AB71" s="21">
        <f t="shared" si="17"/>
        <v>0</v>
      </c>
      <c r="AC71" s="21" t="e">
        <f>'2024年销售情况'!BC69/$AC$3</f>
        <v>#DIV/0!</v>
      </c>
      <c r="AD71" s="21">
        <f t="shared" si="18"/>
        <v>0</v>
      </c>
      <c r="AE71" s="21" t="e">
        <f>'2024年销售情况'!BG69/$AE$3</f>
        <v>#DIV/0!</v>
      </c>
      <c r="AF71" s="21">
        <f t="shared" si="19"/>
        <v>0</v>
      </c>
      <c r="AG71" s="21" t="e">
        <f>'2024年销售情况'!BK69/$AG$3</f>
        <v>#DIV/0!</v>
      </c>
      <c r="AH71" s="21">
        <f t="shared" si="20"/>
        <v>0</v>
      </c>
      <c r="AI71" s="21" t="e">
        <f>'2024年销售情况'!BO69/$AI$3</f>
        <v>#DIV/0!</v>
      </c>
      <c r="AJ71" s="21">
        <f t="shared" si="21"/>
        <v>0</v>
      </c>
      <c r="AK71" s="21" t="e">
        <f>'2024年销售情况'!BS69/$AK$3</f>
        <v>#DIV/0!</v>
      </c>
      <c r="AL71" s="21">
        <f t="shared" si="22"/>
        <v>0</v>
      </c>
      <c r="AM71" s="21" t="e">
        <f>'2024年销售情况'!BW69/$AM$3</f>
        <v>#DIV/0!</v>
      </c>
      <c r="AN71" s="21">
        <f t="shared" si="23"/>
        <v>0</v>
      </c>
      <c r="AO71" s="21"/>
      <c r="AP71" s="21"/>
    </row>
    <row r="72" ht="24" customHeight="1" spans="1:42">
      <c r="A72" s="36"/>
      <c r="B72" s="36"/>
      <c r="C72" s="20"/>
      <c r="D72" s="74"/>
      <c r="E72" s="21">
        <f>IFERROR(SUMIF('2024年销售情况'!C:C,C:C,'2024年销售情况'!F:F)/$E$3,0)</f>
        <v>0</v>
      </c>
      <c r="F72" s="21">
        <f>IFERROR(SUMIF('2024年销售情况'!$C:$C,$C:$C,'2024年销售情况'!$F:$F)/$F$3,0)</f>
        <v>0</v>
      </c>
      <c r="G72" s="21">
        <f>IFERROR(SUMIF('2024年销售情况'!$C:$C,$C:$C,'2024年销售情况'!$F:$F)/$G$3,0)</f>
        <v>0</v>
      </c>
      <c r="H72" s="21">
        <f>IFERROR(SUMIF('2024年销售情况'!$C:$C,$C:$C,'2024年销售情况'!$F:$F)/$H$3,0)</f>
        <v>0</v>
      </c>
      <c r="I72" s="21">
        <f>IFERROR(SUMIF('2024年销售情况'!$C:$C,$C:$C,'2024年销售情况'!$F:$F)/$I$3,0)</f>
        <v>0</v>
      </c>
      <c r="J72" s="21">
        <f>IFERROR(SUMIF('2024年销售情况'!$C:$C,$C:$C,'2024年销售情况'!$F:$F)/$J$3,0)</f>
        <v>0</v>
      </c>
      <c r="K72" s="21">
        <f>IFERROR(SUMIF('2024年销售情况'!$C:$C,$C:$C,'2024年销售情况'!$F:$F)/$K$3,0)</f>
        <v>0</v>
      </c>
      <c r="L72" s="21">
        <f>IFERROR(SUMIF('2024年销售情况'!$C:$C,$C:$C,'2024年销售情况'!$F:$F)/$L$3,0)</f>
        <v>0</v>
      </c>
      <c r="M72" s="21">
        <f>IFERROR(SUMIF('2024年销售情况'!$C:$C,$C:$C,'2024年销售情况'!$F:$F)/$M$3,0)</f>
        <v>0</v>
      </c>
      <c r="N72" s="21">
        <f>IFERROR(SUMIF('2024年销售情况'!$C:$C,$C:$C,'2024年销售情况'!$F:$F)/$N$3,0)</f>
        <v>0</v>
      </c>
      <c r="O72" s="21">
        <f>IFERROR(SUMIF('2024年销售情况'!$C:$C,$C:$C,'2024年销售情况'!$F:$F)/$O$3,0)</f>
        <v>0</v>
      </c>
      <c r="P72" s="21">
        <f>IFERROR(SUMIF('2024年销售情况'!$C:$C,$C:$C,'2024年销售情况'!$F:$F)/$P$3,0)</f>
        <v>0</v>
      </c>
      <c r="Q72" s="21" t="e">
        <f>'2024年销售情况'!AE70/$Q$3</f>
        <v>#DIV/0!</v>
      </c>
      <c r="R72" s="21">
        <f t="shared" si="12"/>
        <v>0</v>
      </c>
      <c r="S72" s="21" t="e">
        <f>'2024年销售情况'!AI70/$S$3</f>
        <v>#DIV/0!</v>
      </c>
      <c r="T72" s="21">
        <f t="shared" si="13"/>
        <v>0</v>
      </c>
      <c r="U72" s="21" t="e">
        <f>'2024年销售情况'!AM70/$U$3</f>
        <v>#DIV/0!</v>
      </c>
      <c r="V72" s="21">
        <f t="shared" si="14"/>
        <v>0</v>
      </c>
      <c r="W72" s="21" t="e">
        <f>'2024年销售情况'!AQ70/$W$3</f>
        <v>#DIV/0!</v>
      </c>
      <c r="X72" s="21">
        <f t="shared" si="15"/>
        <v>0</v>
      </c>
      <c r="Y72" s="21" t="e">
        <f>'2024年销售情况'!AU70/$Y$3</f>
        <v>#DIV/0!</v>
      </c>
      <c r="Z72" s="21">
        <f t="shared" si="16"/>
        <v>0</v>
      </c>
      <c r="AA72" s="21" t="e">
        <f>'2024年销售情况'!AY70/$AA$3</f>
        <v>#DIV/0!</v>
      </c>
      <c r="AB72" s="21">
        <f t="shared" si="17"/>
        <v>0</v>
      </c>
      <c r="AC72" s="21" t="e">
        <f>'2024年销售情况'!BC70/$AC$3</f>
        <v>#DIV/0!</v>
      </c>
      <c r="AD72" s="21">
        <f t="shared" si="18"/>
        <v>0</v>
      </c>
      <c r="AE72" s="21" t="e">
        <f>'2024年销售情况'!BG70/$AE$3</f>
        <v>#DIV/0!</v>
      </c>
      <c r="AF72" s="21">
        <f t="shared" si="19"/>
        <v>0</v>
      </c>
      <c r="AG72" s="21" t="e">
        <f>'2024年销售情况'!BK70/$AG$3</f>
        <v>#DIV/0!</v>
      </c>
      <c r="AH72" s="21">
        <f t="shared" si="20"/>
        <v>0</v>
      </c>
      <c r="AI72" s="21" t="e">
        <f>'2024年销售情况'!BO70/$AI$3</f>
        <v>#DIV/0!</v>
      </c>
      <c r="AJ72" s="21">
        <f t="shared" si="21"/>
        <v>0</v>
      </c>
      <c r="AK72" s="21" t="e">
        <f>'2024年销售情况'!BS70/$AK$3</f>
        <v>#DIV/0!</v>
      </c>
      <c r="AL72" s="21">
        <f t="shared" si="22"/>
        <v>0</v>
      </c>
      <c r="AM72" s="21" t="e">
        <f>'2024年销售情况'!BW70/$AM$3</f>
        <v>#DIV/0!</v>
      </c>
      <c r="AN72" s="21">
        <f t="shared" si="23"/>
        <v>0</v>
      </c>
      <c r="AO72" s="21"/>
      <c r="AP72" s="21"/>
    </row>
    <row r="73" ht="24" customHeight="1" spans="1:42">
      <c r="A73" s="36"/>
      <c r="B73" s="36"/>
      <c r="C73" s="20"/>
      <c r="D73" s="74"/>
      <c r="E73" s="21">
        <f>IFERROR(SUMIF('2024年销售情况'!C:C,C:C,'2024年销售情况'!F:F)/$E$3,0)</f>
        <v>0</v>
      </c>
      <c r="F73" s="21">
        <f>IFERROR(SUMIF('2024年销售情况'!$C:$C,$C:$C,'2024年销售情况'!$F:$F)/$F$3,0)</f>
        <v>0</v>
      </c>
      <c r="G73" s="21">
        <f>IFERROR(SUMIF('2024年销售情况'!$C:$C,$C:$C,'2024年销售情况'!$F:$F)/$G$3,0)</f>
        <v>0</v>
      </c>
      <c r="H73" s="21">
        <f>IFERROR(SUMIF('2024年销售情况'!$C:$C,$C:$C,'2024年销售情况'!$F:$F)/$H$3,0)</f>
        <v>0</v>
      </c>
      <c r="I73" s="21">
        <f>IFERROR(SUMIF('2024年销售情况'!$C:$C,$C:$C,'2024年销售情况'!$F:$F)/$I$3,0)</f>
        <v>0</v>
      </c>
      <c r="J73" s="21">
        <f>IFERROR(SUMIF('2024年销售情况'!$C:$C,$C:$C,'2024年销售情况'!$F:$F)/$J$3,0)</f>
        <v>0</v>
      </c>
      <c r="K73" s="21">
        <f>IFERROR(SUMIF('2024年销售情况'!$C:$C,$C:$C,'2024年销售情况'!$F:$F)/$K$3,0)</f>
        <v>0</v>
      </c>
      <c r="L73" s="21">
        <f>IFERROR(SUMIF('2024年销售情况'!$C:$C,$C:$C,'2024年销售情况'!$F:$F)/$L$3,0)</f>
        <v>0</v>
      </c>
      <c r="M73" s="21">
        <f>IFERROR(SUMIF('2024年销售情况'!$C:$C,$C:$C,'2024年销售情况'!$F:$F)/$M$3,0)</f>
        <v>0</v>
      </c>
      <c r="N73" s="21">
        <f>IFERROR(SUMIF('2024年销售情况'!$C:$C,$C:$C,'2024年销售情况'!$F:$F)/$N$3,0)</f>
        <v>0</v>
      </c>
      <c r="O73" s="21">
        <f>IFERROR(SUMIF('2024年销售情况'!$C:$C,$C:$C,'2024年销售情况'!$F:$F)/$O$3,0)</f>
        <v>0</v>
      </c>
      <c r="P73" s="21">
        <f>IFERROR(SUMIF('2024年销售情况'!$C:$C,$C:$C,'2024年销售情况'!$F:$F)/$P$3,0)</f>
        <v>0</v>
      </c>
      <c r="Q73" s="21" t="e">
        <f>'2024年销售情况'!AE71/$Q$3</f>
        <v>#DIV/0!</v>
      </c>
      <c r="R73" s="21">
        <f t="shared" si="12"/>
        <v>0</v>
      </c>
      <c r="S73" s="21" t="e">
        <f>'2024年销售情况'!AI71/$S$3</f>
        <v>#DIV/0!</v>
      </c>
      <c r="T73" s="21">
        <f t="shared" si="13"/>
        <v>0</v>
      </c>
      <c r="U73" s="21" t="e">
        <f>'2024年销售情况'!AM71/$U$3</f>
        <v>#DIV/0!</v>
      </c>
      <c r="V73" s="21">
        <f t="shared" si="14"/>
        <v>0</v>
      </c>
      <c r="W73" s="21" t="e">
        <f>'2024年销售情况'!AQ71/$W$3</f>
        <v>#DIV/0!</v>
      </c>
      <c r="X73" s="21">
        <f t="shared" si="15"/>
        <v>0</v>
      </c>
      <c r="Y73" s="21" t="e">
        <f>'2024年销售情况'!AU71/$Y$3</f>
        <v>#DIV/0!</v>
      </c>
      <c r="Z73" s="21">
        <f t="shared" si="16"/>
        <v>0</v>
      </c>
      <c r="AA73" s="21" t="e">
        <f>'2024年销售情况'!AY71/$AA$3</f>
        <v>#DIV/0!</v>
      </c>
      <c r="AB73" s="21">
        <f t="shared" si="17"/>
        <v>0</v>
      </c>
      <c r="AC73" s="21" t="e">
        <f>'2024年销售情况'!BC71/$AC$3</f>
        <v>#DIV/0!</v>
      </c>
      <c r="AD73" s="21">
        <f t="shared" si="18"/>
        <v>0</v>
      </c>
      <c r="AE73" s="21" t="e">
        <f>'2024年销售情况'!BG71/$AE$3</f>
        <v>#DIV/0!</v>
      </c>
      <c r="AF73" s="21">
        <f t="shared" si="19"/>
        <v>0</v>
      </c>
      <c r="AG73" s="21" t="e">
        <f>'2024年销售情况'!BK71/$AG$3</f>
        <v>#DIV/0!</v>
      </c>
      <c r="AH73" s="21">
        <f t="shared" si="20"/>
        <v>0</v>
      </c>
      <c r="AI73" s="21" t="e">
        <f>'2024年销售情况'!BO71/$AI$3</f>
        <v>#DIV/0!</v>
      </c>
      <c r="AJ73" s="21">
        <f t="shared" si="21"/>
        <v>0</v>
      </c>
      <c r="AK73" s="21" t="e">
        <f>'2024年销售情况'!BS71/$AK$3</f>
        <v>#DIV/0!</v>
      </c>
      <c r="AL73" s="21">
        <f t="shared" si="22"/>
        <v>0</v>
      </c>
      <c r="AM73" s="21" t="e">
        <f>'2024年销售情况'!BW71/$AM$3</f>
        <v>#DIV/0!</v>
      </c>
      <c r="AN73" s="21">
        <f t="shared" si="23"/>
        <v>0</v>
      </c>
      <c r="AO73" s="21"/>
      <c r="AP73" s="21"/>
    </row>
    <row r="74" ht="24" customHeight="1" spans="1:42">
      <c r="A74" s="36"/>
      <c r="B74" s="36"/>
      <c r="C74" s="20"/>
      <c r="D74" s="74"/>
      <c r="E74" s="21">
        <f>IFERROR(SUMIF('2024年销售情况'!C:C,C:C,'2024年销售情况'!F:F)/$E$3,0)</f>
        <v>0</v>
      </c>
      <c r="F74" s="21">
        <f>IFERROR(SUMIF('2024年销售情况'!$C:$C,$C:$C,'2024年销售情况'!$F:$F)/$F$3,0)</f>
        <v>0</v>
      </c>
      <c r="G74" s="21">
        <f>IFERROR(SUMIF('2024年销售情况'!$C:$C,$C:$C,'2024年销售情况'!$F:$F)/$G$3,0)</f>
        <v>0</v>
      </c>
      <c r="H74" s="21">
        <f>IFERROR(SUMIF('2024年销售情况'!$C:$C,$C:$C,'2024年销售情况'!$F:$F)/$H$3,0)</f>
        <v>0</v>
      </c>
      <c r="I74" s="21">
        <f>IFERROR(SUMIF('2024年销售情况'!$C:$C,$C:$C,'2024年销售情况'!$F:$F)/$I$3,0)</f>
        <v>0</v>
      </c>
      <c r="J74" s="21">
        <f>IFERROR(SUMIF('2024年销售情况'!$C:$C,$C:$C,'2024年销售情况'!$F:$F)/$J$3,0)</f>
        <v>0</v>
      </c>
      <c r="K74" s="21">
        <f>IFERROR(SUMIF('2024年销售情况'!$C:$C,$C:$C,'2024年销售情况'!$F:$F)/$K$3,0)</f>
        <v>0</v>
      </c>
      <c r="L74" s="21">
        <f>IFERROR(SUMIF('2024年销售情况'!$C:$C,$C:$C,'2024年销售情况'!$F:$F)/$L$3,0)</f>
        <v>0</v>
      </c>
      <c r="M74" s="21">
        <f>IFERROR(SUMIF('2024年销售情况'!$C:$C,$C:$C,'2024年销售情况'!$F:$F)/$M$3,0)</f>
        <v>0</v>
      </c>
      <c r="N74" s="21">
        <f>IFERROR(SUMIF('2024年销售情况'!$C:$C,$C:$C,'2024年销售情况'!$F:$F)/$N$3,0)</f>
        <v>0</v>
      </c>
      <c r="O74" s="21">
        <f>IFERROR(SUMIF('2024年销售情况'!$C:$C,$C:$C,'2024年销售情况'!$F:$F)/$O$3,0)</f>
        <v>0</v>
      </c>
      <c r="P74" s="21">
        <f>IFERROR(SUMIF('2024年销售情况'!$C:$C,$C:$C,'2024年销售情况'!$F:$F)/$P$3,0)</f>
        <v>0</v>
      </c>
      <c r="Q74" s="21" t="e">
        <f>'2024年销售情况'!AE72/$Q$3</f>
        <v>#DIV/0!</v>
      </c>
      <c r="R74" s="21">
        <f t="shared" si="12"/>
        <v>0</v>
      </c>
      <c r="S74" s="21" t="e">
        <f>'2024年销售情况'!AI72/$S$3</f>
        <v>#DIV/0!</v>
      </c>
      <c r="T74" s="21">
        <f t="shared" si="13"/>
        <v>0</v>
      </c>
      <c r="U74" s="21" t="e">
        <f>'2024年销售情况'!AM72/$U$3</f>
        <v>#DIV/0!</v>
      </c>
      <c r="V74" s="21">
        <f t="shared" si="14"/>
        <v>0</v>
      </c>
      <c r="W74" s="21" t="e">
        <f>'2024年销售情况'!AQ72/$W$3</f>
        <v>#DIV/0!</v>
      </c>
      <c r="X74" s="21">
        <f t="shared" si="15"/>
        <v>0</v>
      </c>
      <c r="Y74" s="21" t="e">
        <f>'2024年销售情况'!AU72/$Y$3</f>
        <v>#DIV/0!</v>
      </c>
      <c r="Z74" s="21">
        <f t="shared" si="16"/>
        <v>0</v>
      </c>
      <c r="AA74" s="21" t="e">
        <f>'2024年销售情况'!AY72/$AA$3</f>
        <v>#DIV/0!</v>
      </c>
      <c r="AB74" s="21">
        <f t="shared" si="17"/>
        <v>0</v>
      </c>
      <c r="AC74" s="21" t="e">
        <f>'2024年销售情况'!BC72/$AC$3</f>
        <v>#DIV/0!</v>
      </c>
      <c r="AD74" s="21">
        <f t="shared" si="18"/>
        <v>0</v>
      </c>
      <c r="AE74" s="21" t="e">
        <f>'2024年销售情况'!BG72/$AE$3</f>
        <v>#DIV/0!</v>
      </c>
      <c r="AF74" s="21">
        <f t="shared" si="19"/>
        <v>0</v>
      </c>
      <c r="AG74" s="21" t="e">
        <f>'2024年销售情况'!BK72/$AG$3</f>
        <v>#DIV/0!</v>
      </c>
      <c r="AH74" s="21">
        <f t="shared" si="20"/>
        <v>0</v>
      </c>
      <c r="AI74" s="21" t="e">
        <f>'2024年销售情况'!BO72/$AI$3</f>
        <v>#DIV/0!</v>
      </c>
      <c r="AJ74" s="21">
        <f t="shared" si="21"/>
        <v>0</v>
      </c>
      <c r="AK74" s="21" t="e">
        <f>'2024年销售情况'!BS72/$AK$3</f>
        <v>#DIV/0!</v>
      </c>
      <c r="AL74" s="21">
        <f t="shared" si="22"/>
        <v>0</v>
      </c>
      <c r="AM74" s="21" t="e">
        <f>'2024年销售情况'!BW72/$AM$3</f>
        <v>#DIV/0!</v>
      </c>
      <c r="AN74" s="21">
        <f t="shared" si="23"/>
        <v>0</v>
      </c>
      <c r="AO74" s="21"/>
      <c r="AP74" s="21"/>
    </row>
    <row r="75" ht="24" customHeight="1" spans="1:42">
      <c r="A75" s="36"/>
      <c r="B75" s="36"/>
      <c r="C75" s="20"/>
      <c r="D75" s="74"/>
      <c r="E75" s="21">
        <f>IFERROR(SUMIF('2024年销售情况'!C:C,C:C,'2024年销售情况'!F:F)/$E$3,0)</f>
        <v>0</v>
      </c>
      <c r="F75" s="21">
        <f>IFERROR(SUMIF('2024年销售情况'!$C:$C,$C:$C,'2024年销售情况'!$F:$F)/$F$3,0)</f>
        <v>0</v>
      </c>
      <c r="G75" s="21">
        <f>IFERROR(SUMIF('2024年销售情况'!$C:$C,$C:$C,'2024年销售情况'!$F:$F)/$G$3,0)</f>
        <v>0</v>
      </c>
      <c r="H75" s="21">
        <f>IFERROR(SUMIF('2024年销售情况'!$C:$C,$C:$C,'2024年销售情况'!$F:$F)/$H$3,0)</f>
        <v>0</v>
      </c>
      <c r="I75" s="21">
        <f>IFERROR(SUMIF('2024年销售情况'!$C:$C,$C:$C,'2024年销售情况'!$F:$F)/$I$3,0)</f>
        <v>0</v>
      </c>
      <c r="J75" s="21">
        <f>IFERROR(SUMIF('2024年销售情况'!$C:$C,$C:$C,'2024年销售情况'!$F:$F)/$J$3,0)</f>
        <v>0</v>
      </c>
      <c r="K75" s="21">
        <f>IFERROR(SUMIF('2024年销售情况'!$C:$C,$C:$C,'2024年销售情况'!$F:$F)/$K$3,0)</f>
        <v>0</v>
      </c>
      <c r="L75" s="21">
        <f>IFERROR(SUMIF('2024年销售情况'!$C:$C,$C:$C,'2024年销售情况'!$F:$F)/$L$3,0)</f>
        <v>0</v>
      </c>
      <c r="M75" s="21">
        <f>IFERROR(SUMIF('2024年销售情况'!$C:$C,$C:$C,'2024年销售情况'!$F:$F)/$M$3,0)</f>
        <v>0</v>
      </c>
      <c r="N75" s="21">
        <f>IFERROR(SUMIF('2024年销售情况'!$C:$C,$C:$C,'2024年销售情况'!$F:$F)/$N$3,0)</f>
        <v>0</v>
      </c>
      <c r="O75" s="21">
        <f>IFERROR(SUMIF('2024年销售情况'!$C:$C,$C:$C,'2024年销售情况'!$F:$F)/$O$3,0)</f>
        <v>0</v>
      </c>
      <c r="P75" s="21">
        <f>IFERROR(SUMIF('2024年销售情况'!$C:$C,$C:$C,'2024年销售情况'!$F:$F)/$P$3,0)</f>
        <v>0</v>
      </c>
      <c r="Q75" s="21" t="e">
        <f>'2024年销售情况'!AE73/$Q$3</f>
        <v>#DIV/0!</v>
      </c>
      <c r="R75" s="21">
        <f t="shared" si="12"/>
        <v>0</v>
      </c>
      <c r="S75" s="21" t="e">
        <f>'2024年销售情况'!AI73/$S$3</f>
        <v>#DIV/0!</v>
      </c>
      <c r="T75" s="21">
        <f t="shared" si="13"/>
        <v>0</v>
      </c>
      <c r="U75" s="21" t="e">
        <f>'2024年销售情况'!AM73/$U$3</f>
        <v>#DIV/0!</v>
      </c>
      <c r="V75" s="21">
        <f t="shared" si="14"/>
        <v>0</v>
      </c>
      <c r="W75" s="21" t="e">
        <f>'2024年销售情况'!AQ73/$W$3</f>
        <v>#DIV/0!</v>
      </c>
      <c r="X75" s="21">
        <f t="shared" si="15"/>
        <v>0</v>
      </c>
      <c r="Y75" s="21" t="e">
        <f>'2024年销售情况'!AU73/$Y$3</f>
        <v>#DIV/0!</v>
      </c>
      <c r="Z75" s="21">
        <f t="shared" si="16"/>
        <v>0</v>
      </c>
      <c r="AA75" s="21" t="e">
        <f>'2024年销售情况'!AY73/$AA$3</f>
        <v>#DIV/0!</v>
      </c>
      <c r="AB75" s="21">
        <f t="shared" si="17"/>
        <v>0</v>
      </c>
      <c r="AC75" s="21" t="e">
        <f>'2024年销售情况'!BC73/$AC$3</f>
        <v>#DIV/0!</v>
      </c>
      <c r="AD75" s="21">
        <f t="shared" si="18"/>
        <v>0</v>
      </c>
      <c r="AE75" s="21" t="e">
        <f>'2024年销售情况'!BG73/$AE$3</f>
        <v>#DIV/0!</v>
      </c>
      <c r="AF75" s="21">
        <f t="shared" si="19"/>
        <v>0</v>
      </c>
      <c r="AG75" s="21" t="e">
        <f>'2024年销售情况'!BK73/$AG$3</f>
        <v>#DIV/0!</v>
      </c>
      <c r="AH75" s="21">
        <f t="shared" si="20"/>
        <v>0</v>
      </c>
      <c r="AI75" s="21" t="e">
        <f>'2024年销售情况'!BO73/$AI$3</f>
        <v>#DIV/0!</v>
      </c>
      <c r="AJ75" s="21">
        <f t="shared" si="21"/>
        <v>0</v>
      </c>
      <c r="AK75" s="21" t="e">
        <f>'2024年销售情况'!BS73/$AK$3</f>
        <v>#DIV/0!</v>
      </c>
      <c r="AL75" s="21">
        <f t="shared" si="22"/>
        <v>0</v>
      </c>
      <c r="AM75" s="21" t="e">
        <f>'2024年销售情况'!BW73/$AM$3</f>
        <v>#DIV/0!</v>
      </c>
      <c r="AN75" s="21">
        <f t="shared" si="23"/>
        <v>0</v>
      </c>
      <c r="AO75" s="21"/>
      <c r="AP75" s="21"/>
    </row>
    <row r="76" ht="24" customHeight="1" spans="1:42">
      <c r="A76" s="36"/>
      <c r="B76" s="36"/>
      <c r="C76" s="20"/>
      <c r="D76" s="74"/>
      <c r="E76" s="21">
        <f>IFERROR(SUMIF('2024年销售情况'!C:C,C:C,'2024年销售情况'!F:F)/$E$3,0)</f>
        <v>0</v>
      </c>
      <c r="F76" s="21">
        <f>IFERROR(SUMIF('2024年销售情况'!$C:$C,$C:$C,'2024年销售情况'!$F:$F)/$F$3,0)</f>
        <v>0</v>
      </c>
      <c r="G76" s="21">
        <f>IFERROR(SUMIF('2024年销售情况'!$C:$C,$C:$C,'2024年销售情况'!$F:$F)/$G$3,0)</f>
        <v>0</v>
      </c>
      <c r="H76" s="21">
        <f>IFERROR(SUMIF('2024年销售情况'!$C:$C,$C:$C,'2024年销售情况'!$F:$F)/$H$3,0)</f>
        <v>0</v>
      </c>
      <c r="I76" s="21">
        <f>IFERROR(SUMIF('2024年销售情况'!$C:$C,$C:$C,'2024年销售情况'!$F:$F)/$I$3,0)</f>
        <v>0</v>
      </c>
      <c r="J76" s="21">
        <f>IFERROR(SUMIF('2024年销售情况'!$C:$C,$C:$C,'2024年销售情况'!$F:$F)/$J$3,0)</f>
        <v>0</v>
      </c>
      <c r="K76" s="21">
        <f>IFERROR(SUMIF('2024年销售情况'!$C:$C,$C:$C,'2024年销售情况'!$F:$F)/$K$3,0)</f>
        <v>0</v>
      </c>
      <c r="L76" s="21">
        <f>IFERROR(SUMIF('2024年销售情况'!$C:$C,$C:$C,'2024年销售情况'!$F:$F)/$L$3,0)</f>
        <v>0</v>
      </c>
      <c r="M76" s="21">
        <f>IFERROR(SUMIF('2024年销售情况'!$C:$C,$C:$C,'2024年销售情况'!$F:$F)/$M$3,0)</f>
        <v>0</v>
      </c>
      <c r="N76" s="21">
        <f>IFERROR(SUMIF('2024年销售情况'!$C:$C,$C:$C,'2024年销售情况'!$F:$F)/$N$3,0)</f>
        <v>0</v>
      </c>
      <c r="O76" s="21">
        <f>IFERROR(SUMIF('2024年销售情况'!$C:$C,$C:$C,'2024年销售情况'!$F:$F)/$O$3,0)</f>
        <v>0</v>
      </c>
      <c r="P76" s="21">
        <f>IFERROR(SUMIF('2024年销售情况'!$C:$C,$C:$C,'2024年销售情况'!$F:$F)/$P$3,0)</f>
        <v>0</v>
      </c>
      <c r="Q76" s="21" t="e">
        <f>'2024年销售情况'!AE74/$Q$3</f>
        <v>#DIV/0!</v>
      </c>
      <c r="R76" s="21">
        <f t="shared" si="12"/>
        <v>0</v>
      </c>
      <c r="S76" s="21" t="e">
        <f>'2024年销售情况'!AI74/$S$3</f>
        <v>#DIV/0!</v>
      </c>
      <c r="T76" s="21">
        <f t="shared" si="13"/>
        <v>0</v>
      </c>
      <c r="U76" s="21" t="e">
        <f>'2024年销售情况'!AM74/$U$3</f>
        <v>#DIV/0!</v>
      </c>
      <c r="V76" s="21">
        <f t="shared" si="14"/>
        <v>0</v>
      </c>
      <c r="W76" s="21" t="e">
        <f>'2024年销售情况'!AQ74/$W$3</f>
        <v>#DIV/0!</v>
      </c>
      <c r="X76" s="21">
        <f t="shared" si="15"/>
        <v>0</v>
      </c>
      <c r="Y76" s="21" t="e">
        <f>'2024年销售情况'!AU74/$Y$3</f>
        <v>#DIV/0!</v>
      </c>
      <c r="Z76" s="21">
        <f t="shared" si="16"/>
        <v>0</v>
      </c>
      <c r="AA76" s="21" t="e">
        <f>'2024年销售情况'!AY74/$AA$3</f>
        <v>#DIV/0!</v>
      </c>
      <c r="AB76" s="21">
        <f t="shared" si="17"/>
        <v>0</v>
      </c>
      <c r="AC76" s="21" t="e">
        <f>'2024年销售情况'!BC74/$AC$3</f>
        <v>#DIV/0!</v>
      </c>
      <c r="AD76" s="21">
        <f t="shared" si="18"/>
        <v>0</v>
      </c>
      <c r="AE76" s="21" t="e">
        <f>'2024年销售情况'!BG74/$AE$3</f>
        <v>#DIV/0!</v>
      </c>
      <c r="AF76" s="21">
        <f t="shared" si="19"/>
        <v>0</v>
      </c>
      <c r="AG76" s="21" t="e">
        <f>'2024年销售情况'!BK74/$AG$3</f>
        <v>#DIV/0!</v>
      </c>
      <c r="AH76" s="21">
        <f t="shared" si="20"/>
        <v>0</v>
      </c>
      <c r="AI76" s="21" t="e">
        <f>'2024年销售情况'!BO74/$AI$3</f>
        <v>#DIV/0!</v>
      </c>
      <c r="AJ76" s="21">
        <f t="shared" si="21"/>
        <v>0</v>
      </c>
      <c r="AK76" s="21" t="e">
        <f>'2024年销售情况'!BS74/$AK$3</f>
        <v>#DIV/0!</v>
      </c>
      <c r="AL76" s="21">
        <f t="shared" si="22"/>
        <v>0</v>
      </c>
      <c r="AM76" s="21" t="e">
        <f>'2024年销售情况'!BW74/$AM$3</f>
        <v>#DIV/0!</v>
      </c>
      <c r="AN76" s="21">
        <f t="shared" si="23"/>
        <v>0</v>
      </c>
      <c r="AO76" s="21"/>
      <c r="AP76" s="21"/>
    </row>
    <row r="77" spans="5:42"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S77" s="21"/>
      <c r="U77" s="21"/>
      <c r="W77" s="21"/>
      <c r="Y77" s="21"/>
      <c r="AA77" s="21"/>
      <c r="AC77" s="21"/>
      <c r="AE77" s="21"/>
      <c r="AG77" s="21"/>
      <c r="AI77" s="21"/>
      <c r="AK77" s="21"/>
      <c r="AM77" s="21"/>
      <c r="AO77" s="21"/>
      <c r="AP77" s="21"/>
    </row>
  </sheetData>
  <mergeCells count="9">
    <mergeCell ref="A1:D1"/>
    <mergeCell ref="E1:P1"/>
    <mergeCell ref="Q1:AM1"/>
    <mergeCell ref="E4:P4"/>
    <mergeCell ref="Q4:AM4"/>
    <mergeCell ref="A2:A4"/>
    <mergeCell ref="B2:B4"/>
    <mergeCell ref="C2:C4"/>
    <mergeCell ref="D2:D4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25"/>
  </sheetPr>
  <dimension ref="A1:Q73"/>
  <sheetViews>
    <sheetView workbookViewId="0">
      <selection activeCell="A2" sqref="A2:Q73"/>
    </sheetView>
  </sheetViews>
  <sheetFormatPr defaultColWidth="9" defaultRowHeight="13.5"/>
  <cols>
    <col min="1" max="1" width="8.88333333333333" customWidth="1"/>
    <col min="2" max="2" width="10.6333333333333" customWidth="1"/>
    <col min="3" max="4" width="15.25" customWidth="1"/>
    <col min="5" max="5" width="65.1333333333333" customWidth="1"/>
    <col min="6" max="14" width="10.1333333333333"/>
    <col min="15" max="17" width="11.25"/>
  </cols>
  <sheetData>
    <row r="1" ht="21" customHeight="1" spans="1:17">
      <c r="A1" s="81" t="s">
        <v>167</v>
      </c>
      <c r="B1" s="81" t="s">
        <v>168</v>
      </c>
      <c r="C1" s="32" t="s">
        <v>211</v>
      </c>
      <c r="D1" s="32" t="s">
        <v>118</v>
      </c>
      <c r="E1" s="81" t="s">
        <v>171</v>
      </c>
      <c r="F1" s="80">
        <v>43831</v>
      </c>
      <c r="G1" s="80">
        <v>43862</v>
      </c>
      <c r="H1" s="80">
        <v>43891</v>
      </c>
      <c r="I1" s="80">
        <v>43922</v>
      </c>
      <c r="J1" s="80">
        <v>43952</v>
      </c>
      <c r="K1" s="80">
        <v>43983</v>
      </c>
      <c r="L1" s="80">
        <v>44013</v>
      </c>
      <c r="M1" s="80">
        <v>44044</v>
      </c>
      <c r="N1" s="80">
        <v>44075</v>
      </c>
      <c r="O1" s="80">
        <v>44105</v>
      </c>
      <c r="P1" s="80">
        <v>44136</v>
      </c>
      <c r="Q1" s="80">
        <v>44166</v>
      </c>
    </row>
    <row r="2" ht="14.25" spans="1:17">
      <c r="A2" s="36"/>
      <c r="B2" s="36"/>
      <c r="C2" s="20"/>
      <c r="D2" s="20"/>
      <c r="E2" s="74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4.25" spans="1:17">
      <c r="A3" s="36"/>
      <c r="B3" s="36"/>
      <c r="C3" s="20"/>
      <c r="D3" s="20"/>
      <c r="E3" s="74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ht="14.25" spans="1:17">
      <c r="A4" s="36"/>
      <c r="B4" s="36"/>
      <c r="C4" s="20"/>
      <c r="D4" s="20"/>
      <c r="E4" s="74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ht="14.25" spans="1:17">
      <c r="A5" s="36"/>
      <c r="B5" s="36"/>
      <c r="C5" s="20"/>
      <c r="D5" s="20"/>
      <c r="E5" s="74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ht="14.25" spans="1:17">
      <c r="A6" s="36"/>
      <c r="B6" s="36"/>
      <c r="C6" s="20"/>
      <c r="D6" s="20"/>
      <c r="E6" s="74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ht="14.25" spans="1:17">
      <c r="A7" s="36"/>
      <c r="B7" s="36"/>
      <c r="C7" s="20"/>
      <c r="D7" s="20"/>
      <c r="E7" s="74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ht="14.25" spans="1:17">
      <c r="A8" s="36"/>
      <c r="B8" s="36"/>
      <c r="C8" s="20"/>
      <c r="D8" s="20"/>
      <c r="E8" s="74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ht="14.25" spans="1:17">
      <c r="A9" s="36"/>
      <c r="B9" s="36"/>
      <c r="C9" s="20"/>
      <c r="D9" s="20"/>
      <c r="E9" s="74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ht="14.25" spans="1:17">
      <c r="A10" s="36"/>
      <c r="B10" s="36"/>
      <c r="C10" s="20"/>
      <c r="D10" s="20"/>
      <c r="E10" s="74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ht="14.25" spans="1:17">
      <c r="A11" s="36"/>
      <c r="B11" s="36"/>
      <c r="C11" s="20"/>
      <c r="D11" s="20"/>
      <c r="E11" s="74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ht="14.25" spans="1:17">
      <c r="A12" s="36"/>
      <c r="B12" s="36"/>
      <c r="C12" s="20"/>
      <c r="D12" s="20"/>
      <c r="E12" s="7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ht="14.25" spans="1:17">
      <c r="A13" s="36"/>
      <c r="B13" s="36"/>
      <c r="C13" s="20"/>
      <c r="D13" s="20"/>
      <c r="E13" s="74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ht="14.25" spans="1:17">
      <c r="A14" s="36"/>
      <c r="B14" s="36"/>
      <c r="C14" s="20"/>
      <c r="D14" s="20"/>
      <c r="E14" s="74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ht="14.25" spans="1:17">
      <c r="A15" s="36"/>
      <c r="B15" s="36"/>
      <c r="C15" s="20"/>
      <c r="D15" s="20"/>
      <c r="E15" s="74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ht="14.25" spans="1:17">
      <c r="A16" s="36"/>
      <c r="B16" s="36"/>
      <c r="C16" s="20"/>
      <c r="D16" s="20"/>
      <c r="E16" s="74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14.25" spans="1:17">
      <c r="A17" s="36"/>
      <c r="B17" s="36"/>
      <c r="C17" s="20"/>
      <c r="D17" s="20"/>
      <c r="E17" s="74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ht="14.25" spans="1:17">
      <c r="A18" s="36"/>
      <c r="B18" s="36"/>
      <c r="C18" s="20"/>
      <c r="D18" s="20"/>
      <c r="E18" s="74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ht="14.25" spans="1:17">
      <c r="A19" s="36"/>
      <c r="B19" s="36"/>
      <c r="C19" s="20"/>
      <c r="D19" s="20"/>
      <c r="E19" s="74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ht="14.25" spans="1:17">
      <c r="A20" s="36"/>
      <c r="B20" s="36"/>
      <c r="C20" s="20"/>
      <c r="D20" s="20"/>
      <c r="E20" s="74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14.25" spans="1:17">
      <c r="A21" s="36"/>
      <c r="B21" s="40"/>
      <c r="C21" s="20"/>
      <c r="D21" s="20"/>
      <c r="E21" s="74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ht="14.25" spans="1:17">
      <c r="A22" s="36"/>
      <c r="B22" s="40"/>
      <c r="C22" s="20"/>
      <c r="D22" s="20"/>
      <c r="E22" s="74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ht="14.25" spans="1:17">
      <c r="A23" s="36"/>
      <c r="B23" s="36"/>
      <c r="C23" s="20"/>
      <c r="D23" s="20"/>
      <c r="E23" s="74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ht="14.25" spans="1:17">
      <c r="A24" s="36"/>
      <c r="B24" s="36"/>
      <c r="C24" s="20"/>
      <c r="D24" s="20"/>
      <c r="E24" s="74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ht="14.25" spans="1:17">
      <c r="A25" s="36"/>
      <c r="B25" s="36"/>
      <c r="C25" s="20"/>
      <c r="D25" s="20"/>
      <c r="E25" s="74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ht="14.25" spans="1:17">
      <c r="A26" s="36"/>
      <c r="B26" s="36"/>
      <c r="C26" s="20"/>
      <c r="D26" s="20"/>
      <c r="E26" s="74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ht="14.25" spans="1:17">
      <c r="A27" s="36"/>
      <c r="B27" s="36"/>
      <c r="C27" s="20"/>
      <c r="D27" s="20"/>
      <c r="E27" s="74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ht="14.25" spans="1:17">
      <c r="A28" s="36"/>
      <c r="B28" s="36"/>
      <c r="C28" s="20"/>
      <c r="D28" s="20"/>
      <c r="E28" s="74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ht="14.25" spans="1:17">
      <c r="A29" s="36"/>
      <c r="B29" s="36"/>
      <c r="C29" s="20"/>
      <c r="D29" s="20"/>
      <c r="E29" s="74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ht="14.25" spans="1:17">
      <c r="A30" s="36"/>
      <c r="B30" s="36"/>
      <c r="C30" s="20"/>
      <c r="D30" s="20"/>
      <c r="E30" s="74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ht="14.25" spans="1:17">
      <c r="A31" s="36"/>
      <c r="B31" s="36"/>
      <c r="C31" s="20"/>
      <c r="D31" s="20"/>
      <c r="E31" s="74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ht="14.25" spans="1:17">
      <c r="A32" s="82"/>
      <c r="B32" s="36"/>
      <c r="C32" s="20"/>
      <c r="D32" s="20"/>
      <c r="E32" s="74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ht="14.25" spans="1:17">
      <c r="A33" s="82"/>
      <c r="B33" s="36"/>
      <c r="C33" s="20"/>
      <c r="D33" s="20"/>
      <c r="E33" s="74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ht="14.25" spans="1:17">
      <c r="A34" s="82"/>
      <c r="B34" s="36"/>
      <c r="C34" s="20"/>
      <c r="D34" s="20"/>
      <c r="E34" s="74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ht="14.25" spans="1:17">
      <c r="A35" s="82"/>
      <c r="B35" s="36"/>
      <c r="C35" s="20"/>
      <c r="D35" s="20"/>
      <c r="E35" s="74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ht="14.25" spans="1:17">
      <c r="A36" s="82"/>
      <c r="B36" s="36"/>
      <c r="C36" s="20"/>
      <c r="D36" s="20"/>
      <c r="E36" s="74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ht="14.25" spans="1:17">
      <c r="A37" s="82"/>
      <c r="B37" s="36"/>
      <c r="C37" s="20"/>
      <c r="D37" s="20"/>
      <c r="E37" s="74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ht="14.25" spans="1:17">
      <c r="A38" s="40"/>
      <c r="B38" s="36"/>
      <c r="C38" s="20"/>
      <c r="D38" s="20"/>
      <c r="E38" s="74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ht="14.25" spans="1:17">
      <c r="A39" s="82"/>
      <c r="B39" s="36"/>
      <c r="C39" s="20"/>
      <c r="D39" s="20"/>
      <c r="E39" s="74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ht="14.25" spans="1:17">
      <c r="A40" s="82"/>
      <c r="B40" s="36"/>
      <c r="C40" s="20"/>
      <c r="D40" s="20"/>
      <c r="E40" s="74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ht="14.25" spans="1:17">
      <c r="A41" s="82"/>
      <c r="B41" s="36"/>
      <c r="C41" s="20"/>
      <c r="D41" s="20"/>
      <c r="E41" s="74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ht="14.25" spans="1:17">
      <c r="A42" s="82"/>
      <c r="B42" s="36"/>
      <c r="C42" s="20"/>
      <c r="D42" s="20"/>
      <c r="E42" s="74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ht="14.25" spans="1:17">
      <c r="A43" s="82"/>
      <c r="B43" s="36"/>
      <c r="C43" s="20"/>
      <c r="D43" s="20"/>
      <c r="E43" s="74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ht="14.25" spans="1:17">
      <c r="A44" s="82"/>
      <c r="B44" s="36"/>
      <c r="C44" s="20"/>
      <c r="D44" s="20"/>
      <c r="E44" s="74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ht="14.25" spans="1:17">
      <c r="A45" s="82"/>
      <c r="B45" s="36"/>
      <c r="C45" s="20"/>
      <c r="D45" s="20"/>
      <c r="E45" s="74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ht="14.25" spans="1:17">
      <c r="A46" s="82"/>
      <c r="B46" s="36"/>
      <c r="C46" s="20"/>
      <c r="D46" s="20"/>
      <c r="E46" s="74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ht="14.25" spans="1:17">
      <c r="A47" s="82"/>
      <c r="B47" s="36"/>
      <c r="C47" s="20"/>
      <c r="D47" s="20"/>
      <c r="E47" s="74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ht="14.25" spans="1:17">
      <c r="A48" s="82"/>
      <c r="B48" s="36"/>
      <c r="C48" s="20"/>
      <c r="D48" s="20"/>
      <c r="E48" s="74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ht="14.25" spans="1:17">
      <c r="A49" s="40"/>
      <c r="B49" s="36"/>
      <c r="C49" s="20"/>
      <c r="D49" s="20"/>
      <c r="E49" s="74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ht="14.25" spans="1:17">
      <c r="A50" s="40"/>
      <c r="B50" s="36"/>
      <c r="C50" s="20"/>
      <c r="D50" s="20"/>
      <c r="E50" s="74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ht="14.25" spans="1:17">
      <c r="A51" s="82"/>
      <c r="B51" s="36"/>
      <c r="C51" s="20"/>
      <c r="D51" s="20"/>
      <c r="E51" s="74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ht="14.25" spans="1:17">
      <c r="A52" s="82"/>
      <c r="B52" s="36"/>
      <c r="C52" s="20"/>
      <c r="D52" s="20"/>
      <c r="E52" s="74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ht="14.25" spans="1:17">
      <c r="A53" s="82"/>
      <c r="B53" s="36"/>
      <c r="C53" s="20"/>
      <c r="D53" s="20"/>
      <c r="E53" s="74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ht="14.25" spans="1:17">
      <c r="A54" s="82"/>
      <c r="B54" s="36"/>
      <c r="C54" s="20"/>
      <c r="D54" s="20"/>
      <c r="E54" s="74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ht="14.25" spans="1:17">
      <c r="A55" s="83"/>
      <c r="B55" s="36"/>
      <c r="C55" s="20"/>
      <c r="D55" s="20"/>
      <c r="E55" s="74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ht="14.25" spans="1:17">
      <c r="A56" s="83"/>
      <c r="B56" s="36"/>
      <c r="C56" s="20"/>
      <c r="D56" s="20"/>
      <c r="E56" s="74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ht="14.25" spans="1:17">
      <c r="A57" s="83"/>
      <c r="B57" s="36"/>
      <c r="C57" s="20"/>
      <c r="D57" s="20"/>
      <c r="E57" s="74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ht="14.25" spans="1:17">
      <c r="A58" s="83"/>
      <c r="B58" s="36"/>
      <c r="C58" s="20"/>
      <c r="D58" s="20"/>
      <c r="E58" s="74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ht="14.25" spans="1:17">
      <c r="A59" s="36"/>
      <c r="B59" s="36"/>
      <c r="C59" s="20"/>
      <c r="D59" s="20"/>
      <c r="E59" s="74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ht="14.25" spans="1:17">
      <c r="A60" s="36"/>
      <c r="B60" s="36"/>
      <c r="C60" s="20"/>
      <c r="D60" s="20"/>
      <c r="E60" s="74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 ht="14.25" spans="1:17">
      <c r="A61" s="36"/>
      <c r="B61" s="36"/>
      <c r="C61" s="20"/>
      <c r="D61" s="20"/>
      <c r="E61" s="74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 ht="14.25" spans="1:17">
      <c r="A62" s="36"/>
      <c r="B62" s="36"/>
      <c r="C62" s="20"/>
      <c r="D62" s="20"/>
      <c r="E62" s="74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ht="16.5" spans="1:17">
      <c r="A63" s="36"/>
      <c r="B63" s="84"/>
      <c r="C63" s="20"/>
      <c r="D63" s="20"/>
      <c r="E63" s="74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ht="14.25" spans="1:17">
      <c r="A64" s="36"/>
      <c r="B64" s="36"/>
      <c r="C64" s="20"/>
      <c r="D64" s="20"/>
      <c r="E64" s="74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ht="14.25" spans="1:17">
      <c r="A65" s="36"/>
      <c r="B65" s="36"/>
      <c r="C65" s="20"/>
      <c r="D65" s="20"/>
      <c r="E65" s="74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ht="14.25" spans="1:17">
      <c r="A66" s="36"/>
      <c r="B66" s="36"/>
      <c r="C66" s="20"/>
      <c r="D66" s="20"/>
      <c r="E66" s="74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ht="14.25" spans="1:17">
      <c r="A67" s="36"/>
      <c r="B67" s="36"/>
      <c r="C67" s="20"/>
      <c r="D67" s="20"/>
      <c r="E67" s="74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ht="14.25" spans="1:17">
      <c r="A68" s="36"/>
      <c r="B68" s="36"/>
      <c r="C68" s="20"/>
      <c r="D68" s="20"/>
      <c r="E68" s="74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ht="14.25" spans="1:17">
      <c r="A69" s="36"/>
      <c r="B69" s="36"/>
      <c r="C69" s="20"/>
      <c r="D69" s="20"/>
      <c r="E69" s="74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ht="14.25" spans="1:17">
      <c r="A70" s="36"/>
      <c r="B70" s="36"/>
      <c r="C70" s="20"/>
      <c r="D70" s="20"/>
      <c r="E70" s="74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ht="14.25" spans="1:17">
      <c r="A71" s="36"/>
      <c r="B71" s="36"/>
      <c r="C71" s="20"/>
      <c r="D71" s="20"/>
      <c r="E71" s="74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ht="14.25" spans="1:17">
      <c r="A72" s="36"/>
      <c r="B72" s="36"/>
      <c r="C72" s="20"/>
      <c r="D72" s="20"/>
      <c r="E72" s="74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ht="14.25" spans="1:17">
      <c r="A73" s="36"/>
      <c r="B73" s="36"/>
      <c r="C73" s="20"/>
      <c r="D73" s="20"/>
      <c r="E73" s="74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8" tint="-0.25"/>
  </sheetPr>
  <dimension ref="A1:AQ1077"/>
  <sheetViews>
    <sheetView workbookViewId="0">
      <selection activeCell="A2" sqref="A2:AQ1077"/>
    </sheetView>
  </sheetViews>
  <sheetFormatPr defaultColWidth="9" defaultRowHeight="13.5"/>
  <cols>
    <col min="1" max="1" width="63.25" style="1" customWidth="1"/>
    <col min="2" max="2" width="20.75" customWidth="1"/>
    <col min="3" max="3" width="11.5" customWidth="1"/>
    <col min="4" max="5" width="15.25" customWidth="1"/>
    <col min="6" max="6" width="11.25" style="78" customWidth="1"/>
    <col min="7" max="7" width="8.63333333333333" customWidth="1"/>
    <col min="8" max="8" width="12.6333333333333" customWidth="1"/>
    <col min="9" max="9" width="18.8833333333333" customWidth="1"/>
    <col min="10" max="10" width="11.1333333333333" customWidth="1"/>
    <col min="11" max="11" width="10.6333333333333" customWidth="1"/>
    <col min="12" max="12" width="11.1333333333333" customWidth="1"/>
    <col min="13" max="13" width="10.6333333333333" customWidth="1"/>
    <col min="14" max="14" width="12.6333333333333" customWidth="1"/>
    <col min="15" max="15" width="14.75" customWidth="1"/>
    <col min="16" max="16" width="5.38333333333333" customWidth="1"/>
    <col min="17" max="17" width="10.6333333333333" customWidth="1"/>
    <col min="18" max="18" width="10.3833333333333" customWidth="1"/>
    <col min="19" max="19" width="6.75" customWidth="1"/>
    <col min="20" max="20" width="12.6333333333333" customWidth="1"/>
    <col min="21" max="21" width="7.38333333333333" customWidth="1"/>
    <col min="22" max="22" width="9.38333333333333" customWidth="1"/>
    <col min="23" max="24" width="12.6333333333333" customWidth="1"/>
    <col min="25" max="25" width="9.38333333333333" customWidth="1"/>
    <col min="26" max="26" width="8.38333333333333" customWidth="1"/>
    <col min="27" max="27" width="8.63333333333333" customWidth="1"/>
    <col min="28" max="29" width="8.38333333333333" customWidth="1"/>
    <col min="30" max="30" width="6.75" customWidth="1"/>
    <col min="31" max="31" width="7.38333333333333" customWidth="1"/>
    <col min="32" max="32" width="14.8833333333333" customWidth="1"/>
    <col min="33" max="33" width="21.25" customWidth="1"/>
    <col min="34" max="34" width="24.75" customWidth="1"/>
    <col min="35" max="35" width="10.6333333333333" customWidth="1"/>
    <col min="36" max="36" width="14.75" customWidth="1"/>
    <col min="37" max="38" width="10.6333333333333" customWidth="1"/>
    <col min="39" max="39" width="14.75" customWidth="1"/>
    <col min="40" max="40" width="10.6333333333333" customWidth="1"/>
    <col min="41" max="42" width="9.38333333333333" customWidth="1"/>
    <col min="43" max="43" width="7.38333333333333" customWidth="1"/>
  </cols>
  <sheetData>
    <row r="1" ht="14.25" spans="1:43">
      <c r="A1" s="72" t="s">
        <v>212</v>
      </c>
      <c r="B1" s="72" t="s">
        <v>213</v>
      </c>
      <c r="C1" s="72" t="s">
        <v>214</v>
      </c>
      <c r="D1" s="72" t="s">
        <v>215</v>
      </c>
      <c r="E1" s="72" t="s">
        <v>216</v>
      </c>
      <c r="F1" s="79" t="s">
        <v>217</v>
      </c>
      <c r="G1" s="72" t="s">
        <v>218</v>
      </c>
      <c r="H1" s="72" t="s">
        <v>219</v>
      </c>
      <c r="I1" s="72" t="s">
        <v>220</v>
      </c>
      <c r="J1" s="72" t="s">
        <v>221</v>
      </c>
      <c r="K1" s="72" t="s">
        <v>222</v>
      </c>
      <c r="L1" s="72" t="s">
        <v>223</v>
      </c>
      <c r="M1" s="72" t="s">
        <v>224</v>
      </c>
      <c r="N1" s="72" t="s">
        <v>225</v>
      </c>
      <c r="O1" s="72" t="s">
        <v>226</v>
      </c>
      <c r="P1" s="72" t="s">
        <v>227</v>
      </c>
      <c r="Q1" s="72" t="s">
        <v>228</v>
      </c>
      <c r="R1" s="72" t="s">
        <v>229</v>
      </c>
      <c r="S1" s="72" t="s">
        <v>230</v>
      </c>
      <c r="T1" s="72" t="s">
        <v>231</v>
      </c>
      <c r="U1" s="72" t="s">
        <v>232</v>
      </c>
      <c r="V1" s="72" t="s">
        <v>233</v>
      </c>
      <c r="W1" s="72" t="s">
        <v>234</v>
      </c>
      <c r="X1" s="72" t="s">
        <v>235</v>
      </c>
      <c r="Y1" s="72" t="s">
        <v>236</v>
      </c>
      <c r="Z1" s="72" t="s">
        <v>237</v>
      </c>
      <c r="AA1" s="72" t="s">
        <v>238</v>
      </c>
      <c r="AB1" s="72" t="s">
        <v>239</v>
      </c>
      <c r="AC1" s="72" t="s">
        <v>240</v>
      </c>
      <c r="AD1" s="72" t="s">
        <v>241</v>
      </c>
      <c r="AE1" s="72" t="s">
        <v>242</v>
      </c>
      <c r="AF1" s="72" t="s">
        <v>243</v>
      </c>
      <c r="AG1" s="72" t="s">
        <v>244</v>
      </c>
      <c r="AH1" s="72" t="s">
        <v>245</v>
      </c>
      <c r="AI1" s="72" t="s">
        <v>246</v>
      </c>
      <c r="AJ1" s="72" t="s">
        <v>247</v>
      </c>
      <c r="AK1" s="72" t="s">
        <v>248</v>
      </c>
      <c r="AL1" s="72" t="s">
        <v>249</v>
      </c>
      <c r="AM1" s="72" t="s">
        <v>250</v>
      </c>
      <c r="AN1" s="72" t="s">
        <v>251</v>
      </c>
      <c r="AO1" s="72" t="s">
        <v>252</v>
      </c>
      <c r="AP1" s="72" t="s">
        <v>253</v>
      </c>
      <c r="AQ1" s="72" t="s">
        <v>254</v>
      </c>
    </row>
    <row r="2" ht="14.25" spans="1:43">
      <c r="A2" s="74"/>
      <c r="B2" s="20"/>
      <c r="C2" s="20"/>
      <c r="D2" s="20"/>
      <c r="E2" s="20"/>
      <c r="F2" s="8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</row>
    <row r="3" ht="14.25" spans="1:43">
      <c r="A3" s="74"/>
      <c r="B3" s="20"/>
      <c r="C3" s="20"/>
      <c r="D3" s="20"/>
      <c r="E3" s="20"/>
      <c r="F3" s="8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</row>
    <row r="4" ht="14.25" spans="1:43">
      <c r="A4" s="74"/>
      <c r="B4" s="20"/>
      <c r="C4" s="20"/>
      <c r="D4" s="20"/>
      <c r="E4" s="20"/>
      <c r="F4" s="8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4.25" spans="1:43">
      <c r="A5" s="74"/>
      <c r="B5" s="20"/>
      <c r="C5" s="20"/>
      <c r="D5" s="20"/>
      <c r="E5" s="20"/>
      <c r="F5" s="8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</row>
    <row r="6" ht="14.25" spans="1:43">
      <c r="A6" s="74"/>
      <c r="B6" s="20"/>
      <c r="C6" s="20"/>
      <c r="D6" s="20"/>
      <c r="E6" s="20"/>
      <c r="F6" s="8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ht="14.25" spans="1:43">
      <c r="A7" s="74"/>
      <c r="B7" s="20"/>
      <c r="C7" s="20"/>
      <c r="D7" s="20"/>
      <c r="E7" s="20"/>
      <c r="F7" s="8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</row>
    <row r="8" ht="14.25" spans="1:43">
      <c r="A8" s="74"/>
      <c r="B8" s="20"/>
      <c r="C8" s="20"/>
      <c r="D8" s="20"/>
      <c r="E8" s="20"/>
      <c r="F8" s="8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</row>
    <row r="9" ht="14.25" spans="1:43">
      <c r="A9" s="74"/>
      <c r="B9" s="20"/>
      <c r="C9" s="20"/>
      <c r="D9" s="20"/>
      <c r="E9" s="20"/>
      <c r="F9" s="8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</row>
    <row r="10" ht="14.25" spans="1:43">
      <c r="A10" s="74"/>
      <c r="B10" s="20"/>
      <c r="C10" s="20"/>
      <c r="D10" s="20"/>
      <c r="E10" s="20"/>
      <c r="F10" s="8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</row>
    <row r="11" ht="14.25" spans="1:43">
      <c r="A11" s="74"/>
      <c r="B11" s="20"/>
      <c r="C11" s="20"/>
      <c r="D11" s="20"/>
      <c r="E11" s="20"/>
      <c r="F11" s="8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</row>
    <row r="12" ht="14.25" spans="1:43">
      <c r="A12" s="74"/>
      <c r="B12" s="20"/>
      <c r="C12" s="20"/>
      <c r="D12" s="20"/>
      <c r="E12" s="20"/>
      <c r="F12" s="8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</row>
    <row r="13" ht="14.25" spans="1:43">
      <c r="A13" s="74"/>
      <c r="B13" s="20"/>
      <c r="C13" s="20"/>
      <c r="D13" s="20"/>
      <c r="E13" s="20"/>
      <c r="F13" s="8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</row>
    <row r="14" ht="14.25" spans="1:43">
      <c r="A14" s="74"/>
      <c r="B14" s="20"/>
      <c r="C14" s="20"/>
      <c r="D14" s="20"/>
      <c r="E14" s="20"/>
      <c r="F14" s="8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</row>
    <row r="15" ht="14.25" spans="1:43">
      <c r="A15" s="74"/>
      <c r="B15" s="20"/>
      <c r="C15" s="20"/>
      <c r="D15" s="20"/>
      <c r="E15" s="20"/>
      <c r="F15" s="8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</row>
    <row r="16" ht="14.25" spans="1:43">
      <c r="A16" s="74"/>
      <c r="B16" s="20"/>
      <c r="C16" s="20"/>
      <c r="D16" s="20"/>
      <c r="E16" s="20"/>
      <c r="F16" s="8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</row>
    <row r="17" ht="14.25" spans="1:43">
      <c r="A17" s="74"/>
      <c r="B17" s="20"/>
      <c r="C17" s="20"/>
      <c r="D17" s="20"/>
      <c r="E17" s="20"/>
      <c r="F17" s="8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</row>
    <row r="18" ht="14.25" spans="1:43">
      <c r="A18" s="74"/>
      <c r="B18" s="20"/>
      <c r="C18" s="20"/>
      <c r="D18" s="20"/>
      <c r="E18" s="20"/>
      <c r="F18" s="8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</row>
    <row r="19" ht="14.25" spans="1:43">
      <c r="A19" s="74"/>
      <c r="B19" s="20"/>
      <c r="C19" s="20"/>
      <c r="D19" s="20"/>
      <c r="E19" s="20"/>
      <c r="F19" s="8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ht="14.25" spans="1:43">
      <c r="A20" s="74"/>
      <c r="B20" s="20"/>
      <c r="C20" s="20"/>
      <c r="D20" s="20"/>
      <c r="E20" s="20"/>
      <c r="F20" s="8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ht="14.25" spans="1:43">
      <c r="A21" s="74"/>
      <c r="B21" s="20"/>
      <c r="C21" s="20"/>
      <c r="D21" s="20"/>
      <c r="E21" s="20"/>
      <c r="F21" s="8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</row>
    <row r="22" ht="14.25" spans="1:43">
      <c r="A22" s="74"/>
      <c r="B22" s="20"/>
      <c r="C22" s="20"/>
      <c r="D22" s="20"/>
      <c r="E22" s="20"/>
      <c r="F22" s="8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</row>
    <row r="23" ht="14.25" spans="1:43">
      <c r="A23" s="74"/>
      <c r="B23" s="20"/>
      <c r="C23" s="20"/>
      <c r="D23" s="20"/>
      <c r="E23" s="20"/>
      <c r="F23" s="8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</row>
    <row r="24" ht="14.25" spans="1:43">
      <c r="A24" s="74"/>
      <c r="B24" s="20"/>
      <c r="C24" s="20"/>
      <c r="D24" s="20"/>
      <c r="E24" s="20"/>
      <c r="F24" s="8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</row>
    <row r="25" ht="14.25" spans="1:43">
      <c r="A25" s="74"/>
      <c r="B25" s="20"/>
      <c r="C25" s="20"/>
      <c r="D25" s="20"/>
      <c r="E25" s="20"/>
      <c r="F25" s="8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</row>
    <row r="26" ht="14.25" spans="1:43">
      <c r="A26" s="74"/>
      <c r="B26" s="20"/>
      <c r="C26" s="20"/>
      <c r="D26" s="20"/>
      <c r="E26" s="20"/>
      <c r="F26" s="8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</row>
    <row r="27" ht="14.25" spans="1:43">
      <c r="A27" s="74"/>
      <c r="B27" s="20"/>
      <c r="C27" s="20"/>
      <c r="D27" s="20"/>
      <c r="E27" s="20"/>
      <c r="F27" s="8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</row>
    <row r="28" ht="14.25" spans="1:43">
      <c r="A28" s="74"/>
      <c r="B28" s="20"/>
      <c r="C28" s="20"/>
      <c r="D28" s="20"/>
      <c r="E28" s="20"/>
      <c r="F28" s="8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</row>
    <row r="29" ht="14.25" spans="1:43">
      <c r="A29" s="74"/>
      <c r="B29" s="20"/>
      <c r="C29" s="20"/>
      <c r="D29" s="20"/>
      <c r="E29" s="20"/>
      <c r="F29" s="8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</row>
    <row r="30" ht="14.25" spans="1:43">
      <c r="A30" s="74"/>
      <c r="B30" s="20"/>
      <c r="C30" s="20"/>
      <c r="D30" s="20"/>
      <c r="E30" s="20"/>
      <c r="F30" s="8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</row>
    <row r="31" ht="14.25" spans="1:43">
      <c r="A31" s="74"/>
      <c r="B31" s="20"/>
      <c r="C31" s="20"/>
      <c r="D31" s="20"/>
      <c r="E31" s="20"/>
      <c r="F31" s="8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</row>
    <row r="32" ht="14.25" spans="1:43">
      <c r="A32" s="74"/>
      <c r="B32" s="20"/>
      <c r="C32" s="20"/>
      <c r="D32" s="20"/>
      <c r="E32" s="20"/>
      <c r="F32" s="8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</row>
    <row r="33" ht="14.25" spans="1:43">
      <c r="A33" s="74"/>
      <c r="B33" s="20"/>
      <c r="C33" s="20"/>
      <c r="D33" s="20"/>
      <c r="E33" s="20"/>
      <c r="F33" s="8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</row>
    <row r="34" ht="14.25" spans="1:43">
      <c r="A34" s="74"/>
      <c r="B34" s="20"/>
      <c r="C34" s="20"/>
      <c r="D34" s="20"/>
      <c r="E34" s="20"/>
      <c r="F34" s="8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</row>
    <row r="35" ht="14.25" spans="1:43">
      <c r="A35" s="74"/>
      <c r="B35" s="20"/>
      <c r="C35" s="20"/>
      <c r="D35" s="20"/>
      <c r="E35" s="20"/>
      <c r="F35" s="8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</row>
    <row r="36" ht="14.25" spans="1:43">
      <c r="A36" s="74"/>
      <c r="B36" s="20"/>
      <c r="C36" s="20"/>
      <c r="D36" s="20"/>
      <c r="E36" s="20"/>
      <c r="F36" s="8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</row>
    <row r="37" ht="14.25" spans="1:43">
      <c r="A37" s="74"/>
      <c r="B37" s="20"/>
      <c r="C37" s="20"/>
      <c r="D37" s="20"/>
      <c r="E37" s="20"/>
      <c r="F37" s="8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</row>
    <row r="38" ht="14.25" spans="1:43">
      <c r="A38" s="74"/>
      <c r="B38" s="20"/>
      <c r="C38" s="20"/>
      <c r="D38" s="20"/>
      <c r="E38" s="20"/>
      <c r="F38" s="8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</row>
    <row r="39" ht="14.25" spans="1:43">
      <c r="A39" s="74"/>
      <c r="B39" s="20"/>
      <c r="C39" s="20"/>
      <c r="D39" s="20"/>
      <c r="E39" s="20"/>
      <c r="F39" s="8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</row>
    <row r="40" ht="14.25" spans="1:43">
      <c r="A40" s="74"/>
      <c r="B40" s="20"/>
      <c r="C40" s="20"/>
      <c r="D40" s="20"/>
      <c r="E40" s="20"/>
      <c r="F40" s="8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</row>
    <row r="41" ht="14.25" spans="1:43">
      <c r="A41" s="74"/>
      <c r="B41" s="20"/>
      <c r="C41" s="20"/>
      <c r="D41" s="20"/>
      <c r="E41" s="20"/>
      <c r="F41" s="8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</row>
    <row r="42" ht="14.25" spans="1:43">
      <c r="A42" s="74"/>
      <c r="B42" s="20"/>
      <c r="C42" s="20"/>
      <c r="D42" s="20"/>
      <c r="E42" s="20"/>
      <c r="F42" s="8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</row>
    <row r="43" ht="14.25" spans="1:43">
      <c r="A43" s="74"/>
      <c r="B43" s="20"/>
      <c r="C43" s="20"/>
      <c r="D43" s="20"/>
      <c r="E43" s="20"/>
      <c r="F43" s="8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</row>
    <row r="44" ht="14.25" spans="1:43">
      <c r="A44" s="74"/>
      <c r="B44" s="20"/>
      <c r="C44" s="20"/>
      <c r="D44" s="20"/>
      <c r="E44" s="20"/>
      <c r="F44" s="8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</row>
    <row r="45" ht="14.25" spans="1:43">
      <c r="A45" s="74"/>
      <c r="B45" s="20"/>
      <c r="C45" s="20"/>
      <c r="D45" s="20"/>
      <c r="E45" s="20"/>
      <c r="F45" s="8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</row>
    <row r="46" ht="14.25" spans="1:43">
      <c r="A46" s="74"/>
      <c r="B46" s="20"/>
      <c r="C46" s="20"/>
      <c r="D46" s="20"/>
      <c r="E46" s="20"/>
      <c r="F46" s="8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</row>
    <row r="47" ht="14.25" spans="1:43">
      <c r="A47" s="74"/>
      <c r="B47" s="20"/>
      <c r="C47" s="20"/>
      <c r="D47" s="20"/>
      <c r="E47" s="20"/>
      <c r="F47" s="8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</row>
    <row r="48" ht="14.25" spans="1:43">
      <c r="A48" s="74"/>
      <c r="B48" s="20"/>
      <c r="C48" s="20"/>
      <c r="D48" s="20"/>
      <c r="E48" s="20"/>
      <c r="F48" s="8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</row>
    <row r="49" ht="14.25" spans="1:43">
      <c r="A49" s="74"/>
      <c r="B49" s="20"/>
      <c r="C49" s="20"/>
      <c r="D49" s="20"/>
      <c r="E49" s="20"/>
      <c r="F49" s="8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</row>
    <row r="50" ht="14.25" spans="1:43">
      <c r="A50" s="74"/>
      <c r="B50" s="20"/>
      <c r="C50" s="20"/>
      <c r="D50" s="20"/>
      <c r="E50" s="20"/>
      <c r="F50" s="8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</row>
    <row r="51" ht="14.25" spans="1:43">
      <c r="A51" s="74"/>
      <c r="B51" s="20"/>
      <c r="C51" s="20"/>
      <c r="D51" s="20"/>
      <c r="E51" s="20"/>
      <c r="F51" s="8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</row>
    <row r="52" ht="14.25" spans="1:43">
      <c r="A52" s="74"/>
      <c r="B52" s="20"/>
      <c r="C52" s="20"/>
      <c r="D52" s="20"/>
      <c r="E52" s="20"/>
      <c r="F52" s="8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</row>
    <row r="53" ht="14.25" spans="1:43">
      <c r="A53" s="74"/>
      <c r="B53" s="20"/>
      <c r="C53" s="20"/>
      <c r="D53" s="20"/>
      <c r="E53" s="20"/>
      <c r="F53" s="8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</row>
    <row r="54" ht="14.25" spans="1:43">
      <c r="A54" s="74"/>
      <c r="B54" s="20"/>
      <c r="C54" s="20"/>
      <c r="D54" s="20"/>
      <c r="E54" s="20"/>
      <c r="F54" s="8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</row>
    <row r="55" ht="14.25" spans="1:43">
      <c r="A55" s="74"/>
      <c r="B55" s="20"/>
      <c r="C55" s="20"/>
      <c r="D55" s="20"/>
      <c r="E55" s="20"/>
      <c r="F55" s="8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</row>
    <row r="56" ht="14.25" spans="1:43">
      <c r="A56" s="74"/>
      <c r="B56" s="20"/>
      <c r="C56" s="20"/>
      <c r="D56" s="20"/>
      <c r="E56" s="20"/>
      <c r="F56" s="8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</row>
    <row r="57" ht="14.25" spans="1:43">
      <c r="A57" s="74"/>
      <c r="B57" s="20"/>
      <c r="C57" s="20"/>
      <c r="D57" s="20"/>
      <c r="E57" s="20"/>
      <c r="F57" s="8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</row>
    <row r="58" ht="14.25" spans="1:43">
      <c r="A58" s="74"/>
      <c r="B58" s="20"/>
      <c r="C58" s="20"/>
      <c r="D58" s="20"/>
      <c r="E58" s="20"/>
      <c r="F58" s="8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</row>
    <row r="59" ht="14.25" spans="1:43">
      <c r="A59" s="74"/>
      <c r="B59" s="20"/>
      <c r="C59" s="20"/>
      <c r="D59" s="20"/>
      <c r="E59" s="20"/>
      <c r="F59" s="8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</row>
    <row r="60" ht="14.25" spans="1:43">
      <c r="A60" s="74"/>
      <c r="B60" s="20"/>
      <c r="C60" s="20"/>
      <c r="D60" s="20"/>
      <c r="E60" s="20"/>
      <c r="F60" s="8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</row>
    <row r="61" ht="14.25" spans="1:43">
      <c r="A61" s="74"/>
      <c r="B61" s="20"/>
      <c r="C61" s="20"/>
      <c r="D61" s="20"/>
      <c r="E61" s="20"/>
      <c r="F61" s="8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</row>
    <row r="62" ht="14.25" spans="1:43">
      <c r="A62" s="74"/>
      <c r="B62" s="20"/>
      <c r="C62" s="20"/>
      <c r="D62" s="20"/>
      <c r="E62" s="20"/>
      <c r="F62" s="8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</row>
    <row r="63" ht="14.25" spans="1:43">
      <c r="A63" s="74"/>
      <c r="B63" s="20"/>
      <c r="C63" s="20"/>
      <c r="D63" s="20"/>
      <c r="E63" s="20"/>
      <c r="F63" s="8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</row>
    <row r="64" ht="14.25" spans="1:43">
      <c r="A64" s="74"/>
      <c r="B64" s="20"/>
      <c r="C64" s="20"/>
      <c r="D64" s="20"/>
      <c r="E64" s="20"/>
      <c r="F64" s="8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</row>
    <row r="65" ht="14.25" spans="1:43">
      <c r="A65" s="74"/>
      <c r="B65" s="20"/>
      <c r="C65" s="20"/>
      <c r="D65" s="20"/>
      <c r="E65" s="20"/>
      <c r="F65" s="8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</row>
    <row r="66" ht="14.25" spans="1:43">
      <c r="A66" s="74"/>
      <c r="B66" s="20"/>
      <c r="C66" s="20"/>
      <c r="D66" s="20"/>
      <c r="E66" s="20"/>
      <c r="F66" s="8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</row>
    <row r="67" ht="14.25" spans="1:43">
      <c r="A67" s="74"/>
      <c r="B67" s="20"/>
      <c r="C67" s="20"/>
      <c r="D67" s="20"/>
      <c r="E67" s="20"/>
      <c r="F67" s="8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</row>
    <row r="68" ht="14.25" spans="1:43">
      <c r="A68" s="74"/>
      <c r="B68" s="20"/>
      <c r="C68" s="20"/>
      <c r="D68" s="20"/>
      <c r="E68" s="20"/>
      <c r="F68" s="8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</row>
    <row r="69" ht="14.25" spans="1:43">
      <c r="A69" s="74"/>
      <c r="B69" s="20"/>
      <c r="C69" s="20"/>
      <c r="D69" s="20"/>
      <c r="E69" s="20"/>
      <c r="F69" s="8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</row>
    <row r="70" ht="14.25" spans="1:43">
      <c r="A70" s="74"/>
      <c r="B70" s="20"/>
      <c r="C70" s="20"/>
      <c r="D70" s="20"/>
      <c r="E70" s="20"/>
      <c r="F70" s="8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</row>
    <row r="71" ht="14.25" spans="1:43">
      <c r="A71" s="74"/>
      <c r="B71" s="20"/>
      <c r="C71" s="20"/>
      <c r="D71" s="20"/>
      <c r="E71" s="20"/>
      <c r="F71" s="8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</row>
    <row r="72" ht="14.25" spans="1:43">
      <c r="A72" s="74"/>
      <c r="B72" s="20"/>
      <c r="C72" s="20"/>
      <c r="D72" s="20"/>
      <c r="E72" s="20"/>
      <c r="F72" s="8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</row>
    <row r="73" ht="14.25" spans="1:43">
      <c r="A73" s="74"/>
      <c r="B73" s="20"/>
      <c r="C73" s="20"/>
      <c r="D73" s="20"/>
      <c r="E73" s="20"/>
      <c r="F73" s="8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</row>
    <row r="74" ht="14.25" spans="1:43">
      <c r="A74" s="74"/>
      <c r="B74" s="20"/>
      <c r="C74" s="20"/>
      <c r="D74" s="20"/>
      <c r="E74" s="20"/>
      <c r="F74" s="8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</row>
    <row r="75" ht="14.25" spans="1:43">
      <c r="A75" s="74"/>
      <c r="B75" s="20"/>
      <c r="C75" s="20"/>
      <c r="D75" s="20"/>
      <c r="E75" s="20"/>
      <c r="F75" s="8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</row>
    <row r="76" ht="14.25" spans="1:43">
      <c r="A76" s="74"/>
      <c r="B76" s="20"/>
      <c r="C76" s="20"/>
      <c r="D76" s="20"/>
      <c r="E76" s="20"/>
      <c r="F76" s="8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</row>
    <row r="77" ht="14.25" spans="1:43">
      <c r="A77" s="74"/>
      <c r="B77" s="20"/>
      <c r="C77" s="20"/>
      <c r="D77" s="20"/>
      <c r="E77" s="20"/>
      <c r="F77" s="8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</row>
    <row r="78" ht="14.25" spans="1:43">
      <c r="A78" s="74"/>
      <c r="B78" s="20"/>
      <c r="C78" s="20"/>
      <c r="D78" s="20"/>
      <c r="E78" s="20"/>
      <c r="F78" s="8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</row>
    <row r="79" ht="14.25" spans="1:43">
      <c r="A79" s="74"/>
      <c r="B79" s="20"/>
      <c r="C79" s="20"/>
      <c r="D79" s="20"/>
      <c r="E79" s="20"/>
      <c r="F79" s="8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</row>
    <row r="80" ht="14.25" spans="1:43">
      <c r="A80" s="74"/>
      <c r="B80" s="20"/>
      <c r="C80" s="20"/>
      <c r="D80" s="20"/>
      <c r="E80" s="20"/>
      <c r="F80" s="8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</row>
    <row r="81" ht="14.25" spans="1:43">
      <c r="A81" s="74"/>
      <c r="B81" s="20"/>
      <c r="C81" s="20"/>
      <c r="D81" s="20"/>
      <c r="E81" s="20"/>
      <c r="F81" s="8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</row>
    <row r="82" ht="14.25" spans="1:43">
      <c r="A82" s="74"/>
      <c r="B82" s="20"/>
      <c r="C82" s="20"/>
      <c r="D82" s="20"/>
      <c r="E82" s="20"/>
      <c r="F82" s="8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</row>
    <row r="83" ht="14.25" spans="1:43">
      <c r="A83" s="74"/>
      <c r="B83" s="20"/>
      <c r="C83" s="20"/>
      <c r="D83" s="20"/>
      <c r="E83" s="20"/>
      <c r="F83" s="8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</row>
    <row r="84" ht="14.25" spans="1:43">
      <c r="A84" s="74"/>
      <c r="B84" s="20"/>
      <c r="C84" s="20"/>
      <c r="D84" s="20"/>
      <c r="E84" s="20"/>
      <c r="F84" s="8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</row>
    <row r="85" ht="14.25" spans="1:43">
      <c r="A85" s="74"/>
      <c r="B85" s="20"/>
      <c r="C85" s="20"/>
      <c r="D85" s="20"/>
      <c r="E85" s="20"/>
      <c r="F85" s="8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</row>
    <row r="86" ht="14.25" spans="1:43">
      <c r="A86" s="74"/>
      <c r="B86" s="20"/>
      <c r="C86" s="20"/>
      <c r="D86" s="20"/>
      <c r="E86" s="20"/>
      <c r="F86" s="8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</row>
    <row r="87" ht="14.25" spans="1:43">
      <c r="A87" s="74"/>
      <c r="B87" s="20"/>
      <c r="C87" s="20"/>
      <c r="D87" s="20"/>
      <c r="E87" s="20"/>
      <c r="F87" s="8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</row>
    <row r="88" ht="14.25" spans="1:43">
      <c r="A88" s="74"/>
      <c r="B88" s="20"/>
      <c r="C88" s="20"/>
      <c r="D88" s="20"/>
      <c r="E88" s="20"/>
      <c r="F88" s="8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</row>
    <row r="89" ht="14.25" spans="1:43">
      <c r="A89" s="74"/>
      <c r="B89" s="20"/>
      <c r="C89" s="20"/>
      <c r="D89" s="20"/>
      <c r="E89" s="20"/>
      <c r="F89" s="8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</row>
    <row r="90" ht="14.25" spans="1:43">
      <c r="A90" s="74"/>
      <c r="B90" s="20"/>
      <c r="C90" s="20"/>
      <c r="D90" s="20"/>
      <c r="E90" s="20"/>
      <c r="F90" s="8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</row>
    <row r="91" ht="14.25" spans="1:43">
      <c r="A91" s="74"/>
      <c r="B91" s="20"/>
      <c r="C91" s="20"/>
      <c r="D91" s="20"/>
      <c r="E91" s="20"/>
      <c r="F91" s="8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</row>
    <row r="92" ht="14.25" spans="1:43">
      <c r="A92" s="74"/>
      <c r="B92" s="20"/>
      <c r="C92" s="20"/>
      <c r="D92" s="20"/>
      <c r="E92" s="20"/>
      <c r="F92" s="8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</row>
    <row r="93" ht="14.25" spans="1:43">
      <c r="A93" s="74"/>
      <c r="B93" s="20"/>
      <c r="C93" s="20"/>
      <c r="D93" s="20"/>
      <c r="E93" s="20"/>
      <c r="F93" s="8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</row>
    <row r="94" ht="14.25" spans="1:43">
      <c r="A94" s="74"/>
      <c r="B94" s="20"/>
      <c r="C94" s="20"/>
      <c r="D94" s="20"/>
      <c r="E94" s="20"/>
      <c r="F94" s="8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</row>
    <row r="95" ht="14.25" spans="1:43">
      <c r="A95" s="74"/>
      <c r="B95" s="20"/>
      <c r="C95" s="20"/>
      <c r="D95" s="20"/>
      <c r="E95" s="20"/>
      <c r="F95" s="8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</row>
    <row r="96" ht="14.25" spans="1:43">
      <c r="A96" s="74"/>
      <c r="B96" s="20"/>
      <c r="C96" s="20"/>
      <c r="D96" s="20"/>
      <c r="E96" s="20"/>
      <c r="F96" s="8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</row>
    <row r="97" ht="14.25" spans="1:43">
      <c r="A97" s="74"/>
      <c r="B97" s="20"/>
      <c r="C97" s="20"/>
      <c r="D97" s="20"/>
      <c r="E97" s="20"/>
      <c r="F97" s="8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</row>
    <row r="98" ht="14.25" spans="1:43">
      <c r="A98" s="74"/>
      <c r="B98" s="20"/>
      <c r="C98" s="20"/>
      <c r="D98" s="20"/>
      <c r="E98" s="20"/>
      <c r="F98" s="8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</row>
    <row r="99" ht="14.25" spans="1:43">
      <c r="A99" s="74"/>
      <c r="B99" s="20"/>
      <c r="C99" s="20"/>
      <c r="D99" s="20"/>
      <c r="E99" s="20"/>
      <c r="F99" s="8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</row>
    <row r="100" ht="14.25" spans="1:43">
      <c r="A100" s="74"/>
      <c r="B100" s="20"/>
      <c r="C100" s="20"/>
      <c r="D100" s="20"/>
      <c r="E100" s="20"/>
      <c r="F100" s="8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</row>
    <row r="101" ht="14.25" spans="1:43">
      <c r="A101" s="74"/>
      <c r="B101" s="20"/>
      <c r="C101" s="20"/>
      <c r="D101" s="20"/>
      <c r="E101" s="20"/>
      <c r="F101" s="8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</row>
    <row r="102" ht="14.25" spans="1:43">
      <c r="A102" s="74"/>
      <c r="B102" s="20"/>
      <c r="C102" s="20"/>
      <c r="D102" s="20"/>
      <c r="E102" s="20"/>
      <c r="F102" s="8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</row>
    <row r="103" ht="14.25" spans="1:43">
      <c r="A103" s="74"/>
      <c r="B103" s="20"/>
      <c r="C103" s="20"/>
      <c r="D103" s="20"/>
      <c r="E103" s="20"/>
      <c r="F103" s="8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</row>
    <row r="104" ht="14.25" spans="1:43">
      <c r="A104" s="74"/>
      <c r="B104" s="20"/>
      <c r="C104" s="20"/>
      <c r="D104" s="20"/>
      <c r="E104" s="20"/>
      <c r="F104" s="8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</row>
    <row r="105" ht="14.25" spans="1:43">
      <c r="A105" s="74"/>
      <c r="B105" s="20"/>
      <c r="C105" s="20"/>
      <c r="D105" s="20"/>
      <c r="E105" s="20"/>
      <c r="F105" s="8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</row>
    <row r="106" ht="14.25" spans="1:43">
      <c r="A106" s="74"/>
      <c r="B106" s="20"/>
      <c r="C106" s="20"/>
      <c r="D106" s="20"/>
      <c r="E106" s="20"/>
      <c r="F106" s="8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</row>
    <row r="107" ht="14.25" spans="1:43">
      <c r="A107" s="74"/>
      <c r="B107" s="20"/>
      <c r="C107" s="20"/>
      <c r="D107" s="20"/>
      <c r="E107" s="20"/>
      <c r="F107" s="8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</row>
    <row r="108" ht="14.25" spans="1:43">
      <c r="A108" s="74"/>
      <c r="B108" s="20"/>
      <c r="C108" s="20"/>
      <c r="D108" s="20"/>
      <c r="E108" s="20"/>
      <c r="F108" s="8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</row>
    <row r="109" ht="14.25" spans="1:43">
      <c r="A109" s="74"/>
      <c r="B109" s="20"/>
      <c r="C109" s="20"/>
      <c r="D109" s="20"/>
      <c r="E109" s="20"/>
      <c r="F109" s="8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</row>
    <row r="110" ht="14.25" spans="1:43">
      <c r="A110" s="74"/>
      <c r="B110" s="20"/>
      <c r="C110" s="20"/>
      <c r="D110" s="20"/>
      <c r="E110" s="20"/>
      <c r="F110" s="8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</row>
    <row r="111" ht="14.25" spans="1:43">
      <c r="A111" s="74"/>
      <c r="B111" s="20"/>
      <c r="C111" s="20"/>
      <c r="D111" s="20"/>
      <c r="E111" s="20"/>
      <c r="F111" s="8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</row>
    <row r="112" ht="14.25" spans="1:43">
      <c r="A112" s="74"/>
      <c r="B112" s="20"/>
      <c r="C112" s="20"/>
      <c r="D112" s="20"/>
      <c r="E112" s="20"/>
      <c r="F112" s="8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</row>
    <row r="113" ht="14.25" spans="1:43">
      <c r="A113" s="74"/>
      <c r="B113" s="20"/>
      <c r="C113" s="20"/>
      <c r="D113" s="20"/>
      <c r="E113" s="20"/>
      <c r="F113" s="8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</row>
    <row r="114" ht="14.25" spans="1:43">
      <c r="A114" s="74"/>
      <c r="B114" s="20"/>
      <c r="C114" s="20"/>
      <c r="D114" s="20"/>
      <c r="E114" s="20"/>
      <c r="F114" s="8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</row>
    <row r="115" ht="14.25" spans="1:43">
      <c r="A115" s="74"/>
      <c r="B115" s="20"/>
      <c r="C115" s="20"/>
      <c r="D115" s="20"/>
      <c r="E115" s="20"/>
      <c r="F115" s="8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</row>
    <row r="116" ht="14.25" spans="1:43">
      <c r="A116" s="74"/>
      <c r="B116" s="20"/>
      <c r="C116" s="20"/>
      <c r="D116" s="20"/>
      <c r="E116" s="20"/>
      <c r="F116" s="8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</row>
    <row r="117" ht="14.25" spans="1:43">
      <c r="A117" s="74"/>
      <c r="B117" s="20"/>
      <c r="C117" s="20"/>
      <c r="D117" s="20"/>
      <c r="E117" s="20"/>
      <c r="F117" s="8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</row>
    <row r="118" ht="14.25" spans="1:43">
      <c r="A118" s="74"/>
      <c r="B118" s="20"/>
      <c r="C118" s="20"/>
      <c r="D118" s="20"/>
      <c r="E118" s="20"/>
      <c r="F118" s="8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</row>
    <row r="119" ht="14.25" spans="1:43">
      <c r="A119" s="74"/>
      <c r="B119" s="20"/>
      <c r="C119" s="20"/>
      <c r="D119" s="20"/>
      <c r="E119" s="20"/>
      <c r="F119" s="8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</row>
    <row r="120" ht="14.25" spans="1:43">
      <c r="A120" s="74"/>
      <c r="B120" s="20"/>
      <c r="C120" s="20"/>
      <c r="D120" s="20"/>
      <c r="E120" s="20"/>
      <c r="F120" s="8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</row>
    <row r="121" ht="14.25" spans="1:43">
      <c r="A121" s="74"/>
      <c r="B121" s="20"/>
      <c r="C121" s="20"/>
      <c r="D121" s="20"/>
      <c r="E121" s="20"/>
      <c r="F121" s="8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</row>
    <row r="122" ht="14.25" spans="1:43">
      <c r="A122" s="74"/>
      <c r="B122" s="20"/>
      <c r="C122" s="20"/>
      <c r="D122" s="20"/>
      <c r="E122" s="20"/>
      <c r="F122" s="8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</row>
    <row r="123" ht="14.25" spans="1:43">
      <c r="A123" s="74"/>
      <c r="B123" s="20"/>
      <c r="C123" s="20"/>
      <c r="D123" s="20"/>
      <c r="E123" s="20"/>
      <c r="F123" s="8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</row>
    <row r="124" ht="14.25" spans="1:43">
      <c r="A124" s="74"/>
      <c r="B124" s="20"/>
      <c r="C124" s="20"/>
      <c r="D124" s="20"/>
      <c r="E124" s="20"/>
      <c r="F124" s="8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</row>
    <row r="125" ht="14.25" spans="1:43">
      <c r="A125" s="74"/>
      <c r="B125" s="20"/>
      <c r="C125" s="20"/>
      <c r="D125" s="20"/>
      <c r="E125" s="20"/>
      <c r="F125" s="8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</row>
    <row r="126" ht="14.25" spans="1:43">
      <c r="A126" s="74"/>
      <c r="B126" s="20"/>
      <c r="C126" s="20"/>
      <c r="D126" s="20"/>
      <c r="E126" s="20"/>
      <c r="F126" s="8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</row>
    <row r="127" ht="14.25" spans="1:43">
      <c r="A127" s="74"/>
      <c r="B127" s="20"/>
      <c r="C127" s="20"/>
      <c r="D127" s="20"/>
      <c r="E127" s="20"/>
      <c r="F127" s="8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</row>
    <row r="128" ht="14.25" spans="1:43">
      <c r="A128" s="74"/>
      <c r="B128" s="20"/>
      <c r="C128" s="20"/>
      <c r="D128" s="20"/>
      <c r="E128" s="20"/>
      <c r="F128" s="8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</row>
    <row r="129" ht="14.25" spans="1:43">
      <c r="A129" s="74"/>
      <c r="B129" s="20"/>
      <c r="C129" s="20"/>
      <c r="D129" s="20"/>
      <c r="E129" s="20"/>
      <c r="F129" s="8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</row>
    <row r="130" ht="14.25" spans="1:43">
      <c r="A130" s="74"/>
      <c r="B130" s="20"/>
      <c r="C130" s="20"/>
      <c r="D130" s="20"/>
      <c r="E130" s="20"/>
      <c r="F130" s="8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</row>
    <row r="131" ht="14.25" spans="1:43">
      <c r="A131" s="74"/>
      <c r="B131" s="20"/>
      <c r="C131" s="20"/>
      <c r="D131" s="20"/>
      <c r="E131" s="20"/>
      <c r="F131" s="8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</row>
    <row r="132" ht="14.25" spans="1:43">
      <c r="A132" s="74"/>
      <c r="B132" s="20"/>
      <c r="C132" s="20"/>
      <c r="D132" s="20"/>
      <c r="E132" s="20"/>
      <c r="F132" s="8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</row>
    <row r="133" ht="14.25" spans="1:43">
      <c r="A133" s="74"/>
      <c r="B133" s="20"/>
      <c r="C133" s="20"/>
      <c r="D133" s="20"/>
      <c r="E133" s="20"/>
      <c r="F133" s="8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</row>
    <row r="134" ht="14.25" spans="1:43">
      <c r="A134" s="74"/>
      <c r="B134" s="20"/>
      <c r="C134" s="20"/>
      <c r="D134" s="20"/>
      <c r="E134" s="20"/>
      <c r="F134" s="8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</row>
    <row r="135" ht="14.25" spans="1:43">
      <c r="A135" s="74"/>
      <c r="B135" s="20"/>
      <c r="C135" s="20"/>
      <c r="D135" s="20"/>
      <c r="E135" s="20"/>
      <c r="F135" s="8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</row>
    <row r="136" ht="14.25" spans="1:43">
      <c r="A136" s="74"/>
      <c r="B136" s="20"/>
      <c r="C136" s="20"/>
      <c r="D136" s="20"/>
      <c r="E136" s="20"/>
      <c r="F136" s="8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</row>
    <row r="137" ht="14.25" spans="1:43">
      <c r="A137" s="74"/>
      <c r="B137" s="20"/>
      <c r="C137" s="20"/>
      <c r="D137" s="20"/>
      <c r="E137" s="20"/>
      <c r="F137" s="8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</row>
    <row r="138" ht="14.25" spans="1:43">
      <c r="A138" s="74"/>
      <c r="B138" s="20"/>
      <c r="C138" s="20"/>
      <c r="D138" s="20"/>
      <c r="E138" s="20"/>
      <c r="F138" s="8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</row>
    <row r="139" ht="14.25" spans="1:43">
      <c r="A139" s="74"/>
      <c r="B139" s="20"/>
      <c r="C139" s="20"/>
      <c r="D139" s="20"/>
      <c r="E139" s="20"/>
      <c r="F139" s="8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</row>
    <row r="140" ht="14.25" spans="1:43">
      <c r="A140" s="74"/>
      <c r="B140" s="20"/>
      <c r="C140" s="20"/>
      <c r="D140" s="20"/>
      <c r="E140" s="20"/>
      <c r="F140" s="8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</row>
    <row r="141" ht="14.25" spans="1:43">
      <c r="A141" s="74"/>
      <c r="B141" s="20"/>
      <c r="C141" s="20"/>
      <c r="D141" s="20"/>
      <c r="E141" s="20"/>
      <c r="F141" s="8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</row>
    <row r="142" ht="14.25" spans="1:43">
      <c r="A142" s="74"/>
      <c r="B142" s="20"/>
      <c r="C142" s="20"/>
      <c r="D142" s="20"/>
      <c r="E142" s="20"/>
      <c r="F142" s="8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</row>
    <row r="143" ht="14.25" spans="1:43">
      <c r="A143" s="74"/>
      <c r="B143" s="20"/>
      <c r="C143" s="20"/>
      <c r="D143" s="20"/>
      <c r="E143" s="20"/>
      <c r="F143" s="8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</row>
    <row r="144" ht="14.25" spans="1:43">
      <c r="A144" s="74"/>
      <c r="B144" s="20"/>
      <c r="C144" s="20"/>
      <c r="D144" s="20"/>
      <c r="E144" s="20"/>
      <c r="F144" s="8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</row>
    <row r="145" ht="14.25" spans="1:43">
      <c r="A145" s="74"/>
      <c r="B145" s="20"/>
      <c r="C145" s="20"/>
      <c r="D145" s="20"/>
      <c r="E145" s="20"/>
      <c r="F145" s="8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</row>
    <row r="146" ht="14.25" spans="1:43">
      <c r="A146" s="74"/>
      <c r="B146" s="20"/>
      <c r="C146" s="20"/>
      <c r="D146" s="20"/>
      <c r="E146" s="20"/>
      <c r="F146" s="8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</row>
    <row r="147" ht="14.25" spans="1:43">
      <c r="A147" s="74"/>
      <c r="B147" s="20"/>
      <c r="C147" s="20"/>
      <c r="D147" s="20"/>
      <c r="E147" s="20"/>
      <c r="F147" s="8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</row>
    <row r="148" ht="14.25" spans="1:43">
      <c r="A148" s="74"/>
      <c r="B148" s="20"/>
      <c r="C148" s="20"/>
      <c r="D148" s="20"/>
      <c r="E148" s="20"/>
      <c r="F148" s="8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</row>
    <row r="149" ht="14.25" spans="1:43">
      <c r="A149" s="74"/>
      <c r="B149" s="20"/>
      <c r="C149" s="20"/>
      <c r="D149" s="20"/>
      <c r="E149" s="20"/>
      <c r="F149" s="8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</row>
    <row r="150" ht="14.25" spans="1:43">
      <c r="A150" s="74"/>
      <c r="B150" s="20"/>
      <c r="C150" s="20"/>
      <c r="D150" s="20"/>
      <c r="E150" s="20"/>
      <c r="F150" s="8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</row>
    <row r="151" ht="14.25" spans="1:43">
      <c r="A151" s="74"/>
      <c r="B151" s="20"/>
      <c r="C151" s="20"/>
      <c r="D151" s="20"/>
      <c r="E151" s="20"/>
      <c r="F151" s="8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</row>
    <row r="152" ht="14.25" spans="1:43">
      <c r="A152" s="74"/>
      <c r="B152" s="20"/>
      <c r="C152" s="20"/>
      <c r="D152" s="20"/>
      <c r="E152" s="20"/>
      <c r="F152" s="8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</row>
    <row r="153" ht="14.25" spans="1:43">
      <c r="A153" s="74"/>
      <c r="B153" s="20"/>
      <c r="C153" s="20"/>
      <c r="D153" s="20"/>
      <c r="E153" s="20"/>
      <c r="F153" s="8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</row>
    <row r="154" ht="14.25" spans="1:43">
      <c r="A154" s="74"/>
      <c r="B154" s="20"/>
      <c r="C154" s="20"/>
      <c r="D154" s="20"/>
      <c r="E154" s="20"/>
      <c r="F154" s="8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</row>
    <row r="155" ht="14.25" spans="1:43">
      <c r="A155" s="74"/>
      <c r="B155" s="20"/>
      <c r="C155" s="20"/>
      <c r="D155" s="20"/>
      <c r="E155" s="20"/>
      <c r="F155" s="8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</row>
    <row r="156" ht="14.25" spans="1:43">
      <c r="A156" s="74"/>
      <c r="B156" s="20"/>
      <c r="C156" s="20"/>
      <c r="D156" s="20"/>
      <c r="E156" s="20"/>
      <c r="F156" s="8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</row>
    <row r="157" ht="14.25" spans="1:43">
      <c r="A157" s="74"/>
      <c r="B157" s="20"/>
      <c r="C157" s="20"/>
      <c r="D157" s="20"/>
      <c r="E157" s="20"/>
      <c r="F157" s="8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</row>
    <row r="158" ht="14.25" spans="1:43">
      <c r="A158" s="74"/>
      <c r="B158" s="20"/>
      <c r="C158" s="20"/>
      <c r="D158" s="20"/>
      <c r="E158" s="20"/>
      <c r="F158" s="8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</row>
    <row r="159" ht="14.25" spans="1:43">
      <c r="A159" s="74"/>
      <c r="B159" s="20"/>
      <c r="C159" s="20"/>
      <c r="D159" s="20"/>
      <c r="E159" s="20"/>
      <c r="F159" s="8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</row>
    <row r="160" ht="14.25" spans="1:43">
      <c r="A160" s="74"/>
      <c r="B160" s="20"/>
      <c r="C160" s="20"/>
      <c r="D160" s="20"/>
      <c r="E160" s="20"/>
      <c r="F160" s="8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</row>
    <row r="161" ht="14.25" spans="1:43">
      <c r="A161" s="74"/>
      <c r="B161" s="20"/>
      <c r="C161" s="20"/>
      <c r="D161" s="20"/>
      <c r="E161" s="20"/>
      <c r="F161" s="8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</row>
    <row r="162" ht="14.25" spans="1:43">
      <c r="A162" s="74"/>
      <c r="B162" s="20"/>
      <c r="C162" s="20"/>
      <c r="D162" s="20"/>
      <c r="E162" s="20"/>
      <c r="F162" s="8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</row>
    <row r="163" ht="14.25" spans="1:43">
      <c r="A163" s="74"/>
      <c r="B163" s="20"/>
      <c r="C163" s="20"/>
      <c r="D163" s="20"/>
      <c r="E163" s="20"/>
      <c r="F163" s="8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</row>
    <row r="164" ht="14.25" spans="1:43">
      <c r="A164" s="74"/>
      <c r="B164" s="20"/>
      <c r="C164" s="20"/>
      <c r="D164" s="20"/>
      <c r="E164" s="20"/>
      <c r="F164" s="8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</row>
    <row r="165" ht="14.25" spans="1:43">
      <c r="A165" s="74"/>
      <c r="B165" s="20"/>
      <c r="C165" s="20"/>
      <c r="D165" s="20"/>
      <c r="E165" s="20"/>
      <c r="F165" s="8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</row>
    <row r="166" ht="14.25" spans="1:43">
      <c r="A166" s="74"/>
      <c r="B166" s="20"/>
      <c r="C166" s="20"/>
      <c r="D166" s="20"/>
      <c r="E166" s="20"/>
      <c r="F166" s="8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</row>
    <row r="167" ht="14.25" spans="1:43">
      <c r="A167" s="74"/>
      <c r="B167" s="20"/>
      <c r="C167" s="20"/>
      <c r="D167" s="20"/>
      <c r="E167" s="20"/>
      <c r="F167" s="8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</row>
    <row r="168" ht="14.25" spans="1:43">
      <c r="A168" s="74"/>
      <c r="B168" s="20"/>
      <c r="C168" s="20"/>
      <c r="D168" s="20"/>
      <c r="E168" s="20"/>
      <c r="F168" s="8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</row>
    <row r="169" ht="14.25" spans="1:43">
      <c r="A169" s="74"/>
      <c r="B169" s="20"/>
      <c r="C169" s="20"/>
      <c r="D169" s="20"/>
      <c r="E169" s="20"/>
      <c r="F169" s="8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</row>
    <row r="170" ht="14.25" spans="1:43">
      <c r="A170" s="74"/>
      <c r="B170" s="20"/>
      <c r="C170" s="20"/>
      <c r="D170" s="20"/>
      <c r="E170" s="20"/>
      <c r="F170" s="8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</row>
    <row r="171" ht="14.25" spans="1:43">
      <c r="A171" s="74"/>
      <c r="B171" s="20"/>
      <c r="C171" s="20"/>
      <c r="D171" s="20"/>
      <c r="E171" s="20"/>
      <c r="F171" s="8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</row>
    <row r="172" ht="14.25" spans="1:43">
      <c r="A172" s="74"/>
      <c r="B172" s="20"/>
      <c r="C172" s="20"/>
      <c r="D172" s="20"/>
      <c r="E172" s="20"/>
      <c r="F172" s="8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</row>
    <row r="173" ht="14.25" spans="1:43">
      <c r="A173" s="74"/>
      <c r="B173" s="20"/>
      <c r="C173" s="20"/>
      <c r="D173" s="20"/>
      <c r="E173" s="20"/>
      <c r="F173" s="8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</row>
    <row r="174" ht="14.25" spans="1:43">
      <c r="A174" s="74"/>
      <c r="B174" s="20"/>
      <c r="C174" s="20"/>
      <c r="D174" s="20"/>
      <c r="E174" s="20"/>
      <c r="F174" s="8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</row>
    <row r="175" ht="14.25" spans="1:43">
      <c r="A175" s="74"/>
      <c r="B175" s="20"/>
      <c r="C175" s="20"/>
      <c r="D175" s="20"/>
      <c r="E175" s="20"/>
      <c r="F175" s="8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</row>
    <row r="176" ht="14.25" spans="1:43">
      <c r="A176" s="74"/>
      <c r="B176" s="20"/>
      <c r="C176" s="20"/>
      <c r="D176" s="20"/>
      <c r="E176" s="20"/>
      <c r="F176" s="8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</row>
    <row r="177" ht="14.25" spans="1:43">
      <c r="A177" s="74"/>
      <c r="B177" s="20"/>
      <c r="C177" s="20"/>
      <c r="D177" s="20"/>
      <c r="E177" s="20"/>
      <c r="F177" s="8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</row>
    <row r="178" ht="14.25" spans="1:43">
      <c r="A178" s="74"/>
      <c r="B178" s="20"/>
      <c r="C178" s="20"/>
      <c r="D178" s="20"/>
      <c r="E178" s="20"/>
      <c r="F178" s="8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</row>
    <row r="179" ht="14.25" spans="1:43">
      <c r="A179" s="74"/>
      <c r="B179" s="20"/>
      <c r="C179" s="20"/>
      <c r="D179" s="20"/>
      <c r="E179" s="20"/>
      <c r="F179" s="8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</row>
    <row r="180" ht="14.25" spans="1:43">
      <c r="A180" s="74"/>
      <c r="B180" s="20"/>
      <c r="C180" s="20"/>
      <c r="D180" s="20"/>
      <c r="E180" s="20"/>
      <c r="F180" s="8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</row>
    <row r="181" ht="14.25" spans="1:43">
      <c r="A181" s="74"/>
      <c r="B181" s="20"/>
      <c r="C181" s="20"/>
      <c r="D181" s="20"/>
      <c r="E181" s="20"/>
      <c r="F181" s="8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</row>
    <row r="182" ht="14.25" spans="1:43">
      <c r="A182" s="74"/>
      <c r="B182" s="20"/>
      <c r="C182" s="20"/>
      <c r="D182" s="20"/>
      <c r="E182" s="20"/>
      <c r="F182" s="8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</row>
    <row r="183" ht="14.25" spans="1:43">
      <c r="A183" s="74"/>
      <c r="B183" s="20"/>
      <c r="C183" s="20"/>
      <c r="D183" s="20"/>
      <c r="E183" s="20"/>
      <c r="F183" s="8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</row>
    <row r="184" ht="14.25" spans="1:43">
      <c r="A184" s="74"/>
      <c r="B184" s="20"/>
      <c r="C184" s="20"/>
      <c r="D184" s="20"/>
      <c r="E184" s="20"/>
      <c r="F184" s="8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</row>
    <row r="185" ht="14.25" spans="1:43">
      <c r="A185" s="74"/>
      <c r="B185" s="20"/>
      <c r="C185" s="20"/>
      <c r="D185" s="20"/>
      <c r="E185" s="20"/>
      <c r="F185" s="8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</row>
    <row r="186" ht="14.25" spans="1:43">
      <c r="A186" s="74"/>
      <c r="B186" s="20"/>
      <c r="C186" s="20"/>
      <c r="D186" s="20"/>
      <c r="E186" s="20"/>
      <c r="F186" s="8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</row>
    <row r="187" ht="14.25" spans="1:43">
      <c r="A187" s="74"/>
      <c r="B187" s="20"/>
      <c r="C187" s="20"/>
      <c r="D187" s="20"/>
      <c r="E187" s="20"/>
      <c r="F187" s="8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</row>
    <row r="188" ht="14.25" spans="1:43">
      <c r="A188" s="74"/>
      <c r="B188" s="20"/>
      <c r="C188" s="20"/>
      <c r="D188" s="20"/>
      <c r="E188" s="20"/>
      <c r="F188" s="8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</row>
    <row r="189" ht="14.25" spans="1:43">
      <c r="A189" s="74"/>
      <c r="B189" s="20"/>
      <c r="C189" s="20"/>
      <c r="D189" s="20"/>
      <c r="E189" s="20"/>
      <c r="F189" s="8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</row>
    <row r="190" ht="14.25" spans="1:43">
      <c r="A190" s="74"/>
      <c r="B190" s="20"/>
      <c r="C190" s="20"/>
      <c r="D190" s="20"/>
      <c r="E190" s="20"/>
      <c r="F190" s="8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</row>
    <row r="191" ht="14.25" spans="1:43">
      <c r="A191" s="74"/>
      <c r="B191" s="20"/>
      <c r="C191" s="20"/>
      <c r="D191" s="20"/>
      <c r="E191" s="20"/>
      <c r="F191" s="8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</row>
    <row r="192" ht="14.25" spans="1:43">
      <c r="A192" s="74"/>
      <c r="B192" s="20"/>
      <c r="C192" s="20"/>
      <c r="D192" s="20"/>
      <c r="E192" s="20"/>
      <c r="F192" s="8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</row>
    <row r="193" ht="14.25" spans="1:43">
      <c r="A193" s="74"/>
      <c r="B193" s="20"/>
      <c r="C193" s="20"/>
      <c r="D193" s="20"/>
      <c r="E193" s="20"/>
      <c r="F193" s="8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</row>
    <row r="194" ht="14.25" spans="1:43">
      <c r="A194" s="74"/>
      <c r="B194" s="20"/>
      <c r="C194" s="20"/>
      <c r="D194" s="20"/>
      <c r="E194" s="20"/>
      <c r="F194" s="8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</row>
    <row r="195" ht="14.25" spans="1:43">
      <c r="A195" s="74"/>
      <c r="B195" s="20"/>
      <c r="C195" s="20"/>
      <c r="D195" s="20"/>
      <c r="E195" s="20"/>
      <c r="F195" s="8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</row>
    <row r="196" ht="14.25" spans="1:43">
      <c r="A196" s="74"/>
      <c r="B196" s="20"/>
      <c r="C196" s="20"/>
      <c r="D196" s="20"/>
      <c r="E196" s="20"/>
      <c r="F196" s="8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</row>
    <row r="197" ht="14.25" spans="1:43">
      <c r="A197" s="74"/>
      <c r="B197" s="20"/>
      <c r="C197" s="20"/>
      <c r="D197" s="20"/>
      <c r="E197" s="20"/>
      <c r="F197" s="8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</row>
    <row r="198" ht="14.25" spans="1:43">
      <c r="A198" s="74"/>
      <c r="B198" s="20"/>
      <c r="C198" s="20"/>
      <c r="D198" s="20"/>
      <c r="E198" s="20"/>
      <c r="F198" s="8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</row>
    <row r="199" ht="14.25" spans="1:43">
      <c r="A199" s="74"/>
      <c r="B199" s="20"/>
      <c r="C199" s="20"/>
      <c r="D199" s="20"/>
      <c r="E199" s="20"/>
      <c r="F199" s="8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</row>
    <row r="200" ht="14.25" spans="1:43">
      <c r="A200" s="74"/>
      <c r="B200" s="20"/>
      <c r="C200" s="20"/>
      <c r="D200" s="20"/>
      <c r="E200" s="20"/>
      <c r="F200" s="8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</row>
    <row r="201" ht="14.25" spans="1:43">
      <c r="A201" s="74"/>
      <c r="B201" s="20"/>
      <c r="C201" s="20"/>
      <c r="D201" s="20"/>
      <c r="E201" s="20"/>
      <c r="F201" s="8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</row>
    <row r="202" ht="14.25" spans="1:43">
      <c r="A202" s="74"/>
      <c r="B202" s="20"/>
      <c r="C202" s="20"/>
      <c r="D202" s="20"/>
      <c r="E202" s="20"/>
      <c r="F202" s="8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</row>
    <row r="203" ht="14.25" spans="1:43">
      <c r="A203" s="74"/>
      <c r="B203" s="20"/>
      <c r="C203" s="20"/>
      <c r="D203" s="20"/>
      <c r="E203" s="20"/>
      <c r="F203" s="8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</row>
    <row r="204" ht="14.25" spans="1:43">
      <c r="A204" s="74"/>
      <c r="B204" s="20"/>
      <c r="C204" s="20"/>
      <c r="D204" s="20"/>
      <c r="E204" s="20"/>
      <c r="F204" s="8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</row>
    <row r="205" ht="14.25" spans="1:43">
      <c r="A205" s="74"/>
      <c r="B205" s="20"/>
      <c r="C205" s="20"/>
      <c r="D205" s="20"/>
      <c r="E205" s="20"/>
      <c r="F205" s="8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</row>
    <row r="206" ht="14.25" spans="1:43">
      <c r="A206" s="74"/>
      <c r="B206" s="20"/>
      <c r="C206" s="20"/>
      <c r="D206" s="20"/>
      <c r="E206" s="20"/>
      <c r="F206" s="8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</row>
    <row r="207" ht="14.25" spans="1:43">
      <c r="A207" s="74"/>
      <c r="B207" s="20"/>
      <c r="C207" s="20"/>
      <c r="D207" s="20"/>
      <c r="E207" s="20"/>
      <c r="F207" s="8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</row>
    <row r="208" ht="14.25" spans="1:43">
      <c r="A208" s="74"/>
      <c r="B208" s="20"/>
      <c r="C208" s="20"/>
      <c r="D208" s="20"/>
      <c r="E208" s="20"/>
      <c r="F208" s="8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</row>
    <row r="209" ht="14.25" spans="1:43">
      <c r="A209" s="74"/>
      <c r="B209" s="20"/>
      <c r="C209" s="20"/>
      <c r="D209" s="20"/>
      <c r="E209" s="20"/>
      <c r="F209" s="8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</row>
    <row r="210" ht="14.25" spans="1:43">
      <c r="A210" s="74"/>
      <c r="B210" s="20"/>
      <c r="C210" s="20"/>
      <c r="D210" s="20"/>
      <c r="E210" s="20"/>
      <c r="F210" s="8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</row>
    <row r="211" ht="14.25" spans="1:43">
      <c r="A211" s="74"/>
      <c r="B211" s="20"/>
      <c r="C211" s="20"/>
      <c r="D211" s="20"/>
      <c r="E211" s="20"/>
      <c r="F211" s="8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</row>
    <row r="212" ht="14.25" spans="1:43">
      <c r="A212" s="74"/>
      <c r="B212" s="20"/>
      <c r="C212" s="20"/>
      <c r="D212" s="20"/>
      <c r="E212" s="20"/>
      <c r="F212" s="8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</row>
    <row r="213" ht="14.25" spans="1:43">
      <c r="A213" s="74"/>
      <c r="B213" s="20"/>
      <c r="C213" s="20"/>
      <c r="D213" s="20"/>
      <c r="E213" s="20"/>
      <c r="F213" s="8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</row>
    <row r="214" ht="14.25" spans="1:43">
      <c r="A214" s="74"/>
      <c r="B214" s="20"/>
      <c r="C214" s="20"/>
      <c r="D214" s="20"/>
      <c r="E214" s="20"/>
      <c r="F214" s="8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</row>
    <row r="215" ht="14.25" spans="1:43">
      <c r="A215" s="74"/>
      <c r="B215" s="20"/>
      <c r="C215" s="20"/>
      <c r="D215" s="20"/>
      <c r="E215" s="20"/>
      <c r="F215" s="8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</row>
    <row r="216" ht="14.25" spans="1:43">
      <c r="A216" s="74"/>
      <c r="B216" s="20"/>
      <c r="C216" s="20"/>
      <c r="D216" s="20"/>
      <c r="E216" s="20"/>
      <c r="F216" s="8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</row>
    <row r="217" ht="14.25" spans="1:43">
      <c r="A217" s="74"/>
      <c r="B217" s="20"/>
      <c r="C217" s="20"/>
      <c r="D217" s="20"/>
      <c r="E217" s="20"/>
      <c r="F217" s="8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</row>
    <row r="218" ht="14.25" spans="1:43">
      <c r="A218" s="74"/>
      <c r="B218" s="20"/>
      <c r="C218" s="20"/>
      <c r="D218" s="20"/>
      <c r="E218" s="20"/>
      <c r="F218" s="8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</row>
    <row r="219" ht="14.25" spans="1:43">
      <c r="A219" s="74"/>
      <c r="B219" s="20"/>
      <c r="C219" s="20"/>
      <c r="D219" s="20"/>
      <c r="E219" s="20"/>
      <c r="F219" s="8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</row>
    <row r="220" ht="14.25" spans="1:43">
      <c r="A220" s="74"/>
      <c r="B220" s="20"/>
      <c r="C220" s="20"/>
      <c r="D220" s="20"/>
      <c r="E220" s="20"/>
      <c r="F220" s="8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</row>
    <row r="221" ht="14.25" spans="1:43">
      <c r="A221" s="74"/>
      <c r="B221" s="20"/>
      <c r="C221" s="20"/>
      <c r="D221" s="20"/>
      <c r="E221" s="20"/>
      <c r="F221" s="8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</row>
    <row r="222" ht="14.25" spans="1:43">
      <c r="A222" s="74"/>
      <c r="B222" s="20"/>
      <c r="C222" s="20"/>
      <c r="D222" s="20"/>
      <c r="E222" s="20"/>
      <c r="F222" s="8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</row>
    <row r="223" ht="14.25" spans="1:43">
      <c r="A223" s="74"/>
      <c r="B223" s="20"/>
      <c r="C223" s="20"/>
      <c r="D223" s="20"/>
      <c r="E223" s="20"/>
      <c r="F223" s="8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</row>
    <row r="224" ht="14.25" spans="1:43">
      <c r="A224" s="74"/>
      <c r="B224" s="20"/>
      <c r="C224" s="20"/>
      <c r="D224" s="20"/>
      <c r="E224" s="20"/>
      <c r="F224" s="8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</row>
    <row r="225" ht="14.25" spans="1:43">
      <c r="A225" s="74"/>
      <c r="B225" s="20"/>
      <c r="C225" s="20"/>
      <c r="D225" s="20"/>
      <c r="E225" s="20"/>
      <c r="F225" s="8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</row>
    <row r="226" ht="14.25" spans="1:43">
      <c r="A226" s="74"/>
      <c r="B226" s="20"/>
      <c r="C226" s="20"/>
      <c r="D226" s="20"/>
      <c r="E226" s="20"/>
      <c r="F226" s="8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</row>
    <row r="227" ht="14.25" spans="1:43">
      <c r="A227" s="74"/>
      <c r="B227" s="20"/>
      <c r="C227" s="20"/>
      <c r="D227" s="20"/>
      <c r="E227" s="20"/>
      <c r="F227" s="8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</row>
    <row r="228" ht="14.25" spans="1:43">
      <c r="A228" s="74"/>
      <c r="B228" s="20"/>
      <c r="C228" s="20"/>
      <c r="D228" s="20"/>
      <c r="E228" s="20"/>
      <c r="F228" s="8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</row>
    <row r="229" ht="14.25" spans="1:43">
      <c r="A229" s="74"/>
      <c r="B229" s="20"/>
      <c r="C229" s="20"/>
      <c r="D229" s="20"/>
      <c r="E229" s="20"/>
      <c r="F229" s="8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</row>
    <row r="230" ht="14.25" spans="1:43">
      <c r="A230" s="74"/>
      <c r="B230" s="20"/>
      <c r="C230" s="20"/>
      <c r="D230" s="20"/>
      <c r="E230" s="20"/>
      <c r="F230" s="8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</row>
    <row r="231" ht="14.25" spans="1:43">
      <c r="A231" s="74"/>
      <c r="B231" s="20"/>
      <c r="C231" s="20"/>
      <c r="D231" s="20"/>
      <c r="E231" s="20"/>
      <c r="F231" s="8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</row>
    <row r="232" ht="14.25" spans="1:43">
      <c r="A232" s="74"/>
      <c r="B232" s="20"/>
      <c r="C232" s="20"/>
      <c r="D232" s="20"/>
      <c r="E232" s="20"/>
      <c r="F232" s="8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</row>
    <row r="233" ht="14.25" spans="1:43">
      <c r="A233" s="74"/>
      <c r="B233" s="20"/>
      <c r="C233" s="20"/>
      <c r="D233" s="20"/>
      <c r="E233" s="20"/>
      <c r="F233" s="8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</row>
    <row r="234" ht="14.25" spans="1:43">
      <c r="A234" s="74"/>
      <c r="B234" s="20"/>
      <c r="C234" s="20"/>
      <c r="D234" s="20"/>
      <c r="E234" s="20"/>
      <c r="F234" s="8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</row>
    <row r="235" ht="14.25" spans="1:43">
      <c r="A235" s="74"/>
      <c r="B235" s="20"/>
      <c r="C235" s="20"/>
      <c r="D235" s="20"/>
      <c r="E235" s="20"/>
      <c r="F235" s="8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</row>
    <row r="236" ht="14.25" spans="1:43">
      <c r="A236" s="74"/>
      <c r="B236" s="20"/>
      <c r="C236" s="20"/>
      <c r="D236" s="20"/>
      <c r="E236" s="20"/>
      <c r="F236" s="8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</row>
    <row r="237" ht="14.25" spans="1:43">
      <c r="A237" s="74"/>
      <c r="B237" s="20"/>
      <c r="C237" s="20"/>
      <c r="D237" s="20"/>
      <c r="E237" s="20"/>
      <c r="F237" s="8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</row>
    <row r="238" ht="14.25" spans="1:43">
      <c r="A238" s="74"/>
      <c r="B238" s="20"/>
      <c r="C238" s="20"/>
      <c r="D238" s="20"/>
      <c r="E238" s="20"/>
      <c r="F238" s="8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</row>
    <row r="239" ht="14.25" spans="1:43">
      <c r="A239" s="74"/>
      <c r="B239" s="20"/>
      <c r="C239" s="20"/>
      <c r="D239" s="20"/>
      <c r="E239" s="20"/>
      <c r="F239" s="8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</row>
    <row r="240" ht="14.25" spans="1:43">
      <c r="A240" s="74"/>
      <c r="B240" s="20"/>
      <c r="C240" s="20"/>
      <c r="D240" s="20"/>
      <c r="E240" s="20"/>
      <c r="F240" s="8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</row>
    <row r="241" ht="14.25" spans="1:43">
      <c r="A241" s="74"/>
      <c r="B241" s="20"/>
      <c r="C241" s="20"/>
      <c r="D241" s="20"/>
      <c r="E241" s="20"/>
      <c r="F241" s="8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</row>
    <row r="242" ht="14.25" spans="1:43">
      <c r="A242" s="74"/>
      <c r="B242" s="20"/>
      <c r="C242" s="20"/>
      <c r="D242" s="20"/>
      <c r="E242" s="20"/>
      <c r="F242" s="8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</row>
    <row r="243" ht="14.25" spans="1:43">
      <c r="A243" s="74"/>
      <c r="B243" s="20"/>
      <c r="C243" s="20"/>
      <c r="D243" s="20"/>
      <c r="E243" s="20"/>
      <c r="F243" s="8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</row>
    <row r="244" ht="14.25" spans="1:43">
      <c r="A244" s="74"/>
      <c r="B244" s="20"/>
      <c r="C244" s="20"/>
      <c r="D244" s="20"/>
      <c r="E244" s="20"/>
      <c r="F244" s="8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</row>
    <row r="245" ht="14.25" spans="1:43">
      <c r="A245" s="74"/>
      <c r="B245" s="20"/>
      <c r="C245" s="20"/>
      <c r="D245" s="20"/>
      <c r="E245" s="20"/>
      <c r="F245" s="8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</row>
    <row r="246" ht="14.25" spans="1:43">
      <c r="A246" s="74"/>
      <c r="B246" s="20"/>
      <c r="C246" s="20"/>
      <c r="D246" s="20"/>
      <c r="E246" s="20"/>
      <c r="F246" s="8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</row>
    <row r="247" ht="14.25" spans="1:43">
      <c r="A247" s="74"/>
      <c r="B247" s="20"/>
      <c r="C247" s="20"/>
      <c r="D247" s="20"/>
      <c r="E247" s="20"/>
      <c r="F247" s="8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</row>
    <row r="248" ht="14.25" spans="1:43">
      <c r="A248" s="74"/>
      <c r="B248" s="20"/>
      <c r="C248" s="20"/>
      <c r="D248" s="20"/>
      <c r="E248" s="20"/>
      <c r="F248" s="8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</row>
    <row r="249" ht="14.25" spans="1:43">
      <c r="A249" s="74"/>
      <c r="B249" s="20"/>
      <c r="C249" s="20"/>
      <c r="D249" s="20"/>
      <c r="E249" s="20"/>
      <c r="F249" s="8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</row>
    <row r="250" ht="14.25" spans="1:43">
      <c r="A250" s="74"/>
      <c r="B250" s="20"/>
      <c r="C250" s="20"/>
      <c r="D250" s="20"/>
      <c r="E250" s="20"/>
      <c r="F250" s="8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</row>
    <row r="251" ht="14.25" spans="1:43">
      <c r="A251" s="74"/>
      <c r="B251" s="20"/>
      <c r="C251" s="20"/>
      <c r="D251" s="20"/>
      <c r="E251" s="20"/>
      <c r="F251" s="8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</row>
    <row r="252" ht="14.25" spans="1:43">
      <c r="A252" s="74"/>
      <c r="B252" s="20"/>
      <c r="C252" s="20"/>
      <c r="D252" s="20"/>
      <c r="E252" s="20"/>
      <c r="F252" s="8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</row>
    <row r="253" ht="14.25" spans="1:43">
      <c r="A253" s="74"/>
      <c r="B253" s="20"/>
      <c r="C253" s="20"/>
      <c r="D253" s="20"/>
      <c r="E253" s="20"/>
      <c r="F253" s="8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</row>
    <row r="254" ht="14.25" spans="1:43">
      <c r="A254" s="74"/>
      <c r="B254" s="20"/>
      <c r="C254" s="20"/>
      <c r="D254" s="20"/>
      <c r="E254" s="20"/>
      <c r="F254" s="8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</row>
    <row r="255" ht="14.25" spans="1:43">
      <c r="A255" s="74"/>
      <c r="B255" s="20"/>
      <c r="C255" s="20"/>
      <c r="D255" s="20"/>
      <c r="E255" s="20"/>
      <c r="F255" s="8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</row>
    <row r="256" ht="14.25" spans="1:43">
      <c r="A256" s="74"/>
      <c r="B256" s="20"/>
      <c r="C256" s="20"/>
      <c r="D256" s="20"/>
      <c r="E256" s="20"/>
      <c r="F256" s="8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</row>
    <row r="257" ht="14.25" spans="1:43">
      <c r="A257" s="74"/>
      <c r="B257" s="20"/>
      <c r="C257" s="20"/>
      <c r="D257" s="20"/>
      <c r="E257" s="20"/>
      <c r="F257" s="8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</row>
    <row r="258" ht="14.25" spans="1:43">
      <c r="A258" s="74"/>
      <c r="B258" s="20"/>
      <c r="C258" s="20"/>
      <c r="D258" s="20"/>
      <c r="E258" s="20"/>
      <c r="F258" s="8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</row>
    <row r="259" ht="14.25" spans="1:43">
      <c r="A259" s="74"/>
      <c r="B259" s="20"/>
      <c r="C259" s="20"/>
      <c r="D259" s="20"/>
      <c r="E259" s="20"/>
      <c r="F259" s="8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</row>
    <row r="260" ht="14.25" spans="1:43">
      <c r="A260" s="74"/>
      <c r="B260" s="20"/>
      <c r="C260" s="20"/>
      <c r="D260" s="20"/>
      <c r="E260" s="20"/>
      <c r="F260" s="8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</row>
    <row r="261" ht="14.25" spans="1:43">
      <c r="A261" s="74"/>
      <c r="B261" s="20"/>
      <c r="C261" s="20"/>
      <c r="D261" s="20"/>
      <c r="E261" s="20"/>
      <c r="F261" s="8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</row>
    <row r="262" ht="14.25" spans="1:43">
      <c r="A262" s="74"/>
      <c r="B262" s="20"/>
      <c r="C262" s="20"/>
      <c r="D262" s="20"/>
      <c r="E262" s="20"/>
      <c r="F262" s="8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</row>
    <row r="263" ht="14.25" spans="1:43">
      <c r="A263" s="74"/>
      <c r="B263" s="20"/>
      <c r="C263" s="20"/>
      <c r="D263" s="20"/>
      <c r="E263" s="20"/>
      <c r="F263" s="8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</row>
    <row r="264" ht="14.25" spans="1:43">
      <c r="A264" s="74"/>
      <c r="B264" s="20"/>
      <c r="C264" s="20"/>
      <c r="D264" s="20"/>
      <c r="E264" s="20"/>
      <c r="F264" s="8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</row>
    <row r="265" ht="14.25" spans="1:43">
      <c r="A265" s="74"/>
      <c r="B265" s="20"/>
      <c r="C265" s="20"/>
      <c r="D265" s="20"/>
      <c r="E265" s="20"/>
      <c r="F265" s="8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</row>
    <row r="266" ht="14.25" spans="1:43">
      <c r="A266" s="74"/>
      <c r="B266" s="20"/>
      <c r="C266" s="20"/>
      <c r="D266" s="20"/>
      <c r="E266" s="20"/>
      <c r="F266" s="8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</row>
    <row r="267" ht="14.25" spans="1:43">
      <c r="A267" s="74"/>
      <c r="B267" s="20"/>
      <c r="C267" s="20"/>
      <c r="D267" s="20"/>
      <c r="E267" s="20"/>
      <c r="F267" s="8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</row>
    <row r="268" ht="14.25" spans="1:43">
      <c r="A268" s="74"/>
      <c r="B268" s="20"/>
      <c r="C268" s="20"/>
      <c r="D268" s="20"/>
      <c r="E268" s="20"/>
      <c r="F268" s="8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</row>
    <row r="269" ht="14.25" spans="1:43">
      <c r="A269" s="74"/>
      <c r="B269" s="20"/>
      <c r="C269" s="20"/>
      <c r="D269" s="20"/>
      <c r="E269" s="20"/>
      <c r="F269" s="8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</row>
    <row r="270" ht="14.25" spans="1:43">
      <c r="A270" s="74"/>
      <c r="B270" s="20"/>
      <c r="C270" s="20"/>
      <c r="D270" s="20"/>
      <c r="E270" s="20"/>
      <c r="F270" s="8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</row>
    <row r="271" ht="14.25" spans="1:43">
      <c r="A271" s="74"/>
      <c r="B271" s="20"/>
      <c r="C271" s="20"/>
      <c r="D271" s="20"/>
      <c r="E271" s="20"/>
      <c r="F271" s="8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</row>
    <row r="272" ht="14.25" spans="1:43">
      <c r="A272" s="74"/>
      <c r="B272" s="20"/>
      <c r="C272" s="20"/>
      <c r="D272" s="20"/>
      <c r="E272" s="20"/>
      <c r="F272" s="8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</row>
    <row r="273" ht="14.25" spans="1:43">
      <c r="A273" s="74"/>
      <c r="B273" s="20"/>
      <c r="C273" s="20"/>
      <c r="D273" s="20"/>
      <c r="E273" s="20"/>
      <c r="F273" s="8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</row>
    <row r="274" ht="14.25" spans="1:43">
      <c r="A274" s="74"/>
      <c r="B274" s="20"/>
      <c r="C274" s="20"/>
      <c r="D274" s="20"/>
      <c r="E274" s="20"/>
      <c r="F274" s="8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</row>
    <row r="275" ht="14.25" spans="1:43">
      <c r="A275" s="74"/>
      <c r="B275" s="20"/>
      <c r="C275" s="20"/>
      <c r="D275" s="20"/>
      <c r="E275" s="20"/>
      <c r="F275" s="8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</row>
    <row r="276" ht="14.25" spans="1:43">
      <c r="A276" s="74"/>
      <c r="B276" s="20"/>
      <c r="C276" s="20"/>
      <c r="D276" s="20"/>
      <c r="E276" s="20"/>
      <c r="F276" s="8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</row>
    <row r="277" ht="14.25" spans="1:43">
      <c r="A277" s="74"/>
      <c r="B277" s="20"/>
      <c r="C277" s="20"/>
      <c r="D277" s="20"/>
      <c r="E277" s="20"/>
      <c r="F277" s="8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</row>
    <row r="278" ht="14.25" spans="1:43">
      <c r="A278" s="74"/>
      <c r="B278" s="20"/>
      <c r="C278" s="20"/>
      <c r="D278" s="20"/>
      <c r="E278" s="20"/>
      <c r="F278" s="8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</row>
    <row r="279" ht="14.25" spans="1:43">
      <c r="A279" s="74"/>
      <c r="B279" s="20"/>
      <c r="C279" s="20"/>
      <c r="D279" s="20"/>
      <c r="E279" s="20"/>
      <c r="F279" s="8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</row>
    <row r="280" ht="14.25" spans="1:43">
      <c r="A280" s="74"/>
      <c r="B280" s="20"/>
      <c r="C280" s="20"/>
      <c r="D280" s="20"/>
      <c r="E280" s="20"/>
      <c r="F280" s="8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</row>
    <row r="281" ht="14.25" spans="1:43">
      <c r="A281" s="74"/>
      <c r="B281" s="20"/>
      <c r="C281" s="20"/>
      <c r="D281" s="20"/>
      <c r="E281" s="20"/>
      <c r="F281" s="8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</row>
    <row r="282" ht="14.25" spans="1:43">
      <c r="A282" s="74"/>
      <c r="B282" s="20"/>
      <c r="C282" s="20"/>
      <c r="D282" s="20"/>
      <c r="E282" s="20"/>
      <c r="F282" s="8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</row>
    <row r="283" ht="14.25" spans="1:43">
      <c r="A283" s="74"/>
      <c r="B283" s="20"/>
      <c r="C283" s="20"/>
      <c r="D283" s="20"/>
      <c r="E283" s="20"/>
      <c r="F283" s="8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</row>
    <row r="284" ht="14.25" spans="1:43">
      <c r="A284" s="74"/>
      <c r="B284" s="20"/>
      <c r="C284" s="20"/>
      <c r="D284" s="20"/>
      <c r="E284" s="20"/>
      <c r="F284" s="8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</row>
    <row r="285" ht="14.25" spans="1:43">
      <c r="A285" s="74"/>
      <c r="B285" s="20"/>
      <c r="C285" s="20"/>
      <c r="D285" s="20"/>
      <c r="E285" s="20"/>
      <c r="F285" s="8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</row>
    <row r="286" ht="14.25" spans="1:43">
      <c r="A286" s="74"/>
      <c r="B286" s="20"/>
      <c r="C286" s="20"/>
      <c r="D286" s="20"/>
      <c r="E286" s="20"/>
      <c r="F286" s="8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</row>
    <row r="287" ht="14.25" spans="1:43">
      <c r="A287" s="74"/>
      <c r="B287" s="20"/>
      <c r="C287" s="20"/>
      <c r="D287" s="20"/>
      <c r="E287" s="20"/>
      <c r="F287" s="8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</row>
    <row r="288" ht="14.25" spans="1:43">
      <c r="A288" s="74"/>
      <c r="B288" s="20"/>
      <c r="C288" s="20"/>
      <c r="D288" s="20"/>
      <c r="E288" s="20"/>
      <c r="F288" s="8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</row>
    <row r="289" ht="14.25" spans="1:43">
      <c r="A289" s="74"/>
      <c r="B289" s="20"/>
      <c r="C289" s="20"/>
      <c r="D289" s="20"/>
      <c r="E289" s="20"/>
      <c r="F289" s="8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</row>
    <row r="290" ht="14.25" spans="1:43">
      <c r="A290" s="74"/>
      <c r="B290" s="20"/>
      <c r="C290" s="20"/>
      <c r="D290" s="20"/>
      <c r="E290" s="20"/>
      <c r="F290" s="8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</row>
    <row r="291" ht="14.25" spans="1:43">
      <c r="A291" s="74"/>
      <c r="B291" s="20"/>
      <c r="C291" s="20"/>
      <c r="D291" s="20"/>
      <c r="E291" s="20"/>
      <c r="F291" s="8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</row>
    <row r="292" ht="14.25" spans="1:43">
      <c r="A292" s="74"/>
      <c r="B292" s="20"/>
      <c r="C292" s="20"/>
      <c r="D292" s="20"/>
      <c r="E292" s="20"/>
      <c r="F292" s="8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</row>
    <row r="293" ht="14.25" spans="1:43">
      <c r="A293" s="74"/>
      <c r="B293" s="20"/>
      <c r="C293" s="20"/>
      <c r="D293" s="20"/>
      <c r="E293" s="20"/>
      <c r="F293" s="8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</row>
    <row r="294" ht="14.25" spans="1:43">
      <c r="A294" s="74"/>
      <c r="B294" s="20"/>
      <c r="C294" s="20"/>
      <c r="D294" s="20"/>
      <c r="E294" s="20"/>
      <c r="F294" s="8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</row>
    <row r="295" ht="14.25" spans="1:43">
      <c r="A295" s="74"/>
      <c r="B295" s="20"/>
      <c r="C295" s="20"/>
      <c r="D295" s="20"/>
      <c r="E295" s="20"/>
      <c r="F295" s="8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</row>
    <row r="296" ht="14.25" spans="1:43">
      <c r="A296" s="74"/>
      <c r="B296" s="20"/>
      <c r="C296" s="20"/>
      <c r="D296" s="20"/>
      <c r="E296" s="20"/>
      <c r="F296" s="8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</row>
    <row r="297" ht="14.25" spans="1:43">
      <c r="A297" s="74"/>
      <c r="B297" s="20"/>
      <c r="C297" s="20"/>
      <c r="D297" s="20"/>
      <c r="E297" s="20"/>
      <c r="F297" s="8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</row>
    <row r="298" ht="14.25" spans="1:43">
      <c r="A298" s="74"/>
      <c r="B298" s="20"/>
      <c r="C298" s="20"/>
      <c r="D298" s="20"/>
      <c r="E298" s="20"/>
      <c r="F298" s="8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</row>
    <row r="299" ht="14.25" spans="1:43">
      <c r="A299" s="74"/>
      <c r="B299" s="20"/>
      <c r="C299" s="20"/>
      <c r="D299" s="20"/>
      <c r="E299" s="20"/>
      <c r="F299" s="8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</row>
    <row r="300" ht="14.25" spans="1:43">
      <c r="A300" s="74"/>
      <c r="B300" s="20"/>
      <c r="C300" s="20"/>
      <c r="D300" s="20"/>
      <c r="E300" s="20"/>
      <c r="F300" s="8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</row>
    <row r="301" ht="14.25" spans="1:43">
      <c r="A301" s="74"/>
      <c r="B301" s="20"/>
      <c r="C301" s="20"/>
      <c r="D301" s="20"/>
      <c r="E301" s="20"/>
      <c r="F301" s="8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</row>
    <row r="302" ht="14.25" spans="1:43">
      <c r="A302" s="74"/>
      <c r="B302" s="20"/>
      <c r="C302" s="20"/>
      <c r="D302" s="20"/>
      <c r="E302" s="20"/>
      <c r="F302" s="8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</row>
    <row r="303" ht="14.25" spans="1:43">
      <c r="A303" s="74"/>
      <c r="B303" s="20"/>
      <c r="C303" s="20"/>
      <c r="D303" s="20"/>
      <c r="E303" s="20"/>
      <c r="F303" s="8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</row>
    <row r="304" ht="14.25" spans="1:43">
      <c r="A304" s="74"/>
      <c r="B304" s="20"/>
      <c r="C304" s="20"/>
      <c r="D304" s="20"/>
      <c r="E304" s="20"/>
      <c r="F304" s="8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</row>
    <row r="305" ht="14.25" spans="1:43">
      <c r="A305" s="74"/>
      <c r="B305" s="20"/>
      <c r="C305" s="20"/>
      <c r="D305" s="20"/>
      <c r="E305" s="20"/>
      <c r="F305" s="8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</row>
    <row r="306" ht="14.25" spans="1:43">
      <c r="A306" s="74"/>
      <c r="B306" s="20"/>
      <c r="C306" s="20"/>
      <c r="D306" s="20"/>
      <c r="E306" s="20"/>
      <c r="F306" s="8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</row>
    <row r="307" ht="14.25" spans="1:43">
      <c r="A307" s="74"/>
      <c r="B307" s="20"/>
      <c r="C307" s="20"/>
      <c r="D307" s="20"/>
      <c r="E307" s="20"/>
      <c r="F307" s="8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</row>
    <row r="308" ht="14.25" spans="1:43">
      <c r="A308" s="74"/>
      <c r="B308" s="20"/>
      <c r="C308" s="20"/>
      <c r="D308" s="20"/>
      <c r="E308" s="20"/>
      <c r="F308" s="8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</row>
    <row r="309" ht="14.25" spans="1:43">
      <c r="A309" s="74"/>
      <c r="B309" s="20"/>
      <c r="C309" s="20"/>
      <c r="D309" s="20"/>
      <c r="E309" s="20"/>
      <c r="F309" s="8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</row>
    <row r="310" ht="14.25" spans="1:43">
      <c r="A310" s="74"/>
      <c r="B310" s="20"/>
      <c r="C310" s="20"/>
      <c r="D310" s="20"/>
      <c r="E310" s="20"/>
      <c r="F310" s="8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</row>
    <row r="311" ht="14.25" spans="1:43">
      <c r="A311" s="74"/>
      <c r="B311" s="20"/>
      <c r="C311" s="20"/>
      <c r="D311" s="20"/>
      <c r="E311" s="20"/>
      <c r="F311" s="8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</row>
    <row r="312" ht="14.25" spans="1:43">
      <c r="A312" s="74"/>
      <c r="B312" s="20"/>
      <c r="C312" s="20"/>
      <c r="D312" s="20"/>
      <c r="E312" s="20"/>
      <c r="F312" s="8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</row>
    <row r="313" ht="14.25" spans="1:43">
      <c r="A313" s="74"/>
      <c r="B313" s="20"/>
      <c r="C313" s="20"/>
      <c r="D313" s="20"/>
      <c r="E313" s="20"/>
      <c r="F313" s="8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</row>
    <row r="314" ht="14.25" spans="1:43">
      <c r="A314" s="74"/>
      <c r="B314" s="20"/>
      <c r="C314" s="20"/>
      <c r="D314" s="20"/>
      <c r="E314" s="20"/>
      <c r="F314" s="8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</row>
    <row r="315" ht="14.25" spans="1:43">
      <c r="A315" s="74"/>
      <c r="B315" s="20"/>
      <c r="C315" s="20"/>
      <c r="D315" s="20"/>
      <c r="E315" s="20"/>
      <c r="F315" s="8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</row>
    <row r="316" ht="14.25" spans="1:43">
      <c r="A316" s="74"/>
      <c r="B316" s="20"/>
      <c r="C316" s="20"/>
      <c r="D316" s="20"/>
      <c r="E316" s="20"/>
      <c r="F316" s="8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</row>
    <row r="317" ht="14.25" spans="1:43">
      <c r="A317" s="74"/>
      <c r="B317" s="20"/>
      <c r="C317" s="20"/>
      <c r="D317" s="20"/>
      <c r="E317" s="20"/>
      <c r="F317" s="8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</row>
    <row r="318" ht="14.25" spans="1:43">
      <c r="A318" s="74"/>
      <c r="B318" s="20"/>
      <c r="C318" s="20"/>
      <c r="D318" s="20"/>
      <c r="E318" s="20"/>
      <c r="F318" s="8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</row>
    <row r="319" ht="14.25" spans="1:43">
      <c r="A319" s="74"/>
      <c r="B319" s="20"/>
      <c r="C319" s="20"/>
      <c r="D319" s="20"/>
      <c r="E319" s="20"/>
      <c r="F319" s="8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</row>
    <row r="320" ht="14.25" spans="1:43">
      <c r="A320" s="74"/>
      <c r="B320" s="20"/>
      <c r="C320" s="20"/>
      <c r="D320" s="20"/>
      <c r="E320" s="20"/>
      <c r="F320" s="8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</row>
    <row r="321" ht="14.25" spans="1:43">
      <c r="A321" s="74"/>
      <c r="B321" s="20"/>
      <c r="C321" s="20"/>
      <c r="D321" s="20"/>
      <c r="E321" s="20"/>
      <c r="F321" s="8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</row>
    <row r="322" ht="14.25" spans="1:43">
      <c r="A322" s="74"/>
      <c r="B322" s="20"/>
      <c r="C322" s="20"/>
      <c r="D322" s="20"/>
      <c r="E322" s="20"/>
      <c r="F322" s="8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</row>
    <row r="323" ht="14.25" spans="1:43">
      <c r="A323" s="74"/>
      <c r="B323" s="20"/>
      <c r="C323" s="20"/>
      <c r="D323" s="20"/>
      <c r="E323" s="20"/>
      <c r="F323" s="8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</row>
    <row r="324" ht="14.25" spans="1:43">
      <c r="A324" s="74"/>
      <c r="B324" s="20"/>
      <c r="C324" s="20"/>
      <c r="D324" s="20"/>
      <c r="E324" s="20"/>
      <c r="F324" s="8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</row>
    <row r="325" ht="14.25" spans="1:43">
      <c r="A325" s="74"/>
      <c r="B325" s="20"/>
      <c r="C325" s="20"/>
      <c r="D325" s="20"/>
      <c r="E325" s="20"/>
      <c r="F325" s="8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</row>
    <row r="326" ht="14.25" spans="1:43">
      <c r="A326" s="74"/>
      <c r="B326" s="20"/>
      <c r="C326" s="20"/>
      <c r="D326" s="20"/>
      <c r="E326" s="20"/>
      <c r="F326" s="8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</row>
    <row r="327" ht="14.25" spans="1:43">
      <c r="A327" s="74"/>
      <c r="B327" s="20"/>
      <c r="C327" s="20"/>
      <c r="D327" s="20"/>
      <c r="E327" s="20"/>
      <c r="F327" s="8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</row>
    <row r="328" ht="14.25" spans="1:43">
      <c r="A328" s="74"/>
      <c r="B328" s="20"/>
      <c r="C328" s="20"/>
      <c r="D328" s="20"/>
      <c r="E328" s="20"/>
      <c r="F328" s="8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</row>
    <row r="329" ht="14.25" spans="1:43">
      <c r="A329" s="74"/>
      <c r="B329" s="20"/>
      <c r="C329" s="20"/>
      <c r="D329" s="20"/>
      <c r="E329" s="20"/>
      <c r="F329" s="8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</row>
    <row r="330" ht="14.25" spans="1:43">
      <c r="A330" s="74"/>
      <c r="B330" s="20"/>
      <c r="C330" s="20"/>
      <c r="D330" s="20"/>
      <c r="E330" s="20"/>
      <c r="F330" s="8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</row>
    <row r="331" ht="14.25" spans="1:43">
      <c r="A331" s="74"/>
      <c r="B331" s="20"/>
      <c r="C331" s="20"/>
      <c r="D331" s="20"/>
      <c r="E331" s="20"/>
      <c r="F331" s="8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</row>
    <row r="332" ht="14.25" spans="1:43">
      <c r="A332" s="74"/>
      <c r="B332" s="20"/>
      <c r="C332" s="20"/>
      <c r="D332" s="20"/>
      <c r="E332" s="20"/>
      <c r="F332" s="8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</row>
    <row r="333" ht="14.25" spans="1:43">
      <c r="A333" s="74"/>
      <c r="B333" s="20"/>
      <c r="C333" s="20"/>
      <c r="D333" s="20"/>
      <c r="E333" s="20"/>
      <c r="F333" s="8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</row>
    <row r="334" ht="14.25" spans="1:43">
      <c r="A334" s="74"/>
      <c r="B334" s="20"/>
      <c r="C334" s="20"/>
      <c r="D334" s="20"/>
      <c r="E334" s="20"/>
      <c r="F334" s="8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</row>
    <row r="335" ht="14.25" spans="1:43">
      <c r="A335" s="74"/>
      <c r="B335" s="20"/>
      <c r="C335" s="20"/>
      <c r="D335" s="20"/>
      <c r="E335" s="20"/>
      <c r="F335" s="8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</row>
    <row r="336" ht="14.25" spans="1:43">
      <c r="A336" s="74"/>
      <c r="B336" s="20"/>
      <c r="C336" s="20"/>
      <c r="D336" s="20"/>
      <c r="E336" s="20"/>
      <c r="F336" s="8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</row>
    <row r="337" ht="14.25" spans="1:43">
      <c r="A337" s="74"/>
      <c r="B337" s="20"/>
      <c r="C337" s="20"/>
      <c r="D337" s="20"/>
      <c r="E337" s="20"/>
      <c r="F337" s="8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</row>
    <row r="338" ht="14.25" spans="1:43">
      <c r="A338" s="74"/>
      <c r="B338" s="20"/>
      <c r="C338" s="20"/>
      <c r="D338" s="20"/>
      <c r="E338" s="20"/>
      <c r="F338" s="8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</row>
    <row r="339" ht="14.25" spans="1:43">
      <c r="A339" s="74"/>
      <c r="B339" s="20"/>
      <c r="C339" s="20"/>
      <c r="D339" s="20"/>
      <c r="E339" s="20"/>
      <c r="F339" s="8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</row>
    <row r="340" ht="14.25" spans="1:43">
      <c r="A340" s="74"/>
      <c r="B340" s="20"/>
      <c r="C340" s="20"/>
      <c r="D340" s="20"/>
      <c r="E340" s="20"/>
      <c r="F340" s="8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</row>
    <row r="341" ht="14.25" spans="1:43">
      <c r="A341" s="74"/>
      <c r="B341" s="20"/>
      <c r="C341" s="20"/>
      <c r="D341" s="20"/>
      <c r="E341" s="20"/>
      <c r="F341" s="8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</row>
    <row r="342" ht="14.25" spans="1:43">
      <c r="A342" s="74"/>
      <c r="B342" s="20"/>
      <c r="C342" s="20"/>
      <c r="D342" s="20"/>
      <c r="E342" s="20"/>
      <c r="F342" s="8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</row>
    <row r="343" ht="14.25" spans="1:43">
      <c r="A343" s="74"/>
      <c r="B343" s="20"/>
      <c r="C343" s="20"/>
      <c r="D343" s="20"/>
      <c r="E343" s="20"/>
      <c r="F343" s="8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</row>
    <row r="344" ht="14.25" spans="1:43">
      <c r="A344" s="74"/>
      <c r="B344" s="20"/>
      <c r="C344" s="20"/>
      <c r="D344" s="20"/>
      <c r="E344" s="20"/>
      <c r="F344" s="8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</row>
    <row r="345" ht="14.25" spans="1:43">
      <c r="A345" s="74"/>
      <c r="B345" s="20"/>
      <c r="C345" s="20"/>
      <c r="D345" s="20"/>
      <c r="E345" s="20"/>
      <c r="F345" s="8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</row>
    <row r="346" ht="14.25" spans="1:43">
      <c r="A346" s="74"/>
      <c r="B346" s="20"/>
      <c r="C346" s="20"/>
      <c r="D346" s="20"/>
      <c r="E346" s="20"/>
      <c r="F346" s="8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</row>
    <row r="347" ht="14.25" spans="1:43">
      <c r="A347" s="74"/>
      <c r="B347" s="20"/>
      <c r="C347" s="20"/>
      <c r="D347" s="20"/>
      <c r="E347" s="20"/>
      <c r="F347" s="8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</row>
    <row r="348" ht="14.25" spans="1:43">
      <c r="A348" s="74"/>
      <c r="B348" s="20"/>
      <c r="C348" s="20"/>
      <c r="D348" s="20"/>
      <c r="E348" s="20"/>
      <c r="F348" s="8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</row>
    <row r="349" ht="14.25" spans="1:43">
      <c r="A349" s="74"/>
      <c r="B349" s="20"/>
      <c r="C349" s="20"/>
      <c r="D349" s="20"/>
      <c r="E349" s="20"/>
      <c r="F349" s="8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</row>
    <row r="350" ht="14.25" spans="1:43">
      <c r="A350" s="74"/>
      <c r="B350" s="20"/>
      <c r="C350" s="20"/>
      <c r="D350" s="20"/>
      <c r="E350" s="20"/>
      <c r="F350" s="8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</row>
    <row r="351" ht="14.25" spans="1:43">
      <c r="A351" s="74"/>
      <c r="B351" s="20"/>
      <c r="C351" s="20"/>
      <c r="D351" s="20"/>
      <c r="E351" s="20"/>
      <c r="F351" s="8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</row>
    <row r="352" ht="14.25" spans="1:43">
      <c r="A352" s="74"/>
      <c r="B352" s="20"/>
      <c r="C352" s="20"/>
      <c r="D352" s="20"/>
      <c r="E352" s="20"/>
      <c r="F352" s="8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</row>
    <row r="353" ht="14.25" spans="1:43">
      <c r="A353" s="74"/>
      <c r="B353" s="20"/>
      <c r="C353" s="20"/>
      <c r="D353" s="20"/>
      <c r="E353" s="20"/>
      <c r="F353" s="8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</row>
    <row r="354" ht="14.25" spans="1:43">
      <c r="A354" s="74"/>
      <c r="B354" s="20"/>
      <c r="C354" s="20"/>
      <c r="D354" s="20"/>
      <c r="E354" s="20"/>
      <c r="F354" s="8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</row>
    <row r="355" ht="14.25" spans="1:43">
      <c r="A355" s="74"/>
      <c r="B355" s="20"/>
      <c r="C355" s="20"/>
      <c r="D355" s="20"/>
      <c r="E355" s="20"/>
      <c r="F355" s="8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</row>
    <row r="356" ht="14.25" spans="1:43">
      <c r="A356" s="74"/>
      <c r="B356" s="20"/>
      <c r="C356" s="20"/>
      <c r="D356" s="20"/>
      <c r="E356" s="20"/>
      <c r="F356" s="8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</row>
    <row r="357" ht="14.25" spans="1:43">
      <c r="A357" s="74"/>
      <c r="B357" s="20"/>
      <c r="C357" s="20"/>
      <c r="D357" s="20"/>
      <c r="E357" s="20"/>
      <c r="F357" s="8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</row>
    <row r="358" ht="14.25" spans="1:43">
      <c r="A358" s="74"/>
      <c r="B358" s="20"/>
      <c r="C358" s="20"/>
      <c r="D358" s="20"/>
      <c r="E358" s="20"/>
      <c r="F358" s="8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</row>
    <row r="359" ht="14.25" spans="1:43">
      <c r="A359" s="74"/>
      <c r="B359" s="20"/>
      <c r="C359" s="20"/>
      <c r="D359" s="20"/>
      <c r="E359" s="20"/>
      <c r="F359" s="8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</row>
    <row r="360" ht="14.25" spans="1:43">
      <c r="A360" s="74"/>
      <c r="B360" s="20"/>
      <c r="C360" s="20"/>
      <c r="D360" s="20"/>
      <c r="E360" s="20"/>
      <c r="F360" s="8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</row>
    <row r="361" ht="14.25" spans="1:43">
      <c r="A361" s="74"/>
      <c r="B361" s="20"/>
      <c r="C361" s="20"/>
      <c r="D361" s="20"/>
      <c r="E361" s="20"/>
      <c r="F361" s="8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</row>
    <row r="362" ht="14.25" spans="1:43">
      <c r="A362" s="74"/>
      <c r="B362" s="20"/>
      <c r="C362" s="20"/>
      <c r="D362" s="20"/>
      <c r="E362" s="20"/>
      <c r="F362" s="8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</row>
    <row r="363" ht="14.25" spans="1:43">
      <c r="A363" s="74"/>
      <c r="B363" s="20"/>
      <c r="C363" s="20"/>
      <c r="D363" s="20"/>
      <c r="E363" s="20"/>
      <c r="F363" s="8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</row>
    <row r="364" ht="14.25" spans="1:43">
      <c r="A364" s="74"/>
      <c r="B364" s="20"/>
      <c r="C364" s="20"/>
      <c r="D364" s="20"/>
      <c r="E364" s="20"/>
      <c r="F364" s="8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</row>
    <row r="365" ht="14.25" spans="1:43">
      <c r="A365" s="74"/>
      <c r="B365" s="20"/>
      <c r="C365" s="20"/>
      <c r="D365" s="20"/>
      <c r="E365" s="20"/>
      <c r="F365" s="8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</row>
    <row r="366" ht="14.25" spans="1:43">
      <c r="A366" s="74"/>
      <c r="B366" s="20"/>
      <c r="C366" s="20"/>
      <c r="D366" s="20"/>
      <c r="E366" s="20"/>
      <c r="F366" s="8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</row>
    <row r="367" ht="14.25" spans="1:43">
      <c r="A367" s="74"/>
      <c r="B367" s="20"/>
      <c r="C367" s="20"/>
      <c r="D367" s="20"/>
      <c r="E367" s="20"/>
      <c r="F367" s="8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</row>
    <row r="368" ht="14.25" spans="1:43">
      <c r="A368" s="74"/>
      <c r="B368" s="20"/>
      <c r="C368" s="20"/>
      <c r="D368" s="20"/>
      <c r="E368" s="20"/>
      <c r="F368" s="8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</row>
    <row r="369" ht="14.25" spans="1:43">
      <c r="A369" s="74"/>
      <c r="B369" s="20"/>
      <c r="C369" s="20"/>
      <c r="D369" s="20"/>
      <c r="E369" s="20"/>
      <c r="F369" s="8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</row>
    <row r="370" ht="14.25" spans="1:43">
      <c r="A370" s="74"/>
      <c r="B370" s="20"/>
      <c r="C370" s="20"/>
      <c r="D370" s="20"/>
      <c r="E370" s="20"/>
      <c r="F370" s="8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</row>
    <row r="371" ht="14.25" spans="1:43">
      <c r="A371" s="74"/>
      <c r="B371" s="20"/>
      <c r="C371" s="20"/>
      <c r="D371" s="20"/>
      <c r="E371" s="20"/>
      <c r="F371" s="8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</row>
    <row r="372" ht="14.25" spans="1:43">
      <c r="A372" s="74"/>
      <c r="B372" s="20"/>
      <c r="C372" s="20"/>
      <c r="D372" s="20"/>
      <c r="E372" s="20"/>
      <c r="F372" s="8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</row>
    <row r="373" ht="14.25" spans="1:43">
      <c r="A373" s="74"/>
      <c r="B373" s="20"/>
      <c r="C373" s="20"/>
      <c r="D373" s="20"/>
      <c r="E373" s="20"/>
      <c r="F373" s="8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</row>
    <row r="374" ht="14.25" spans="1:43">
      <c r="A374" s="74"/>
      <c r="B374" s="20"/>
      <c r="C374" s="20"/>
      <c r="D374" s="20"/>
      <c r="E374" s="20"/>
      <c r="F374" s="8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</row>
    <row r="375" ht="14.25" spans="1:43">
      <c r="A375" s="74"/>
      <c r="B375" s="20"/>
      <c r="C375" s="20"/>
      <c r="D375" s="20"/>
      <c r="E375" s="20"/>
      <c r="F375" s="8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</row>
    <row r="376" ht="14.25" spans="1:43">
      <c r="A376" s="74"/>
      <c r="B376" s="20"/>
      <c r="C376" s="20"/>
      <c r="D376" s="20"/>
      <c r="E376" s="20"/>
      <c r="F376" s="8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</row>
    <row r="377" ht="14.25" spans="1:43">
      <c r="A377" s="74"/>
      <c r="B377" s="20"/>
      <c r="C377" s="20"/>
      <c r="D377" s="20"/>
      <c r="E377" s="20"/>
      <c r="F377" s="8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</row>
    <row r="378" ht="14.25" spans="1:43">
      <c r="A378" s="74"/>
      <c r="B378" s="20"/>
      <c r="C378" s="20"/>
      <c r="D378" s="20"/>
      <c r="E378" s="20"/>
      <c r="F378" s="8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</row>
    <row r="379" ht="14.25" spans="1:43">
      <c r="A379" s="74"/>
      <c r="B379" s="20"/>
      <c r="C379" s="20"/>
      <c r="D379" s="20"/>
      <c r="E379" s="20"/>
      <c r="F379" s="8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</row>
    <row r="380" ht="14.25" spans="1:43">
      <c r="A380" s="74"/>
      <c r="B380" s="20"/>
      <c r="C380" s="20"/>
      <c r="D380" s="20"/>
      <c r="E380" s="20"/>
      <c r="F380" s="8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</row>
    <row r="381" ht="14.25" spans="1:43">
      <c r="A381" s="74"/>
      <c r="B381" s="20"/>
      <c r="C381" s="20"/>
      <c r="D381" s="20"/>
      <c r="E381" s="20"/>
      <c r="F381" s="8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</row>
    <row r="382" ht="14.25" spans="1:43">
      <c r="A382" s="74"/>
      <c r="B382" s="20"/>
      <c r="C382" s="20"/>
      <c r="D382" s="20"/>
      <c r="E382" s="20"/>
      <c r="F382" s="8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</row>
    <row r="383" ht="14.25" spans="1:43">
      <c r="A383" s="74"/>
      <c r="B383" s="20"/>
      <c r="C383" s="20"/>
      <c r="D383" s="20"/>
      <c r="E383" s="20"/>
      <c r="F383" s="8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</row>
    <row r="384" ht="14.25" spans="1:43">
      <c r="A384" s="74"/>
      <c r="B384" s="20"/>
      <c r="C384" s="20"/>
      <c r="D384" s="20"/>
      <c r="E384" s="20"/>
      <c r="F384" s="8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</row>
    <row r="385" ht="14.25" spans="1:43">
      <c r="A385" s="74"/>
      <c r="B385" s="20"/>
      <c r="C385" s="20"/>
      <c r="D385" s="20"/>
      <c r="E385" s="20"/>
      <c r="F385" s="8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</row>
    <row r="386" ht="14.25" spans="1:43">
      <c r="A386" s="74"/>
      <c r="B386" s="20"/>
      <c r="C386" s="20"/>
      <c r="D386" s="20"/>
      <c r="E386" s="20"/>
      <c r="F386" s="8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</row>
    <row r="387" ht="14.25" spans="1:43">
      <c r="A387" s="74"/>
      <c r="B387" s="20"/>
      <c r="C387" s="20"/>
      <c r="D387" s="20"/>
      <c r="E387" s="20"/>
      <c r="F387" s="8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</row>
    <row r="388" ht="14.25" spans="1:43">
      <c r="A388" s="74"/>
      <c r="B388" s="20"/>
      <c r="C388" s="20"/>
      <c r="D388" s="20"/>
      <c r="E388" s="20"/>
      <c r="F388" s="8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</row>
    <row r="389" ht="14.25" spans="1:43">
      <c r="A389" s="74"/>
      <c r="B389" s="20"/>
      <c r="C389" s="20"/>
      <c r="D389" s="20"/>
      <c r="E389" s="20"/>
      <c r="F389" s="8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</row>
    <row r="390" ht="14.25" spans="1:43">
      <c r="A390" s="74"/>
      <c r="B390" s="20"/>
      <c r="C390" s="20"/>
      <c r="D390" s="20"/>
      <c r="E390" s="20"/>
      <c r="F390" s="8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</row>
    <row r="391" ht="14.25" spans="1:43">
      <c r="A391" s="74"/>
      <c r="B391" s="20"/>
      <c r="C391" s="20"/>
      <c r="D391" s="20"/>
      <c r="E391" s="20"/>
      <c r="F391" s="8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</row>
    <row r="392" ht="14.25" spans="1:43">
      <c r="A392" s="74"/>
      <c r="B392" s="20"/>
      <c r="C392" s="20"/>
      <c r="D392" s="20"/>
      <c r="E392" s="20"/>
      <c r="F392" s="8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</row>
    <row r="393" ht="14.25" spans="1:43">
      <c r="A393" s="74"/>
      <c r="B393" s="20"/>
      <c r="C393" s="20"/>
      <c r="D393" s="20"/>
      <c r="E393" s="20"/>
      <c r="F393" s="8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</row>
    <row r="394" ht="14.25" spans="1:43">
      <c r="A394" s="74"/>
      <c r="B394" s="20"/>
      <c r="C394" s="20"/>
      <c r="D394" s="20"/>
      <c r="E394" s="20"/>
      <c r="F394" s="8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</row>
    <row r="395" ht="14.25" spans="1:43">
      <c r="A395" s="74"/>
      <c r="B395" s="20"/>
      <c r="C395" s="20"/>
      <c r="D395" s="20"/>
      <c r="E395" s="20"/>
      <c r="F395" s="8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</row>
    <row r="396" ht="14.25" spans="1:43">
      <c r="A396" s="74"/>
      <c r="B396" s="20"/>
      <c r="C396" s="20"/>
      <c r="D396" s="20"/>
      <c r="E396" s="20"/>
      <c r="F396" s="8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</row>
    <row r="397" ht="14.25" spans="1:43">
      <c r="A397" s="74"/>
      <c r="B397" s="20"/>
      <c r="C397" s="20"/>
      <c r="D397" s="20"/>
      <c r="E397" s="20"/>
      <c r="F397" s="8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</row>
    <row r="398" ht="14.25" spans="1:43">
      <c r="A398" s="74"/>
      <c r="B398" s="20"/>
      <c r="C398" s="20"/>
      <c r="D398" s="20"/>
      <c r="E398" s="20"/>
      <c r="F398" s="8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</row>
    <row r="399" ht="14.25" spans="1:43">
      <c r="A399" s="74"/>
      <c r="B399" s="20"/>
      <c r="C399" s="20"/>
      <c r="D399" s="20"/>
      <c r="E399" s="20"/>
      <c r="F399" s="8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</row>
    <row r="400" ht="14.25" spans="1:43">
      <c r="A400" s="74"/>
      <c r="B400" s="20"/>
      <c r="C400" s="20"/>
      <c r="D400" s="20"/>
      <c r="E400" s="20"/>
      <c r="F400" s="8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</row>
    <row r="401" ht="14.25" spans="1:43">
      <c r="A401" s="74"/>
      <c r="B401" s="20"/>
      <c r="C401" s="20"/>
      <c r="D401" s="20"/>
      <c r="E401" s="20"/>
      <c r="F401" s="8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</row>
    <row r="402" ht="14.25" spans="1:43">
      <c r="A402" s="74"/>
      <c r="B402" s="20"/>
      <c r="C402" s="20"/>
      <c r="D402" s="20"/>
      <c r="E402" s="20"/>
      <c r="F402" s="8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</row>
    <row r="403" ht="14.25" spans="1:43">
      <c r="A403" s="74"/>
      <c r="B403" s="20"/>
      <c r="C403" s="20"/>
      <c r="D403" s="20"/>
      <c r="E403" s="20"/>
      <c r="F403" s="8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</row>
    <row r="404" ht="14.25" spans="1:43">
      <c r="A404" s="74"/>
      <c r="B404" s="20"/>
      <c r="C404" s="20"/>
      <c r="D404" s="20"/>
      <c r="E404" s="20"/>
      <c r="F404" s="8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</row>
    <row r="405" ht="14.25" spans="1:43">
      <c r="A405" s="74"/>
      <c r="B405" s="20"/>
      <c r="C405" s="20"/>
      <c r="D405" s="20"/>
      <c r="E405" s="20"/>
      <c r="F405" s="8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</row>
    <row r="406" ht="14.25" spans="1:43">
      <c r="A406" s="74"/>
      <c r="B406" s="20"/>
      <c r="C406" s="20"/>
      <c r="D406" s="20"/>
      <c r="E406" s="20"/>
      <c r="F406" s="8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</row>
    <row r="407" ht="14.25" spans="1:43">
      <c r="A407" s="74"/>
      <c r="B407" s="20"/>
      <c r="C407" s="20"/>
      <c r="D407" s="20"/>
      <c r="E407" s="20"/>
      <c r="F407" s="8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</row>
    <row r="408" ht="14.25" spans="1:43">
      <c r="A408" s="74"/>
      <c r="B408" s="20"/>
      <c r="C408" s="20"/>
      <c r="D408" s="20"/>
      <c r="E408" s="20"/>
      <c r="F408" s="8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</row>
    <row r="409" ht="14.25" spans="1:43">
      <c r="A409" s="74"/>
      <c r="B409" s="20"/>
      <c r="C409" s="20"/>
      <c r="D409" s="20"/>
      <c r="E409" s="20"/>
      <c r="F409" s="8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</row>
    <row r="410" ht="14.25" spans="1:43">
      <c r="A410" s="74"/>
      <c r="B410" s="20"/>
      <c r="C410" s="20"/>
      <c r="D410" s="20"/>
      <c r="E410" s="20"/>
      <c r="F410" s="8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</row>
    <row r="411" ht="14.25" spans="1:43">
      <c r="A411" s="74"/>
      <c r="B411" s="20"/>
      <c r="C411" s="20"/>
      <c r="D411" s="20"/>
      <c r="E411" s="20"/>
      <c r="F411" s="8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</row>
    <row r="412" ht="14.25" spans="1:43">
      <c r="A412" s="74"/>
      <c r="B412" s="20"/>
      <c r="C412" s="20"/>
      <c r="D412" s="20"/>
      <c r="E412" s="20"/>
      <c r="F412" s="8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</row>
    <row r="413" ht="14.25" spans="1:43">
      <c r="A413" s="74"/>
      <c r="B413" s="20"/>
      <c r="C413" s="20"/>
      <c r="D413" s="20"/>
      <c r="E413" s="20"/>
      <c r="F413" s="8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</row>
    <row r="414" ht="14.25" spans="1:43">
      <c r="A414" s="74"/>
      <c r="B414" s="20"/>
      <c r="C414" s="20"/>
      <c r="D414" s="20"/>
      <c r="E414" s="20"/>
      <c r="F414" s="8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</row>
    <row r="415" ht="14.25" spans="1:43">
      <c r="A415" s="74"/>
      <c r="B415" s="20"/>
      <c r="C415" s="20"/>
      <c r="D415" s="20"/>
      <c r="E415" s="20"/>
      <c r="F415" s="8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</row>
    <row r="416" ht="14.25" spans="1:43">
      <c r="A416" s="74"/>
      <c r="B416" s="20"/>
      <c r="C416" s="20"/>
      <c r="D416" s="20"/>
      <c r="E416" s="20"/>
      <c r="F416" s="8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</row>
    <row r="417" ht="14.25" spans="1:43">
      <c r="A417" s="74"/>
      <c r="B417" s="20"/>
      <c r="C417" s="20"/>
      <c r="D417" s="20"/>
      <c r="E417" s="20"/>
      <c r="F417" s="8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</row>
    <row r="418" ht="14.25" spans="1:43">
      <c r="A418" s="74"/>
      <c r="B418" s="20"/>
      <c r="C418" s="20"/>
      <c r="D418" s="20"/>
      <c r="E418" s="20"/>
      <c r="F418" s="8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</row>
    <row r="419" ht="14.25" spans="1:43">
      <c r="A419" s="74"/>
      <c r="B419" s="20"/>
      <c r="C419" s="20"/>
      <c r="D419" s="20"/>
      <c r="E419" s="20"/>
      <c r="F419" s="8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</row>
    <row r="420" ht="14.25" spans="1:43">
      <c r="A420" s="74"/>
      <c r="B420" s="20"/>
      <c r="C420" s="20"/>
      <c r="D420" s="20"/>
      <c r="E420" s="20"/>
      <c r="F420" s="8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</row>
    <row r="421" ht="14.25" spans="1:43">
      <c r="A421" s="74"/>
      <c r="B421" s="20"/>
      <c r="C421" s="20"/>
      <c r="D421" s="20"/>
      <c r="E421" s="20"/>
      <c r="F421" s="8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</row>
    <row r="422" ht="14.25" spans="1:43">
      <c r="A422" s="74"/>
      <c r="B422" s="20"/>
      <c r="C422" s="20"/>
      <c r="D422" s="20"/>
      <c r="E422" s="20"/>
      <c r="F422" s="8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</row>
    <row r="423" ht="14.25" spans="1:43">
      <c r="A423" s="74"/>
      <c r="B423" s="20"/>
      <c r="C423" s="20"/>
      <c r="D423" s="20"/>
      <c r="E423" s="20"/>
      <c r="F423" s="8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</row>
    <row r="424" ht="14.25" spans="1:43">
      <c r="A424" s="74"/>
      <c r="B424" s="20"/>
      <c r="C424" s="20"/>
      <c r="D424" s="20"/>
      <c r="E424" s="20"/>
      <c r="F424" s="8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</row>
    <row r="425" ht="14.25" spans="1:43">
      <c r="A425" s="74"/>
      <c r="B425" s="20"/>
      <c r="C425" s="20"/>
      <c r="D425" s="20"/>
      <c r="E425" s="20"/>
      <c r="F425" s="8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</row>
    <row r="426" ht="14.25" spans="1:43">
      <c r="A426" s="74"/>
      <c r="B426" s="20"/>
      <c r="C426" s="20"/>
      <c r="D426" s="20"/>
      <c r="E426" s="20"/>
      <c r="F426" s="8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</row>
    <row r="427" ht="14.25" spans="1:43">
      <c r="A427" s="74"/>
      <c r="B427" s="20"/>
      <c r="C427" s="20"/>
      <c r="D427" s="20"/>
      <c r="E427" s="20"/>
      <c r="F427" s="8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</row>
    <row r="428" ht="14.25" spans="1:43">
      <c r="A428" s="74"/>
      <c r="B428" s="20"/>
      <c r="C428" s="20"/>
      <c r="D428" s="20"/>
      <c r="E428" s="20"/>
      <c r="F428" s="8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</row>
    <row r="429" ht="14.25" spans="1:43">
      <c r="A429" s="74"/>
      <c r="B429" s="20"/>
      <c r="C429" s="20"/>
      <c r="D429" s="20"/>
      <c r="E429" s="20"/>
      <c r="F429" s="8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</row>
    <row r="430" ht="14.25" spans="1:43">
      <c r="A430" s="74"/>
      <c r="B430" s="20"/>
      <c r="C430" s="20"/>
      <c r="D430" s="20"/>
      <c r="E430" s="20"/>
      <c r="F430" s="8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</row>
    <row r="431" ht="14.25" spans="1:43">
      <c r="A431" s="74"/>
      <c r="B431" s="20"/>
      <c r="C431" s="20"/>
      <c r="D431" s="20"/>
      <c r="E431" s="20"/>
      <c r="F431" s="8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</row>
    <row r="432" ht="14.25" spans="1:43">
      <c r="A432" s="74"/>
      <c r="B432" s="20"/>
      <c r="C432" s="20"/>
      <c r="D432" s="20"/>
      <c r="E432" s="20"/>
      <c r="F432" s="8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</row>
    <row r="433" ht="14.25" spans="1:43">
      <c r="A433" s="74"/>
      <c r="B433" s="20"/>
      <c r="C433" s="20"/>
      <c r="D433" s="20"/>
      <c r="E433" s="20"/>
      <c r="F433" s="8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</row>
    <row r="434" ht="14.25" spans="1:43">
      <c r="A434" s="74"/>
      <c r="B434" s="20"/>
      <c r="C434" s="20"/>
      <c r="D434" s="20"/>
      <c r="E434" s="20"/>
      <c r="F434" s="8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</row>
    <row r="435" ht="14.25" spans="1:43">
      <c r="A435" s="74"/>
      <c r="B435" s="20"/>
      <c r="C435" s="20"/>
      <c r="D435" s="20"/>
      <c r="E435" s="20"/>
      <c r="F435" s="8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</row>
    <row r="436" ht="14.25" spans="1:43">
      <c r="A436" s="74"/>
      <c r="B436" s="20"/>
      <c r="C436" s="20"/>
      <c r="D436" s="20"/>
      <c r="E436" s="20"/>
      <c r="F436" s="8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</row>
    <row r="437" ht="14.25" spans="1:43">
      <c r="A437" s="74"/>
      <c r="B437" s="20"/>
      <c r="C437" s="20"/>
      <c r="D437" s="20"/>
      <c r="E437" s="20"/>
      <c r="F437" s="8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</row>
    <row r="438" ht="14.25" spans="1:43">
      <c r="A438" s="74"/>
      <c r="B438" s="20"/>
      <c r="C438" s="20"/>
      <c r="D438" s="20"/>
      <c r="E438" s="20"/>
      <c r="F438" s="8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</row>
    <row r="439" ht="14.25" spans="1:43">
      <c r="A439" s="74"/>
      <c r="B439" s="20"/>
      <c r="C439" s="20"/>
      <c r="D439" s="20"/>
      <c r="E439" s="20"/>
      <c r="F439" s="8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</row>
    <row r="440" ht="14.25" spans="1:43">
      <c r="A440" s="74"/>
      <c r="B440" s="20"/>
      <c r="C440" s="20"/>
      <c r="D440" s="20"/>
      <c r="E440" s="20"/>
      <c r="F440" s="8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</row>
    <row r="441" ht="14.25" spans="1:43">
      <c r="A441" s="74"/>
      <c r="B441" s="20"/>
      <c r="C441" s="20"/>
      <c r="D441" s="20"/>
      <c r="E441" s="20"/>
      <c r="F441" s="8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</row>
    <row r="442" ht="14.25" spans="1:43">
      <c r="A442" s="74"/>
      <c r="B442" s="20"/>
      <c r="C442" s="20"/>
      <c r="D442" s="20"/>
      <c r="E442" s="20"/>
      <c r="F442" s="8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</row>
    <row r="443" ht="14.25" spans="1:43">
      <c r="A443" s="74"/>
      <c r="B443" s="20"/>
      <c r="C443" s="20"/>
      <c r="D443" s="20"/>
      <c r="E443" s="20"/>
      <c r="F443" s="8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</row>
    <row r="444" ht="14.25" spans="1:43">
      <c r="A444" s="74"/>
      <c r="B444" s="20"/>
      <c r="C444" s="20"/>
      <c r="D444" s="20"/>
      <c r="E444" s="20"/>
      <c r="F444" s="8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</row>
    <row r="445" ht="14.25" spans="1:43">
      <c r="A445" s="74"/>
      <c r="B445" s="20"/>
      <c r="C445" s="20"/>
      <c r="D445" s="20"/>
      <c r="E445" s="20"/>
      <c r="F445" s="8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</row>
    <row r="446" ht="14.25" spans="1:43">
      <c r="A446" s="74"/>
      <c r="B446" s="20"/>
      <c r="C446" s="20"/>
      <c r="D446" s="20"/>
      <c r="E446" s="20"/>
      <c r="F446" s="8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</row>
    <row r="447" ht="14.25" spans="1:43">
      <c r="A447" s="74"/>
      <c r="B447" s="20"/>
      <c r="C447" s="20"/>
      <c r="D447" s="20"/>
      <c r="E447" s="20"/>
      <c r="F447" s="8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</row>
    <row r="448" ht="14.25" spans="1:43">
      <c r="A448" s="74"/>
      <c r="B448" s="20"/>
      <c r="C448" s="20"/>
      <c r="D448" s="20"/>
      <c r="E448" s="20"/>
      <c r="F448" s="8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</row>
    <row r="449" ht="14.25" spans="1:43">
      <c r="A449" s="74"/>
      <c r="B449" s="20"/>
      <c r="C449" s="20"/>
      <c r="D449" s="20"/>
      <c r="E449" s="20"/>
      <c r="F449" s="8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</row>
    <row r="450" ht="14.25" spans="1:43">
      <c r="A450" s="74"/>
      <c r="B450" s="20"/>
      <c r="C450" s="20"/>
      <c r="D450" s="20"/>
      <c r="E450" s="20"/>
      <c r="F450" s="8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</row>
    <row r="451" ht="14.25" spans="1:43">
      <c r="A451" s="74"/>
      <c r="B451" s="20"/>
      <c r="C451" s="20"/>
      <c r="D451" s="20"/>
      <c r="E451" s="20"/>
      <c r="F451" s="8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</row>
    <row r="452" ht="14.25" spans="1:43">
      <c r="A452" s="74"/>
      <c r="B452" s="20"/>
      <c r="C452" s="20"/>
      <c r="D452" s="20"/>
      <c r="E452" s="20"/>
      <c r="F452" s="8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</row>
    <row r="453" ht="14.25" spans="1:43">
      <c r="A453" s="74"/>
      <c r="B453" s="20"/>
      <c r="C453" s="20"/>
      <c r="D453" s="20"/>
      <c r="E453" s="20"/>
      <c r="F453" s="8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</row>
    <row r="454" ht="14.25" spans="1:43">
      <c r="A454" s="74"/>
      <c r="B454" s="20"/>
      <c r="C454" s="20"/>
      <c r="D454" s="20"/>
      <c r="E454" s="20"/>
      <c r="F454" s="8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</row>
    <row r="455" ht="14.25" spans="1:43">
      <c r="A455" s="74"/>
      <c r="B455" s="20"/>
      <c r="C455" s="20"/>
      <c r="D455" s="20"/>
      <c r="E455" s="20"/>
      <c r="F455" s="8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</row>
    <row r="456" ht="14.25" spans="1:43">
      <c r="A456" s="74"/>
      <c r="B456" s="20"/>
      <c r="C456" s="20"/>
      <c r="D456" s="20"/>
      <c r="E456" s="20"/>
      <c r="F456" s="8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</row>
    <row r="457" ht="14.25" spans="1:43">
      <c r="A457" s="74"/>
      <c r="B457" s="20"/>
      <c r="C457" s="20"/>
      <c r="D457" s="20"/>
      <c r="E457" s="20"/>
      <c r="F457" s="8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</row>
    <row r="458" ht="14.25" spans="1:43">
      <c r="A458" s="74"/>
      <c r="B458" s="20"/>
      <c r="C458" s="20"/>
      <c r="D458" s="20"/>
      <c r="E458" s="20"/>
      <c r="F458" s="8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</row>
    <row r="459" ht="14.25" spans="1:43">
      <c r="A459" s="74"/>
      <c r="B459" s="20"/>
      <c r="C459" s="20"/>
      <c r="D459" s="20"/>
      <c r="E459" s="20"/>
      <c r="F459" s="8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</row>
    <row r="460" ht="14.25" spans="1:43">
      <c r="A460" s="74"/>
      <c r="B460" s="20"/>
      <c r="C460" s="20"/>
      <c r="D460" s="20"/>
      <c r="E460" s="20"/>
      <c r="F460" s="8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</row>
    <row r="461" ht="14.25" spans="1:43">
      <c r="A461" s="74"/>
      <c r="B461" s="20"/>
      <c r="C461" s="20"/>
      <c r="D461" s="20"/>
      <c r="E461" s="20"/>
      <c r="F461" s="8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</row>
    <row r="462" ht="14.25" spans="1:43">
      <c r="A462" s="74"/>
      <c r="B462" s="20"/>
      <c r="C462" s="20"/>
      <c r="D462" s="20"/>
      <c r="E462" s="20"/>
      <c r="F462" s="8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</row>
    <row r="463" ht="14.25" spans="1:43">
      <c r="A463" s="74"/>
      <c r="B463" s="20"/>
      <c r="C463" s="20"/>
      <c r="D463" s="20"/>
      <c r="E463" s="20"/>
      <c r="F463" s="8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</row>
    <row r="464" ht="14.25" spans="1:43">
      <c r="A464" s="74"/>
      <c r="B464" s="20"/>
      <c r="C464" s="20"/>
      <c r="D464" s="20"/>
      <c r="E464" s="20"/>
      <c r="F464" s="8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</row>
    <row r="465" ht="14.25" spans="1:43">
      <c r="A465" s="74"/>
      <c r="B465" s="20"/>
      <c r="C465" s="20"/>
      <c r="D465" s="20"/>
      <c r="E465" s="20"/>
      <c r="F465" s="8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</row>
    <row r="466" ht="14.25" spans="1:43">
      <c r="A466" s="74"/>
      <c r="B466" s="20"/>
      <c r="C466" s="20"/>
      <c r="D466" s="20"/>
      <c r="E466" s="20"/>
      <c r="F466" s="8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</row>
    <row r="467" ht="14.25" spans="1:43">
      <c r="A467" s="74"/>
      <c r="B467" s="20"/>
      <c r="C467" s="20"/>
      <c r="D467" s="20"/>
      <c r="E467" s="20"/>
      <c r="F467" s="8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</row>
    <row r="468" ht="14.25" spans="1:43">
      <c r="A468" s="74"/>
      <c r="B468" s="20"/>
      <c r="C468" s="20"/>
      <c r="D468" s="20"/>
      <c r="E468" s="20"/>
      <c r="F468" s="8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</row>
    <row r="469" ht="14.25" spans="1:43">
      <c r="A469" s="74"/>
      <c r="B469" s="20"/>
      <c r="C469" s="20"/>
      <c r="D469" s="20"/>
      <c r="E469" s="20"/>
      <c r="F469" s="8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</row>
    <row r="470" ht="14.25" spans="1:43">
      <c r="A470" s="74"/>
      <c r="B470" s="20"/>
      <c r="C470" s="20"/>
      <c r="D470" s="20"/>
      <c r="E470" s="20"/>
      <c r="F470" s="8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</row>
    <row r="471" ht="14.25" spans="1:43">
      <c r="A471" s="74"/>
      <c r="B471" s="20"/>
      <c r="C471" s="20"/>
      <c r="D471" s="20"/>
      <c r="E471" s="20"/>
      <c r="F471" s="8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</row>
    <row r="472" ht="14.25" spans="1:43">
      <c r="A472" s="74"/>
      <c r="B472" s="20"/>
      <c r="C472" s="20"/>
      <c r="D472" s="20"/>
      <c r="E472" s="20"/>
      <c r="F472" s="8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</row>
    <row r="473" ht="14.25" spans="1:43">
      <c r="A473" s="74"/>
      <c r="B473" s="20"/>
      <c r="C473" s="20"/>
      <c r="D473" s="20"/>
      <c r="E473" s="20"/>
      <c r="F473" s="8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</row>
    <row r="474" ht="14.25" spans="1:43">
      <c r="A474" s="74"/>
      <c r="B474" s="20"/>
      <c r="C474" s="20"/>
      <c r="D474" s="20"/>
      <c r="E474" s="20"/>
      <c r="F474" s="8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</row>
    <row r="475" ht="14.25" spans="1:43">
      <c r="A475" s="74"/>
      <c r="B475" s="20"/>
      <c r="C475" s="20"/>
      <c r="D475" s="20"/>
      <c r="E475" s="20"/>
      <c r="F475" s="8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</row>
    <row r="476" ht="14.25" spans="1:43">
      <c r="A476" s="74"/>
      <c r="B476" s="20"/>
      <c r="C476" s="20"/>
      <c r="D476" s="20"/>
      <c r="E476" s="20"/>
      <c r="F476" s="8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</row>
    <row r="477" ht="14.25" spans="1:43">
      <c r="A477" s="74"/>
      <c r="B477" s="20"/>
      <c r="C477" s="20"/>
      <c r="D477" s="20"/>
      <c r="E477" s="20"/>
      <c r="F477" s="8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</row>
    <row r="478" ht="14.25" spans="1:43">
      <c r="A478" s="74"/>
      <c r="B478" s="20"/>
      <c r="C478" s="20"/>
      <c r="D478" s="20"/>
      <c r="E478" s="20"/>
      <c r="F478" s="8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</row>
    <row r="479" ht="14.25" spans="1:43">
      <c r="A479" s="74"/>
      <c r="B479" s="20"/>
      <c r="C479" s="20"/>
      <c r="D479" s="20"/>
      <c r="E479" s="20"/>
      <c r="F479" s="8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</row>
    <row r="480" ht="14.25" spans="1:43">
      <c r="A480" s="74"/>
      <c r="B480" s="20"/>
      <c r="C480" s="20"/>
      <c r="D480" s="20"/>
      <c r="E480" s="20"/>
      <c r="F480" s="8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</row>
    <row r="481" ht="14.25" spans="1:43">
      <c r="A481" s="74"/>
      <c r="B481" s="20"/>
      <c r="C481" s="20"/>
      <c r="D481" s="20"/>
      <c r="E481" s="20"/>
      <c r="F481" s="8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</row>
    <row r="482" ht="14.25" spans="1:43">
      <c r="A482" s="74"/>
      <c r="B482" s="20"/>
      <c r="C482" s="20"/>
      <c r="D482" s="20"/>
      <c r="E482" s="20"/>
      <c r="F482" s="8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</row>
    <row r="483" ht="14.25" spans="1:43">
      <c r="A483" s="74"/>
      <c r="B483" s="20"/>
      <c r="C483" s="20"/>
      <c r="D483" s="20"/>
      <c r="E483" s="20"/>
      <c r="F483" s="8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</row>
    <row r="484" ht="14.25" spans="1:43">
      <c r="A484" s="74"/>
      <c r="B484" s="20"/>
      <c r="C484" s="20"/>
      <c r="D484" s="20"/>
      <c r="E484" s="20"/>
      <c r="F484" s="8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</row>
    <row r="485" ht="14.25" spans="1:43">
      <c r="A485" s="74"/>
      <c r="B485" s="20"/>
      <c r="C485" s="20"/>
      <c r="D485" s="20"/>
      <c r="E485" s="20"/>
      <c r="F485" s="8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</row>
    <row r="486" ht="14.25" spans="1:43">
      <c r="A486" s="74"/>
      <c r="B486" s="20"/>
      <c r="C486" s="20"/>
      <c r="D486" s="20"/>
      <c r="E486" s="20"/>
      <c r="F486" s="8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</row>
    <row r="487" ht="14.25" spans="1:43">
      <c r="A487" s="74"/>
      <c r="B487" s="20"/>
      <c r="C487" s="20"/>
      <c r="D487" s="20"/>
      <c r="E487" s="20"/>
      <c r="F487" s="8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</row>
    <row r="488" ht="14.25" spans="1:43">
      <c r="A488" s="74"/>
      <c r="B488" s="20"/>
      <c r="C488" s="20"/>
      <c r="D488" s="20"/>
      <c r="E488" s="20"/>
      <c r="F488" s="8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</row>
    <row r="489" ht="14.25" spans="1:43">
      <c r="A489" s="74"/>
      <c r="B489" s="20"/>
      <c r="C489" s="20"/>
      <c r="D489" s="20"/>
      <c r="E489" s="20"/>
      <c r="F489" s="8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</row>
    <row r="490" ht="14.25" spans="1:43">
      <c r="A490" s="74"/>
      <c r="B490" s="20"/>
      <c r="C490" s="20"/>
      <c r="D490" s="20"/>
      <c r="E490" s="20"/>
      <c r="F490" s="8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</row>
    <row r="491" ht="14.25" spans="1:43">
      <c r="A491" s="74"/>
      <c r="B491" s="20"/>
      <c r="C491" s="20"/>
      <c r="D491" s="20"/>
      <c r="E491" s="20"/>
      <c r="F491" s="8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</row>
    <row r="492" ht="14.25" spans="1:43">
      <c r="A492" s="74"/>
      <c r="B492" s="20"/>
      <c r="C492" s="20"/>
      <c r="D492" s="20"/>
      <c r="E492" s="20"/>
      <c r="F492" s="8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</row>
    <row r="493" ht="14.25" spans="1:43">
      <c r="A493" s="74"/>
      <c r="B493" s="20"/>
      <c r="C493" s="20"/>
      <c r="D493" s="20"/>
      <c r="E493" s="20"/>
      <c r="F493" s="8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</row>
    <row r="494" ht="14.25" spans="1:43">
      <c r="A494" s="74"/>
      <c r="B494" s="20"/>
      <c r="C494" s="20"/>
      <c r="D494" s="20"/>
      <c r="E494" s="20"/>
      <c r="F494" s="8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</row>
    <row r="495" ht="14.25" spans="1:43">
      <c r="A495" s="74"/>
      <c r="B495" s="20"/>
      <c r="C495" s="20"/>
      <c r="D495" s="20"/>
      <c r="E495" s="20"/>
      <c r="F495" s="8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</row>
    <row r="496" ht="14.25" spans="1:43">
      <c r="A496" s="74"/>
      <c r="B496" s="20"/>
      <c r="C496" s="20"/>
      <c r="D496" s="20"/>
      <c r="E496" s="20"/>
      <c r="F496" s="8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</row>
    <row r="497" ht="14.25" spans="1:43">
      <c r="A497" s="74"/>
      <c r="B497" s="20"/>
      <c r="C497" s="20"/>
      <c r="D497" s="20"/>
      <c r="E497" s="20"/>
      <c r="F497" s="8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</row>
    <row r="498" ht="14.25" spans="1:43">
      <c r="A498" s="74"/>
      <c r="B498" s="20"/>
      <c r="C498" s="20"/>
      <c r="D498" s="20"/>
      <c r="E498" s="20"/>
      <c r="F498" s="8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</row>
    <row r="499" ht="14.25" spans="1:43">
      <c r="A499" s="74"/>
      <c r="B499" s="20"/>
      <c r="C499" s="20"/>
      <c r="D499" s="20"/>
      <c r="E499" s="20"/>
      <c r="F499" s="8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</row>
    <row r="500" ht="14.25" spans="1:43">
      <c r="A500" s="74"/>
      <c r="B500" s="20"/>
      <c r="C500" s="20"/>
      <c r="D500" s="20"/>
      <c r="E500" s="20"/>
      <c r="F500" s="8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</row>
    <row r="501" ht="14.25" spans="1:43">
      <c r="A501" s="74"/>
      <c r="B501" s="20"/>
      <c r="C501" s="20"/>
      <c r="D501" s="20"/>
      <c r="E501" s="20"/>
      <c r="F501" s="8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</row>
    <row r="502" ht="14.25" spans="1:43">
      <c r="A502" s="74"/>
      <c r="B502" s="20"/>
      <c r="C502" s="20"/>
      <c r="D502" s="20"/>
      <c r="E502" s="20"/>
      <c r="F502" s="8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</row>
    <row r="503" ht="14.25" spans="1:43">
      <c r="A503" s="74"/>
      <c r="B503" s="20"/>
      <c r="C503" s="20"/>
      <c r="D503" s="20"/>
      <c r="E503" s="20"/>
      <c r="F503" s="8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</row>
    <row r="504" ht="14.25" spans="1:43">
      <c r="A504" s="74"/>
      <c r="B504" s="20"/>
      <c r="C504" s="20"/>
      <c r="D504" s="20"/>
      <c r="E504" s="20"/>
      <c r="F504" s="8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</row>
    <row r="505" ht="14.25" spans="1:43">
      <c r="A505" s="74"/>
      <c r="B505" s="20"/>
      <c r="C505" s="20"/>
      <c r="D505" s="20"/>
      <c r="E505" s="20"/>
      <c r="F505" s="8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</row>
    <row r="506" ht="14.25" spans="1:43">
      <c r="A506" s="74"/>
      <c r="B506" s="20"/>
      <c r="C506" s="20"/>
      <c r="D506" s="20"/>
      <c r="E506" s="20"/>
      <c r="F506" s="8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</row>
    <row r="507" ht="14.25" spans="1:43">
      <c r="A507" s="74"/>
      <c r="B507" s="20"/>
      <c r="C507" s="20"/>
      <c r="D507" s="20"/>
      <c r="E507" s="20"/>
      <c r="F507" s="8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</row>
    <row r="508" ht="14.25" spans="1:43">
      <c r="A508" s="74"/>
      <c r="B508" s="20"/>
      <c r="C508" s="20"/>
      <c r="D508" s="20"/>
      <c r="E508" s="20"/>
      <c r="F508" s="8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</row>
    <row r="509" ht="14.25" spans="1:43">
      <c r="A509" s="74"/>
      <c r="B509" s="20"/>
      <c r="C509" s="20"/>
      <c r="D509" s="20"/>
      <c r="E509" s="20"/>
      <c r="F509" s="8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</row>
    <row r="510" ht="14.25" spans="1:43">
      <c r="A510" s="74"/>
      <c r="B510" s="20"/>
      <c r="C510" s="20"/>
      <c r="D510" s="20"/>
      <c r="E510" s="20"/>
      <c r="F510" s="8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</row>
    <row r="511" ht="14.25" spans="1:43">
      <c r="A511" s="74"/>
      <c r="B511" s="20"/>
      <c r="C511" s="20"/>
      <c r="D511" s="20"/>
      <c r="E511" s="20"/>
      <c r="F511" s="8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</row>
    <row r="512" ht="14.25" spans="1:43">
      <c r="A512" s="74"/>
      <c r="B512" s="20"/>
      <c r="C512" s="20"/>
      <c r="D512" s="20"/>
      <c r="E512" s="20"/>
      <c r="F512" s="8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</row>
    <row r="513" ht="14.25" spans="1:43">
      <c r="A513" s="74"/>
      <c r="B513" s="20"/>
      <c r="C513" s="20"/>
      <c r="D513" s="20"/>
      <c r="E513" s="20"/>
      <c r="F513" s="8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</row>
    <row r="514" ht="14.25" spans="1:43">
      <c r="A514" s="74"/>
      <c r="B514" s="20"/>
      <c r="C514" s="20"/>
      <c r="D514" s="20"/>
      <c r="E514" s="20"/>
      <c r="F514" s="8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</row>
    <row r="515" ht="14.25" spans="1:43">
      <c r="A515" s="74"/>
      <c r="B515" s="20"/>
      <c r="C515" s="20"/>
      <c r="D515" s="20"/>
      <c r="E515" s="20"/>
      <c r="F515" s="8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</row>
    <row r="516" ht="14.25" spans="1:43">
      <c r="A516" s="74"/>
      <c r="B516" s="20"/>
      <c r="C516" s="20"/>
      <c r="D516" s="20"/>
      <c r="E516" s="20"/>
      <c r="F516" s="8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</row>
    <row r="517" ht="14.25" spans="1:43">
      <c r="A517" s="74"/>
      <c r="B517" s="20"/>
      <c r="C517" s="20"/>
      <c r="D517" s="20"/>
      <c r="E517" s="20"/>
      <c r="F517" s="8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</row>
    <row r="518" ht="14.25" spans="1:43">
      <c r="A518" s="74"/>
      <c r="B518" s="20"/>
      <c r="C518" s="20"/>
      <c r="D518" s="20"/>
      <c r="E518" s="20"/>
      <c r="F518" s="8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</row>
    <row r="519" ht="14.25" spans="1:43">
      <c r="A519" s="74"/>
      <c r="B519" s="20"/>
      <c r="C519" s="20"/>
      <c r="D519" s="20"/>
      <c r="E519" s="20"/>
      <c r="F519" s="8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</row>
    <row r="520" ht="14.25" spans="1:43">
      <c r="A520" s="74"/>
      <c r="B520" s="20"/>
      <c r="C520" s="20"/>
      <c r="D520" s="20"/>
      <c r="E520" s="20"/>
      <c r="F520" s="8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</row>
    <row r="521" ht="14.25" spans="1:43">
      <c r="A521" s="74"/>
      <c r="B521" s="20"/>
      <c r="C521" s="20"/>
      <c r="D521" s="20"/>
      <c r="E521" s="20"/>
      <c r="F521" s="8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</row>
    <row r="522" ht="14.25" spans="1:43">
      <c r="A522" s="74"/>
      <c r="B522" s="20"/>
      <c r="C522" s="20"/>
      <c r="D522" s="20"/>
      <c r="E522" s="20"/>
      <c r="F522" s="8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</row>
    <row r="523" ht="14.25" spans="1:43">
      <c r="A523" s="74"/>
      <c r="B523" s="20"/>
      <c r="C523" s="20"/>
      <c r="D523" s="20"/>
      <c r="E523" s="20"/>
      <c r="F523" s="8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</row>
    <row r="524" ht="14.25" spans="1:43">
      <c r="A524" s="74"/>
      <c r="B524" s="20"/>
      <c r="C524" s="20"/>
      <c r="D524" s="20"/>
      <c r="E524" s="20"/>
      <c r="F524" s="8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</row>
    <row r="525" ht="14.25" spans="1:43">
      <c r="A525" s="74"/>
      <c r="B525" s="20"/>
      <c r="C525" s="20"/>
      <c r="D525" s="20"/>
      <c r="E525" s="20"/>
      <c r="F525" s="8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</row>
    <row r="526" ht="14.25" spans="1:43">
      <c r="A526" s="74"/>
      <c r="B526" s="20"/>
      <c r="C526" s="20"/>
      <c r="D526" s="20"/>
      <c r="E526" s="20"/>
      <c r="F526" s="8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</row>
    <row r="527" ht="14.25" spans="1:43">
      <c r="A527" s="74"/>
      <c r="B527" s="20"/>
      <c r="C527" s="20"/>
      <c r="D527" s="20"/>
      <c r="E527" s="20"/>
      <c r="F527" s="8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</row>
    <row r="528" ht="14.25" spans="1:43">
      <c r="A528" s="74"/>
      <c r="B528" s="20"/>
      <c r="C528" s="20"/>
      <c r="D528" s="20"/>
      <c r="E528" s="20"/>
      <c r="F528" s="8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</row>
    <row r="529" ht="14.25" spans="1:43">
      <c r="A529" s="74"/>
      <c r="B529" s="20"/>
      <c r="C529" s="20"/>
      <c r="D529" s="20"/>
      <c r="E529" s="20"/>
      <c r="F529" s="8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</row>
    <row r="530" ht="14.25" spans="1:43">
      <c r="A530" s="74"/>
      <c r="B530" s="20"/>
      <c r="C530" s="20"/>
      <c r="D530" s="20"/>
      <c r="E530" s="20"/>
      <c r="F530" s="8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</row>
    <row r="531" ht="14.25" spans="1:43">
      <c r="A531" s="74"/>
      <c r="B531" s="20"/>
      <c r="C531" s="20"/>
      <c r="D531" s="20"/>
      <c r="E531" s="20"/>
      <c r="F531" s="8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</row>
    <row r="532" ht="14.25" spans="1:43">
      <c r="A532" s="74"/>
      <c r="B532" s="20"/>
      <c r="C532" s="20"/>
      <c r="D532" s="20"/>
      <c r="E532" s="20"/>
      <c r="F532" s="8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</row>
    <row r="533" ht="14.25" spans="1:43">
      <c r="A533" s="74"/>
      <c r="B533" s="20"/>
      <c r="C533" s="20"/>
      <c r="D533" s="20"/>
      <c r="E533" s="20"/>
      <c r="F533" s="8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</row>
    <row r="534" ht="14.25" spans="1:43">
      <c r="A534" s="74"/>
      <c r="B534" s="20"/>
      <c r="C534" s="20"/>
      <c r="D534" s="20"/>
      <c r="E534" s="20"/>
      <c r="F534" s="8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</row>
    <row r="535" ht="14.25" spans="1:43">
      <c r="A535" s="74"/>
      <c r="B535" s="20"/>
      <c r="C535" s="20"/>
      <c r="D535" s="20"/>
      <c r="E535" s="20"/>
      <c r="F535" s="8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</row>
    <row r="536" ht="14.25" spans="1:43">
      <c r="A536" s="74"/>
      <c r="B536" s="20"/>
      <c r="C536" s="20"/>
      <c r="D536" s="20"/>
      <c r="E536" s="20"/>
      <c r="F536" s="8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</row>
    <row r="537" ht="14.25" spans="1:43">
      <c r="A537" s="74"/>
      <c r="B537" s="20"/>
      <c r="C537" s="20"/>
      <c r="D537" s="20"/>
      <c r="E537" s="20"/>
      <c r="F537" s="8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</row>
    <row r="538" ht="14.25" spans="1:43">
      <c r="A538" s="74"/>
      <c r="B538" s="20"/>
      <c r="C538" s="20"/>
      <c r="D538" s="20"/>
      <c r="E538" s="20"/>
      <c r="F538" s="8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</row>
    <row r="539" ht="14.25" spans="1:43">
      <c r="A539" s="74"/>
      <c r="B539" s="20"/>
      <c r="C539" s="20"/>
      <c r="D539" s="20"/>
      <c r="E539" s="20"/>
      <c r="F539" s="8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</row>
    <row r="540" ht="14.25" spans="1:43">
      <c r="A540" s="74"/>
      <c r="B540" s="20"/>
      <c r="C540" s="20"/>
      <c r="D540" s="20"/>
      <c r="E540" s="20"/>
      <c r="F540" s="8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</row>
    <row r="541" ht="14.25" spans="1:43">
      <c r="A541" s="74"/>
      <c r="B541" s="20"/>
      <c r="C541" s="20"/>
      <c r="D541" s="20"/>
      <c r="E541" s="20"/>
      <c r="F541" s="8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</row>
    <row r="542" ht="14.25" spans="1:43">
      <c r="A542" s="74"/>
      <c r="B542" s="20"/>
      <c r="C542" s="20"/>
      <c r="D542" s="20"/>
      <c r="E542" s="20"/>
      <c r="F542" s="8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</row>
    <row r="543" ht="14.25" spans="1:43">
      <c r="A543" s="74"/>
      <c r="B543" s="20"/>
      <c r="C543" s="20"/>
      <c r="D543" s="20"/>
      <c r="E543" s="20"/>
      <c r="F543" s="8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</row>
    <row r="544" ht="14.25" spans="1:43">
      <c r="A544" s="74"/>
      <c r="B544" s="20"/>
      <c r="C544" s="20"/>
      <c r="D544" s="20"/>
      <c r="E544" s="20"/>
      <c r="F544" s="8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</row>
    <row r="545" ht="14.25" spans="1:43">
      <c r="A545" s="74"/>
      <c r="B545" s="20"/>
      <c r="C545" s="20"/>
      <c r="D545" s="20"/>
      <c r="E545" s="20"/>
      <c r="F545" s="8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</row>
    <row r="546" ht="14.25" spans="1:43">
      <c r="A546" s="74"/>
      <c r="B546" s="20"/>
      <c r="C546" s="20"/>
      <c r="D546" s="20"/>
      <c r="E546" s="20"/>
      <c r="F546" s="8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</row>
    <row r="547" ht="14.25" spans="1:43">
      <c r="A547" s="74"/>
      <c r="B547" s="20"/>
      <c r="C547" s="20"/>
      <c r="D547" s="20"/>
      <c r="E547" s="20"/>
      <c r="F547" s="8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</row>
    <row r="548" ht="14.25" spans="1:43">
      <c r="A548" s="74"/>
      <c r="B548" s="20"/>
      <c r="C548" s="20"/>
      <c r="D548" s="20"/>
      <c r="E548" s="20"/>
      <c r="F548" s="8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</row>
    <row r="549" ht="14.25" spans="1:43">
      <c r="A549" s="74"/>
      <c r="B549" s="20"/>
      <c r="C549" s="20"/>
      <c r="D549" s="20"/>
      <c r="E549" s="20"/>
      <c r="F549" s="8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</row>
    <row r="550" ht="14.25" spans="1:43">
      <c r="A550" s="74"/>
      <c r="B550" s="20"/>
      <c r="C550" s="20"/>
      <c r="D550" s="20"/>
      <c r="E550" s="20"/>
      <c r="F550" s="8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</row>
    <row r="551" ht="14.25" spans="1:43">
      <c r="A551" s="74"/>
      <c r="B551" s="20"/>
      <c r="C551" s="20"/>
      <c r="D551" s="20"/>
      <c r="E551" s="20"/>
      <c r="F551" s="8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</row>
    <row r="552" ht="14.25" spans="1:43">
      <c r="A552" s="74"/>
      <c r="B552" s="20"/>
      <c r="C552" s="20"/>
      <c r="D552" s="20"/>
      <c r="E552" s="20"/>
      <c r="F552" s="8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</row>
    <row r="553" ht="14.25" spans="1:43">
      <c r="A553" s="74"/>
      <c r="B553" s="20"/>
      <c r="C553" s="20"/>
      <c r="D553" s="20"/>
      <c r="E553" s="20"/>
      <c r="F553" s="8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</row>
    <row r="554" ht="14.25" spans="1:43">
      <c r="A554" s="74"/>
      <c r="B554" s="20"/>
      <c r="C554" s="20"/>
      <c r="D554" s="20"/>
      <c r="E554" s="20"/>
      <c r="F554" s="8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</row>
    <row r="555" ht="14.25" spans="1:43">
      <c r="A555" s="74"/>
      <c r="B555" s="20"/>
      <c r="C555" s="20"/>
      <c r="D555" s="20"/>
      <c r="E555" s="20"/>
      <c r="F555" s="8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</row>
    <row r="556" ht="14.25" spans="1:43">
      <c r="A556" s="74"/>
      <c r="B556" s="20"/>
      <c r="C556" s="20"/>
      <c r="D556" s="20"/>
      <c r="E556" s="20"/>
      <c r="F556" s="8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</row>
    <row r="557" ht="14.25" spans="1:43">
      <c r="A557" s="74"/>
      <c r="B557" s="20"/>
      <c r="C557" s="20"/>
      <c r="D557" s="20"/>
      <c r="E557" s="20"/>
      <c r="F557" s="8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</row>
    <row r="558" ht="14.25" spans="1:43">
      <c r="A558" s="74"/>
      <c r="B558" s="20"/>
      <c r="C558" s="20"/>
      <c r="D558" s="20"/>
      <c r="E558" s="20"/>
      <c r="F558" s="8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</row>
    <row r="559" ht="14.25" spans="1:43">
      <c r="A559" s="74"/>
      <c r="B559" s="20"/>
      <c r="C559" s="20"/>
      <c r="D559" s="20"/>
      <c r="E559" s="20"/>
      <c r="F559" s="8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</row>
    <row r="560" ht="14.25" spans="1:43">
      <c r="A560" s="74"/>
      <c r="B560" s="20"/>
      <c r="C560" s="20"/>
      <c r="D560" s="20"/>
      <c r="E560" s="20"/>
      <c r="F560" s="8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</row>
    <row r="561" ht="14.25" spans="1:43">
      <c r="A561" s="74"/>
      <c r="B561" s="20"/>
      <c r="C561" s="20"/>
      <c r="D561" s="20"/>
      <c r="E561" s="20"/>
      <c r="F561" s="8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</row>
    <row r="562" ht="14.25" spans="1:43">
      <c r="A562" s="74"/>
      <c r="B562" s="20"/>
      <c r="C562" s="20"/>
      <c r="D562" s="20"/>
      <c r="E562" s="20"/>
      <c r="F562" s="8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</row>
    <row r="563" ht="14.25" spans="1:43">
      <c r="A563" s="74"/>
      <c r="B563" s="20"/>
      <c r="C563" s="20"/>
      <c r="D563" s="20"/>
      <c r="E563" s="20"/>
      <c r="F563" s="8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</row>
    <row r="564" ht="14.25" spans="1:43">
      <c r="A564" s="74"/>
      <c r="B564" s="20"/>
      <c r="C564" s="20"/>
      <c r="D564" s="20"/>
      <c r="E564" s="20"/>
      <c r="F564" s="8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</row>
    <row r="565" ht="14.25" spans="1:43">
      <c r="A565" s="74"/>
      <c r="B565" s="20"/>
      <c r="C565" s="20"/>
      <c r="D565" s="20"/>
      <c r="E565" s="20"/>
      <c r="F565" s="8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</row>
    <row r="566" ht="14.25" spans="1:43">
      <c r="A566" s="74"/>
      <c r="B566" s="20"/>
      <c r="C566" s="20"/>
      <c r="D566" s="20"/>
      <c r="E566" s="20"/>
      <c r="F566" s="8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</row>
    <row r="567" ht="14.25" spans="1:43">
      <c r="A567" s="74"/>
      <c r="B567" s="20"/>
      <c r="C567" s="20"/>
      <c r="D567" s="20"/>
      <c r="E567" s="20"/>
      <c r="F567" s="8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</row>
    <row r="568" ht="14.25" spans="1:43">
      <c r="A568" s="74"/>
      <c r="B568" s="20"/>
      <c r="C568" s="20"/>
      <c r="D568" s="20"/>
      <c r="E568" s="20"/>
      <c r="F568" s="8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</row>
    <row r="569" ht="14.25" spans="1:43">
      <c r="A569" s="74"/>
      <c r="B569" s="20"/>
      <c r="C569" s="20"/>
      <c r="D569" s="20"/>
      <c r="E569" s="20"/>
      <c r="F569" s="8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</row>
    <row r="570" ht="14.25" spans="1:43">
      <c r="A570" s="74"/>
      <c r="B570" s="20"/>
      <c r="C570" s="20"/>
      <c r="D570" s="20"/>
      <c r="E570" s="20"/>
      <c r="F570" s="8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</row>
    <row r="571" ht="14.25" spans="1:43">
      <c r="A571" s="74"/>
      <c r="B571" s="20"/>
      <c r="C571" s="20"/>
      <c r="D571" s="20"/>
      <c r="E571" s="20"/>
      <c r="F571" s="8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</row>
    <row r="572" ht="14.25" spans="1:43">
      <c r="A572" s="74"/>
      <c r="B572" s="20"/>
      <c r="C572" s="20"/>
      <c r="D572" s="20"/>
      <c r="E572" s="20"/>
      <c r="F572" s="8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</row>
    <row r="573" ht="14.25" spans="1:43">
      <c r="A573" s="74"/>
      <c r="B573" s="20"/>
      <c r="C573" s="20"/>
      <c r="D573" s="20"/>
      <c r="E573" s="20"/>
      <c r="F573" s="8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</row>
    <row r="574" ht="14.25" spans="1:43">
      <c r="A574" s="74"/>
      <c r="B574" s="20"/>
      <c r="C574" s="20"/>
      <c r="D574" s="20"/>
      <c r="E574" s="20"/>
      <c r="F574" s="8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</row>
    <row r="575" ht="14.25" spans="1:43">
      <c r="A575" s="74"/>
      <c r="B575" s="20"/>
      <c r="C575" s="20"/>
      <c r="D575" s="20"/>
      <c r="E575" s="20"/>
      <c r="F575" s="8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</row>
    <row r="576" ht="14.25" spans="1:43">
      <c r="A576" s="74"/>
      <c r="B576" s="20"/>
      <c r="C576" s="20"/>
      <c r="D576" s="20"/>
      <c r="E576" s="20"/>
      <c r="F576" s="8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</row>
    <row r="577" ht="14.25" spans="1:43">
      <c r="A577" s="74"/>
      <c r="B577" s="20"/>
      <c r="C577" s="20"/>
      <c r="D577" s="20"/>
      <c r="E577" s="20"/>
      <c r="F577" s="8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</row>
    <row r="578" ht="14.25" spans="1:43">
      <c r="A578" s="74"/>
      <c r="B578" s="20"/>
      <c r="C578" s="20"/>
      <c r="D578" s="20"/>
      <c r="E578" s="20"/>
      <c r="F578" s="8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</row>
    <row r="579" ht="14.25" spans="1:43">
      <c r="A579" s="74"/>
      <c r="B579" s="20"/>
      <c r="C579" s="20"/>
      <c r="D579" s="20"/>
      <c r="E579" s="20"/>
      <c r="F579" s="8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</row>
    <row r="580" ht="14.25" spans="1:43">
      <c r="A580" s="74"/>
      <c r="B580" s="20"/>
      <c r="C580" s="20"/>
      <c r="D580" s="20"/>
      <c r="E580" s="20"/>
      <c r="F580" s="8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</row>
    <row r="581" ht="14.25" spans="1:43">
      <c r="A581" s="74"/>
      <c r="B581" s="20"/>
      <c r="C581" s="20"/>
      <c r="D581" s="20"/>
      <c r="E581" s="20"/>
      <c r="F581" s="8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</row>
    <row r="582" ht="14.25" spans="1:43">
      <c r="A582" s="74"/>
      <c r="B582" s="20"/>
      <c r="C582" s="20"/>
      <c r="D582" s="20"/>
      <c r="E582" s="20"/>
      <c r="F582" s="8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</row>
    <row r="583" ht="14.25" spans="1:43">
      <c r="A583" s="74"/>
      <c r="B583" s="20"/>
      <c r="C583" s="20"/>
      <c r="D583" s="20"/>
      <c r="E583" s="20"/>
      <c r="F583" s="8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</row>
    <row r="584" ht="14.25" spans="1:43">
      <c r="A584" s="74"/>
      <c r="B584" s="20"/>
      <c r="C584" s="20"/>
      <c r="D584" s="20"/>
      <c r="E584" s="20"/>
      <c r="F584" s="8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</row>
    <row r="585" ht="14.25" spans="1:43">
      <c r="A585" s="74"/>
      <c r="B585" s="20"/>
      <c r="C585" s="20"/>
      <c r="D585" s="20"/>
      <c r="E585" s="20"/>
      <c r="F585" s="8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</row>
    <row r="586" ht="14.25" spans="1:43">
      <c r="A586" s="74"/>
      <c r="B586" s="20"/>
      <c r="C586" s="20"/>
      <c r="D586" s="20"/>
      <c r="E586" s="20"/>
      <c r="F586" s="8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</row>
    <row r="587" ht="14.25" spans="1:43">
      <c r="A587" s="74"/>
      <c r="B587" s="20"/>
      <c r="C587" s="20"/>
      <c r="D587" s="20"/>
      <c r="E587" s="20"/>
      <c r="F587" s="8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</row>
    <row r="588" ht="14.25" spans="1:43">
      <c r="A588" s="74"/>
      <c r="B588" s="20"/>
      <c r="C588" s="20"/>
      <c r="D588" s="20"/>
      <c r="E588" s="20"/>
      <c r="F588" s="8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</row>
    <row r="589" ht="14.25" spans="1:43">
      <c r="A589" s="74"/>
      <c r="B589" s="20"/>
      <c r="C589" s="20"/>
      <c r="D589" s="20"/>
      <c r="E589" s="20"/>
      <c r="F589" s="8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</row>
    <row r="590" ht="14.25" spans="1:43">
      <c r="A590" s="74"/>
      <c r="B590" s="20"/>
      <c r="C590" s="20"/>
      <c r="D590" s="20"/>
      <c r="E590" s="20"/>
      <c r="F590" s="8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</row>
    <row r="591" ht="14.25" spans="1:43">
      <c r="A591" s="74"/>
      <c r="B591" s="20"/>
      <c r="C591" s="20"/>
      <c r="D591" s="20"/>
      <c r="E591" s="20"/>
      <c r="F591" s="8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</row>
    <row r="592" ht="14.25" spans="1:43">
      <c r="A592" s="74"/>
      <c r="B592" s="20"/>
      <c r="C592" s="20"/>
      <c r="D592" s="20"/>
      <c r="E592" s="20"/>
      <c r="F592" s="8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</row>
    <row r="593" ht="14.25" spans="1:43">
      <c r="A593" s="74"/>
      <c r="B593" s="20"/>
      <c r="C593" s="20"/>
      <c r="D593" s="20"/>
      <c r="E593" s="20"/>
      <c r="F593" s="8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</row>
    <row r="594" ht="14.25" spans="1:43">
      <c r="A594" s="74"/>
      <c r="B594" s="20"/>
      <c r="C594" s="20"/>
      <c r="D594" s="20"/>
      <c r="E594" s="20"/>
      <c r="F594" s="8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</row>
    <row r="595" ht="14.25" spans="1:43">
      <c r="A595" s="74"/>
      <c r="B595" s="20"/>
      <c r="C595" s="20"/>
      <c r="D595" s="20"/>
      <c r="E595" s="20"/>
      <c r="F595" s="8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</row>
    <row r="596" ht="14.25" spans="1:43">
      <c r="A596" s="74"/>
      <c r="B596" s="20"/>
      <c r="C596" s="20"/>
      <c r="D596" s="20"/>
      <c r="E596" s="20"/>
      <c r="F596" s="8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</row>
    <row r="597" ht="14.25" spans="1:43">
      <c r="A597" s="74"/>
      <c r="B597" s="20"/>
      <c r="C597" s="20"/>
      <c r="D597" s="20"/>
      <c r="E597" s="20"/>
      <c r="F597" s="8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</row>
    <row r="598" ht="14.25" spans="1:43">
      <c r="A598" s="74"/>
      <c r="B598" s="20"/>
      <c r="C598" s="20"/>
      <c r="D598" s="20"/>
      <c r="E598" s="20"/>
      <c r="F598" s="8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</row>
    <row r="599" ht="14.25" spans="1:43">
      <c r="A599" s="74"/>
      <c r="B599" s="20"/>
      <c r="C599" s="20"/>
      <c r="D599" s="20"/>
      <c r="E599" s="20"/>
      <c r="F599" s="8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</row>
    <row r="600" ht="14.25" spans="1:43">
      <c r="A600" s="74"/>
      <c r="B600" s="20"/>
      <c r="C600" s="20"/>
      <c r="D600" s="20"/>
      <c r="E600" s="20"/>
      <c r="F600" s="8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</row>
    <row r="601" ht="14.25" spans="1:43">
      <c r="A601" s="74"/>
      <c r="B601" s="20"/>
      <c r="C601" s="20"/>
      <c r="D601" s="20"/>
      <c r="E601" s="20"/>
      <c r="F601" s="8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</row>
    <row r="602" ht="14.25" spans="1:43">
      <c r="A602" s="74"/>
      <c r="B602" s="20"/>
      <c r="C602" s="20"/>
      <c r="D602" s="20"/>
      <c r="E602" s="20"/>
      <c r="F602" s="8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</row>
    <row r="603" ht="14.25" spans="1:43">
      <c r="A603" s="74"/>
      <c r="B603" s="20"/>
      <c r="C603" s="20"/>
      <c r="D603" s="20"/>
      <c r="E603" s="20"/>
      <c r="F603" s="8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</row>
    <row r="604" ht="14.25" spans="1:43">
      <c r="A604" s="74"/>
      <c r="B604" s="20"/>
      <c r="C604" s="20"/>
      <c r="D604" s="20"/>
      <c r="E604" s="20"/>
      <c r="F604" s="8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</row>
    <row r="605" ht="14.25" spans="1:43">
      <c r="A605" s="74"/>
      <c r="B605" s="20"/>
      <c r="C605" s="20"/>
      <c r="D605" s="20"/>
      <c r="E605" s="20"/>
      <c r="F605" s="8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</row>
    <row r="606" ht="14.25" spans="1:43">
      <c r="A606" s="74"/>
      <c r="B606" s="20"/>
      <c r="C606" s="20"/>
      <c r="D606" s="20"/>
      <c r="E606" s="20"/>
      <c r="F606" s="8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</row>
    <row r="607" ht="14.25" spans="1:43">
      <c r="A607" s="74"/>
      <c r="B607" s="20"/>
      <c r="C607" s="20"/>
      <c r="D607" s="20"/>
      <c r="E607" s="20"/>
      <c r="F607" s="8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</row>
    <row r="608" ht="14.25" spans="1:43">
      <c r="A608" s="74"/>
      <c r="B608" s="20"/>
      <c r="C608" s="20"/>
      <c r="D608" s="20"/>
      <c r="E608" s="20"/>
      <c r="F608" s="8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</row>
    <row r="609" ht="14.25" spans="1:43">
      <c r="A609" s="74"/>
      <c r="B609" s="20"/>
      <c r="C609" s="20"/>
      <c r="D609" s="20"/>
      <c r="E609" s="20"/>
      <c r="F609" s="8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</row>
    <row r="610" ht="14.25" spans="1:43">
      <c r="A610" s="74"/>
      <c r="B610" s="20"/>
      <c r="C610" s="20"/>
      <c r="D610" s="20"/>
      <c r="E610" s="20"/>
      <c r="F610" s="8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</row>
    <row r="611" ht="14.25" spans="1:43">
      <c r="A611" s="74"/>
      <c r="B611" s="20"/>
      <c r="C611" s="20"/>
      <c r="D611" s="20"/>
      <c r="E611" s="20"/>
      <c r="F611" s="8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</row>
    <row r="612" ht="14.25" spans="1:43">
      <c r="A612" s="74"/>
      <c r="B612" s="20"/>
      <c r="C612" s="20"/>
      <c r="D612" s="20"/>
      <c r="E612" s="20"/>
      <c r="F612" s="8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</row>
    <row r="613" ht="14.25" spans="1:43">
      <c r="A613" s="74"/>
      <c r="B613" s="20"/>
      <c r="C613" s="20"/>
      <c r="D613" s="20"/>
      <c r="E613" s="20"/>
      <c r="F613" s="8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</row>
    <row r="614" ht="14.25" spans="1:43">
      <c r="A614" s="74"/>
      <c r="B614" s="20"/>
      <c r="C614" s="20"/>
      <c r="D614" s="20"/>
      <c r="E614" s="20"/>
      <c r="F614" s="8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</row>
    <row r="615" ht="14.25" spans="1:43">
      <c r="A615" s="74"/>
      <c r="B615" s="20"/>
      <c r="C615" s="20"/>
      <c r="D615" s="20"/>
      <c r="E615" s="20"/>
      <c r="F615" s="8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</row>
    <row r="616" ht="14.25" spans="1:43">
      <c r="A616" s="74"/>
      <c r="B616" s="20"/>
      <c r="C616" s="20"/>
      <c r="D616" s="20"/>
      <c r="E616" s="20"/>
      <c r="F616" s="8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</row>
    <row r="617" ht="14.25" spans="1:43">
      <c r="A617" s="74"/>
      <c r="B617" s="20"/>
      <c r="C617" s="20"/>
      <c r="D617" s="20"/>
      <c r="E617" s="20"/>
      <c r="F617" s="8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</row>
    <row r="618" ht="14.25" spans="1:43">
      <c r="A618" s="74"/>
      <c r="B618" s="20"/>
      <c r="C618" s="20"/>
      <c r="D618" s="20"/>
      <c r="E618" s="20"/>
      <c r="F618" s="8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</row>
    <row r="619" ht="14.25" spans="1:43">
      <c r="A619" s="74"/>
      <c r="B619" s="20"/>
      <c r="C619" s="20"/>
      <c r="D619" s="20"/>
      <c r="E619" s="20"/>
      <c r="F619" s="8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</row>
    <row r="620" ht="14.25" spans="1:43">
      <c r="A620" s="74"/>
      <c r="B620" s="20"/>
      <c r="C620" s="20"/>
      <c r="D620" s="20"/>
      <c r="E620" s="20"/>
      <c r="F620" s="8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</row>
    <row r="621" ht="14.25" spans="1:43">
      <c r="A621" s="74"/>
      <c r="B621" s="20"/>
      <c r="C621" s="20"/>
      <c r="D621" s="20"/>
      <c r="E621" s="20"/>
      <c r="F621" s="8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</row>
    <row r="622" ht="14.25" spans="1:43">
      <c r="A622" s="74"/>
      <c r="B622" s="20"/>
      <c r="C622" s="20"/>
      <c r="D622" s="20"/>
      <c r="E622" s="20"/>
      <c r="F622" s="8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</row>
    <row r="623" ht="14.25" spans="1:43">
      <c r="A623" s="74"/>
      <c r="B623" s="20"/>
      <c r="C623" s="20"/>
      <c r="D623" s="20"/>
      <c r="E623" s="20"/>
      <c r="F623" s="8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</row>
    <row r="624" ht="14.25" spans="1:43">
      <c r="A624" s="74"/>
      <c r="B624" s="20"/>
      <c r="C624" s="20"/>
      <c r="D624" s="20"/>
      <c r="E624" s="20"/>
      <c r="F624" s="8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</row>
    <row r="625" ht="14.25" spans="1:43">
      <c r="A625" s="74"/>
      <c r="B625" s="20"/>
      <c r="C625" s="20"/>
      <c r="D625" s="20"/>
      <c r="E625" s="20"/>
      <c r="F625" s="8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</row>
    <row r="626" ht="14.25" spans="1:43">
      <c r="A626" s="74"/>
      <c r="B626" s="20"/>
      <c r="C626" s="20"/>
      <c r="D626" s="20"/>
      <c r="E626" s="20"/>
      <c r="F626" s="8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</row>
    <row r="627" ht="14.25" spans="1:43">
      <c r="A627" s="74"/>
      <c r="B627" s="20"/>
      <c r="C627" s="20"/>
      <c r="D627" s="20"/>
      <c r="E627" s="20"/>
      <c r="F627" s="8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</row>
    <row r="628" ht="14.25" spans="1:43">
      <c r="A628" s="74"/>
      <c r="B628" s="20"/>
      <c r="C628" s="20"/>
      <c r="D628" s="20"/>
      <c r="E628" s="20"/>
      <c r="F628" s="8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</row>
    <row r="629" ht="14.25" spans="1:43">
      <c r="A629" s="74"/>
      <c r="B629" s="20"/>
      <c r="C629" s="20"/>
      <c r="D629" s="20"/>
      <c r="E629" s="20"/>
      <c r="F629" s="8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</row>
    <row r="630" ht="14.25" spans="1:43">
      <c r="A630" s="74"/>
      <c r="B630" s="20"/>
      <c r="C630" s="20"/>
      <c r="D630" s="20"/>
      <c r="E630" s="20"/>
      <c r="F630" s="8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</row>
    <row r="631" ht="14.25" spans="1:43">
      <c r="A631" s="74"/>
      <c r="B631" s="20"/>
      <c r="C631" s="20"/>
      <c r="D631" s="20"/>
      <c r="E631" s="20"/>
      <c r="F631" s="8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</row>
    <row r="632" ht="14.25" spans="1:43">
      <c r="A632" s="74"/>
      <c r="B632" s="20"/>
      <c r="C632" s="20"/>
      <c r="D632" s="20"/>
      <c r="E632" s="20"/>
      <c r="F632" s="8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</row>
    <row r="633" ht="14.25" spans="1:43">
      <c r="A633" s="74"/>
      <c r="B633" s="20"/>
      <c r="C633" s="20"/>
      <c r="D633" s="20"/>
      <c r="E633" s="20"/>
      <c r="F633" s="8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</row>
    <row r="634" ht="14.25" spans="1:43">
      <c r="A634" s="74"/>
      <c r="B634" s="20"/>
      <c r="C634" s="20"/>
      <c r="D634" s="20"/>
      <c r="E634" s="20"/>
      <c r="F634" s="8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</row>
    <row r="635" ht="14.25" spans="1:43">
      <c r="A635" s="74"/>
      <c r="B635" s="20"/>
      <c r="C635" s="20"/>
      <c r="D635" s="20"/>
      <c r="E635" s="20"/>
      <c r="F635" s="8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</row>
    <row r="636" ht="14.25" spans="1:43">
      <c r="A636" s="74"/>
      <c r="B636" s="20"/>
      <c r="C636" s="20"/>
      <c r="D636" s="20"/>
      <c r="E636" s="20"/>
      <c r="F636" s="8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</row>
    <row r="637" ht="14.25" spans="1:43">
      <c r="A637" s="74"/>
      <c r="B637" s="20"/>
      <c r="C637" s="20"/>
      <c r="D637" s="20"/>
      <c r="E637" s="20"/>
      <c r="F637" s="8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</row>
    <row r="638" ht="14.25" spans="1:43">
      <c r="A638" s="74"/>
      <c r="B638" s="20"/>
      <c r="C638" s="20"/>
      <c r="D638" s="20"/>
      <c r="E638" s="20"/>
      <c r="F638" s="8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</row>
    <row r="639" ht="14.25" spans="1:43">
      <c r="A639" s="74"/>
      <c r="B639" s="20"/>
      <c r="C639" s="20"/>
      <c r="D639" s="20"/>
      <c r="E639" s="20"/>
      <c r="F639" s="8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</row>
    <row r="640" ht="14.25" spans="1:43">
      <c r="A640" s="74"/>
      <c r="B640" s="20"/>
      <c r="C640" s="20"/>
      <c r="D640" s="20"/>
      <c r="E640" s="20"/>
      <c r="F640" s="8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</row>
    <row r="641" ht="14.25" spans="1:43">
      <c r="A641" s="74"/>
      <c r="B641" s="20"/>
      <c r="C641" s="20"/>
      <c r="D641" s="20"/>
      <c r="E641" s="20"/>
      <c r="F641" s="8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</row>
    <row r="642" ht="14.25" spans="1:43">
      <c r="A642" s="74"/>
      <c r="B642" s="20"/>
      <c r="C642" s="20"/>
      <c r="D642" s="20"/>
      <c r="E642" s="20"/>
      <c r="F642" s="8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</row>
    <row r="643" ht="14.25" spans="1:43">
      <c r="A643" s="74"/>
      <c r="B643" s="20"/>
      <c r="C643" s="20"/>
      <c r="D643" s="20"/>
      <c r="E643" s="20"/>
      <c r="F643" s="8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</row>
    <row r="644" ht="14.25" spans="1:43">
      <c r="A644" s="74"/>
      <c r="B644" s="20"/>
      <c r="C644" s="20"/>
      <c r="D644" s="20"/>
      <c r="E644" s="20"/>
      <c r="F644" s="8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</row>
    <row r="645" ht="14.25" spans="1:43">
      <c r="A645" s="74"/>
      <c r="B645" s="20"/>
      <c r="C645" s="20"/>
      <c r="D645" s="20"/>
      <c r="E645" s="20"/>
      <c r="F645" s="8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</row>
    <row r="646" ht="14.25" spans="1:43">
      <c r="A646" s="74"/>
      <c r="B646" s="20"/>
      <c r="C646" s="20"/>
      <c r="D646" s="20"/>
      <c r="E646" s="20"/>
      <c r="F646" s="8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</row>
    <row r="647" ht="14.25" spans="1:43">
      <c r="A647" s="74"/>
      <c r="B647" s="20"/>
      <c r="C647" s="20"/>
      <c r="D647" s="20"/>
      <c r="E647" s="20"/>
      <c r="F647" s="8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</row>
    <row r="648" ht="14.25" spans="1:43">
      <c r="A648" s="74"/>
      <c r="B648" s="20"/>
      <c r="C648" s="20"/>
      <c r="D648" s="20"/>
      <c r="E648" s="20"/>
      <c r="F648" s="8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</row>
    <row r="649" ht="14.25" spans="1:43">
      <c r="A649" s="74"/>
      <c r="B649" s="20"/>
      <c r="C649" s="20"/>
      <c r="D649" s="20"/>
      <c r="E649" s="20"/>
      <c r="F649" s="8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</row>
    <row r="650" ht="14.25" spans="1:43">
      <c r="A650" s="74"/>
      <c r="B650" s="20"/>
      <c r="C650" s="20"/>
      <c r="D650" s="20"/>
      <c r="E650" s="20"/>
      <c r="F650" s="8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</row>
    <row r="651" ht="14.25" spans="1:43">
      <c r="A651" s="74"/>
      <c r="B651" s="20"/>
      <c r="C651" s="20"/>
      <c r="D651" s="20"/>
      <c r="E651" s="20"/>
      <c r="F651" s="8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</row>
    <row r="652" ht="14.25" spans="1:43">
      <c r="A652" s="74"/>
      <c r="B652" s="20"/>
      <c r="C652" s="20"/>
      <c r="D652" s="20"/>
      <c r="E652" s="20"/>
      <c r="F652" s="8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</row>
    <row r="653" ht="14.25" spans="1:43">
      <c r="A653" s="74"/>
      <c r="B653" s="20"/>
      <c r="C653" s="20"/>
      <c r="D653" s="20"/>
      <c r="E653" s="20"/>
      <c r="F653" s="8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</row>
    <row r="654" ht="14.25" spans="1:43">
      <c r="A654" s="74"/>
      <c r="B654" s="20"/>
      <c r="C654" s="20"/>
      <c r="D654" s="20"/>
      <c r="E654" s="20"/>
      <c r="F654" s="8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</row>
    <row r="655" ht="14.25" spans="1:43">
      <c r="A655" s="74"/>
      <c r="B655" s="20"/>
      <c r="C655" s="20"/>
      <c r="D655" s="20"/>
      <c r="E655" s="20"/>
      <c r="F655" s="8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</row>
    <row r="656" ht="14.25" spans="1:43">
      <c r="A656" s="74"/>
      <c r="B656" s="20"/>
      <c r="C656" s="20"/>
      <c r="D656" s="20"/>
      <c r="E656" s="20"/>
      <c r="F656" s="8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</row>
    <row r="657" ht="14.25" spans="1:43">
      <c r="A657" s="74"/>
      <c r="B657" s="20"/>
      <c r="C657" s="20"/>
      <c r="D657" s="20"/>
      <c r="E657" s="20"/>
      <c r="F657" s="8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</row>
    <row r="658" ht="14.25" spans="1:43">
      <c r="A658" s="74"/>
      <c r="B658" s="20"/>
      <c r="C658" s="20"/>
      <c r="D658" s="20"/>
      <c r="E658" s="20"/>
      <c r="F658" s="8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</row>
    <row r="659" ht="14.25" spans="1:43">
      <c r="A659" s="74"/>
      <c r="B659" s="20"/>
      <c r="C659" s="20"/>
      <c r="D659" s="20"/>
      <c r="E659" s="20"/>
      <c r="F659" s="8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</row>
    <row r="660" ht="14.25" spans="1:43">
      <c r="A660" s="74"/>
      <c r="B660" s="20"/>
      <c r="C660" s="20"/>
      <c r="D660" s="20"/>
      <c r="E660" s="20"/>
      <c r="F660" s="8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</row>
    <row r="661" ht="14.25" spans="1:43">
      <c r="A661" s="74"/>
      <c r="B661" s="20"/>
      <c r="C661" s="20"/>
      <c r="D661" s="20"/>
      <c r="E661" s="20"/>
      <c r="F661" s="8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</row>
    <row r="662" ht="14.25" spans="1:43">
      <c r="A662" s="74"/>
      <c r="B662" s="20"/>
      <c r="C662" s="20"/>
      <c r="D662" s="20"/>
      <c r="E662" s="20"/>
      <c r="F662" s="8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</row>
    <row r="663" ht="14.25" spans="1:43">
      <c r="A663" s="74"/>
      <c r="B663" s="20"/>
      <c r="C663" s="20"/>
      <c r="D663" s="20"/>
      <c r="E663" s="20"/>
      <c r="F663" s="8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</row>
    <row r="664" ht="14.25" spans="1:43">
      <c r="A664" s="74"/>
      <c r="B664" s="20"/>
      <c r="C664" s="20"/>
      <c r="D664" s="20"/>
      <c r="E664" s="20"/>
      <c r="F664" s="8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</row>
    <row r="665" ht="14.25" spans="1:43">
      <c r="A665" s="74"/>
      <c r="B665" s="20"/>
      <c r="C665" s="20"/>
      <c r="D665" s="20"/>
      <c r="E665" s="20"/>
      <c r="F665" s="8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</row>
    <row r="666" ht="14.25" spans="1:43">
      <c r="A666" s="74"/>
      <c r="B666" s="20"/>
      <c r="C666" s="20"/>
      <c r="D666" s="20"/>
      <c r="E666" s="20"/>
      <c r="F666" s="8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</row>
    <row r="667" ht="14.25" spans="1:43">
      <c r="A667" s="74"/>
      <c r="B667" s="20"/>
      <c r="C667" s="20"/>
      <c r="D667" s="20"/>
      <c r="E667" s="20"/>
      <c r="F667" s="8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</row>
    <row r="668" ht="14.25" spans="1:43">
      <c r="A668" s="74"/>
      <c r="B668" s="20"/>
      <c r="C668" s="20"/>
      <c r="D668" s="20"/>
      <c r="E668" s="20"/>
      <c r="F668" s="8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</row>
    <row r="669" ht="14.25" spans="1:43">
      <c r="A669" s="74"/>
      <c r="B669" s="20"/>
      <c r="C669" s="20"/>
      <c r="D669" s="20"/>
      <c r="E669" s="20"/>
      <c r="F669" s="8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</row>
    <row r="670" ht="14.25" spans="1:43">
      <c r="A670" s="74"/>
      <c r="B670" s="20"/>
      <c r="C670" s="20"/>
      <c r="D670" s="20"/>
      <c r="E670" s="20"/>
      <c r="F670" s="8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</row>
    <row r="671" ht="14.25" spans="1:43">
      <c r="A671" s="74"/>
      <c r="B671" s="20"/>
      <c r="C671" s="20"/>
      <c r="D671" s="20"/>
      <c r="E671" s="20"/>
      <c r="F671" s="8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</row>
    <row r="672" ht="14.25" spans="1:43">
      <c r="A672" s="74"/>
      <c r="B672" s="20"/>
      <c r="C672" s="20"/>
      <c r="D672" s="20"/>
      <c r="E672" s="20"/>
      <c r="F672" s="8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</row>
    <row r="673" ht="14.25" spans="1:43">
      <c r="A673" s="74"/>
      <c r="B673" s="20"/>
      <c r="C673" s="20"/>
      <c r="D673" s="20"/>
      <c r="E673" s="20"/>
      <c r="F673" s="8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</row>
    <row r="674" ht="14.25" spans="1:43">
      <c r="A674" s="74"/>
      <c r="B674" s="20"/>
      <c r="C674" s="20"/>
      <c r="D674" s="20"/>
      <c r="E674" s="20"/>
      <c r="F674" s="8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</row>
    <row r="675" ht="14.25" spans="1:43">
      <c r="A675" s="74"/>
      <c r="B675" s="20"/>
      <c r="C675" s="20"/>
      <c r="D675" s="20"/>
      <c r="E675" s="20"/>
      <c r="F675" s="8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</row>
    <row r="676" ht="14.25" spans="1:43">
      <c r="A676" s="74"/>
      <c r="B676" s="20"/>
      <c r="C676" s="20"/>
      <c r="D676" s="20"/>
      <c r="E676" s="20"/>
      <c r="F676" s="8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</row>
    <row r="677" ht="14.25" spans="1:43">
      <c r="A677" s="74"/>
      <c r="B677" s="20"/>
      <c r="C677" s="20"/>
      <c r="D677" s="20"/>
      <c r="E677" s="20"/>
      <c r="F677" s="8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</row>
    <row r="678" ht="14.25" spans="1:43">
      <c r="A678" s="74"/>
      <c r="B678" s="20"/>
      <c r="C678" s="20"/>
      <c r="D678" s="20"/>
      <c r="E678" s="20"/>
      <c r="F678" s="8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</row>
    <row r="679" ht="14.25" spans="1:43">
      <c r="A679" s="74"/>
      <c r="B679" s="20"/>
      <c r="C679" s="20"/>
      <c r="D679" s="20"/>
      <c r="E679" s="20"/>
      <c r="F679" s="8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</row>
    <row r="680" ht="14.25" spans="1:43">
      <c r="A680" s="74"/>
      <c r="B680" s="20"/>
      <c r="C680" s="20"/>
      <c r="D680" s="20"/>
      <c r="E680" s="20"/>
      <c r="F680" s="8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</row>
    <row r="681" ht="14.25" spans="1:43">
      <c r="A681" s="74"/>
      <c r="B681" s="20"/>
      <c r="C681" s="20"/>
      <c r="D681" s="20"/>
      <c r="E681" s="20"/>
      <c r="F681" s="8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</row>
    <row r="682" ht="14.25" spans="1:43">
      <c r="A682" s="74"/>
      <c r="B682" s="20"/>
      <c r="C682" s="20"/>
      <c r="D682" s="20"/>
      <c r="E682" s="20"/>
      <c r="F682" s="8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</row>
    <row r="683" ht="14.25" spans="1:43">
      <c r="A683" s="74"/>
      <c r="B683" s="20"/>
      <c r="C683" s="20"/>
      <c r="D683" s="20"/>
      <c r="E683" s="20"/>
      <c r="F683" s="8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</row>
    <row r="684" ht="14.25" spans="1:43">
      <c r="A684" s="74"/>
      <c r="B684" s="20"/>
      <c r="C684" s="20"/>
      <c r="D684" s="20"/>
      <c r="E684" s="20"/>
      <c r="F684" s="8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</row>
    <row r="685" ht="14.25" spans="1:43">
      <c r="A685" s="74"/>
      <c r="B685" s="20"/>
      <c r="C685" s="20"/>
      <c r="D685" s="20"/>
      <c r="E685" s="20"/>
      <c r="F685" s="8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</row>
    <row r="686" ht="14.25" spans="1:43">
      <c r="A686" s="74"/>
      <c r="B686" s="20"/>
      <c r="C686" s="20"/>
      <c r="D686" s="20"/>
      <c r="E686" s="20"/>
      <c r="F686" s="8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</row>
    <row r="687" ht="14.25" spans="1:43">
      <c r="A687" s="74"/>
      <c r="B687" s="20"/>
      <c r="C687" s="20"/>
      <c r="D687" s="20"/>
      <c r="E687" s="20"/>
      <c r="F687" s="8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</row>
    <row r="688" ht="14.25" spans="1:43">
      <c r="A688" s="74"/>
      <c r="B688" s="20"/>
      <c r="C688" s="20"/>
      <c r="D688" s="20"/>
      <c r="E688" s="20"/>
      <c r="F688" s="8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</row>
    <row r="689" ht="14.25" spans="1:43">
      <c r="A689" s="74"/>
      <c r="B689" s="20"/>
      <c r="C689" s="20"/>
      <c r="D689" s="20"/>
      <c r="E689" s="20"/>
      <c r="F689" s="8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</row>
    <row r="690" ht="14.25" spans="1:43">
      <c r="A690" s="74"/>
      <c r="B690" s="20"/>
      <c r="C690" s="20"/>
      <c r="D690" s="20"/>
      <c r="E690" s="20"/>
      <c r="F690" s="8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</row>
    <row r="691" ht="14.25" spans="1:43">
      <c r="A691" s="74"/>
      <c r="B691" s="20"/>
      <c r="C691" s="20"/>
      <c r="D691" s="20"/>
      <c r="E691" s="20"/>
      <c r="F691" s="8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</row>
    <row r="692" ht="14.25" spans="1:43">
      <c r="A692" s="74"/>
      <c r="B692" s="20"/>
      <c r="C692" s="20"/>
      <c r="D692" s="20"/>
      <c r="E692" s="20"/>
      <c r="F692" s="8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</row>
    <row r="693" ht="14.25" spans="1:43">
      <c r="A693" s="74"/>
      <c r="B693" s="20"/>
      <c r="C693" s="20"/>
      <c r="D693" s="20"/>
      <c r="E693" s="20"/>
      <c r="F693" s="8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</row>
    <row r="694" ht="14.25" spans="1:43">
      <c r="A694" s="74"/>
      <c r="B694" s="20"/>
      <c r="C694" s="20"/>
      <c r="D694" s="20"/>
      <c r="E694" s="20"/>
      <c r="F694" s="8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</row>
    <row r="695" ht="14.25" spans="1:43">
      <c r="A695" s="74"/>
      <c r="B695" s="20"/>
      <c r="C695" s="20"/>
      <c r="D695" s="20"/>
      <c r="E695" s="20"/>
      <c r="F695" s="8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</row>
    <row r="696" ht="14.25" spans="1:43">
      <c r="A696" s="74"/>
      <c r="B696" s="20"/>
      <c r="C696" s="20"/>
      <c r="D696" s="20"/>
      <c r="E696" s="20"/>
      <c r="F696" s="8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</row>
    <row r="697" ht="14.25" spans="1:43">
      <c r="A697" s="74"/>
      <c r="B697" s="20"/>
      <c r="C697" s="20"/>
      <c r="D697" s="20"/>
      <c r="E697" s="20"/>
      <c r="F697" s="8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</row>
    <row r="698" ht="14.25" spans="1:43">
      <c r="A698" s="74"/>
      <c r="B698" s="20"/>
      <c r="C698" s="20"/>
      <c r="D698" s="20"/>
      <c r="E698" s="20"/>
      <c r="F698" s="8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</row>
    <row r="699" ht="14.25" spans="1:43">
      <c r="A699" s="74"/>
      <c r="B699" s="20"/>
      <c r="C699" s="20"/>
      <c r="D699" s="20"/>
      <c r="E699" s="20"/>
      <c r="F699" s="8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</row>
    <row r="700" ht="14.25" spans="1:43">
      <c r="A700" s="74"/>
      <c r="B700" s="20"/>
      <c r="C700" s="20"/>
      <c r="D700" s="20"/>
      <c r="E700" s="20"/>
      <c r="F700" s="8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</row>
    <row r="701" ht="14.25" spans="1:43">
      <c r="A701" s="74"/>
      <c r="B701" s="20"/>
      <c r="C701" s="20"/>
      <c r="D701" s="20"/>
      <c r="E701" s="20"/>
      <c r="F701" s="8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</row>
    <row r="702" ht="14.25" spans="1:43">
      <c r="A702" s="74"/>
      <c r="B702" s="20"/>
      <c r="C702" s="20"/>
      <c r="D702" s="20"/>
      <c r="E702" s="20"/>
      <c r="F702" s="8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</row>
    <row r="703" ht="14.25" spans="1:43">
      <c r="A703" s="74"/>
      <c r="B703" s="20"/>
      <c r="C703" s="20"/>
      <c r="D703" s="20"/>
      <c r="E703" s="20"/>
      <c r="F703" s="8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</row>
    <row r="704" ht="14.25" spans="1:43">
      <c r="A704" s="74"/>
      <c r="B704" s="20"/>
      <c r="C704" s="20"/>
      <c r="D704" s="20"/>
      <c r="E704" s="20"/>
      <c r="F704" s="8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</row>
    <row r="705" ht="14.25" spans="1:43">
      <c r="A705" s="74"/>
      <c r="B705" s="20"/>
      <c r="C705" s="20"/>
      <c r="D705" s="20"/>
      <c r="E705" s="20"/>
      <c r="F705" s="8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</row>
    <row r="706" ht="14.25" spans="1:43">
      <c r="A706" s="74"/>
      <c r="B706" s="20"/>
      <c r="C706" s="20"/>
      <c r="D706" s="20"/>
      <c r="E706" s="20"/>
      <c r="F706" s="8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</row>
    <row r="707" ht="14.25" spans="1:43">
      <c r="A707" s="74"/>
      <c r="B707" s="20"/>
      <c r="C707" s="20"/>
      <c r="D707" s="20"/>
      <c r="E707" s="20"/>
      <c r="F707" s="8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</row>
    <row r="708" ht="14.25" spans="1:43">
      <c r="A708" s="74"/>
      <c r="B708" s="20"/>
      <c r="C708" s="20"/>
      <c r="D708" s="20"/>
      <c r="E708" s="20"/>
      <c r="F708" s="8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</row>
    <row r="709" ht="14.25" spans="1:43">
      <c r="A709" s="74"/>
      <c r="B709" s="20"/>
      <c r="C709" s="20"/>
      <c r="D709" s="20"/>
      <c r="E709" s="20"/>
      <c r="F709" s="8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</row>
    <row r="710" ht="14.25" spans="1:43">
      <c r="A710" s="74"/>
      <c r="B710" s="20"/>
      <c r="C710" s="20"/>
      <c r="D710" s="20"/>
      <c r="E710" s="20"/>
      <c r="F710" s="8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</row>
    <row r="711" ht="14.25" spans="1:43">
      <c r="A711" s="74"/>
      <c r="B711" s="20"/>
      <c r="C711" s="20"/>
      <c r="D711" s="20"/>
      <c r="E711" s="20"/>
      <c r="F711" s="8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</row>
    <row r="712" ht="14.25" spans="1:43">
      <c r="A712" s="74"/>
      <c r="B712" s="20"/>
      <c r="C712" s="20"/>
      <c r="D712" s="20"/>
      <c r="E712" s="20"/>
      <c r="F712" s="8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</row>
    <row r="713" ht="14.25" spans="1:43">
      <c r="A713" s="74"/>
      <c r="B713" s="20"/>
      <c r="C713" s="20"/>
      <c r="D713" s="20"/>
      <c r="E713" s="20"/>
      <c r="F713" s="8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</row>
    <row r="714" ht="14.25" spans="1:43">
      <c r="A714" s="74"/>
      <c r="B714" s="20"/>
      <c r="C714" s="20"/>
      <c r="D714" s="20"/>
      <c r="E714" s="20"/>
      <c r="F714" s="8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</row>
    <row r="715" ht="14.25" spans="1:43">
      <c r="A715" s="74"/>
      <c r="B715" s="20"/>
      <c r="C715" s="20"/>
      <c r="D715" s="20"/>
      <c r="E715" s="20"/>
      <c r="F715" s="8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</row>
    <row r="716" ht="14.25" spans="1:43">
      <c r="A716" s="74"/>
      <c r="B716" s="20"/>
      <c r="C716" s="20"/>
      <c r="D716" s="20"/>
      <c r="E716" s="20"/>
      <c r="F716" s="8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</row>
    <row r="717" ht="14.25" spans="1:43">
      <c r="A717" s="74"/>
      <c r="B717" s="20"/>
      <c r="C717" s="20"/>
      <c r="D717" s="20"/>
      <c r="E717" s="20"/>
      <c r="F717" s="8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</row>
    <row r="718" ht="14.25" spans="1:43">
      <c r="A718" s="74"/>
      <c r="B718" s="20"/>
      <c r="C718" s="20"/>
      <c r="D718" s="20"/>
      <c r="E718" s="20"/>
      <c r="F718" s="8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</row>
    <row r="719" ht="14.25" spans="1:43">
      <c r="A719" s="74"/>
      <c r="B719" s="20"/>
      <c r="C719" s="20"/>
      <c r="D719" s="20"/>
      <c r="E719" s="20"/>
      <c r="F719" s="8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</row>
    <row r="720" ht="14.25" spans="1:43">
      <c r="A720" s="74"/>
      <c r="B720" s="20"/>
      <c r="C720" s="20"/>
      <c r="D720" s="20"/>
      <c r="E720" s="20"/>
      <c r="F720" s="8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</row>
    <row r="721" ht="14.25" spans="1:43">
      <c r="A721" s="74"/>
      <c r="B721" s="20"/>
      <c r="C721" s="20"/>
      <c r="D721" s="20"/>
      <c r="E721" s="20"/>
      <c r="F721" s="8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</row>
    <row r="722" ht="14.25" spans="1:43">
      <c r="A722" s="74"/>
      <c r="B722" s="20"/>
      <c r="C722" s="20"/>
      <c r="D722" s="20"/>
      <c r="E722" s="20"/>
      <c r="F722" s="8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</row>
    <row r="723" ht="14.25" spans="1:43">
      <c r="A723" s="74"/>
      <c r="B723" s="20"/>
      <c r="C723" s="20"/>
      <c r="D723" s="20"/>
      <c r="E723" s="20"/>
      <c r="F723" s="8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</row>
    <row r="724" ht="14.25" spans="1:43">
      <c r="A724" s="74"/>
      <c r="B724" s="20"/>
      <c r="C724" s="20"/>
      <c r="D724" s="20"/>
      <c r="E724" s="20"/>
      <c r="F724" s="8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</row>
    <row r="725" ht="14.25" spans="1:43">
      <c r="A725" s="74"/>
      <c r="B725" s="20"/>
      <c r="C725" s="20"/>
      <c r="D725" s="20"/>
      <c r="E725" s="20"/>
      <c r="F725" s="8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</row>
    <row r="726" ht="14.25" spans="1:43">
      <c r="A726" s="74"/>
      <c r="B726" s="20"/>
      <c r="C726" s="20"/>
      <c r="D726" s="20"/>
      <c r="E726" s="20"/>
      <c r="F726" s="8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</row>
    <row r="727" ht="14.25" spans="1:43">
      <c r="A727" s="74"/>
      <c r="B727" s="20"/>
      <c r="C727" s="20"/>
      <c r="D727" s="20"/>
      <c r="E727" s="20"/>
      <c r="F727" s="8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</row>
    <row r="728" ht="14.25" spans="1:43">
      <c r="A728" s="74"/>
      <c r="B728" s="20"/>
      <c r="C728" s="20"/>
      <c r="D728" s="20"/>
      <c r="E728" s="20"/>
      <c r="F728" s="8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</row>
    <row r="729" ht="14.25" spans="1:43">
      <c r="A729" s="74"/>
      <c r="B729" s="20"/>
      <c r="C729" s="20"/>
      <c r="D729" s="20"/>
      <c r="E729" s="20"/>
      <c r="F729" s="8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</row>
    <row r="730" ht="14.25" spans="1:43">
      <c r="A730" s="74"/>
      <c r="B730" s="20"/>
      <c r="C730" s="20"/>
      <c r="D730" s="20"/>
      <c r="E730" s="20"/>
      <c r="F730" s="8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</row>
    <row r="731" ht="14.25" spans="1:43">
      <c r="A731" s="74"/>
      <c r="B731" s="20"/>
      <c r="C731" s="20"/>
      <c r="D731" s="20"/>
      <c r="E731" s="20"/>
      <c r="F731" s="8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</row>
    <row r="732" ht="14.25" spans="1:43">
      <c r="A732" s="74"/>
      <c r="B732" s="20"/>
      <c r="C732" s="20"/>
      <c r="D732" s="20"/>
      <c r="E732" s="20"/>
      <c r="F732" s="8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</row>
    <row r="733" ht="14.25" spans="1:43">
      <c r="A733" s="74"/>
      <c r="B733" s="20"/>
      <c r="C733" s="20"/>
      <c r="D733" s="20"/>
      <c r="E733" s="20"/>
      <c r="F733" s="8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</row>
    <row r="734" ht="14.25" spans="1:43">
      <c r="A734" s="74"/>
      <c r="B734" s="20"/>
      <c r="C734" s="20"/>
      <c r="D734" s="20"/>
      <c r="E734" s="20"/>
      <c r="F734" s="8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</row>
    <row r="735" ht="14.25" spans="1:43">
      <c r="A735" s="74"/>
      <c r="B735" s="20"/>
      <c r="C735" s="20"/>
      <c r="D735" s="20"/>
      <c r="E735" s="20"/>
      <c r="F735" s="8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</row>
    <row r="736" ht="14.25" spans="1:43">
      <c r="A736" s="74"/>
      <c r="B736" s="20"/>
      <c r="C736" s="20"/>
      <c r="D736" s="20"/>
      <c r="E736" s="20"/>
      <c r="F736" s="8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</row>
    <row r="737" ht="14.25" spans="1:43">
      <c r="A737" s="74"/>
      <c r="B737" s="20"/>
      <c r="C737" s="20"/>
      <c r="D737" s="20"/>
      <c r="E737" s="20"/>
      <c r="F737" s="8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</row>
    <row r="738" ht="14.25" spans="1:43">
      <c r="A738" s="74"/>
      <c r="B738" s="20"/>
      <c r="C738" s="20"/>
      <c r="D738" s="20"/>
      <c r="E738" s="20"/>
      <c r="F738" s="8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</row>
    <row r="739" ht="14.25" spans="1:43">
      <c r="A739" s="74"/>
      <c r="B739" s="20"/>
      <c r="C739" s="20"/>
      <c r="D739" s="20"/>
      <c r="E739" s="20"/>
      <c r="F739" s="8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</row>
    <row r="740" ht="14.25" spans="1:43">
      <c r="A740" s="74"/>
      <c r="B740" s="20"/>
      <c r="C740" s="20"/>
      <c r="D740" s="20"/>
      <c r="E740" s="20"/>
      <c r="F740" s="8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</row>
    <row r="741" ht="14.25" spans="1:43">
      <c r="A741" s="74"/>
      <c r="B741" s="20"/>
      <c r="C741" s="20"/>
      <c r="D741" s="20"/>
      <c r="E741" s="20"/>
      <c r="F741" s="8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</row>
    <row r="742" ht="14.25" spans="1:43">
      <c r="A742" s="74"/>
      <c r="B742" s="20"/>
      <c r="C742" s="20"/>
      <c r="D742" s="20"/>
      <c r="E742" s="20"/>
      <c r="F742" s="8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</row>
    <row r="743" ht="14.25" spans="1:43">
      <c r="A743" s="74"/>
      <c r="B743" s="20"/>
      <c r="C743" s="20"/>
      <c r="D743" s="20"/>
      <c r="E743" s="20"/>
      <c r="F743" s="8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</row>
    <row r="744" ht="14.25" spans="1:43">
      <c r="A744" s="74"/>
      <c r="B744" s="20"/>
      <c r="C744" s="20"/>
      <c r="D744" s="20"/>
      <c r="E744" s="20"/>
      <c r="F744" s="8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</row>
    <row r="745" ht="14.25" spans="1:43">
      <c r="A745" s="74"/>
      <c r="B745" s="20"/>
      <c r="C745" s="20"/>
      <c r="D745" s="20"/>
      <c r="E745" s="20"/>
      <c r="F745" s="8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</row>
    <row r="746" ht="14.25" spans="1:43">
      <c r="A746" s="74"/>
      <c r="B746" s="20"/>
      <c r="C746" s="20"/>
      <c r="D746" s="20"/>
      <c r="E746" s="20"/>
      <c r="F746" s="8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</row>
    <row r="747" ht="14.25" spans="1:43">
      <c r="A747" s="74"/>
      <c r="B747" s="20"/>
      <c r="C747" s="20"/>
      <c r="D747" s="20"/>
      <c r="E747" s="20"/>
      <c r="F747" s="8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</row>
    <row r="748" ht="14.25" spans="1:43">
      <c r="A748" s="74"/>
      <c r="B748" s="20"/>
      <c r="C748" s="20"/>
      <c r="D748" s="20"/>
      <c r="E748" s="20"/>
      <c r="F748" s="8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</row>
    <row r="749" ht="14.25" spans="1:43">
      <c r="A749" s="74"/>
      <c r="B749" s="20"/>
      <c r="C749" s="20"/>
      <c r="D749" s="20"/>
      <c r="E749" s="20"/>
      <c r="F749" s="8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</row>
    <row r="750" ht="14.25" spans="1:43">
      <c r="A750" s="74"/>
      <c r="B750" s="20"/>
      <c r="C750" s="20"/>
      <c r="D750" s="20"/>
      <c r="E750" s="20"/>
      <c r="F750" s="8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</row>
    <row r="751" ht="14.25" spans="1:43">
      <c r="A751" s="74"/>
      <c r="B751" s="20"/>
      <c r="C751" s="20"/>
      <c r="D751" s="20"/>
      <c r="E751" s="20"/>
      <c r="F751" s="8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</row>
    <row r="752" ht="14.25" spans="1:43">
      <c r="A752" s="74"/>
      <c r="B752" s="20"/>
      <c r="C752" s="20"/>
      <c r="D752" s="20"/>
      <c r="E752" s="20"/>
      <c r="F752" s="8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</row>
    <row r="753" ht="14.25" spans="1:43">
      <c r="A753" s="74"/>
      <c r="B753" s="20"/>
      <c r="C753" s="20"/>
      <c r="D753" s="20"/>
      <c r="E753" s="20"/>
      <c r="F753" s="8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</row>
    <row r="754" ht="14.25" spans="1:43">
      <c r="A754" s="74"/>
      <c r="B754" s="20"/>
      <c r="C754" s="20"/>
      <c r="D754" s="20"/>
      <c r="E754" s="20"/>
      <c r="F754" s="8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</row>
    <row r="755" ht="14.25" spans="1:43">
      <c r="A755" s="74"/>
      <c r="B755" s="20"/>
      <c r="C755" s="20"/>
      <c r="D755" s="20"/>
      <c r="E755" s="20"/>
      <c r="F755" s="8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</row>
    <row r="756" ht="14.25" spans="1:43">
      <c r="A756" s="74"/>
      <c r="B756" s="20"/>
      <c r="C756" s="20"/>
      <c r="D756" s="20"/>
      <c r="E756" s="20"/>
      <c r="F756" s="8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</row>
    <row r="757" ht="14.25" spans="1:43">
      <c r="A757" s="74"/>
      <c r="B757" s="20"/>
      <c r="C757" s="20"/>
      <c r="D757" s="20"/>
      <c r="E757" s="20"/>
      <c r="F757" s="8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</row>
    <row r="758" ht="14.25" spans="1:43">
      <c r="A758" s="74"/>
      <c r="B758" s="20"/>
      <c r="C758" s="20"/>
      <c r="D758" s="20"/>
      <c r="E758" s="20"/>
      <c r="F758" s="8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</row>
    <row r="759" ht="14.25" spans="1:43">
      <c r="A759" s="74"/>
      <c r="B759" s="20"/>
      <c r="C759" s="20"/>
      <c r="D759" s="20"/>
      <c r="E759" s="20"/>
      <c r="F759" s="8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</row>
    <row r="760" ht="14.25" spans="1:43">
      <c r="A760" s="74"/>
      <c r="B760" s="20"/>
      <c r="C760" s="20"/>
      <c r="D760" s="20"/>
      <c r="E760" s="20"/>
      <c r="F760" s="8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</row>
    <row r="761" ht="14.25" spans="1:43">
      <c r="A761" s="74"/>
      <c r="B761" s="20"/>
      <c r="C761" s="20"/>
      <c r="D761" s="20"/>
      <c r="E761" s="20"/>
      <c r="F761" s="8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</row>
    <row r="762" ht="14.25" spans="1:43">
      <c r="A762" s="74"/>
      <c r="B762" s="20"/>
      <c r="C762" s="20"/>
      <c r="D762" s="20"/>
      <c r="E762" s="20"/>
      <c r="F762" s="8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</row>
    <row r="763" ht="14.25" spans="1:43">
      <c r="A763" s="74"/>
      <c r="B763" s="20"/>
      <c r="C763" s="20"/>
      <c r="D763" s="20"/>
      <c r="E763" s="20"/>
      <c r="F763" s="8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</row>
    <row r="764" ht="14.25" spans="1:43">
      <c r="A764" s="74"/>
      <c r="B764" s="20"/>
      <c r="C764" s="20"/>
      <c r="D764" s="20"/>
      <c r="E764" s="20"/>
      <c r="F764" s="8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</row>
    <row r="765" ht="14.25" spans="1:43">
      <c r="A765" s="74"/>
      <c r="B765" s="20"/>
      <c r="C765" s="20"/>
      <c r="D765" s="20"/>
      <c r="E765" s="20"/>
      <c r="F765" s="8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</row>
    <row r="766" ht="14.25" spans="1:43">
      <c r="A766" s="74"/>
      <c r="B766" s="20"/>
      <c r="C766" s="20"/>
      <c r="D766" s="20"/>
      <c r="E766" s="20"/>
      <c r="F766" s="8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</row>
    <row r="767" ht="14.25" spans="1:43">
      <c r="A767" s="74"/>
      <c r="B767" s="20"/>
      <c r="C767" s="20"/>
      <c r="D767" s="20"/>
      <c r="E767" s="20"/>
      <c r="F767" s="8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</row>
    <row r="768" ht="14.25" spans="1:43">
      <c r="A768" s="74"/>
      <c r="B768" s="20"/>
      <c r="C768" s="20"/>
      <c r="D768" s="20"/>
      <c r="E768" s="20"/>
      <c r="F768" s="8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</row>
    <row r="769" ht="14.25" spans="1:43">
      <c r="A769" s="74"/>
      <c r="B769" s="20"/>
      <c r="C769" s="20"/>
      <c r="D769" s="20"/>
      <c r="E769" s="20"/>
      <c r="F769" s="8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</row>
    <row r="770" ht="14.25" spans="1:43">
      <c r="A770" s="74"/>
      <c r="B770" s="20"/>
      <c r="C770" s="20"/>
      <c r="D770" s="20"/>
      <c r="E770" s="20"/>
      <c r="F770" s="8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</row>
    <row r="771" ht="14.25" spans="1:43">
      <c r="A771" s="74"/>
      <c r="B771" s="20"/>
      <c r="C771" s="20"/>
      <c r="D771" s="20"/>
      <c r="E771" s="20"/>
      <c r="F771" s="8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</row>
    <row r="772" ht="14.25" spans="1:43">
      <c r="A772" s="74"/>
      <c r="B772" s="20"/>
      <c r="C772" s="20"/>
      <c r="D772" s="20"/>
      <c r="E772" s="20"/>
      <c r="F772" s="8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</row>
    <row r="773" ht="14.25" spans="1:43">
      <c r="A773" s="74"/>
      <c r="B773" s="20"/>
      <c r="C773" s="20"/>
      <c r="D773" s="20"/>
      <c r="E773" s="20"/>
      <c r="F773" s="8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</row>
    <row r="774" ht="14.25" spans="1:43">
      <c r="A774" s="74"/>
      <c r="B774" s="20"/>
      <c r="C774" s="20"/>
      <c r="D774" s="20"/>
      <c r="E774" s="20"/>
      <c r="F774" s="8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</row>
    <row r="775" ht="14.25" spans="1:43">
      <c r="A775" s="74"/>
      <c r="B775" s="20"/>
      <c r="C775" s="20"/>
      <c r="D775" s="20"/>
      <c r="E775" s="20"/>
      <c r="F775" s="8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</row>
    <row r="776" ht="14.25" spans="1:43">
      <c r="A776" s="74"/>
      <c r="B776" s="20"/>
      <c r="C776" s="20"/>
      <c r="D776" s="20"/>
      <c r="E776" s="20"/>
      <c r="F776" s="8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</row>
    <row r="777" ht="14.25" spans="1:43">
      <c r="A777" s="74"/>
      <c r="B777" s="20"/>
      <c r="C777" s="20"/>
      <c r="D777" s="20"/>
      <c r="E777" s="20"/>
      <c r="F777" s="8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</row>
    <row r="778" ht="14.25" spans="1:43">
      <c r="A778" s="74"/>
      <c r="B778" s="20"/>
      <c r="C778" s="20"/>
      <c r="D778" s="20"/>
      <c r="E778" s="20"/>
      <c r="F778" s="8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</row>
    <row r="779" ht="14.25" spans="1:43">
      <c r="A779" s="74"/>
      <c r="B779" s="20"/>
      <c r="C779" s="20"/>
      <c r="D779" s="20"/>
      <c r="E779" s="20"/>
      <c r="F779" s="8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</row>
    <row r="780" ht="14.25" spans="1:43">
      <c r="A780" s="74"/>
      <c r="B780" s="20"/>
      <c r="C780" s="20"/>
      <c r="D780" s="20"/>
      <c r="E780" s="20"/>
      <c r="F780" s="8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</row>
    <row r="781" ht="14.25" spans="1:43">
      <c r="A781" s="74"/>
      <c r="B781" s="20"/>
      <c r="C781" s="20"/>
      <c r="D781" s="20"/>
      <c r="E781" s="20"/>
      <c r="F781" s="8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</row>
    <row r="782" ht="14.25" spans="1:43">
      <c r="A782" s="74"/>
      <c r="B782" s="20"/>
      <c r="C782" s="20"/>
      <c r="D782" s="20"/>
      <c r="E782" s="20"/>
      <c r="F782" s="8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</row>
    <row r="783" ht="14.25" spans="1:43">
      <c r="A783" s="74"/>
      <c r="B783" s="20"/>
      <c r="C783" s="20"/>
      <c r="D783" s="20"/>
      <c r="E783" s="20"/>
      <c r="F783" s="8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</row>
    <row r="784" ht="14.25" spans="1:43">
      <c r="A784" s="74"/>
      <c r="B784" s="20"/>
      <c r="C784" s="20"/>
      <c r="D784" s="20"/>
      <c r="E784" s="20"/>
      <c r="F784" s="8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</row>
    <row r="785" ht="14.25" spans="1:43">
      <c r="A785" s="74"/>
      <c r="B785" s="20"/>
      <c r="C785" s="20"/>
      <c r="D785" s="20"/>
      <c r="E785" s="20"/>
      <c r="F785" s="8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</row>
    <row r="786" ht="14.25" spans="1:43">
      <c r="A786" s="74"/>
      <c r="B786" s="20"/>
      <c r="C786" s="20"/>
      <c r="D786" s="20"/>
      <c r="E786" s="20"/>
      <c r="F786" s="8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</row>
    <row r="787" ht="14.25" spans="1:43">
      <c r="A787" s="74"/>
      <c r="B787" s="20"/>
      <c r="C787" s="20"/>
      <c r="D787" s="20"/>
      <c r="E787" s="20"/>
      <c r="F787" s="8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</row>
    <row r="788" ht="14.25" spans="1:43">
      <c r="A788" s="74"/>
      <c r="B788" s="20"/>
      <c r="C788" s="20"/>
      <c r="D788" s="20"/>
      <c r="E788" s="20"/>
      <c r="F788" s="8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</row>
    <row r="789" ht="14.25" spans="1:43">
      <c r="A789" s="74"/>
      <c r="B789" s="20"/>
      <c r="C789" s="20"/>
      <c r="D789" s="20"/>
      <c r="E789" s="20"/>
      <c r="F789" s="8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</row>
    <row r="790" ht="14.25" spans="1:43">
      <c r="A790" s="74"/>
      <c r="B790" s="20"/>
      <c r="C790" s="20"/>
      <c r="D790" s="20"/>
      <c r="E790" s="20"/>
      <c r="F790" s="8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</row>
    <row r="791" ht="14.25" spans="1:43">
      <c r="A791" s="74"/>
      <c r="B791" s="20"/>
      <c r="C791" s="20"/>
      <c r="D791" s="20"/>
      <c r="E791" s="20"/>
      <c r="F791" s="8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</row>
    <row r="792" ht="14.25" spans="1:43">
      <c r="A792" s="74"/>
      <c r="B792" s="20"/>
      <c r="C792" s="20"/>
      <c r="D792" s="20"/>
      <c r="E792" s="20"/>
      <c r="F792" s="8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</row>
    <row r="793" ht="14.25" spans="1:43">
      <c r="A793" s="74"/>
      <c r="B793" s="20"/>
      <c r="C793" s="20"/>
      <c r="D793" s="20"/>
      <c r="E793" s="20"/>
      <c r="F793" s="8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</row>
    <row r="794" ht="14.25" spans="1:43">
      <c r="A794" s="74"/>
      <c r="B794" s="20"/>
      <c r="C794" s="20"/>
      <c r="D794" s="20"/>
      <c r="E794" s="20"/>
      <c r="F794" s="8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</row>
    <row r="795" ht="14.25" spans="1:43">
      <c r="A795" s="74"/>
      <c r="B795" s="20"/>
      <c r="C795" s="20"/>
      <c r="D795" s="20"/>
      <c r="E795" s="20"/>
      <c r="F795" s="8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</row>
    <row r="796" ht="14.25" spans="1:43">
      <c r="A796" s="74"/>
      <c r="B796" s="20"/>
      <c r="C796" s="20"/>
      <c r="D796" s="20"/>
      <c r="E796" s="20"/>
      <c r="F796" s="8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</row>
    <row r="797" ht="14.25" spans="1:43">
      <c r="A797" s="74"/>
      <c r="B797" s="20"/>
      <c r="C797" s="20"/>
      <c r="D797" s="20"/>
      <c r="E797" s="20"/>
      <c r="F797" s="8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</row>
    <row r="798" ht="14.25" spans="1:43">
      <c r="A798" s="74"/>
      <c r="B798" s="20"/>
      <c r="C798" s="20"/>
      <c r="D798" s="20"/>
      <c r="E798" s="20"/>
      <c r="F798" s="8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</row>
    <row r="799" ht="14.25" spans="1:43">
      <c r="A799" s="74"/>
      <c r="B799" s="20"/>
      <c r="C799" s="20"/>
      <c r="D799" s="20"/>
      <c r="E799" s="20"/>
      <c r="F799" s="8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</row>
    <row r="800" ht="14.25" spans="1:43">
      <c r="A800" s="74"/>
      <c r="B800" s="20"/>
      <c r="C800" s="20"/>
      <c r="D800" s="20"/>
      <c r="E800" s="20"/>
      <c r="F800" s="8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</row>
    <row r="801" ht="14.25" spans="1:43">
      <c r="A801" s="74"/>
      <c r="B801" s="20"/>
      <c r="C801" s="20"/>
      <c r="D801" s="20"/>
      <c r="E801" s="20"/>
      <c r="F801" s="8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</row>
    <row r="802" ht="14.25" spans="1:43">
      <c r="A802" s="74"/>
      <c r="B802" s="20"/>
      <c r="C802" s="20"/>
      <c r="D802" s="20"/>
      <c r="E802" s="20"/>
      <c r="F802" s="8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</row>
    <row r="803" ht="14.25" spans="1:43">
      <c r="A803" s="74"/>
      <c r="B803" s="20"/>
      <c r="C803" s="20"/>
      <c r="D803" s="20"/>
      <c r="E803" s="20"/>
      <c r="F803" s="8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</row>
    <row r="804" ht="14.25" spans="1:43">
      <c r="A804" s="74"/>
      <c r="B804" s="20"/>
      <c r="C804" s="20"/>
      <c r="D804" s="20"/>
      <c r="E804" s="20"/>
      <c r="F804" s="8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</row>
    <row r="805" ht="14.25" spans="1:43">
      <c r="A805" s="74"/>
      <c r="B805" s="20"/>
      <c r="C805" s="20"/>
      <c r="D805" s="20"/>
      <c r="E805" s="20"/>
      <c r="F805" s="8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</row>
    <row r="806" ht="14.25" spans="1:43">
      <c r="A806" s="74"/>
      <c r="B806" s="20"/>
      <c r="C806" s="20"/>
      <c r="D806" s="20"/>
      <c r="E806" s="20"/>
      <c r="F806" s="8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</row>
    <row r="807" ht="14.25" spans="1:43">
      <c r="A807" s="74"/>
      <c r="B807" s="20"/>
      <c r="C807" s="20"/>
      <c r="D807" s="20"/>
      <c r="E807" s="20"/>
      <c r="F807" s="8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</row>
    <row r="808" ht="14.25" spans="1:43">
      <c r="A808" s="74"/>
      <c r="B808" s="20"/>
      <c r="C808" s="20"/>
      <c r="D808" s="20"/>
      <c r="E808" s="20"/>
      <c r="F808" s="8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</row>
    <row r="809" ht="14.25" spans="1:43">
      <c r="A809" s="74"/>
      <c r="B809" s="20"/>
      <c r="C809" s="20"/>
      <c r="D809" s="20"/>
      <c r="E809" s="20"/>
      <c r="F809" s="8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</row>
    <row r="810" ht="14.25" spans="1:43">
      <c r="A810" s="74"/>
      <c r="B810" s="20"/>
      <c r="C810" s="20"/>
      <c r="D810" s="20"/>
      <c r="E810" s="20"/>
      <c r="F810" s="8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</row>
    <row r="811" ht="14.25" spans="1:43">
      <c r="A811" s="74"/>
      <c r="B811" s="20"/>
      <c r="C811" s="20"/>
      <c r="D811" s="20"/>
      <c r="E811" s="20"/>
      <c r="F811" s="8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</row>
    <row r="812" ht="14.25" spans="1:43">
      <c r="A812" s="74"/>
      <c r="B812" s="20"/>
      <c r="C812" s="20"/>
      <c r="D812" s="20"/>
      <c r="E812" s="20"/>
      <c r="F812" s="8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</row>
    <row r="813" ht="14.25" spans="1:43">
      <c r="A813" s="74"/>
      <c r="B813" s="20"/>
      <c r="C813" s="20"/>
      <c r="D813" s="20"/>
      <c r="E813" s="20"/>
      <c r="F813" s="8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</row>
    <row r="814" ht="14.25" spans="1:43">
      <c r="A814" s="74"/>
      <c r="B814" s="20"/>
      <c r="C814" s="20"/>
      <c r="D814" s="20"/>
      <c r="E814" s="20"/>
      <c r="F814" s="8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</row>
    <row r="815" ht="14.25" spans="1:43">
      <c r="A815" s="74"/>
      <c r="B815" s="20"/>
      <c r="C815" s="20"/>
      <c r="D815" s="20"/>
      <c r="E815" s="20"/>
      <c r="F815" s="8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</row>
    <row r="816" ht="14.25" spans="1:43">
      <c r="A816" s="74"/>
      <c r="B816" s="20"/>
      <c r="C816" s="20"/>
      <c r="D816" s="20"/>
      <c r="E816" s="20"/>
      <c r="F816" s="8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</row>
    <row r="817" ht="14.25" spans="1:43">
      <c r="A817" s="74"/>
      <c r="B817" s="20"/>
      <c r="C817" s="20"/>
      <c r="D817" s="20"/>
      <c r="E817" s="20"/>
      <c r="F817" s="8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</row>
    <row r="818" ht="14.25" spans="1:43">
      <c r="A818" s="74"/>
      <c r="B818" s="20"/>
      <c r="C818" s="20"/>
      <c r="D818" s="20"/>
      <c r="E818" s="20"/>
      <c r="F818" s="8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</row>
    <row r="819" ht="14.25" spans="1:43">
      <c r="A819" s="74"/>
      <c r="B819" s="20"/>
      <c r="C819" s="20"/>
      <c r="D819" s="20"/>
      <c r="E819" s="20"/>
      <c r="F819" s="8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</row>
    <row r="820" ht="14.25" spans="1:43">
      <c r="A820" s="74"/>
      <c r="B820" s="20"/>
      <c r="C820" s="20"/>
      <c r="D820" s="20"/>
      <c r="E820" s="20"/>
      <c r="F820" s="8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</row>
    <row r="821" ht="14.25" spans="1:43">
      <c r="A821" s="74"/>
      <c r="B821" s="20"/>
      <c r="C821" s="20"/>
      <c r="D821" s="20"/>
      <c r="E821" s="20"/>
      <c r="F821" s="8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</row>
    <row r="822" ht="14.25" spans="1:43">
      <c r="A822" s="74"/>
      <c r="B822" s="20"/>
      <c r="C822" s="20"/>
      <c r="D822" s="20"/>
      <c r="E822" s="20"/>
      <c r="F822" s="8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</row>
    <row r="823" ht="14.25" spans="1:43">
      <c r="A823" s="74"/>
      <c r="B823" s="20"/>
      <c r="C823" s="20"/>
      <c r="D823" s="20"/>
      <c r="E823" s="20"/>
      <c r="F823" s="8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</row>
    <row r="824" ht="14.25" spans="1:43">
      <c r="A824" s="74"/>
      <c r="B824" s="20"/>
      <c r="C824" s="20"/>
      <c r="D824" s="20"/>
      <c r="E824" s="20"/>
      <c r="F824" s="8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</row>
    <row r="825" ht="14.25" spans="1:43">
      <c r="A825" s="74"/>
      <c r="B825" s="20"/>
      <c r="C825" s="20"/>
      <c r="D825" s="20"/>
      <c r="E825" s="20"/>
      <c r="F825" s="8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</row>
    <row r="826" ht="14.25" spans="1:43">
      <c r="A826" s="74"/>
      <c r="B826" s="20"/>
      <c r="C826" s="20"/>
      <c r="D826" s="20"/>
      <c r="E826" s="20"/>
      <c r="F826" s="8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</row>
    <row r="827" ht="14.25" spans="1:43">
      <c r="A827" s="74"/>
      <c r="B827" s="20"/>
      <c r="C827" s="20"/>
      <c r="D827" s="20"/>
      <c r="E827" s="20"/>
      <c r="F827" s="8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</row>
    <row r="828" ht="14.25" spans="1:43">
      <c r="A828" s="74"/>
      <c r="B828" s="20"/>
      <c r="C828" s="20"/>
      <c r="D828" s="20"/>
      <c r="E828" s="20"/>
      <c r="F828" s="8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</row>
    <row r="829" ht="14.25" spans="1:43">
      <c r="A829" s="74"/>
      <c r="B829" s="20"/>
      <c r="C829" s="20"/>
      <c r="D829" s="20"/>
      <c r="E829" s="20"/>
      <c r="F829" s="8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</row>
    <row r="830" ht="14.25" spans="1:43">
      <c r="A830" s="74"/>
      <c r="B830" s="20"/>
      <c r="C830" s="20"/>
      <c r="D830" s="20"/>
      <c r="E830" s="20"/>
      <c r="F830" s="8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</row>
    <row r="831" ht="14.25" spans="1:43">
      <c r="A831" s="74"/>
      <c r="B831" s="20"/>
      <c r="C831" s="20"/>
      <c r="D831" s="20"/>
      <c r="E831" s="20"/>
      <c r="F831" s="8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</row>
    <row r="832" ht="14.25" spans="1:43">
      <c r="A832" s="74"/>
      <c r="B832" s="20"/>
      <c r="C832" s="20"/>
      <c r="D832" s="20"/>
      <c r="E832" s="20"/>
      <c r="F832" s="8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</row>
    <row r="833" ht="14.25" spans="1:43">
      <c r="A833" s="74"/>
      <c r="B833" s="20"/>
      <c r="C833" s="20"/>
      <c r="D833" s="20"/>
      <c r="E833" s="20"/>
      <c r="F833" s="8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</row>
    <row r="834" ht="14.25" spans="1:43">
      <c r="A834" s="74"/>
      <c r="B834" s="20"/>
      <c r="C834" s="20"/>
      <c r="D834" s="20"/>
      <c r="E834" s="20"/>
      <c r="F834" s="8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</row>
    <row r="835" ht="14.25" spans="1:43">
      <c r="A835" s="74"/>
      <c r="B835" s="20"/>
      <c r="C835" s="20"/>
      <c r="D835" s="20"/>
      <c r="E835" s="20"/>
      <c r="F835" s="8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</row>
    <row r="836" ht="14.25" spans="1:43">
      <c r="A836" s="74"/>
      <c r="B836" s="20"/>
      <c r="C836" s="20"/>
      <c r="D836" s="20"/>
      <c r="E836" s="20"/>
      <c r="F836" s="8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</row>
    <row r="837" ht="14.25" spans="1:43">
      <c r="A837" s="74"/>
      <c r="B837" s="20"/>
      <c r="C837" s="20"/>
      <c r="D837" s="20"/>
      <c r="E837" s="20"/>
      <c r="F837" s="8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</row>
    <row r="838" ht="14.25" spans="1:43">
      <c r="A838" s="74"/>
      <c r="B838" s="20"/>
      <c r="C838" s="20"/>
      <c r="D838" s="20"/>
      <c r="E838" s="20"/>
      <c r="F838" s="8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</row>
    <row r="839" ht="14.25" spans="1:43">
      <c r="A839" s="74"/>
      <c r="B839" s="20"/>
      <c r="C839" s="20"/>
      <c r="D839" s="20"/>
      <c r="E839" s="20"/>
      <c r="F839" s="8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</row>
    <row r="840" ht="14.25" spans="1:43">
      <c r="A840" s="74"/>
      <c r="B840" s="20"/>
      <c r="C840" s="20"/>
      <c r="D840" s="20"/>
      <c r="E840" s="20"/>
      <c r="F840" s="8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</row>
    <row r="841" ht="14.25" spans="1:43">
      <c r="A841" s="74"/>
      <c r="B841" s="20"/>
      <c r="C841" s="20"/>
      <c r="D841" s="20"/>
      <c r="E841" s="20"/>
      <c r="F841" s="8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</row>
    <row r="842" ht="14.25" spans="1:43">
      <c r="A842" s="74"/>
      <c r="B842" s="20"/>
      <c r="C842" s="20"/>
      <c r="D842" s="20"/>
      <c r="E842" s="20"/>
      <c r="F842" s="8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</row>
    <row r="843" ht="14.25" spans="1:43">
      <c r="A843" s="74"/>
      <c r="B843" s="20"/>
      <c r="C843" s="20"/>
      <c r="D843" s="20"/>
      <c r="E843" s="20"/>
      <c r="F843" s="8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</row>
    <row r="844" ht="14.25" spans="1:43">
      <c r="A844" s="74"/>
      <c r="B844" s="20"/>
      <c r="C844" s="20"/>
      <c r="D844" s="20"/>
      <c r="E844" s="20"/>
      <c r="F844" s="8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</row>
    <row r="845" ht="14.25" spans="1:43">
      <c r="A845" s="74"/>
      <c r="B845" s="20"/>
      <c r="C845" s="20"/>
      <c r="D845" s="20"/>
      <c r="E845" s="20"/>
      <c r="F845" s="8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</row>
    <row r="846" ht="14.25" spans="1:43">
      <c r="A846" s="74"/>
      <c r="B846" s="20"/>
      <c r="C846" s="20"/>
      <c r="D846" s="20"/>
      <c r="E846" s="20"/>
      <c r="F846" s="8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</row>
    <row r="847" ht="14.25" spans="1:43">
      <c r="A847" s="74"/>
      <c r="B847" s="20"/>
      <c r="C847" s="20"/>
      <c r="D847" s="20"/>
      <c r="E847" s="20"/>
      <c r="F847" s="8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</row>
    <row r="848" ht="14.25" spans="1:43">
      <c r="A848" s="74"/>
      <c r="B848" s="20"/>
      <c r="C848" s="20"/>
      <c r="D848" s="20"/>
      <c r="E848" s="20"/>
      <c r="F848" s="8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</row>
    <row r="849" ht="14.25" spans="1:43">
      <c r="A849" s="74"/>
      <c r="B849" s="20"/>
      <c r="C849" s="20"/>
      <c r="D849" s="20"/>
      <c r="E849" s="20"/>
      <c r="F849" s="8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</row>
    <row r="850" ht="14.25" spans="1:43">
      <c r="A850" s="74"/>
      <c r="B850" s="20"/>
      <c r="C850" s="20"/>
      <c r="D850" s="20"/>
      <c r="E850" s="20"/>
      <c r="F850" s="8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</row>
    <row r="851" ht="14.25" spans="1:43">
      <c r="A851" s="74"/>
      <c r="B851" s="20"/>
      <c r="C851" s="20"/>
      <c r="D851" s="20"/>
      <c r="E851" s="20"/>
      <c r="F851" s="8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</row>
    <row r="852" ht="14.25" spans="1:43">
      <c r="A852" s="74"/>
      <c r="B852" s="20"/>
      <c r="C852" s="20"/>
      <c r="D852" s="20"/>
      <c r="E852" s="20"/>
      <c r="F852" s="8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</row>
    <row r="853" ht="14.25" spans="1:43">
      <c r="A853" s="74"/>
      <c r="B853" s="20"/>
      <c r="C853" s="20"/>
      <c r="D853" s="20"/>
      <c r="E853" s="20"/>
      <c r="F853" s="8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</row>
    <row r="854" ht="14.25" spans="1:43">
      <c r="A854" s="74"/>
      <c r="B854" s="20"/>
      <c r="C854" s="20"/>
      <c r="D854" s="20"/>
      <c r="E854" s="20"/>
      <c r="F854" s="8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</row>
    <row r="855" ht="14.25" spans="1:43">
      <c r="A855" s="74"/>
      <c r="B855" s="20"/>
      <c r="C855" s="20"/>
      <c r="D855" s="20"/>
      <c r="E855" s="20"/>
      <c r="F855" s="8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</row>
    <row r="856" ht="14.25" spans="1:43">
      <c r="A856" s="74"/>
      <c r="B856" s="20"/>
      <c r="C856" s="20"/>
      <c r="D856" s="20"/>
      <c r="E856" s="20"/>
      <c r="F856" s="8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</row>
    <row r="857" ht="14.25" spans="1:43">
      <c r="A857" s="74"/>
      <c r="B857" s="20"/>
      <c r="C857" s="20"/>
      <c r="D857" s="20"/>
      <c r="E857" s="20"/>
      <c r="F857" s="8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</row>
    <row r="858" ht="14.25" spans="1:43">
      <c r="A858" s="74"/>
      <c r="B858" s="20"/>
      <c r="C858" s="20"/>
      <c r="D858" s="20"/>
      <c r="E858" s="20"/>
      <c r="F858" s="8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</row>
    <row r="859" ht="14.25" spans="1:43">
      <c r="A859" s="74"/>
      <c r="B859" s="20"/>
      <c r="C859" s="20"/>
      <c r="D859" s="20"/>
      <c r="E859" s="20"/>
      <c r="F859" s="8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</row>
    <row r="860" ht="14.25" spans="1:43">
      <c r="A860" s="74"/>
      <c r="B860" s="20"/>
      <c r="C860" s="20"/>
      <c r="D860" s="20"/>
      <c r="E860" s="20"/>
      <c r="F860" s="8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</row>
    <row r="861" ht="14.25" spans="1:43">
      <c r="A861" s="74"/>
      <c r="B861" s="20"/>
      <c r="C861" s="20"/>
      <c r="D861" s="20"/>
      <c r="E861" s="20"/>
      <c r="F861" s="8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</row>
    <row r="862" ht="14.25" spans="1:43">
      <c r="A862" s="74"/>
      <c r="B862" s="20"/>
      <c r="C862" s="20"/>
      <c r="D862" s="20"/>
      <c r="E862" s="20"/>
      <c r="F862" s="8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</row>
    <row r="863" ht="14.25" spans="1:43">
      <c r="A863" s="74"/>
      <c r="B863" s="20"/>
      <c r="C863" s="20"/>
      <c r="D863" s="20"/>
      <c r="E863" s="20"/>
      <c r="F863" s="8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</row>
    <row r="864" ht="14.25" spans="1:43">
      <c r="A864" s="74"/>
      <c r="B864" s="20"/>
      <c r="C864" s="20"/>
      <c r="D864" s="20"/>
      <c r="E864" s="20"/>
      <c r="F864" s="8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</row>
    <row r="865" ht="14.25" spans="1:43">
      <c r="A865" s="74"/>
      <c r="B865" s="20"/>
      <c r="C865" s="20"/>
      <c r="D865" s="20"/>
      <c r="E865" s="20"/>
      <c r="F865" s="8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</row>
    <row r="866" ht="14.25" spans="1:43">
      <c r="A866" s="74"/>
      <c r="B866" s="20"/>
      <c r="C866" s="20"/>
      <c r="D866" s="20"/>
      <c r="E866" s="20"/>
      <c r="F866" s="8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</row>
    <row r="867" ht="14.25" spans="1:43">
      <c r="A867" s="74"/>
      <c r="B867" s="20"/>
      <c r="C867" s="20"/>
      <c r="D867" s="20"/>
      <c r="E867" s="20"/>
      <c r="F867" s="8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</row>
    <row r="868" ht="14.25" spans="1:43">
      <c r="A868" s="74"/>
      <c r="B868" s="20"/>
      <c r="C868" s="20"/>
      <c r="D868" s="20"/>
      <c r="E868" s="20"/>
      <c r="F868" s="8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</row>
    <row r="869" ht="14.25" spans="1:43">
      <c r="A869" s="74"/>
      <c r="B869" s="20"/>
      <c r="C869" s="20"/>
      <c r="D869" s="20"/>
      <c r="E869" s="20"/>
      <c r="F869" s="8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</row>
    <row r="870" ht="14.25" spans="1:43">
      <c r="A870" s="74"/>
      <c r="B870" s="20"/>
      <c r="C870" s="20"/>
      <c r="D870" s="20"/>
      <c r="E870" s="20"/>
      <c r="F870" s="8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</row>
    <row r="871" ht="14.25" spans="1:43">
      <c r="A871" s="74"/>
      <c r="B871" s="20"/>
      <c r="C871" s="20"/>
      <c r="D871" s="20"/>
      <c r="E871" s="20"/>
      <c r="F871" s="8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</row>
    <row r="872" ht="14.25" spans="1:43">
      <c r="A872" s="74"/>
      <c r="B872" s="20"/>
      <c r="C872" s="20"/>
      <c r="D872" s="20"/>
      <c r="E872" s="20"/>
      <c r="F872" s="8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</row>
    <row r="873" ht="14.25" spans="1:43">
      <c r="A873" s="74"/>
      <c r="B873" s="20"/>
      <c r="C873" s="20"/>
      <c r="D873" s="20"/>
      <c r="E873" s="20"/>
      <c r="F873" s="8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</row>
    <row r="874" ht="14.25" spans="1:43">
      <c r="A874" s="74"/>
      <c r="B874" s="20"/>
      <c r="C874" s="20"/>
      <c r="D874" s="20"/>
      <c r="E874" s="20"/>
      <c r="F874" s="8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</row>
    <row r="875" ht="14.25" spans="1:43">
      <c r="A875" s="74"/>
      <c r="B875" s="20"/>
      <c r="C875" s="20"/>
      <c r="D875" s="20"/>
      <c r="E875" s="20"/>
      <c r="F875" s="8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</row>
    <row r="876" ht="14.25" spans="1:43">
      <c r="A876" s="74"/>
      <c r="B876" s="20"/>
      <c r="C876" s="20"/>
      <c r="D876" s="20"/>
      <c r="E876" s="20"/>
      <c r="F876" s="8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</row>
    <row r="877" ht="14.25" spans="1:43">
      <c r="A877" s="74"/>
      <c r="B877" s="20"/>
      <c r="C877" s="20"/>
      <c r="D877" s="20"/>
      <c r="E877" s="20"/>
      <c r="F877" s="8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</row>
    <row r="878" ht="14.25" spans="1:43">
      <c r="A878" s="74"/>
      <c r="B878" s="20"/>
      <c r="C878" s="20"/>
      <c r="D878" s="20"/>
      <c r="E878" s="20"/>
      <c r="F878" s="8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</row>
    <row r="879" ht="14.25" spans="1:43">
      <c r="A879" s="74"/>
      <c r="B879" s="20"/>
      <c r="C879" s="20"/>
      <c r="D879" s="20"/>
      <c r="E879" s="20"/>
      <c r="F879" s="8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</row>
    <row r="880" ht="14.25" spans="1:43">
      <c r="A880" s="74"/>
      <c r="B880" s="20"/>
      <c r="C880" s="20"/>
      <c r="D880" s="20"/>
      <c r="E880" s="20"/>
      <c r="F880" s="8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</row>
    <row r="881" ht="14.25" spans="1:43">
      <c r="A881" s="74"/>
      <c r="B881" s="20"/>
      <c r="C881" s="20"/>
      <c r="D881" s="20"/>
      <c r="E881" s="20"/>
      <c r="F881" s="8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</row>
    <row r="882" ht="14.25" spans="1:43">
      <c r="A882" s="74"/>
      <c r="B882" s="20"/>
      <c r="C882" s="20"/>
      <c r="D882" s="20"/>
      <c r="E882" s="20"/>
      <c r="F882" s="8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</row>
    <row r="883" ht="14.25" spans="1:43">
      <c r="A883" s="74"/>
      <c r="B883" s="20"/>
      <c r="C883" s="20"/>
      <c r="D883" s="20"/>
      <c r="E883" s="20"/>
      <c r="F883" s="8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</row>
    <row r="884" ht="14.25" spans="1:43">
      <c r="A884" s="74"/>
      <c r="B884" s="20"/>
      <c r="C884" s="20"/>
      <c r="D884" s="20"/>
      <c r="E884" s="20"/>
      <c r="F884" s="8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</row>
    <row r="885" ht="14.25" spans="1:43">
      <c r="A885" s="74"/>
      <c r="B885" s="20"/>
      <c r="C885" s="20"/>
      <c r="D885" s="20"/>
      <c r="E885" s="20"/>
      <c r="F885" s="8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</row>
    <row r="886" ht="14.25" spans="1:43">
      <c r="A886" s="74"/>
      <c r="B886" s="20"/>
      <c r="C886" s="20"/>
      <c r="D886" s="20"/>
      <c r="E886" s="20"/>
      <c r="F886" s="8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</row>
    <row r="887" ht="14.25" spans="1:43">
      <c r="A887" s="74"/>
      <c r="B887" s="20"/>
      <c r="C887" s="20"/>
      <c r="D887" s="20"/>
      <c r="E887" s="20"/>
      <c r="F887" s="8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</row>
    <row r="888" ht="14.25" spans="1:43">
      <c r="A888" s="74"/>
      <c r="B888" s="20"/>
      <c r="C888" s="20"/>
      <c r="D888" s="20"/>
      <c r="E888" s="20"/>
      <c r="F888" s="8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</row>
    <row r="889" ht="14.25" spans="1:43">
      <c r="A889" s="74"/>
      <c r="B889" s="20"/>
      <c r="C889" s="20"/>
      <c r="D889" s="20"/>
      <c r="E889" s="20"/>
      <c r="F889" s="8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</row>
    <row r="890" ht="14.25" spans="1:43">
      <c r="A890" s="74"/>
      <c r="B890" s="20"/>
      <c r="C890" s="20"/>
      <c r="D890" s="20"/>
      <c r="E890" s="20"/>
      <c r="F890" s="8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</row>
    <row r="891" ht="14.25" spans="1:43">
      <c r="A891" s="74"/>
      <c r="B891" s="20"/>
      <c r="C891" s="20"/>
      <c r="D891" s="20"/>
      <c r="E891" s="20"/>
      <c r="F891" s="8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</row>
    <row r="892" ht="14.25" spans="1:43">
      <c r="A892" s="74"/>
      <c r="B892" s="20"/>
      <c r="C892" s="20"/>
      <c r="D892" s="20"/>
      <c r="E892" s="20"/>
      <c r="F892" s="8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</row>
    <row r="893" ht="14.25" spans="1:43">
      <c r="A893" s="74"/>
      <c r="B893" s="20"/>
      <c r="C893" s="20"/>
      <c r="D893" s="20"/>
      <c r="E893" s="20"/>
      <c r="F893" s="8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</row>
    <row r="894" ht="14.25" spans="1:43">
      <c r="A894" s="74"/>
      <c r="B894" s="20"/>
      <c r="C894" s="20"/>
      <c r="D894" s="20"/>
      <c r="E894" s="20"/>
      <c r="F894" s="8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</row>
    <row r="895" ht="14.25" spans="1:43">
      <c r="A895" s="74"/>
      <c r="B895" s="20"/>
      <c r="C895" s="20"/>
      <c r="D895" s="20"/>
      <c r="E895" s="20"/>
      <c r="F895" s="8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</row>
    <row r="896" ht="14.25" spans="1:43">
      <c r="A896" s="74"/>
      <c r="B896" s="20"/>
      <c r="C896" s="20"/>
      <c r="D896" s="20"/>
      <c r="E896" s="20"/>
      <c r="F896" s="8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</row>
    <row r="897" ht="14.25" spans="1:43">
      <c r="A897" s="74"/>
      <c r="B897" s="20"/>
      <c r="C897" s="20"/>
      <c r="D897" s="20"/>
      <c r="E897" s="20"/>
      <c r="F897" s="8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</row>
    <row r="898" ht="14.25" spans="1:43">
      <c r="A898" s="74"/>
      <c r="B898" s="20"/>
      <c r="C898" s="20"/>
      <c r="D898" s="20"/>
      <c r="E898" s="20"/>
      <c r="F898" s="8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</row>
    <row r="899" ht="14.25" spans="1:43">
      <c r="A899" s="74"/>
      <c r="B899" s="20"/>
      <c r="C899" s="20"/>
      <c r="D899" s="20"/>
      <c r="E899" s="20"/>
      <c r="F899" s="8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</row>
    <row r="900" ht="14.25" spans="1:43">
      <c r="A900" s="74"/>
      <c r="B900" s="20"/>
      <c r="C900" s="20"/>
      <c r="D900" s="20"/>
      <c r="E900" s="20"/>
      <c r="F900" s="8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</row>
    <row r="901" ht="14.25" spans="1:43">
      <c r="A901" s="74"/>
      <c r="B901" s="20"/>
      <c r="C901" s="20"/>
      <c r="D901" s="20"/>
      <c r="E901" s="20"/>
      <c r="F901" s="8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</row>
    <row r="902" ht="14.25" spans="1:43">
      <c r="A902" s="74"/>
      <c r="B902" s="20"/>
      <c r="C902" s="20"/>
      <c r="D902" s="20"/>
      <c r="E902" s="20"/>
      <c r="F902" s="8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</row>
    <row r="903" ht="14.25" spans="1:43">
      <c r="A903" s="74"/>
      <c r="B903" s="20"/>
      <c r="C903" s="20"/>
      <c r="D903" s="20"/>
      <c r="E903" s="20"/>
      <c r="F903" s="8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</row>
    <row r="904" ht="14.25" spans="1:43">
      <c r="A904" s="74"/>
      <c r="B904" s="20"/>
      <c r="C904" s="20"/>
      <c r="D904" s="20"/>
      <c r="E904" s="20"/>
      <c r="F904" s="8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</row>
    <row r="905" ht="14.25" spans="1:43">
      <c r="A905" s="74"/>
      <c r="B905" s="20"/>
      <c r="C905" s="20"/>
      <c r="D905" s="20"/>
      <c r="E905" s="20"/>
      <c r="F905" s="8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</row>
    <row r="906" ht="14.25" spans="1:43">
      <c r="A906" s="74"/>
      <c r="B906" s="20"/>
      <c r="C906" s="20"/>
      <c r="D906" s="20"/>
      <c r="E906" s="20"/>
      <c r="F906" s="8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</row>
    <row r="907" ht="14.25" spans="1:43">
      <c r="A907" s="74"/>
      <c r="B907" s="20"/>
      <c r="C907" s="20"/>
      <c r="D907" s="20"/>
      <c r="E907" s="20"/>
      <c r="F907" s="8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</row>
    <row r="908" ht="14.25" spans="1:43">
      <c r="A908" s="74"/>
      <c r="B908" s="20"/>
      <c r="C908" s="20"/>
      <c r="D908" s="20"/>
      <c r="E908" s="20"/>
      <c r="F908" s="8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</row>
    <row r="909" ht="14.25" spans="1:43">
      <c r="A909" s="74"/>
      <c r="B909" s="20"/>
      <c r="C909" s="20"/>
      <c r="D909" s="20"/>
      <c r="E909" s="20"/>
      <c r="F909" s="8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</row>
    <row r="910" ht="14.25" spans="1:43">
      <c r="A910" s="74"/>
      <c r="B910" s="20"/>
      <c r="C910" s="20"/>
      <c r="D910" s="20"/>
      <c r="E910" s="20"/>
      <c r="F910" s="8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</row>
    <row r="911" ht="14.25" spans="1:43">
      <c r="A911" s="74"/>
      <c r="B911" s="20"/>
      <c r="C911" s="20"/>
      <c r="D911" s="20"/>
      <c r="E911" s="20"/>
      <c r="F911" s="8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</row>
    <row r="912" ht="14.25" spans="1:43">
      <c r="A912" s="74"/>
      <c r="B912" s="20"/>
      <c r="C912" s="20"/>
      <c r="D912" s="20"/>
      <c r="E912" s="20"/>
      <c r="F912" s="8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</row>
    <row r="913" ht="14.25" spans="1:43">
      <c r="A913" s="74"/>
      <c r="B913" s="20"/>
      <c r="C913" s="20"/>
      <c r="D913" s="20"/>
      <c r="E913" s="20"/>
      <c r="F913" s="8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</row>
    <row r="914" ht="14.25" spans="1:43">
      <c r="A914" s="74"/>
      <c r="B914" s="20"/>
      <c r="C914" s="20"/>
      <c r="D914" s="20"/>
      <c r="E914" s="20"/>
      <c r="F914" s="8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</row>
    <row r="915" ht="14.25" spans="1:43">
      <c r="A915" s="74"/>
      <c r="B915" s="20"/>
      <c r="C915" s="20"/>
      <c r="D915" s="20"/>
      <c r="E915" s="20"/>
      <c r="F915" s="8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</row>
    <row r="916" ht="14.25" spans="1:43">
      <c r="A916" s="74"/>
      <c r="B916" s="20"/>
      <c r="C916" s="20"/>
      <c r="D916" s="20"/>
      <c r="E916" s="20"/>
      <c r="F916" s="8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</row>
    <row r="917" ht="14.25" spans="1:43">
      <c r="A917" s="74"/>
      <c r="B917" s="20"/>
      <c r="C917" s="20"/>
      <c r="D917" s="20"/>
      <c r="E917" s="20"/>
      <c r="F917" s="8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</row>
    <row r="918" ht="14.25" spans="1:43">
      <c r="A918" s="74"/>
      <c r="B918" s="20"/>
      <c r="C918" s="20"/>
      <c r="D918" s="20"/>
      <c r="E918" s="20"/>
      <c r="F918" s="8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</row>
    <row r="919" ht="14.25" spans="1:43">
      <c r="A919" s="74"/>
      <c r="B919" s="20"/>
      <c r="C919" s="20"/>
      <c r="D919" s="20"/>
      <c r="E919" s="20"/>
      <c r="F919" s="8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</row>
    <row r="920" ht="14.25" spans="1:43">
      <c r="A920" s="74"/>
      <c r="B920" s="20"/>
      <c r="C920" s="20"/>
      <c r="D920" s="20"/>
      <c r="E920" s="20"/>
      <c r="F920" s="8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</row>
    <row r="921" ht="14.25" spans="1:43">
      <c r="A921" s="74"/>
      <c r="B921" s="20"/>
      <c r="C921" s="20"/>
      <c r="D921" s="20"/>
      <c r="E921" s="20"/>
      <c r="F921" s="8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</row>
    <row r="922" ht="14.25" spans="1:43">
      <c r="A922" s="74"/>
      <c r="B922" s="20"/>
      <c r="C922" s="20"/>
      <c r="D922" s="20"/>
      <c r="E922" s="20"/>
      <c r="F922" s="8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</row>
    <row r="923" ht="14.25" spans="1:43">
      <c r="A923" s="74"/>
      <c r="B923" s="20"/>
      <c r="C923" s="20"/>
      <c r="D923" s="20"/>
      <c r="E923" s="20"/>
      <c r="F923" s="8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</row>
    <row r="924" ht="14.25" spans="1:43">
      <c r="A924" s="74"/>
      <c r="B924" s="20"/>
      <c r="C924" s="20"/>
      <c r="D924" s="20"/>
      <c r="E924" s="20"/>
      <c r="F924" s="8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</row>
    <row r="925" ht="14.25" spans="1:43">
      <c r="A925" s="74"/>
      <c r="B925" s="20"/>
      <c r="C925" s="20"/>
      <c r="D925" s="20"/>
      <c r="E925" s="20"/>
      <c r="F925" s="8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</row>
    <row r="926" ht="14.25" spans="1:43">
      <c r="A926" s="74"/>
      <c r="B926" s="20"/>
      <c r="C926" s="20"/>
      <c r="D926" s="20"/>
      <c r="E926" s="20"/>
      <c r="F926" s="8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</row>
    <row r="927" ht="14.25" spans="1:43">
      <c r="A927" s="74"/>
      <c r="B927" s="20"/>
      <c r="C927" s="20"/>
      <c r="D927" s="20"/>
      <c r="E927" s="20"/>
      <c r="F927" s="8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</row>
    <row r="928" ht="14.25" spans="1:43">
      <c r="A928" s="74"/>
      <c r="B928" s="20"/>
      <c r="C928" s="20"/>
      <c r="D928" s="20"/>
      <c r="E928" s="20"/>
      <c r="F928" s="8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</row>
    <row r="929" ht="14.25" spans="1:43">
      <c r="A929" s="74"/>
      <c r="B929" s="20"/>
      <c r="C929" s="20"/>
      <c r="D929" s="20"/>
      <c r="E929" s="20"/>
      <c r="F929" s="8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</row>
    <row r="930" ht="14.25" spans="1:43">
      <c r="A930" s="74"/>
      <c r="B930" s="20"/>
      <c r="C930" s="20"/>
      <c r="D930" s="20"/>
      <c r="E930" s="20"/>
      <c r="F930" s="8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</row>
    <row r="931" ht="14.25" spans="1:43">
      <c r="A931" s="74"/>
      <c r="B931" s="20"/>
      <c r="C931" s="20"/>
      <c r="D931" s="20"/>
      <c r="E931" s="20"/>
      <c r="F931" s="8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</row>
    <row r="932" ht="14.25" spans="1:43">
      <c r="A932" s="74"/>
      <c r="B932" s="20"/>
      <c r="C932" s="20"/>
      <c r="D932" s="20"/>
      <c r="E932" s="20"/>
      <c r="F932" s="8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</row>
    <row r="933" ht="14.25" spans="1:43">
      <c r="A933" s="74"/>
      <c r="B933" s="20"/>
      <c r="C933" s="20"/>
      <c r="D933" s="20"/>
      <c r="E933" s="20"/>
      <c r="F933" s="8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</row>
    <row r="934" ht="14.25" spans="1:43">
      <c r="A934" s="74"/>
      <c r="B934" s="20"/>
      <c r="C934" s="20"/>
      <c r="D934" s="20"/>
      <c r="E934" s="20"/>
      <c r="F934" s="8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</row>
    <row r="935" ht="14.25" spans="1:43">
      <c r="A935" s="74"/>
      <c r="B935" s="20"/>
      <c r="C935" s="20"/>
      <c r="D935" s="20"/>
      <c r="E935" s="20"/>
      <c r="F935" s="8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</row>
    <row r="936" ht="14.25" spans="1:43">
      <c r="A936" s="74"/>
      <c r="B936" s="20"/>
      <c r="C936" s="20"/>
      <c r="D936" s="20"/>
      <c r="E936" s="20"/>
      <c r="F936" s="8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</row>
    <row r="937" ht="14.25" spans="1:43">
      <c r="A937" s="74"/>
      <c r="B937" s="20"/>
      <c r="C937" s="20"/>
      <c r="D937" s="20"/>
      <c r="E937" s="20"/>
      <c r="F937" s="8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</row>
    <row r="938" ht="14.25" spans="1:43">
      <c r="A938" s="74"/>
      <c r="B938" s="20"/>
      <c r="C938" s="20"/>
      <c r="D938" s="20"/>
      <c r="E938" s="20"/>
      <c r="F938" s="8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</row>
    <row r="939" ht="14.25" spans="1:43">
      <c r="A939" s="74"/>
      <c r="B939" s="20"/>
      <c r="C939" s="20"/>
      <c r="D939" s="20"/>
      <c r="E939" s="20"/>
      <c r="F939" s="8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</row>
    <row r="940" ht="14.25" spans="1:43">
      <c r="A940" s="74"/>
      <c r="B940" s="20"/>
      <c r="C940" s="20"/>
      <c r="D940" s="20"/>
      <c r="E940" s="20"/>
      <c r="F940" s="8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</row>
    <row r="941" ht="14.25" spans="1:43">
      <c r="A941" s="74"/>
      <c r="B941" s="20"/>
      <c r="C941" s="20"/>
      <c r="D941" s="20"/>
      <c r="E941" s="20"/>
      <c r="F941" s="8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</row>
    <row r="942" ht="14.25" spans="1:43">
      <c r="A942" s="74"/>
      <c r="B942" s="20"/>
      <c r="C942" s="20"/>
      <c r="D942" s="20"/>
      <c r="E942" s="20"/>
      <c r="F942" s="8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</row>
    <row r="943" ht="14.25" spans="1:43">
      <c r="A943" s="74"/>
      <c r="B943" s="20"/>
      <c r="C943" s="20"/>
      <c r="D943" s="20"/>
      <c r="E943" s="20"/>
      <c r="F943" s="8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</row>
    <row r="944" ht="14.25" spans="1:43">
      <c r="A944" s="74"/>
      <c r="B944" s="20"/>
      <c r="C944" s="20"/>
      <c r="D944" s="20"/>
      <c r="E944" s="20"/>
      <c r="F944" s="8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</row>
    <row r="945" ht="14.25" spans="1:43">
      <c r="A945" s="74"/>
      <c r="B945" s="20"/>
      <c r="C945" s="20"/>
      <c r="D945" s="20"/>
      <c r="E945" s="20"/>
      <c r="F945" s="8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</row>
    <row r="946" ht="14.25" spans="1:43">
      <c r="A946" s="74"/>
      <c r="B946" s="20"/>
      <c r="C946" s="20"/>
      <c r="D946" s="20"/>
      <c r="E946" s="20"/>
      <c r="F946" s="8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</row>
    <row r="947" ht="14.25" spans="1:43">
      <c r="A947" s="74"/>
      <c r="B947" s="20"/>
      <c r="C947" s="20"/>
      <c r="D947" s="20"/>
      <c r="E947" s="20"/>
      <c r="F947" s="8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</row>
    <row r="948" ht="14.25" spans="1:43">
      <c r="A948" s="74"/>
      <c r="B948" s="20"/>
      <c r="C948" s="20"/>
      <c r="D948" s="20"/>
      <c r="E948" s="20"/>
      <c r="F948" s="8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</row>
    <row r="949" ht="14.25" spans="1:43">
      <c r="A949" s="74"/>
      <c r="B949" s="20"/>
      <c r="C949" s="20"/>
      <c r="D949" s="20"/>
      <c r="E949" s="20"/>
      <c r="F949" s="8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</row>
    <row r="950" ht="14.25" spans="1:43">
      <c r="A950" s="74"/>
      <c r="B950" s="20"/>
      <c r="C950" s="20"/>
      <c r="D950" s="20"/>
      <c r="E950" s="20"/>
      <c r="F950" s="8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</row>
    <row r="951" ht="14.25" spans="1:43">
      <c r="A951" s="74"/>
      <c r="B951" s="20"/>
      <c r="C951" s="20"/>
      <c r="D951" s="20"/>
      <c r="E951" s="20"/>
      <c r="F951" s="8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</row>
    <row r="952" ht="14.25" spans="1:43">
      <c r="A952" s="74"/>
      <c r="B952" s="20"/>
      <c r="C952" s="20"/>
      <c r="D952" s="20"/>
      <c r="E952" s="20"/>
      <c r="F952" s="8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</row>
    <row r="953" ht="14.25" spans="1:43">
      <c r="A953" s="74"/>
      <c r="B953" s="20"/>
      <c r="C953" s="20"/>
      <c r="D953" s="20"/>
      <c r="E953" s="20"/>
      <c r="F953" s="8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</row>
    <row r="954" ht="14.25" spans="1:43">
      <c r="A954" s="74"/>
      <c r="B954" s="20"/>
      <c r="C954" s="20"/>
      <c r="D954" s="20"/>
      <c r="E954" s="20"/>
      <c r="F954" s="8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</row>
    <row r="955" ht="14.25" spans="1:43">
      <c r="A955" s="74"/>
      <c r="B955" s="20"/>
      <c r="C955" s="20"/>
      <c r="D955" s="20"/>
      <c r="E955" s="20"/>
      <c r="F955" s="8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</row>
    <row r="956" ht="14.25" spans="1:43">
      <c r="A956" s="74"/>
      <c r="B956" s="20"/>
      <c r="C956" s="20"/>
      <c r="D956" s="20"/>
      <c r="E956" s="20"/>
      <c r="F956" s="8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</row>
    <row r="957" ht="14.25" spans="1:43">
      <c r="A957" s="74"/>
      <c r="B957" s="20"/>
      <c r="C957" s="20"/>
      <c r="D957" s="20"/>
      <c r="E957" s="20"/>
      <c r="F957" s="8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</row>
    <row r="958" ht="14.25" spans="1:43">
      <c r="A958" s="74"/>
      <c r="B958" s="20"/>
      <c r="C958" s="20"/>
      <c r="D958" s="20"/>
      <c r="E958" s="20"/>
      <c r="F958" s="8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</row>
    <row r="959" ht="14.25" spans="1:43">
      <c r="A959" s="74"/>
      <c r="B959" s="20"/>
      <c r="C959" s="20"/>
      <c r="D959" s="20"/>
      <c r="E959" s="20"/>
      <c r="F959" s="8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</row>
    <row r="960" ht="14.25" spans="1:43">
      <c r="A960" s="74"/>
      <c r="B960" s="20"/>
      <c r="C960" s="20"/>
      <c r="D960" s="20"/>
      <c r="E960" s="20"/>
      <c r="F960" s="8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</row>
    <row r="961" ht="14.25" spans="1:43">
      <c r="A961" s="74"/>
      <c r="B961" s="20"/>
      <c r="C961" s="20"/>
      <c r="D961" s="20"/>
      <c r="E961" s="20"/>
      <c r="F961" s="8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</row>
    <row r="962" ht="14.25" spans="1:43">
      <c r="A962" s="74"/>
      <c r="B962" s="20"/>
      <c r="C962" s="20"/>
      <c r="D962" s="20"/>
      <c r="E962" s="20"/>
      <c r="F962" s="8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</row>
    <row r="963" ht="14.25" spans="1:43">
      <c r="A963" s="74"/>
      <c r="B963" s="20"/>
      <c r="C963" s="20"/>
      <c r="D963" s="20"/>
      <c r="E963" s="20"/>
      <c r="F963" s="8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</row>
    <row r="964" ht="14.25" spans="1:43">
      <c r="A964" s="74"/>
      <c r="B964" s="20"/>
      <c r="C964" s="20"/>
      <c r="D964" s="20"/>
      <c r="E964" s="20"/>
      <c r="F964" s="8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</row>
    <row r="965" ht="14.25" spans="1:43">
      <c r="A965" s="74"/>
      <c r="B965" s="20"/>
      <c r="C965" s="20"/>
      <c r="D965" s="20"/>
      <c r="E965" s="20"/>
      <c r="F965" s="8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</row>
    <row r="966" ht="14.25" spans="1:43">
      <c r="A966" s="74"/>
      <c r="B966" s="20"/>
      <c r="C966" s="20"/>
      <c r="D966" s="20"/>
      <c r="E966" s="20"/>
      <c r="F966" s="8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</row>
    <row r="967" ht="14.25" spans="1:43">
      <c r="A967" s="74"/>
      <c r="B967" s="20"/>
      <c r="C967" s="20"/>
      <c r="D967" s="20"/>
      <c r="E967" s="20"/>
      <c r="F967" s="8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</row>
    <row r="968" ht="14.25" spans="1:43">
      <c r="A968" s="74"/>
      <c r="B968" s="20"/>
      <c r="C968" s="20"/>
      <c r="D968" s="20"/>
      <c r="E968" s="20"/>
      <c r="F968" s="8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</row>
    <row r="969" ht="14.25" spans="1:43">
      <c r="A969" s="74"/>
      <c r="B969" s="20"/>
      <c r="C969" s="20"/>
      <c r="D969" s="20"/>
      <c r="E969" s="20"/>
      <c r="F969" s="8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</row>
    <row r="970" ht="14.25" spans="1:43">
      <c r="A970" s="74"/>
      <c r="B970" s="20"/>
      <c r="C970" s="20"/>
      <c r="D970" s="20"/>
      <c r="E970" s="20"/>
      <c r="F970" s="8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</row>
    <row r="971" ht="14.25" spans="1:43">
      <c r="A971" s="74"/>
      <c r="B971" s="20"/>
      <c r="C971" s="20"/>
      <c r="D971" s="20"/>
      <c r="E971" s="20"/>
      <c r="F971" s="8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</row>
    <row r="972" ht="14.25" spans="1:43">
      <c r="A972" s="74"/>
      <c r="B972" s="20"/>
      <c r="C972" s="20"/>
      <c r="D972" s="20"/>
      <c r="E972" s="20"/>
      <c r="F972" s="8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</row>
    <row r="973" ht="14.25" spans="1:43">
      <c r="A973" s="74"/>
      <c r="B973" s="20"/>
      <c r="C973" s="20"/>
      <c r="D973" s="20"/>
      <c r="E973" s="20"/>
      <c r="F973" s="8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</row>
    <row r="974" ht="14.25" spans="1:43">
      <c r="A974" s="74"/>
      <c r="B974" s="20"/>
      <c r="C974" s="20"/>
      <c r="D974" s="20"/>
      <c r="E974" s="20"/>
      <c r="F974" s="8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</row>
    <row r="975" ht="14.25" spans="1:43">
      <c r="A975" s="74"/>
      <c r="B975" s="20"/>
      <c r="C975" s="20"/>
      <c r="D975" s="20"/>
      <c r="E975" s="20"/>
      <c r="F975" s="8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</row>
    <row r="976" ht="14.25" spans="1:43">
      <c r="A976" s="74"/>
      <c r="B976" s="20"/>
      <c r="C976" s="20"/>
      <c r="D976" s="20"/>
      <c r="E976" s="20"/>
      <c r="F976" s="8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</row>
    <row r="977" ht="14.25" spans="1:43">
      <c r="A977" s="74"/>
      <c r="B977" s="20"/>
      <c r="C977" s="20"/>
      <c r="D977" s="20"/>
      <c r="E977" s="20"/>
      <c r="F977" s="8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</row>
    <row r="978" ht="14.25" spans="1:43">
      <c r="A978" s="74"/>
      <c r="B978" s="20"/>
      <c r="C978" s="20"/>
      <c r="D978" s="20"/>
      <c r="E978" s="20"/>
      <c r="F978" s="8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</row>
    <row r="979" ht="14.25" spans="1:43">
      <c r="A979" s="74"/>
      <c r="B979" s="20"/>
      <c r="C979" s="20"/>
      <c r="D979" s="20"/>
      <c r="E979" s="20"/>
      <c r="F979" s="8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</row>
    <row r="980" ht="14.25" spans="1:43">
      <c r="A980" s="74"/>
      <c r="B980" s="20"/>
      <c r="C980" s="20"/>
      <c r="D980" s="20"/>
      <c r="E980" s="20"/>
      <c r="F980" s="8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</row>
    <row r="981" ht="14.25" spans="1:43">
      <c r="A981" s="74"/>
      <c r="B981" s="20"/>
      <c r="C981" s="20"/>
      <c r="D981" s="20"/>
      <c r="E981" s="20"/>
      <c r="F981" s="8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</row>
    <row r="982" ht="14.25" spans="1:43">
      <c r="A982" s="74"/>
      <c r="B982" s="20"/>
      <c r="C982" s="20"/>
      <c r="D982" s="20"/>
      <c r="E982" s="20"/>
      <c r="F982" s="8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</row>
    <row r="983" ht="14.25" spans="1:43">
      <c r="A983" s="74"/>
      <c r="B983" s="20"/>
      <c r="C983" s="20"/>
      <c r="D983" s="20"/>
      <c r="E983" s="20"/>
      <c r="F983" s="8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</row>
    <row r="984" ht="14.25" spans="1:43">
      <c r="A984" s="74"/>
      <c r="B984" s="20"/>
      <c r="C984" s="20"/>
      <c r="D984" s="20"/>
      <c r="E984" s="20"/>
      <c r="F984" s="8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</row>
    <row r="985" ht="14.25" spans="1:43">
      <c r="A985" s="74"/>
      <c r="B985" s="20"/>
      <c r="C985" s="20"/>
      <c r="D985" s="20"/>
      <c r="E985" s="20"/>
      <c r="F985" s="8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</row>
    <row r="986" ht="14.25" spans="1:43">
      <c r="A986" s="74"/>
      <c r="B986" s="20"/>
      <c r="C986" s="20"/>
      <c r="D986" s="20"/>
      <c r="E986" s="20"/>
      <c r="F986" s="8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</row>
    <row r="987" ht="14.25" spans="1:43">
      <c r="A987" s="74"/>
      <c r="B987" s="20"/>
      <c r="C987" s="20"/>
      <c r="D987" s="20"/>
      <c r="E987" s="20"/>
      <c r="F987" s="8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</row>
    <row r="988" ht="14.25" spans="1:43">
      <c r="A988" s="74"/>
      <c r="B988" s="20"/>
      <c r="C988" s="20"/>
      <c r="D988" s="20"/>
      <c r="E988" s="20"/>
      <c r="F988" s="8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</row>
    <row r="989" ht="14.25" spans="1:43">
      <c r="A989" s="74"/>
      <c r="B989" s="20"/>
      <c r="C989" s="20"/>
      <c r="D989" s="20"/>
      <c r="E989" s="20"/>
      <c r="F989" s="8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</row>
    <row r="990" ht="14.25" spans="1:43">
      <c r="A990" s="74"/>
      <c r="B990" s="20"/>
      <c r="C990" s="20"/>
      <c r="D990" s="20"/>
      <c r="E990" s="20"/>
      <c r="F990" s="8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</row>
    <row r="991" ht="14.25" spans="1:43">
      <c r="A991" s="74"/>
      <c r="B991" s="20"/>
      <c r="C991" s="20"/>
      <c r="D991" s="20"/>
      <c r="E991" s="20"/>
      <c r="F991" s="8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</row>
    <row r="992" ht="14.25" spans="1:43">
      <c r="A992" s="74"/>
      <c r="B992" s="20"/>
      <c r="C992" s="20"/>
      <c r="D992" s="20"/>
      <c r="E992" s="20"/>
      <c r="F992" s="8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</row>
    <row r="993" ht="14.25" spans="1:43">
      <c r="A993" s="74"/>
      <c r="B993" s="20"/>
      <c r="C993" s="20"/>
      <c r="D993" s="20"/>
      <c r="E993" s="20"/>
      <c r="F993" s="8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</row>
    <row r="994" ht="14.25" spans="1:43">
      <c r="A994" s="74"/>
      <c r="B994" s="20"/>
      <c r="C994" s="20"/>
      <c r="D994" s="20"/>
      <c r="E994" s="20"/>
      <c r="F994" s="8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</row>
    <row r="995" ht="14.25" spans="1:43">
      <c r="A995" s="74"/>
      <c r="B995" s="20"/>
      <c r="C995" s="20"/>
      <c r="D995" s="20"/>
      <c r="E995" s="20"/>
      <c r="F995" s="8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</row>
    <row r="996" ht="14.25" spans="1:43">
      <c r="A996" s="74"/>
      <c r="B996" s="20"/>
      <c r="C996" s="20"/>
      <c r="D996" s="20"/>
      <c r="E996" s="20"/>
      <c r="F996" s="8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</row>
    <row r="997" ht="14.25" spans="1:43">
      <c r="A997" s="74"/>
      <c r="B997" s="20"/>
      <c r="C997" s="20"/>
      <c r="D997" s="20"/>
      <c r="E997" s="20"/>
      <c r="F997" s="8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</row>
    <row r="998" ht="14.25" spans="1:43">
      <c r="A998" s="74"/>
      <c r="B998" s="20"/>
      <c r="C998" s="20"/>
      <c r="D998" s="20"/>
      <c r="E998" s="20"/>
      <c r="F998" s="8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</row>
    <row r="999" ht="14.25" spans="1:43">
      <c r="A999" s="74"/>
      <c r="B999" s="20"/>
      <c r="C999" s="20"/>
      <c r="D999" s="20"/>
      <c r="E999" s="20"/>
      <c r="F999" s="8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</row>
    <row r="1000" ht="14.25" spans="1:43">
      <c r="A1000" s="74"/>
      <c r="B1000" s="20"/>
      <c r="C1000" s="20"/>
      <c r="D1000" s="20"/>
      <c r="E1000" s="20"/>
      <c r="F1000" s="8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</row>
    <row r="1001" ht="14.25" spans="1:43">
      <c r="A1001" s="74"/>
      <c r="B1001" s="20"/>
      <c r="C1001" s="20"/>
      <c r="D1001" s="20"/>
      <c r="E1001" s="20"/>
      <c r="F1001" s="8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</row>
    <row r="1002" ht="14.25" spans="1:43">
      <c r="A1002" s="74"/>
      <c r="B1002" s="20"/>
      <c r="C1002" s="20"/>
      <c r="D1002" s="20"/>
      <c r="E1002" s="20"/>
      <c r="F1002" s="8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</row>
    <row r="1003" ht="14.25" spans="1:43">
      <c r="A1003" s="74"/>
      <c r="B1003" s="20"/>
      <c r="C1003" s="20"/>
      <c r="D1003" s="20"/>
      <c r="E1003" s="20"/>
      <c r="F1003" s="8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</row>
    <row r="1004" ht="14.25" spans="1:43">
      <c r="A1004" s="74"/>
      <c r="B1004" s="20"/>
      <c r="C1004" s="20"/>
      <c r="D1004" s="20"/>
      <c r="E1004" s="20"/>
      <c r="F1004" s="8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</row>
    <row r="1005" ht="14.25" spans="1:43">
      <c r="A1005" s="74"/>
      <c r="B1005" s="20"/>
      <c r="C1005" s="20"/>
      <c r="D1005" s="20"/>
      <c r="E1005" s="20"/>
      <c r="F1005" s="8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</row>
    <row r="1006" ht="14.25" spans="1:43">
      <c r="A1006" s="74"/>
      <c r="B1006" s="20"/>
      <c r="C1006" s="20"/>
      <c r="D1006" s="20"/>
      <c r="E1006" s="20"/>
      <c r="F1006" s="8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</row>
    <row r="1007" ht="14.25" spans="1:43">
      <c r="A1007" s="74"/>
      <c r="B1007" s="20"/>
      <c r="C1007" s="20"/>
      <c r="D1007" s="20"/>
      <c r="E1007" s="20"/>
      <c r="F1007" s="8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</row>
    <row r="1008" ht="14.25" spans="1:43">
      <c r="A1008" s="74"/>
      <c r="B1008" s="20"/>
      <c r="C1008" s="20"/>
      <c r="D1008" s="20"/>
      <c r="E1008" s="20"/>
      <c r="F1008" s="8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</row>
    <row r="1009" ht="14.25" spans="1:43">
      <c r="A1009" s="74"/>
      <c r="B1009" s="20"/>
      <c r="C1009" s="20"/>
      <c r="D1009" s="20"/>
      <c r="E1009" s="20"/>
      <c r="F1009" s="8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</row>
    <row r="1010" ht="14.25" spans="1:43">
      <c r="A1010" s="74"/>
      <c r="B1010" s="20"/>
      <c r="C1010" s="20"/>
      <c r="D1010" s="20"/>
      <c r="E1010" s="20"/>
      <c r="F1010" s="8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</row>
    <row r="1011" ht="14.25" spans="1:43">
      <c r="A1011" s="74"/>
      <c r="B1011" s="20"/>
      <c r="C1011" s="20"/>
      <c r="D1011" s="20"/>
      <c r="E1011" s="20"/>
      <c r="F1011" s="8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</row>
    <row r="1012" ht="14.25" spans="1:43">
      <c r="A1012" s="74"/>
      <c r="B1012" s="20"/>
      <c r="C1012" s="20"/>
      <c r="D1012" s="20"/>
      <c r="E1012" s="20"/>
      <c r="F1012" s="8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</row>
    <row r="1013" ht="14.25" spans="1:43">
      <c r="A1013" s="74"/>
      <c r="B1013" s="20"/>
      <c r="C1013" s="20"/>
      <c r="D1013" s="20"/>
      <c r="E1013" s="20"/>
      <c r="F1013" s="8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</row>
    <row r="1014" ht="14.25" spans="1:43">
      <c r="A1014" s="74"/>
      <c r="B1014" s="20"/>
      <c r="C1014" s="20"/>
      <c r="D1014" s="20"/>
      <c r="E1014" s="20"/>
      <c r="F1014" s="8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</row>
    <row r="1015" ht="14.25" spans="1:43">
      <c r="A1015" s="74"/>
      <c r="B1015" s="20"/>
      <c r="C1015" s="20"/>
      <c r="D1015" s="20"/>
      <c r="E1015" s="20"/>
      <c r="F1015" s="8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</row>
    <row r="1016" ht="14.25" spans="1:43">
      <c r="A1016" s="74"/>
      <c r="B1016" s="20"/>
      <c r="C1016" s="20"/>
      <c r="D1016" s="20"/>
      <c r="E1016" s="20"/>
      <c r="F1016" s="8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</row>
    <row r="1017" ht="14.25" spans="1:43">
      <c r="A1017" s="74"/>
      <c r="B1017" s="20"/>
      <c r="C1017" s="20"/>
      <c r="D1017" s="20"/>
      <c r="E1017" s="20"/>
      <c r="F1017" s="8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</row>
    <row r="1018" ht="14.25" spans="1:43">
      <c r="A1018" s="74"/>
      <c r="B1018" s="20"/>
      <c r="C1018" s="20"/>
      <c r="D1018" s="20"/>
      <c r="E1018" s="20"/>
      <c r="F1018" s="8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</row>
    <row r="1019" ht="14.25" spans="1:43">
      <c r="A1019" s="74"/>
      <c r="B1019" s="20"/>
      <c r="C1019" s="20"/>
      <c r="D1019" s="20"/>
      <c r="E1019" s="20"/>
      <c r="F1019" s="8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</row>
    <row r="1020" ht="14.25" spans="1:43">
      <c r="A1020" s="74"/>
      <c r="B1020" s="20"/>
      <c r="C1020" s="20"/>
      <c r="D1020" s="20"/>
      <c r="E1020" s="20"/>
      <c r="F1020" s="8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</row>
    <row r="1021" ht="14.25" spans="1:43">
      <c r="A1021" s="74"/>
      <c r="B1021" s="20"/>
      <c r="C1021" s="20"/>
      <c r="D1021" s="20"/>
      <c r="E1021" s="20"/>
      <c r="F1021" s="8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</row>
    <row r="1022" ht="14.25" spans="1:43">
      <c r="A1022" s="74"/>
      <c r="B1022" s="20"/>
      <c r="C1022" s="20"/>
      <c r="D1022" s="20"/>
      <c r="E1022" s="20"/>
      <c r="F1022" s="8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</row>
    <row r="1023" ht="14.25" spans="1:43">
      <c r="A1023" s="74"/>
      <c r="B1023" s="20"/>
      <c r="C1023" s="20"/>
      <c r="D1023" s="20"/>
      <c r="E1023" s="20"/>
      <c r="F1023" s="8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</row>
    <row r="1024" ht="14.25" spans="1:43">
      <c r="A1024" s="74"/>
      <c r="B1024" s="20"/>
      <c r="C1024" s="20"/>
      <c r="D1024" s="20"/>
      <c r="E1024" s="20"/>
      <c r="F1024" s="8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</row>
    <row r="1025" ht="14.25" spans="1:43">
      <c r="A1025" s="74"/>
      <c r="B1025" s="20"/>
      <c r="C1025" s="20"/>
      <c r="D1025" s="20"/>
      <c r="E1025" s="20"/>
      <c r="F1025" s="8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</row>
    <row r="1026" ht="14.25" spans="1:43">
      <c r="A1026" s="74"/>
      <c r="B1026" s="20"/>
      <c r="C1026" s="20"/>
      <c r="D1026" s="20"/>
      <c r="E1026" s="20"/>
      <c r="F1026" s="8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</row>
    <row r="1027" ht="14.25" spans="1:43">
      <c r="A1027" s="74"/>
      <c r="B1027" s="20"/>
      <c r="C1027" s="20"/>
      <c r="D1027" s="20"/>
      <c r="E1027" s="20"/>
      <c r="F1027" s="8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</row>
    <row r="1028" ht="14.25" spans="1:43">
      <c r="A1028" s="74"/>
      <c r="B1028" s="20"/>
      <c r="C1028" s="20"/>
      <c r="D1028" s="20"/>
      <c r="E1028" s="20"/>
      <c r="F1028" s="8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</row>
    <row r="1029" ht="14.25" spans="1:43">
      <c r="A1029" s="74"/>
      <c r="B1029" s="20"/>
      <c r="C1029" s="20"/>
      <c r="D1029" s="20"/>
      <c r="E1029" s="20"/>
      <c r="F1029" s="8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</row>
    <row r="1030" ht="14.25" spans="1:43">
      <c r="A1030" s="74"/>
      <c r="B1030" s="20"/>
      <c r="C1030" s="20"/>
      <c r="D1030" s="20"/>
      <c r="E1030" s="20"/>
      <c r="F1030" s="8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</row>
    <row r="1031" ht="14.25" spans="1:43">
      <c r="A1031" s="74"/>
      <c r="B1031" s="20"/>
      <c r="C1031" s="20"/>
      <c r="D1031" s="20"/>
      <c r="E1031" s="20"/>
      <c r="F1031" s="8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</row>
    <row r="1032" ht="14.25" spans="1:43">
      <c r="A1032" s="74"/>
      <c r="B1032" s="20"/>
      <c r="C1032" s="20"/>
      <c r="D1032" s="20"/>
      <c r="E1032" s="20"/>
      <c r="F1032" s="8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</row>
    <row r="1033" ht="14.25" spans="1:43">
      <c r="A1033" s="74"/>
      <c r="B1033" s="20"/>
      <c r="C1033" s="20"/>
      <c r="D1033" s="20"/>
      <c r="E1033" s="20"/>
      <c r="F1033" s="8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</row>
    <row r="1034" ht="14.25" spans="1:43">
      <c r="A1034" s="74"/>
      <c r="B1034" s="20"/>
      <c r="C1034" s="20"/>
      <c r="D1034" s="20"/>
      <c r="E1034" s="20"/>
      <c r="F1034" s="8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</row>
    <row r="1035" ht="14.25" spans="1:43">
      <c r="A1035" s="74"/>
      <c r="B1035" s="20"/>
      <c r="C1035" s="20"/>
      <c r="D1035" s="20"/>
      <c r="E1035" s="20"/>
      <c r="F1035" s="8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</row>
    <row r="1036" ht="14.25" spans="1:43">
      <c r="A1036" s="74"/>
      <c r="B1036" s="20"/>
      <c r="C1036" s="20"/>
      <c r="D1036" s="20"/>
      <c r="E1036" s="20"/>
      <c r="F1036" s="8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</row>
    <row r="1037" ht="14.25" spans="1:43">
      <c r="A1037" s="74"/>
      <c r="B1037" s="20"/>
      <c r="C1037" s="20"/>
      <c r="D1037" s="20"/>
      <c r="E1037" s="20"/>
      <c r="F1037" s="8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</row>
    <row r="1038" ht="14.25" spans="1:43">
      <c r="A1038" s="74"/>
      <c r="B1038" s="20"/>
      <c r="C1038" s="20"/>
      <c r="D1038" s="20"/>
      <c r="E1038" s="20"/>
      <c r="F1038" s="8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</row>
    <row r="1039" ht="14.25" spans="1:43">
      <c r="A1039" s="74"/>
      <c r="B1039" s="20"/>
      <c r="C1039" s="20"/>
      <c r="D1039" s="20"/>
      <c r="E1039" s="20"/>
      <c r="F1039" s="8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</row>
    <row r="1040" ht="14.25" spans="1:43">
      <c r="A1040" s="74"/>
      <c r="B1040" s="20"/>
      <c r="C1040" s="20"/>
      <c r="D1040" s="20"/>
      <c r="E1040" s="20"/>
      <c r="F1040" s="8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</row>
    <row r="1041" ht="14.25" spans="1:43">
      <c r="A1041" s="74"/>
      <c r="B1041" s="20"/>
      <c r="C1041" s="20"/>
      <c r="D1041" s="20"/>
      <c r="E1041" s="20"/>
      <c r="F1041" s="8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</row>
    <row r="1042" ht="14.25" spans="1:43">
      <c r="A1042" s="74"/>
      <c r="B1042" s="20"/>
      <c r="C1042" s="20"/>
      <c r="D1042" s="20"/>
      <c r="E1042" s="20"/>
      <c r="F1042" s="8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</row>
    <row r="1043" ht="14.25" spans="1:43">
      <c r="A1043" s="74"/>
      <c r="B1043" s="20"/>
      <c r="C1043" s="20"/>
      <c r="D1043" s="20"/>
      <c r="E1043" s="20"/>
      <c r="F1043" s="8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</row>
    <row r="1044" ht="14.25" spans="1:43">
      <c r="A1044" s="74"/>
      <c r="B1044" s="20"/>
      <c r="C1044" s="20"/>
      <c r="D1044" s="20"/>
      <c r="E1044" s="20"/>
      <c r="F1044" s="8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</row>
    <row r="1045" ht="14.25" spans="1:43">
      <c r="A1045" s="74"/>
      <c r="B1045" s="20"/>
      <c r="C1045" s="20"/>
      <c r="D1045" s="20"/>
      <c r="E1045" s="20"/>
      <c r="F1045" s="8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</row>
    <row r="1046" ht="14.25" spans="1:43">
      <c r="A1046" s="74"/>
      <c r="B1046" s="20"/>
      <c r="C1046" s="20"/>
      <c r="D1046" s="20"/>
      <c r="E1046" s="20"/>
      <c r="F1046" s="8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</row>
    <row r="1047" ht="14.25" spans="1:43">
      <c r="A1047" s="74"/>
      <c r="B1047" s="20"/>
      <c r="C1047" s="20"/>
      <c r="D1047" s="20"/>
      <c r="E1047" s="20"/>
      <c r="F1047" s="8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</row>
    <row r="1048" ht="14.25" spans="1:43">
      <c r="A1048" s="74"/>
      <c r="B1048" s="20"/>
      <c r="C1048" s="20"/>
      <c r="D1048" s="20"/>
      <c r="E1048" s="20"/>
      <c r="F1048" s="8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</row>
    <row r="1049" ht="14.25" spans="1:43">
      <c r="A1049" s="74"/>
      <c r="B1049" s="20"/>
      <c r="C1049" s="20"/>
      <c r="D1049" s="20"/>
      <c r="E1049" s="20"/>
      <c r="F1049" s="8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</row>
    <row r="1050" ht="14.25" spans="1:43">
      <c r="A1050" s="74"/>
      <c r="B1050" s="20"/>
      <c r="C1050" s="20"/>
      <c r="D1050" s="20"/>
      <c r="E1050" s="20"/>
      <c r="F1050" s="8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</row>
    <row r="1051" ht="14.25" spans="1:43">
      <c r="A1051" s="74"/>
      <c r="B1051" s="20"/>
      <c r="C1051" s="20"/>
      <c r="D1051" s="20"/>
      <c r="E1051" s="20"/>
      <c r="F1051" s="8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</row>
    <row r="1052" ht="14.25" spans="1:43">
      <c r="A1052" s="74"/>
      <c r="B1052" s="20"/>
      <c r="C1052" s="20"/>
      <c r="D1052" s="20"/>
      <c r="E1052" s="20"/>
      <c r="F1052" s="8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</row>
    <row r="1053" ht="14.25" spans="1:43">
      <c r="A1053" s="74"/>
      <c r="B1053" s="20"/>
      <c r="C1053" s="20"/>
      <c r="D1053" s="20"/>
      <c r="E1053" s="20"/>
      <c r="F1053" s="8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</row>
    <row r="1054" ht="14.25" spans="1:43">
      <c r="A1054" s="74"/>
      <c r="B1054" s="20"/>
      <c r="C1054" s="20"/>
      <c r="D1054" s="20"/>
      <c r="E1054" s="20"/>
      <c r="F1054" s="8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</row>
    <row r="1055" ht="14.25" spans="1:43">
      <c r="A1055" s="74"/>
      <c r="B1055" s="20"/>
      <c r="C1055" s="20"/>
      <c r="D1055" s="20"/>
      <c r="E1055" s="20"/>
      <c r="F1055" s="8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</row>
    <row r="1056" ht="14.25" spans="1:43">
      <c r="A1056" s="74"/>
      <c r="B1056" s="20"/>
      <c r="C1056" s="20"/>
      <c r="D1056" s="20"/>
      <c r="E1056" s="20"/>
      <c r="F1056" s="8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</row>
    <row r="1057" ht="14.25" spans="1:43">
      <c r="A1057" s="74"/>
      <c r="B1057" s="20"/>
      <c r="C1057" s="20"/>
      <c r="D1057" s="20"/>
      <c r="E1057" s="20"/>
      <c r="F1057" s="8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</row>
    <row r="1058" ht="14.25" spans="1:43">
      <c r="A1058" s="74"/>
      <c r="B1058" s="20"/>
      <c r="C1058" s="20"/>
      <c r="D1058" s="20"/>
      <c r="E1058" s="20"/>
      <c r="F1058" s="8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</row>
    <row r="1059" ht="14.25" spans="1:43">
      <c r="A1059" s="74"/>
      <c r="B1059" s="20"/>
      <c r="C1059" s="20"/>
      <c r="D1059" s="20"/>
      <c r="E1059" s="20"/>
      <c r="F1059" s="8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</row>
    <row r="1060" ht="14.25" spans="1:43">
      <c r="A1060" s="74"/>
      <c r="B1060" s="20"/>
      <c r="C1060" s="20"/>
      <c r="D1060" s="20"/>
      <c r="E1060" s="20"/>
      <c r="F1060" s="8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</row>
    <row r="1061" ht="14.25" spans="1:43">
      <c r="A1061" s="74"/>
      <c r="B1061" s="20"/>
      <c r="C1061" s="20"/>
      <c r="D1061" s="20"/>
      <c r="E1061" s="20"/>
      <c r="F1061" s="8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</row>
    <row r="1062" ht="14.25" spans="1:43">
      <c r="A1062" s="74"/>
      <c r="B1062" s="20"/>
      <c r="C1062" s="20"/>
      <c r="D1062" s="20"/>
      <c r="E1062" s="20"/>
      <c r="F1062" s="8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</row>
    <row r="1063" ht="14.25" spans="1:43">
      <c r="A1063" s="74"/>
      <c r="B1063" s="20"/>
      <c r="C1063" s="20"/>
      <c r="D1063" s="20"/>
      <c r="E1063" s="20"/>
      <c r="F1063" s="8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</row>
    <row r="1064" ht="14.25" spans="1:43">
      <c r="A1064" s="74"/>
      <c r="B1064" s="20"/>
      <c r="C1064" s="20"/>
      <c r="D1064" s="20"/>
      <c r="E1064" s="20"/>
      <c r="F1064" s="8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</row>
    <row r="1065" ht="14.25" spans="1:43">
      <c r="A1065" s="74"/>
      <c r="B1065" s="20"/>
      <c r="C1065" s="20"/>
      <c r="D1065" s="20"/>
      <c r="E1065" s="20"/>
      <c r="F1065" s="8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</row>
    <row r="1066" ht="14.25" spans="1:43">
      <c r="A1066" s="74"/>
      <c r="B1066" s="20"/>
      <c r="C1066" s="20"/>
      <c r="D1066" s="20"/>
      <c r="E1066" s="20"/>
      <c r="F1066" s="8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</row>
    <row r="1067" ht="14.25" spans="1:43">
      <c r="A1067" s="74"/>
      <c r="B1067" s="20"/>
      <c r="C1067" s="20"/>
      <c r="D1067" s="20"/>
      <c r="E1067" s="20"/>
      <c r="F1067" s="8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</row>
    <row r="1068" ht="14.25" spans="1:43">
      <c r="A1068" s="74"/>
      <c r="B1068" s="20"/>
      <c r="C1068" s="20"/>
      <c r="D1068" s="20"/>
      <c r="E1068" s="20"/>
      <c r="F1068" s="8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</row>
    <row r="1069" ht="14.25" spans="1:43">
      <c r="A1069" s="74"/>
      <c r="B1069" s="20"/>
      <c r="C1069" s="20"/>
      <c r="D1069" s="20"/>
      <c r="E1069" s="20"/>
      <c r="F1069" s="8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</row>
    <row r="1070" ht="14.25" spans="1:43">
      <c r="A1070" s="74"/>
      <c r="B1070" s="20"/>
      <c r="C1070" s="20"/>
      <c r="D1070" s="20"/>
      <c r="E1070" s="20"/>
      <c r="F1070" s="8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</row>
    <row r="1071" ht="14.25" spans="1:43">
      <c r="A1071" s="74"/>
      <c r="B1071" s="20"/>
      <c r="C1071" s="20"/>
      <c r="D1071" s="20"/>
      <c r="E1071" s="20"/>
      <c r="F1071" s="8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</row>
    <row r="1072" ht="14.25" spans="1:43">
      <c r="A1072" s="74"/>
      <c r="B1072" s="20"/>
      <c r="C1072" s="20"/>
      <c r="D1072" s="20"/>
      <c r="E1072" s="20"/>
      <c r="F1072" s="8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</row>
    <row r="1073" ht="14.25" spans="1:43">
      <c r="A1073" s="74"/>
      <c r="B1073" s="20"/>
      <c r="C1073" s="20"/>
      <c r="D1073" s="20"/>
      <c r="E1073" s="20"/>
      <c r="F1073" s="80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</row>
    <row r="1074" ht="14.25" spans="1:43">
      <c r="A1074" s="74"/>
      <c r="B1074" s="20"/>
      <c r="C1074" s="20"/>
      <c r="D1074" s="20"/>
      <c r="E1074" s="20"/>
      <c r="F1074" s="8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</row>
    <row r="1075" ht="14.25" spans="1:43">
      <c r="A1075" s="74"/>
      <c r="B1075" s="20"/>
      <c r="C1075" s="20"/>
      <c r="D1075" s="20"/>
      <c r="E1075" s="20"/>
      <c r="F1075" s="80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</row>
    <row r="1076" ht="14.25" spans="1:43">
      <c r="A1076" s="74"/>
      <c r="B1076" s="20"/>
      <c r="C1076" s="20"/>
      <c r="D1076" s="20"/>
      <c r="E1076" s="20"/>
      <c r="F1076" s="80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</row>
    <row r="1077" ht="14.25" spans="1:43">
      <c r="A1077" s="74"/>
      <c r="B1077" s="20"/>
      <c r="C1077" s="20"/>
      <c r="D1077" s="20"/>
      <c r="E1077" s="20"/>
      <c r="F1077" s="8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</row>
  </sheetData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8" tint="-0.25"/>
  </sheetPr>
  <dimension ref="A1:AQ1002"/>
  <sheetViews>
    <sheetView workbookViewId="0">
      <selection activeCell="A2" sqref="A2:AQ1002"/>
    </sheetView>
  </sheetViews>
  <sheetFormatPr defaultColWidth="9" defaultRowHeight="13.5"/>
  <cols>
    <col min="1" max="1" width="73.8833333333333" style="1" customWidth="1"/>
    <col min="2" max="2" width="20.75" style="70" customWidth="1"/>
    <col min="3" max="3" width="11.5" style="70" customWidth="1"/>
    <col min="4" max="5" width="15.25" style="70" customWidth="1"/>
    <col min="6" max="6" width="11.25" style="71" customWidth="1"/>
    <col min="7" max="7" width="8.63333333333333" style="70" customWidth="1"/>
    <col min="8" max="8" width="12.6333333333333" style="70" customWidth="1"/>
    <col min="9" max="9" width="18.8833333333333" style="70" customWidth="1"/>
    <col min="10" max="10" width="11.1333333333333" style="70" customWidth="1"/>
    <col min="11" max="11" width="10.6333333333333" style="70" customWidth="1"/>
    <col min="12" max="12" width="11.1333333333333" style="70" customWidth="1"/>
    <col min="13" max="13" width="10.6333333333333" style="70" customWidth="1"/>
    <col min="14" max="14" width="12.6333333333333" style="70" customWidth="1"/>
    <col min="15" max="15" width="14.75" style="70" customWidth="1"/>
    <col min="16" max="16" width="5.38333333333333" style="70" customWidth="1"/>
    <col min="17" max="17" width="10.6333333333333" style="70" customWidth="1"/>
    <col min="18" max="18" width="9.38333333333333" style="70" customWidth="1"/>
    <col min="19" max="19" width="6.75" style="70" customWidth="1"/>
    <col min="20" max="20" width="12.6333333333333" style="70" customWidth="1"/>
    <col min="21" max="21" width="8.5" style="70" customWidth="1"/>
    <col min="22" max="22" width="9.38333333333333" style="70" customWidth="1"/>
    <col min="23" max="24" width="12.6333333333333" style="70" customWidth="1"/>
    <col min="25" max="25" width="9.38333333333333" style="70" customWidth="1"/>
    <col min="26" max="26" width="9.13333333333333" style="70" customWidth="1"/>
    <col min="27" max="27" width="8.63333333333333" style="70" customWidth="1"/>
    <col min="28" max="28" width="8.38333333333333" style="70" customWidth="1"/>
    <col min="29" max="29" width="9.38333333333333" style="70" customWidth="1"/>
    <col min="30" max="30" width="6.75" style="70" customWidth="1"/>
    <col min="31" max="31" width="7.5" style="70" customWidth="1"/>
    <col min="32" max="32" width="14.8833333333333" style="70" customWidth="1"/>
    <col min="33" max="33" width="21.25" style="70" customWidth="1"/>
    <col min="34" max="34" width="24.75" style="70" customWidth="1"/>
    <col min="35" max="35" width="10.6333333333333" style="70" customWidth="1"/>
    <col min="36" max="36" width="14.75" style="70" customWidth="1"/>
    <col min="37" max="38" width="10.6333333333333" style="70" customWidth="1"/>
    <col min="39" max="39" width="14.75" style="70" customWidth="1"/>
    <col min="40" max="40" width="10.6333333333333" style="70" customWidth="1"/>
    <col min="41" max="42" width="9.38333333333333" style="70" customWidth="1"/>
    <col min="43" max="43" width="7.38333333333333" style="70" customWidth="1"/>
  </cols>
  <sheetData>
    <row r="1" ht="25" customHeight="1" spans="1:43">
      <c r="A1" s="72" t="s">
        <v>212</v>
      </c>
      <c r="B1" s="72" t="s">
        <v>213</v>
      </c>
      <c r="C1" s="72" t="s">
        <v>214</v>
      </c>
      <c r="D1" s="72" t="s">
        <v>215</v>
      </c>
      <c r="E1" s="72" t="s">
        <v>216</v>
      </c>
      <c r="F1" s="73" t="s">
        <v>217</v>
      </c>
      <c r="G1" s="72" t="s">
        <v>218</v>
      </c>
      <c r="H1" s="72" t="s">
        <v>219</v>
      </c>
      <c r="I1" s="72" t="s">
        <v>220</v>
      </c>
      <c r="J1" s="72" t="s">
        <v>221</v>
      </c>
      <c r="K1" s="72" t="s">
        <v>222</v>
      </c>
      <c r="L1" s="72" t="s">
        <v>223</v>
      </c>
      <c r="M1" s="72" t="s">
        <v>224</v>
      </c>
      <c r="N1" s="72" t="s">
        <v>225</v>
      </c>
      <c r="O1" s="72" t="s">
        <v>226</v>
      </c>
      <c r="P1" s="72" t="s">
        <v>227</v>
      </c>
      <c r="Q1" s="72" t="s">
        <v>228</v>
      </c>
      <c r="R1" s="72" t="s">
        <v>229</v>
      </c>
      <c r="S1" s="72" t="s">
        <v>230</v>
      </c>
      <c r="T1" s="72" t="s">
        <v>231</v>
      </c>
      <c r="U1" s="72" t="s">
        <v>232</v>
      </c>
      <c r="V1" s="72" t="s">
        <v>233</v>
      </c>
      <c r="W1" s="76" t="s">
        <v>234</v>
      </c>
      <c r="X1" s="72" t="s">
        <v>235</v>
      </c>
      <c r="Y1" s="72" t="s">
        <v>236</v>
      </c>
      <c r="Z1" s="72" t="s">
        <v>237</v>
      </c>
      <c r="AA1" s="72" t="s">
        <v>238</v>
      </c>
      <c r="AB1" s="72" t="s">
        <v>239</v>
      </c>
      <c r="AC1" s="72" t="s">
        <v>240</v>
      </c>
      <c r="AD1" s="72" t="s">
        <v>241</v>
      </c>
      <c r="AE1" s="72" t="s">
        <v>242</v>
      </c>
      <c r="AF1" s="72" t="s">
        <v>243</v>
      </c>
      <c r="AG1" s="72" t="s">
        <v>244</v>
      </c>
      <c r="AH1" s="72" t="s">
        <v>245</v>
      </c>
      <c r="AI1" s="72" t="s">
        <v>246</v>
      </c>
      <c r="AJ1" s="72" t="s">
        <v>247</v>
      </c>
      <c r="AK1" s="72" t="s">
        <v>248</v>
      </c>
      <c r="AL1" s="72" t="s">
        <v>249</v>
      </c>
      <c r="AM1" s="72" t="s">
        <v>250</v>
      </c>
      <c r="AN1" s="72" t="s">
        <v>251</v>
      </c>
      <c r="AO1" s="72" t="s">
        <v>252</v>
      </c>
      <c r="AP1" s="72" t="s">
        <v>253</v>
      </c>
      <c r="AQ1" s="72" t="s">
        <v>254</v>
      </c>
    </row>
    <row r="2" ht="14.25" spans="1:43">
      <c r="A2" s="74"/>
      <c r="B2" s="20"/>
      <c r="C2" s="20"/>
      <c r="D2" s="20"/>
      <c r="E2" s="20"/>
      <c r="F2" s="75"/>
      <c r="G2" s="20"/>
      <c r="H2" s="20"/>
      <c r="I2" s="21"/>
      <c r="J2" s="20"/>
      <c r="K2" s="20"/>
      <c r="L2" s="20"/>
      <c r="M2" s="20"/>
      <c r="N2" s="20"/>
      <c r="O2" s="21"/>
      <c r="P2" s="20"/>
      <c r="Q2" s="20"/>
      <c r="R2" s="22"/>
      <c r="S2" s="20"/>
      <c r="T2" s="20"/>
      <c r="U2" s="21"/>
      <c r="V2" s="20"/>
      <c r="W2" s="21"/>
      <c r="X2" s="20"/>
      <c r="Y2" s="20"/>
      <c r="Z2" s="21"/>
      <c r="AA2" s="20"/>
      <c r="AB2" s="21"/>
      <c r="AC2" s="20"/>
      <c r="AD2" s="20"/>
      <c r="AE2" s="20"/>
      <c r="AF2" s="20"/>
      <c r="AG2" s="20"/>
      <c r="AH2" s="20"/>
      <c r="AI2" s="20"/>
      <c r="AJ2" s="21"/>
      <c r="AK2" s="20"/>
      <c r="AL2" s="20"/>
      <c r="AM2" s="21"/>
      <c r="AN2" s="20"/>
      <c r="AO2" s="20"/>
      <c r="AP2" s="20"/>
      <c r="AQ2" s="20"/>
    </row>
    <row r="3" ht="14.25" spans="1:43">
      <c r="A3" s="74"/>
      <c r="B3" s="20"/>
      <c r="C3" s="20"/>
      <c r="D3" s="20"/>
      <c r="E3" s="20"/>
      <c r="F3" s="75"/>
      <c r="G3" s="20"/>
      <c r="H3" s="20"/>
      <c r="I3" s="21"/>
      <c r="J3" s="20"/>
      <c r="K3" s="20"/>
      <c r="L3" s="20"/>
      <c r="M3" s="20"/>
      <c r="N3" s="20"/>
      <c r="O3" s="21"/>
      <c r="P3" s="20"/>
      <c r="Q3" s="20"/>
      <c r="R3" s="22"/>
      <c r="S3" s="20"/>
      <c r="T3" s="20"/>
      <c r="U3" s="21"/>
      <c r="V3" s="20"/>
      <c r="W3" s="21"/>
      <c r="X3" s="20"/>
      <c r="Y3" s="20"/>
      <c r="Z3" s="21"/>
      <c r="AA3" s="20"/>
      <c r="AB3" s="21"/>
      <c r="AC3" s="20"/>
      <c r="AD3" s="20"/>
      <c r="AE3" s="20"/>
      <c r="AF3" s="20"/>
      <c r="AG3" s="20"/>
      <c r="AH3" s="20"/>
      <c r="AI3" s="20"/>
      <c r="AJ3" s="21"/>
      <c r="AK3" s="20"/>
      <c r="AL3" s="20"/>
      <c r="AM3" s="21"/>
      <c r="AN3" s="20"/>
      <c r="AO3" s="20"/>
      <c r="AP3" s="20"/>
      <c r="AQ3" s="20"/>
    </row>
    <row r="4" ht="14.25" spans="1:43">
      <c r="A4" s="74"/>
      <c r="B4" s="20"/>
      <c r="C4" s="20"/>
      <c r="D4" s="20"/>
      <c r="E4" s="20"/>
      <c r="F4" s="75"/>
      <c r="G4" s="20"/>
      <c r="H4" s="23"/>
      <c r="I4" s="21"/>
      <c r="J4" s="20"/>
      <c r="K4" s="20"/>
      <c r="L4" s="20"/>
      <c r="M4" s="20"/>
      <c r="N4" s="23"/>
      <c r="O4" s="21"/>
      <c r="P4" s="20"/>
      <c r="Q4" s="20"/>
      <c r="R4" s="22"/>
      <c r="S4" s="20"/>
      <c r="T4" s="20"/>
      <c r="U4" s="21"/>
      <c r="V4" s="20"/>
      <c r="W4" s="21"/>
      <c r="X4" s="20"/>
      <c r="Y4" s="22"/>
      <c r="Z4" s="21"/>
      <c r="AA4" s="20"/>
      <c r="AB4" s="21"/>
      <c r="AC4" s="20"/>
      <c r="AD4" s="20"/>
      <c r="AE4" s="20"/>
      <c r="AF4" s="20"/>
      <c r="AG4" s="20"/>
      <c r="AH4" s="20"/>
      <c r="AI4" s="20"/>
      <c r="AJ4" s="21"/>
      <c r="AK4" s="20"/>
      <c r="AL4" s="20"/>
      <c r="AM4" s="21"/>
      <c r="AN4" s="20"/>
      <c r="AO4" s="20"/>
      <c r="AP4" s="20"/>
      <c r="AQ4" s="20"/>
    </row>
    <row r="5" ht="14.25" spans="1:43">
      <c r="A5" s="74"/>
      <c r="B5" s="20"/>
      <c r="C5" s="20"/>
      <c r="D5" s="20"/>
      <c r="E5" s="20"/>
      <c r="F5" s="75"/>
      <c r="G5" s="20"/>
      <c r="H5" s="20"/>
      <c r="I5" s="21"/>
      <c r="J5" s="20"/>
      <c r="K5" s="20"/>
      <c r="L5" s="20"/>
      <c r="M5" s="20"/>
      <c r="N5" s="23"/>
      <c r="O5" s="21"/>
      <c r="P5" s="20"/>
      <c r="Q5" s="20"/>
      <c r="R5" s="22"/>
      <c r="S5" s="20"/>
      <c r="T5" s="20"/>
      <c r="U5" s="21"/>
      <c r="V5" s="20"/>
      <c r="W5" s="21"/>
      <c r="X5" s="20"/>
      <c r="Y5" s="20"/>
      <c r="Z5" s="21"/>
      <c r="AA5" s="20"/>
      <c r="AB5" s="21"/>
      <c r="AC5" s="20"/>
      <c r="AD5" s="20"/>
      <c r="AE5" s="20"/>
      <c r="AF5" s="20"/>
      <c r="AG5" s="20"/>
      <c r="AH5" s="20"/>
      <c r="AI5" s="20"/>
      <c r="AJ5" s="21"/>
      <c r="AK5" s="20"/>
      <c r="AL5" s="20"/>
      <c r="AM5" s="21"/>
      <c r="AN5" s="20"/>
      <c r="AO5" s="20"/>
      <c r="AP5" s="20"/>
      <c r="AQ5" s="20"/>
    </row>
    <row r="6" ht="14.25" spans="1:43">
      <c r="A6" s="74"/>
      <c r="B6" s="20"/>
      <c r="C6" s="20"/>
      <c r="D6" s="20"/>
      <c r="E6" s="20"/>
      <c r="F6" s="75"/>
      <c r="G6" s="20"/>
      <c r="H6" s="20"/>
      <c r="I6" s="21"/>
      <c r="J6" s="20"/>
      <c r="K6" s="20"/>
      <c r="L6" s="20"/>
      <c r="M6" s="20"/>
      <c r="N6" s="23"/>
      <c r="O6" s="21"/>
      <c r="P6" s="20"/>
      <c r="Q6" s="20"/>
      <c r="R6" s="22"/>
      <c r="S6" s="20"/>
      <c r="T6" s="20"/>
      <c r="U6" s="21"/>
      <c r="V6" s="20"/>
      <c r="W6" s="21"/>
      <c r="X6" s="20"/>
      <c r="Y6" s="20"/>
      <c r="Z6" s="21"/>
      <c r="AA6" s="20"/>
      <c r="AB6" s="21"/>
      <c r="AC6" s="20"/>
      <c r="AD6" s="20"/>
      <c r="AE6" s="20"/>
      <c r="AF6" s="20"/>
      <c r="AG6" s="20"/>
      <c r="AH6" s="20"/>
      <c r="AI6" s="20"/>
      <c r="AJ6" s="21"/>
      <c r="AK6" s="20"/>
      <c r="AL6" s="20"/>
      <c r="AM6" s="21"/>
      <c r="AN6" s="20"/>
      <c r="AO6" s="20"/>
      <c r="AP6" s="20"/>
      <c r="AQ6" s="20"/>
    </row>
    <row r="7" ht="14.25" spans="1:43">
      <c r="A7" s="74"/>
      <c r="B7" s="20"/>
      <c r="C7" s="20"/>
      <c r="D7" s="20"/>
      <c r="E7" s="20"/>
      <c r="F7" s="75"/>
      <c r="G7" s="20"/>
      <c r="H7" s="20"/>
      <c r="I7" s="21"/>
      <c r="J7" s="20"/>
      <c r="K7" s="20"/>
      <c r="L7" s="20"/>
      <c r="M7" s="20"/>
      <c r="N7" s="20"/>
      <c r="O7" s="21"/>
      <c r="P7" s="20"/>
      <c r="Q7" s="20"/>
      <c r="R7" s="22"/>
      <c r="S7" s="20"/>
      <c r="T7" s="20"/>
      <c r="U7" s="21"/>
      <c r="V7" s="20"/>
      <c r="W7" s="21"/>
      <c r="X7" s="20"/>
      <c r="Y7" s="20"/>
      <c r="Z7" s="21"/>
      <c r="AA7" s="20"/>
      <c r="AB7" s="21"/>
      <c r="AC7" s="20"/>
      <c r="AD7" s="20"/>
      <c r="AE7" s="20"/>
      <c r="AF7" s="20"/>
      <c r="AG7" s="20"/>
      <c r="AH7" s="20"/>
      <c r="AI7" s="20"/>
      <c r="AJ7" s="21"/>
      <c r="AK7" s="20"/>
      <c r="AL7" s="20"/>
      <c r="AM7" s="21"/>
      <c r="AN7" s="20"/>
      <c r="AO7" s="20"/>
      <c r="AP7" s="20"/>
      <c r="AQ7" s="20"/>
    </row>
    <row r="8" ht="14.25" spans="1:43">
      <c r="A8" s="74"/>
      <c r="B8" s="20"/>
      <c r="C8" s="20"/>
      <c r="D8" s="20"/>
      <c r="E8" s="20"/>
      <c r="F8" s="75"/>
      <c r="G8" s="20"/>
      <c r="H8" s="20"/>
      <c r="I8" s="21"/>
      <c r="J8" s="20"/>
      <c r="K8" s="20"/>
      <c r="L8" s="20"/>
      <c r="M8" s="20"/>
      <c r="N8" s="20"/>
      <c r="O8" s="21"/>
      <c r="P8" s="20"/>
      <c r="Q8" s="20"/>
      <c r="R8" s="22"/>
      <c r="S8" s="20"/>
      <c r="T8" s="20"/>
      <c r="U8" s="21"/>
      <c r="V8" s="20"/>
      <c r="W8" s="21"/>
      <c r="X8" s="20"/>
      <c r="Y8" s="20"/>
      <c r="Z8" s="21"/>
      <c r="AA8" s="20"/>
      <c r="AB8" s="21"/>
      <c r="AC8" s="20"/>
      <c r="AD8" s="20"/>
      <c r="AE8" s="20"/>
      <c r="AF8" s="20"/>
      <c r="AG8" s="20"/>
      <c r="AH8" s="20"/>
      <c r="AI8" s="20"/>
      <c r="AJ8" s="21"/>
      <c r="AK8" s="20"/>
      <c r="AL8" s="20"/>
      <c r="AM8" s="21"/>
      <c r="AN8" s="20"/>
      <c r="AO8" s="20"/>
      <c r="AP8" s="20"/>
      <c r="AQ8" s="20"/>
    </row>
    <row r="9" ht="14.25" spans="1:43">
      <c r="A9" s="74"/>
      <c r="B9" s="20"/>
      <c r="C9" s="20"/>
      <c r="D9" s="20"/>
      <c r="E9" s="20"/>
      <c r="F9" s="75"/>
      <c r="G9" s="20"/>
      <c r="H9" s="20"/>
      <c r="I9" s="21"/>
      <c r="J9" s="20"/>
      <c r="K9" s="20"/>
      <c r="L9" s="20"/>
      <c r="M9" s="20"/>
      <c r="N9" s="20"/>
      <c r="O9" s="21"/>
      <c r="P9" s="20"/>
      <c r="Q9" s="20"/>
      <c r="R9" s="20"/>
      <c r="S9" s="20"/>
      <c r="T9" s="20"/>
      <c r="U9" s="21"/>
      <c r="V9" s="20"/>
      <c r="W9" s="21"/>
      <c r="X9" s="20"/>
      <c r="Y9" s="20"/>
      <c r="Z9" s="21"/>
      <c r="AA9" s="20"/>
      <c r="AB9" s="21"/>
      <c r="AC9" s="20"/>
      <c r="AD9" s="20"/>
      <c r="AE9" s="20"/>
      <c r="AF9" s="20"/>
      <c r="AG9" s="20"/>
      <c r="AH9" s="20"/>
      <c r="AI9" s="20"/>
      <c r="AJ9" s="21"/>
      <c r="AK9" s="20"/>
      <c r="AL9" s="20"/>
      <c r="AM9" s="21"/>
      <c r="AN9" s="20"/>
      <c r="AO9" s="20"/>
      <c r="AP9" s="20"/>
      <c r="AQ9" s="20"/>
    </row>
    <row r="10" ht="14.25" spans="1:43">
      <c r="A10" s="74"/>
      <c r="B10" s="20"/>
      <c r="C10" s="20"/>
      <c r="D10" s="20"/>
      <c r="E10" s="20"/>
      <c r="F10" s="75"/>
      <c r="G10" s="20"/>
      <c r="H10" s="20"/>
      <c r="I10" s="21"/>
      <c r="J10" s="20"/>
      <c r="K10" s="20"/>
      <c r="L10" s="20"/>
      <c r="M10" s="20"/>
      <c r="N10" s="20"/>
      <c r="O10" s="21"/>
      <c r="P10" s="20"/>
      <c r="Q10" s="20"/>
      <c r="R10" s="20"/>
      <c r="S10" s="20"/>
      <c r="T10" s="20"/>
      <c r="U10" s="21"/>
      <c r="V10" s="20"/>
      <c r="W10" s="21"/>
      <c r="X10" s="20"/>
      <c r="Y10" s="20"/>
      <c r="Z10" s="21"/>
      <c r="AA10" s="20"/>
      <c r="AB10" s="21"/>
      <c r="AC10" s="20"/>
      <c r="AD10" s="20"/>
      <c r="AE10" s="20"/>
      <c r="AF10" s="20"/>
      <c r="AG10" s="20"/>
      <c r="AH10" s="20"/>
      <c r="AI10" s="20"/>
      <c r="AJ10" s="21"/>
      <c r="AK10" s="20"/>
      <c r="AL10" s="20"/>
      <c r="AM10" s="21"/>
      <c r="AN10" s="20"/>
      <c r="AO10" s="20"/>
      <c r="AP10" s="20"/>
      <c r="AQ10" s="20"/>
    </row>
    <row r="11" ht="14.25" spans="1:43">
      <c r="A11" s="74"/>
      <c r="B11" s="20"/>
      <c r="C11" s="20"/>
      <c r="D11" s="20"/>
      <c r="E11" s="20"/>
      <c r="F11" s="75"/>
      <c r="G11" s="20"/>
      <c r="H11" s="20"/>
      <c r="I11" s="21"/>
      <c r="J11" s="20"/>
      <c r="K11" s="20"/>
      <c r="L11" s="20"/>
      <c r="M11" s="20"/>
      <c r="N11" s="20"/>
      <c r="O11" s="21"/>
      <c r="P11" s="20"/>
      <c r="Q11" s="20"/>
      <c r="R11" s="22"/>
      <c r="S11" s="20"/>
      <c r="T11" s="20"/>
      <c r="U11" s="21"/>
      <c r="V11" s="20"/>
      <c r="W11" s="21"/>
      <c r="X11" s="20"/>
      <c r="Y11" s="20"/>
      <c r="Z11" s="21"/>
      <c r="AA11" s="20"/>
      <c r="AB11" s="21"/>
      <c r="AC11" s="20"/>
      <c r="AD11" s="20"/>
      <c r="AE11" s="20"/>
      <c r="AF11" s="20"/>
      <c r="AG11" s="20"/>
      <c r="AH11" s="20"/>
      <c r="AI11" s="20"/>
      <c r="AJ11" s="21"/>
      <c r="AK11" s="20"/>
      <c r="AL11" s="20"/>
      <c r="AM11" s="21"/>
      <c r="AN11" s="20"/>
      <c r="AO11" s="20"/>
      <c r="AP11" s="20"/>
      <c r="AQ11" s="20"/>
    </row>
    <row r="12" ht="14.25" spans="1:43">
      <c r="A12" s="74"/>
      <c r="B12" s="20"/>
      <c r="C12" s="20"/>
      <c r="D12" s="20"/>
      <c r="E12" s="20"/>
      <c r="F12" s="75"/>
      <c r="G12" s="20"/>
      <c r="H12" s="23"/>
      <c r="I12" s="21"/>
      <c r="J12" s="20"/>
      <c r="K12" s="20"/>
      <c r="L12" s="20"/>
      <c r="M12" s="20"/>
      <c r="N12" s="23"/>
      <c r="O12" s="21"/>
      <c r="P12" s="20"/>
      <c r="Q12" s="20"/>
      <c r="R12" s="22"/>
      <c r="S12" s="20"/>
      <c r="T12" s="20"/>
      <c r="U12" s="21"/>
      <c r="V12" s="20"/>
      <c r="W12" s="21"/>
      <c r="X12" s="20"/>
      <c r="Y12" s="22"/>
      <c r="Z12" s="21"/>
      <c r="AA12" s="20"/>
      <c r="AB12" s="21"/>
      <c r="AC12" s="20"/>
      <c r="AD12" s="20"/>
      <c r="AE12" s="20"/>
      <c r="AF12" s="20"/>
      <c r="AG12" s="20"/>
      <c r="AH12" s="20"/>
      <c r="AI12" s="20"/>
      <c r="AJ12" s="21"/>
      <c r="AK12" s="20"/>
      <c r="AL12" s="20"/>
      <c r="AM12" s="21"/>
      <c r="AN12" s="20"/>
      <c r="AO12" s="20"/>
      <c r="AP12" s="20"/>
      <c r="AQ12" s="20"/>
    </row>
    <row r="13" ht="14.25" spans="1:43">
      <c r="A13" s="74"/>
      <c r="B13" s="20"/>
      <c r="C13" s="20"/>
      <c r="D13" s="20"/>
      <c r="E13" s="20"/>
      <c r="F13" s="75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20"/>
      <c r="W13" s="21"/>
      <c r="X13" s="20"/>
      <c r="Y13" s="20"/>
      <c r="Z13" s="21"/>
      <c r="AA13" s="20"/>
      <c r="AB13" s="21"/>
      <c r="AC13" s="20"/>
      <c r="AD13" s="20"/>
      <c r="AE13" s="20"/>
      <c r="AF13" s="20"/>
      <c r="AG13" s="20"/>
      <c r="AH13" s="20"/>
      <c r="AI13" s="20"/>
      <c r="AJ13" s="21"/>
      <c r="AK13" s="20"/>
      <c r="AL13" s="20"/>
      <c r="AM13" s="21"/>
      <c r="AN13" s="20"/>
      <c r="AO13" s="20"/>
      <c r="AP13" s="20"/>
      <c r="AQ13" s="20"/>
    </row>
    <row r="14" ht="14.25" spans="1:43">
      <c r="A14" s="74"/>
      <c r="B14" s="20"/>
      <c r="C14" s="20"/>
      <c r="D14" s="20"/>
      <c r="E14" s="20"/>
      <c r="F14" s="75"/>
      <c r="G14" s="20"/>
      <c r="H14" s="20"/>
      <c r="I14" s="21"/>
      <c r="J14" s="20"/>
      <c r="K14" s="20"/>
      <c r="L14" s="20"/>
      <c r="M14" s="20"/>
      <c r="N14" s="20"/>
      <c r="O14" s="21"/>
      <c r="P14" s="20"/>
      <c r="Q14" s="20"/>
      <c r="R14" s="20"/>
      <c r="S14" s="20"/>
      <c r="T14" s="20"/>
      <c r="U14" s="21"/>
      <c r="V14" s="20"/>
      <c r="W14" s="21"/>
      <c r="X14" s="20"/>
      <c r="Y14" s="20"/>
      <c r="Z14" s="21"/>
      <c r="AA14" s="20"/>
      <c r="AB14" s="21"/>
      <c r="AC14" s="20"/>
      <c r="AD14" s="20"/>
      <c r="AE14" s="20"/>
      <c r="AF14" s="20"/>
      <c r="AG14" s="20"/>
      <c r="AH14" s="20"/>
      <c r="AI14" s="20"/>
      <c r="AJ14" s="21"/>
      <c r="AK14" s="20"/>
      <c r="AL14" s="20"/>
      <c r="AM14" s="21"/>
      <c r="AN14" s="20"/>
      <c r="AO14" s="20"/>
      <c r="AP14" s="20"/>
      <c r="AQ14" s="20"/>
    </row>
    <row r="15" ht="14.25" spans="1:43">
      <c r="A15" s="74"/>
      <c r="B15" s="20"/>
      <c r="C15" s="20"/>
      <c r="D15" s="20"/>
      <c r="E15" s="20"/>
      <c r="F15" s="75"/>
      <c r="G15" s="20"/>
      <c r="H15" s="20"/>
      <c r="I15" s="21"/>
      <c r="J15" s="20"/>
      <c r="K15" s="20"/>
      <c r="L15" s="20"/>
      <c r="M15" s="20"/>
      <c r="N15" s="20"/>
      <c r="O15" s="21"/>
      <c r="P15" s="20"/>
      <c r="Q15" s="20"/>
      <c r="R15" s="20"/>
      <c r="S15" s="20"/>
      <c r="T15" s="20"/>
      <c r="U15" s="21"/>
      <c r="V15" s="20"/>
      <c r="W15" s="21"/>
      <c r="X15" s="20"/>
      <c r="Y15" s="20"/>
      <c r="Z15" s="21"/>
      <c r="AA15" s="20"/>
      <c r="AB15" s="21"/>
      <c r="AC15" s="20"/>
      <c r="AD15" s="20"/>
      <c r="AE15" s="20"/>
      <c r="AF15" s="20"/>
      <c r="AG15" s="20"/>
      <c r="AH15" s="20"/>
      <c r="AI15" s="20"/>
      <c r="AJ15" s="21"/>
      <c r="AK15" s="20"/>
      <c r="AL15" s="20"/>
      <c r="AM15" s="21"/>
      <c r="AN15" s="20"/>
      <c r="AO15" s="20"/>
      <c r="AP15" s="20"/>
      <c r="AQ15" s="20"/>
    </row>
    <row r="16" ht="14.25" spans="1:43">
      <c r="A16" s="74"/>
      <c r="B16" s="20"/>
      <c r="C16" s="20"/>
      <c r="D16" s="20"/>
      <c r="E16" s="20"/>
      <c r="F16" s="75"/>
      <c r="G16" s="20"/>
      <c r="H16" s="20"/>
      <c r="I16" s="21"/>
      <c r="J16" s="20"/>
      <c r="K16" s="20"/>
      <c r="L16" s="20"/>
      <c r="M16" s="20"/>
      <c r="N16" s="20"/>
      <c r="O16" s="21"/>
      <c r="P16" s="20"/>
      <c r="Q16" s="20"/>
      <c r="R16" s="20"/>
      <c r="S16" s="20"/>
      <c r="T16" s="20"/>
      <c r="U16" s="21"/>
      <c r="V16" s="20"/>
      <c r="W16" s="21"/>
      <c r="X16" s="20"/>
      <c r="Y16" s="20"/>
      <c r="Z16" s="21"/>
      <c r="AA16" s="20"/>
      <c r="AB16" s="21"/>
      <c r="AC16" s="20"/>
      <c r="AD16" s="20"/>
      <c r="AE16" s="20"/>
      <c r="AF16" s="20"/>
      <c r="AG16" s="20"/>
      <c r="AH16" s="20"/>
      <c r="AI16" s="20"/>
      <c r="AJ16" s="21"/>
      <c r="AK16" s="20"/>
      <c r="AL16" s="20"/>
      <c r="AM16" s="21"/>
      <c r="AN16" s="20"/>
      <c r="AO16" s="20"/>
      <c r="AP16" s="20"/>
      <c r="AQ16" s="20"/>
    </row>
    <row r="17" ht="14.25" spans="1:43">
      <c r="A17" s="74"/>
      <c r="B17" s="20"/>
      <c r="C17" s="20"/>
      <c r="D17" s="20"/>
      <c r="E17" s="20"/>
      <c r="F17" s="75"/>
      <c r="G17" s="20"/>
      <c r="H17" s="20"/>
      <c r="I17" s="21"/>
      <c r="J17" s="20"/>
      <c r="K17" s="20"/>
      <c r="L17" s="20"/>
      <c r="M17" s="20"/>
      <c r="N17" s="20"/>
      <c r="O17" s="21"/>
      <c r="P17" s="20"/>
      <c r="Q17" s="20"/>
      <c r="R17" s="20"/>
      <c r="S17" s="20"/>
      <c r="T17" s="20"/>
      <c r="U17" s="21"/>
      <c r="V17" s="20"/>
      <c r="W17" s="21"/>
      <c r="X17" s="20"/>
      <c r="Y17" s="20"/>
      <c r="Z17" s="21"/>
      <c r="AA17" s="20"/>
      <c r="AB17" s="21"/>
      <c r="AC17" s="20"/>
      <c r="AD17" s="20"/>
      <c r="AE17" s="20"/>
      <c r="AF17" s="20"/>
      <c r="AG17" s="20"/>
      <c r="AH17" s="20"/>
      <c r="AI17" s="20"/>
      <c r="AJ17" s="21"/>
      <c r="AK17" s="20"/>
      <c r="AL17" s="20"/>
      <c r="AM17" s="21"/>
      <c r="AN17" s="20"/>
      <c r="AO17" s="20"/>
      <c r="AP17" s="20"/>
      <c r="AQ17" s="20"/>
    </row>
    <row r="18" ht="14.25" spans="1:43">
      <c r="A18" s="74"/>
      <c r="B18" s="20"/>
      <c r="C18" s="20"/>
      <c r="D18" s="20"/>
      <c r="E18" s="20"/>
      <c r="F18" s="75"/>
      <c r="G18" s="20"/>
      <c r="H18" s="20"/>
      <c r="I18" s="21"/>
      <c r="J18" s="20"/>
      <c r="K18" s="20"/>
      <c r="L18" s="20"/>
      <c r="M18" s="20"/>
      <c r="N18" s="20"/>
      <c r="O18" s="21"/>
      <c r="P18" s="20"/>
      <c r="Q18" s="20"/>
      <c r="R18" s="20"/>
      <c r="S18" s="20"/>
      <c r="T18" s="20"/>
      <c r="U18" s="21"/>
      <c r="V18" s="20"/>
      <c r="W18" s="21"/>
      <c r="X18" s="20"/>
      <c r="Y18" s="20"/>
      <c r="Z18" s="21"/>
      <c r="AA18" s="20"/>
      <c r="AB18" s="21"/>
      <c r="AC18" s="20"/>
      <c r="AD18" s="20"/>
      <c r="AE18" s="20"/>
      <c r="AF18" s="20"/>
      <c r="AG18" s="20"/>
      <c r="AH18" s="20"/>
      <c r="AI18" s="20"/>
      <c r="AJ18" s="21"/>
      <c r="AK18" s="20"/>
      <c r="AL18" s="20"/>
      <c r="AM18" s="21"/>
      <c r="AN18" s="20"/>
      <c r="AO18" s="20"/>
      <c r="AP18" s="20"/>
      <c r="AQ18" s="20"/>
    </row>
    <row r="19" ht="14.25" spans="1:43">
      <c r="A19" s="74"/>
      <c r="B19" s="20"/>
      <c r="C19" s="20"/>
      <c r="D19" s="20"/>
      <c r="E19" s="20"/>
      <c r="F19" s="75"/>
      <c r="G19" s="20"/>
      <c r="H19" s="23"/>
      <c r="I19" s="21"/>
      <c r="J19" s="20"/>
      <c r="K19" s="20"/>
      <c r="L19" s="20"/>
      <c r="M19" s="20"/>
      <c r="N19" s="23"/>
      <c r="O19" s="21"/>
      <c r="P19" s="20"/>
      <c r="Q19" s="20"/>
      <c r="R19" s="22"/>
      <c r="S19" s="20"/>
      <c r="T19" s="20"/>
      <c r="U19" s="21"/>
      <c r="V19" s="22"/>
      <c r="W19" s="21"/>
      <c r="X19" s="20"/>
      <c r="Y19" s="20"/>
      <c r="Z19" s="21"/>
      <c r="AA19" s="20"/>
      <c r="AB19" s="21"/>
      <c r="AC19" s="23"/>
      <c r="AD19" s="20"/>
      <c r="AE19" s="21"/>
      <c r="AF19" s="21"/>
      <c r="AG19" s="20"/>
      <c r="AH19" s="21"/>
      <c r="AI19" s="20"/>
      <c r="AJ19" s="21"/>
      <c r="AK19" s="22"/>
      <c r="AL19" s="20"/>
      <c r="AM19" s="21"/>
      <c r="AN19" s="20"/>
      <c r="AO19" s="20"/>
      <c r="AP19" s="20"/>
      <c r="AQ19" s="20"/>
    </row>
    <row r="20" ht="14.25" spans="1:43">
      <c r="A20" s="74"/>
      <c r="B20" s="20"/>
      <c r="C20" s="20"/>
      <c r="D20" s="20"/>
      <c r="E20" s="20"/>
      <c r="F20" s="75"/>
      <c r="G20" s="20"/>
      <c r="H20" s="23"/>
      <c r="I20" s="21"/>
      <c r="J20" s="20"/>
      <c r="K20" s="20"/>
      <c r="L20" s="20"/>
      <c r="M20" s="20"/>
      <c r="N20" s="23"/>
      <c r="O20" s="21"/>
      <c r="P20" s="20"/>
      <c r="Q20" s="20"/>
      <c r="R20" s="22"/>
      <c r="S20" s="20"/>
      <c r="T20" s="20"/>
      <c r="U20" s="21"/>
      <c r="V20" s="22"/>
      <c r="W20" s="21"/>
      <c r="X20" s="20"/>
      <c r="Y20" s="22"/>
      <c r="Z20" s="21"/>
      <c r="AA20" s="22"/>
      <c r="AB20" s="21"/>
      <c r="AC20" s="23"/>
      <c r="AD20" s="23"/>
      <c r="AE20" s="21"/>
      <c r="AF20" s="21"/>
      <c r="AG20" s="20"/>
      <c r="AH20" s="21"/>
      <c r="AI20" s="20"/>
      <c r="AJ20" s="21"/>
      <c r="AK20" s="22"/>
      <c r="AL20" s="20"/>
      <c r="AM20" s="21"/>
      <c r="AN20" s="22"/>
      <c r="AO20" s="20"/>
      <c r="AP20" s="22"/>
      <c r="AQ20" s="20"/>
    </row>
    <row r="21" ht="14.25" spans="1:43">
      <c r="A21" s="74"/>
      <c r="B21" s="20"/>
      <c r="C21" s="20"/>
      <c r="D21" s="20"/>
      <c r="E21" s="20"/>
      <c r="F21" s="75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2"/>
      <c r="S21" s="20"/>
      <c r="T21" s="20"/>
      <c r="U21" s="21"/>
      <c r="V21" s="20"/>
      <c r="W21" s="21"/>
      <c r="X21" s="20"/>
      <c r="Y21" s="20"/>
      <c r="Z21" s="21"/>
      <c r="AA21" s="20"/>
      <c r="AB21" s="21"/>
      <c r="AC21" s="23"/>
      <c r="AD21" s="20"/>
      <c r="AE21" s="21"/>
      <c r="AF21" s="21"/>
      <c r="AG21" s="20"/>
      <c r="AH21" s="21"/>
      <c r="AI21" s="20"/>
      <c r="AJ21" s="21"/>
      <c r="AK21" s="20"/>
      <c r="AL21" s="20"/>
      <c r="AM21" s="21"/>
      <c r="AN21" s="20"/>
      <c r="AO21" s="20"/>
      <c r="AP21" s="20"/>
      <c r="AQ21" s="20"/>
    </row>
    <row r="22" ht="14.25" spans="1:43">
      <c r="A22" s="74"/>
      <c r="B22" s="20"/>
      <c r="C22" s="20"/>
      <c r="D22" s="20"/>
      <c r="E22" s="20"/>
      <c r="F22" s="75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1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</row>
    <row r="23" ht="14.25" spans="1:43">
      <c r="A23" s="74"/>
      <c r="B23" s="20"/>
      <c r="C23" s="20"/>
      <c r="D23" s="20"/>
      <c r="E23" s="20"/>
      <c r="F23" s="75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1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</row>
    <row r="24" ht="14.25" spans="1:43">
      <c r="A24" s="74"/>
      <c r="B24" s="20"/>
      <c r="C24" s="20"/>
      <c r="D24" s="20"/>
      <c r="E24" s="20"/>
      <c r="F24" s="75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1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</row>
    <row r="25" ht="14.25" spans="1:43">
      <c r="A25" s="74"/>
      <c r="B25" s="20"/>
      <c r="C25" s="20"/>
      <c r="D25" s="20"/>
      <c r="E25" s="20"/>
      <c r="F25" s="75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1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</row>
    <row r="26" ht="14.25" spans="1:43">
      <c r="A26" s="74"/>
      <c r="B26" s="20"/>
      <c r="C26" s="20"/>
      <c r="D26" s="20"/>
      <c r="E26" s="20"/>
      <c r="F26" s="75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1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</row>
    <row r="27" ht="14.25" spans="1:43">
      <c r="A27" s="74"/>
      <c r="B27" s="20"/>
      <c r="C27" s="20"/>
      <c r="D27" s="20"/>
      <c r="E27" s="20"/>
      <c r="F27" s="75"/>
      <c r="G27" s="20"/>
      <c r="H27" s="20"/>
      <c r="I27" s="21"/>
      <c r="J27" s="20"/>
      <c r="K27" s="20"/>
      <c r="L27" s="20"/>
      <c r="M27" s="20"/>
      <c r="N27" s="20"/>
      <c r="O27" s="21"/>
      <c r="P27" s="20"/>
      <c r="Q27" s="20"/>
      <c r="R27" s="20"/>
      <c r="S27" s="20"/>
      <c r="T27" s="20"/>
      <c r="U27" s="21"/>
      <c r="V27" s="20"/>
      <c r="W27" s="21"/>
      <c r="X27" s="20"/>
      <c r="Y27" s="20"/>
      <c r="Z27" s="21"/>
      <c r="AA27" s="20"/>
      <c r="AB27" s="21"/>
      <c r="AC27" s="23"/>
      <c r="AD27" s="20"/>
      <c r="AE27" s="21"/>
      <c r="AF27" s="21"/>
      <c r="AG27" s="20"/>
      <c r="AH27" s="21"/>
      <c r="AI27" s="20"/>
      <c r="AJ27" s="21"/>
      <c r="AK27" s="20"/>
      <c r="AL27" s="20"/>
      <c r="AM27" s="21"/>
      <c r="AN27" s="20"/>
      <c r="AO27" s="20"/>
      <c r="AP27" s="20"/>
      <c r="AQ27" s="20"/>
    </row>
    <row r="28" ht="14.25" spans="1:43">
      <c r="A28" s="74"/>
      <c r="B28" s="20"/>
      <c r="C28" s="20"/>
      <c r="D28" s="20"/>
      <c r="E28" s="20"/>
      <c r="F28" s="75"/>
      <c r="G28" s="20"/>
      <c r="H28" s="20"/>
      <c r="I28" s="21"/>
      <c r="J28" s="20"/>
      <c r="K28" s="20"/>
      <c r="L28" s="20"/>
      <c r="M28" s="20"/>
      <c r="N28" s="20"/>
      <c r="O28" s="21"/>
      <c r="P28" s="20"/>
      <c r="Q28" s="20"/>
      <c r="R28" s="20"/>
      <c r="S28" s="20"/>
      <c r="T28" s="20"/>
      <c r="U28" s="21"/>
      <c r="V28" s="20"/>
      <c r="W28" s="21"/>
      <c r="X28" s="20"/>
      <c r="Y28" s="20"/>
      <c r="Z28" s="21"/>
      <c r="AA28" s="20"/>
      <c r="AB28" s="21"/>
      <c r="AC28" s="23"/>
      <c r="AD28" s="20"/>
      <c r="AE28" s="21"/>
      <c r="AF28" s="21"/>
      <c r="AG28" s="20"/>
      <c r="AH28" s="21"/>
      <c r="AI28" s="20"/>
      <c r="AJ28" s="21"/>
      <c r="AK28" s="20"/>
      <c r="AL28" s="20"/>
      <c r="AM28" s="21"/>
      <c r="AN28" s="20"/>
      <c r="AO28" s="20"/>
      <c r="AP28" s="20"/>
      <c r="AQ28" s="20"/>
    </row>
    <row r="29" ht="14.25" spans="1:43">
      <c r="A29" s="74"/>
      <c r="B29" s="20"/>
      <c r="C29" s="20"/>
      <c r="D29" s="20"/>
      <c r="E29" s="20"/>
      <c r="F29" s="75"/>
      <c r="G29" s="20"/>
      <c r="H29" s="20"/>
      <c r="I29" s="21"/>
      <c r="J29" s="20"/>
      <c r="K29" s="20"/>
      <c r="L29" s="20"/>
      <c r="M29" s="20"/>
      <c r="N29" s="20"/>
      <c r="O29" s="21"/>
      <c r="P29" s="20"/>
      <c r="Q29" s="20"/>
      <c r="R29" s="20"/>
      <c r="S29" s="20"/>
      <c r="T29" s="20"/>
      <c r="U29" s="21"/>
      <c r="V29" s="20"/>
      <c r="W29" s="21"/>
      <c r="X29" s="20"/>
      <c r="Y29" s="20"/>
      <c r="Z29" s="21"/>
      <c r="AA29" s="20"/>
      <c r="AB29" s="21"/>
      <c r="AC29" s="23"/>
      <c r="AD29" s="20"/>
      <c r="AE29" s="21"/>
      <c r="AF29" s="21"/>
      <c r="AG29" s="20"/>
      <c r="AH29" s="21"/>
      <c r="AI29" s="20"/>
      <c r="AJ29" s="21"/>
      <c r="AK29" s="20"/>
      <c r="AL29" s="20"/>
      <c r="AM29" s="21"/>
      <c r="AN29" s="20"/>
      <c r="AO29" s="20"/>
      <c r="AP29" s="20"/>
      <c r="AQ29" s="20"/>
    </row>
    <row r="30" ht="14.25" spans="1:43">
      <c r="A30" s="74"/>
      <c r="B30" s="20"/>
      <c r="C30" s="20"/>
      <c r="D30" s="20"/>
      <c r="E30" s="20"/>
      <c r="F30" s="75"/>
      <c r="G30" s="20"/>
      <c r="H30" s="20"/>
      <c r="I30" s="21"/>
      <c r="J30" s="20"/>
      <c r="K30" s="20"/>
      <c r="L30" s="20"/>
      <c r="M30" s="20"/>
      <c r="N30" s="23"/>
      <c r="O30" s="21"/>
      <c r="P30" s="20"/>
      <c r="Q30" s="20"/>
      <c r="R30" s="22"/>
      <c r="S30" s="20"/>
      <c r="T30" s="20"/>
      <c r="U30" s="21"/>
      <c r="V30" s="20"/>
      <c r="W30" s="21"/>
      <c r="X30" s="20"/>
      <c r="Y30" s="20"/>
      <c r="Z30" s="21"/>
      <c r="AA30" s="20"/>
      <c r="AB30" s="21"/>
      <c r="AC30" s="23"/>
      <c r="AD30" s="20"/>
      <c r="AE30" s="21"/>
      <c r="AF30" s="21"/>
      <c r="AG30" s="20"/>
      <c r="AH30" s="21"/>
      <c r="AI30" s="20"/>
      <c r="AJ30" s="21"/>
      <c r="AK30" s="20"/>
      <c r="AL30" s="20"/>
      <c r="AM30" s="21"/>
      <c r="AN30" s="22"/>
      <c r="AO30" s="20"/>
      <c r="AP30" s="20"/>
      <c r="AQ30" s="20"/>
    </row>
    <row r="31" ht="14.25" spans="1:43">
      <c r="A31" s="74"/>
      <c r="B31" s="20"/>
      <c r="C31" s="20"/>
      <c r="D31" s="20"/>
      <c r="E31" s="20"/>
      <c r="F31" s="75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1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</row>
    <row r="32" ht="14.25" spans="1:43">
      <c r="A32" s="74"/>
      <c r="B32" s="20"/>
      <c r="C32" s="20"/>
      <c r="D32" s="20"/>
      <c r="E32" s="20"/>
      <c r="F32" s="75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1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</row>
    <row r="33" ht="14.25" spans="1:43">
      <c r="A33" s="74"/>
      <c r="B33" s="20"/>
      <c r="C33" s="20"/>
      <c r="D33" s="20"/>
      <c r="E33" s="20"/>
      <c r="F33" s="75"/>
      <c r="G33" s="20"/>
      <c r="H33" s="23"/>
      <c r="I33" s="21"/>
      <c r="J33" s="20"/>
      <c r="K33" s="20"/>
      <c r="L33" s="20"/>
      <c r="M33" s="20"/>
      <c r="N33" s="23"/>
      <c r="O33" s="21"/>
      <c r="P33" s="20"/>
      <c r="Q33" s="20"/>
      <c r="R33" s="22"/>
      <c r="S33" s="20"/>
      <c r="T33" s="20"/>
      <c r="U33" s="21"/>
      <c r="V33" s="22"/>
      <c r="W33" s="21"/>
      <c r="X33" s="20"/>
      <c r="Y33" s="22"/>
      <c r="Z33" s="21"/>
      <c r="AA33" s="22"/>
      <c r="AB33" s="21"/>
      <c r="AC33" s="23"/>
      <c r="AD33" s="23"/>
      <c r="AE33" s="21"/>
      <c r="AF33" s="21"/>
      <c r="AG33" s="20"/>
      <c r="AH33" s="21"/>
      <c r="AI33" s="20"/>
      <c r="AJ33" s="21"/>
      <c r="AK33" s="22"/>
      <c r="AL33" s="20"/>
      <c r="AM33" s="21"/>
      <c r="AN33" s="22"/>
      <c r="AO33" s="20"/>
      <c r="AP33" s="22"/>
      <c r="AQ33" s="20"/>
    </row>
    <row r="34" ht="14.25" spans="1:43">
      <c r="A34" s="74"/>
      <c r="B34" s="20"/>
      <c r="C34" s="20"/>
      <c r="D34" s="20"/>
      <c r="E34" s="20"/>
      <c r="F34" s="75"/>
      <c r="G34" s="20"/>
      <c r="H34" s="23"/>
      <c r="I34" s="21"/>
      <c r="J34" s="20"/>
      <c r="K34" s="20"/>
      <c r="L34" s="20"/>
      <c r="M34" s="20"/>
      <c r="N34" s="23"/>
      <c r="O34" s="21"/>
      <c r="P34" s="20"/>
      <c r="Q34" s="20"/>
      <c r="R34" s="22"/>
      <c r="S34" s="20"/>
      <c r="T34" s="22"/>
      <c r="U34" s="21"/>
      <c r="V34" s="22"/>
      <c r="W34" s="21"/>
      <c r="X34" s="20"/>
      <c r="Y34" s="22"/>
      <c r="Z34" s="21"/>
      <c r="AA34" s="22"/>
      <c r="AB34" s="21"/>
      <c r="AC34" s="23"/>
      <c r="AD34" s="23"/>
      <c r="AE34" s="21"/>
      <c r="AF34" s="21"/>
      <c r="AG34" s="20"/>
      <c r="AH34" s="21"/>
      <c r="AI34" s="20"/>
      <c r="AJ34" s="21"/>
      <c r="AK34" s="22"/>
      <c r="AL34" s="20"/>
      <c r="AM34" s="21"/>
      <c r="AN34" s="22"/>
      <c r="AO34" s="20"/>
      <c r="AP34" s="22"/>
      <c r="AQ34" s="20"/>
    </row>
    <row r="35" ht="14.25" spans="1:43">
      <c r="A35" s="74"/>
      <c r="B35" s="20"/>
      <c r="C35" s="20"/>
      <c r="D35" s="20"/>
      <c r="E35" s="20"/>
      <c r="F35" s="75"/>
      <c r="G35" s="20"/>
      <c r="H35" s="23"/>
      <c r="I35" s="21"/>
      <c r="J35" s="20"/>
      <c r="K35" s="20"/>
      <c r="L35" s="20"/>
      <c r="M35" s="20"/>
      <c r="N35" s="23"/>
      <c r="O35" s="21"/>
      <c r="P35" s="20"/>
      <c r="Q35" s="20"/>
      <c r="R35" s="22"/>
      <c r="S35" s="20"/>
      <c r="T35" s="22"/>
      <c r="U35" s="21"/>
      <c r="V35" s="20"/>
      <c r="W35" s="21"/>
      <c r="X35" s="20"/>
      <c r="Y35" s="22"/>
      <c r="Z35" s="21"/>
      <c r="AA35" s="22"/>
      <c r="AB35" s="21"/>
      <c r="AC35" s="23"/>
      <c r="AD35" s="23"/>
      <c r="AE35" s="21"/>
      <c r="AF35" s="21"/>
      <c r="AG35" s="20"/>
      <c r="AH35" s="21"/>
      <c r="AI35" s="20"/>
      <c r="AJ35" s="21"/>
      <c r="AK35" s="22"/>
      <c r="AL35" s="20"/>
      <c r="AM35" s="21"/>
      <c r="AN35" s="22"/>
      <c r="AO35" s="20"/>
      <c r="AP35" s="22"/>
      <c r="AQ35" s="20"/>
    </row>
    <row r="36" ht="14.25" spans="1:43">
      <c r="A36" s="74"/>
      <c r="B36" s="20"/>
      <c r="C36" s="20"/>
      <c r="D36" s="20"/>
      <c r="E36" s="20"/>
      <c r="F36" s="75"/>
      <c r="G36" s="20"/>
      <c r="H36" s="23"/>
      <c r="I36" s="21"/>
      <c r="J36" s="20"/>
      <c r="K36" s="20"/>
      <c r="L36" s="20"/>
      <c r="M36" s="20"/>
      <c r="N36" s="23"/>
      <c r="O36" s="21"/>
      <c r="P36" s="20"/>
      <c r="Q36" s="20"/>
      <c r="R36" s="22"/>
      <c r="S36" s="20"/>
      <c r="T36" s="22"/>
      <c r="U36" s="21"/>
      <c r="V36" s="22"/>
      <c r="W36" s="21"/>
      <c r="X36" s="20"/>
      <c r="Y36" s="22"/>
      <c r="Z36" s="21"/>
      <c r="AA36" s="22"/>
      <c r="AB36" s="21"/>
      <c r="AC36" s="23"/>
      <c r="AD36" s="23"/>
      <c r="AE36" s="21"/>
      <c r="AF36" s="21"/>
      <c r="AG36" s="20"/>
      <c r="AH36" s="21"/>
      <c r="AI36" s="20"/>
      <c r="AJ36" s="21"/>
      <c r="AK36" s="22"/>
      <c r="AL36" s="20"/>
      <c r="AM36" s="21"/>
      <c r="AN36" s="22"/>
      <c r="AO36" s="20"/>
      <c r="AP36" s="22"/>
      <c r="AQ36" s="20"/>
    </row>
    <row r="37" ht="14.25" spans="1:43">
      <c r="A37" s="74"/>
      <c r="B37" s="20"/>
      <c r="C37" s="20"/>
      <c r="D37" s="20"/>
      <c r="E37" s="20"/>
      <c r="F37" s="75"/>
      <c r="G37" s="20"/>
      <c r="H37" s="20"/>
      <c r="I37" s="21"/>
      <c r="J37" s="20"/>
      <c r="K37" s="20"/>
      <c r="L37" s="20"/>
      <c r="M37" s="20"/>
      <c r="N37" s="20"/>
      <c r="O37" s="21"/>
      <c r="P37" s="20"/>
      <c r="Q37" s="20"/>
      <c r="R37" s="20"/>
      <c r="S37" s="20"/>
      <c r="T37" s="20"/>
      <c r="U37" s="21"/>
      <c r="V37" s="20"/>
      <c r="W37" s="21"/>
      <c r="X37" s="20"/>
      <c r="Y37" s="20"/>
      <c r="Z37" s="21"/>
      <c r="AA37" s="20"/>
      <c r="AB37" s="21"/>
      <c r="AC37" s="20"/>
      <c r="AD37" s="20"/>
      <c r="AE37" s="20"/>
      <c r="AF37" s="20"/>
      <c r="AG37" s="20"/>
      <c r="AH37" s="20"/>
      <c r="AI37" s="20"/>
      <c r="AJ37" s="21"/>
      <c r="AK37" s="20"/>
      <c r="AL37" s="20"/>
      <c r="AM37" s="21"/>
      <c r="AN37" s="20"/>
      <c r="AO37" s="20"/>
      <c r="AP37" s="20"/>
      <c r="AQ37" s="20"/>
    </row>
    <row r="38" ht="14.25" spans="1:43">
      <c r="A38" s="74"/>
      <c r="B38" s="20"/>
      <c r="C38" s="20"/>
      <c r="D38" s="20"/>
      <c r="E38" s="20"/>
      <c r="F38" s="75"/>
      <c r="G38" s="20"/>
      <c r="H38" s="20"/>
      <c r="I38" s="21"/>
      <c r="J38" s="20"/>
      <c r="K38" s="20"/>
      <c r="L38" s="20"/>
      <c r="M38" s="20"/>
      <c r="N38" s="20"/>
      <c r="O38" s="21"/>
      <c r="P38" s="20"/>
      <c r="Q38" s="20"/>
      <c r="R38" s="20"/>
      <c r="S38" s="20"/>
      <c r="T38" s="20"/>
      <c r="U38" s="21"/>
      <c r="V38" s="20"/>
      <c r="W38" s="21"/>
      <c r="X38" s="20"/>
      <c r="Y38" s="20"/>
      <c r="Z38" s="21"/>
      <c r="AA38" s="20"/>
      <c r="AB38" s="21"/>
      <c r="AC38" s="20"/>
      <c r="AD38" s="20"/>
      <c r="AE38" s="20"/>
      <c r="AF38" s="20"/>
      <c r="AG38" s="20"/>
      <c r="AH38" s="20"/>
      <c r="AI38" s="20"/>
      <c r="AJ38" s="21"/>
      <c r="AK38" s="20"/>
      <c r="AL38" s="20"/>
      <c r="AM38" s="21"/>
      <c r="AN38" s="20"/>
      <c r="AO38" s="20"/>
      <c r="AP38" s="20"/>
      <c r="AQ38" s="20"/>
    </row>
    <row r="39" ht="14.25" spans="1:43">
      <c r="A39" s="74"/>
      <c r="B39" s="20"/>
      <c r="C39" s="20"/>
      <c r="D39" s="20"/>
      <c r="E39" s="20"/>
      <c r="F39" s="75"/>
      <c r="G39" s="20"/>
      <c r="H39" s="20"/>
      <c r="I39" s="21"/>
      <c r="J39" s="20"/>
      <c r="K39" s="20"/>
      <c r="L39" s="20"/>
      <c r="M39" s="20"/>
      <c r="N39" s="20"/>
      <c r="O39" s="21"/>
      <c r="P39" s="20"/>
      <c r="Q39" s="20"/>
      <c r="R39" s="20"/>
      <c r="S39" s="20"/>
      <c r="T39" s="20"/>
      <c r="U39" s="21"/>
      <c r="V39" s="20"/>
      <c r="W39" s="21"/>
      <c r="X39" s="20"/>
      <c r="Y39" s="20"/>
      <c r="Z39" s="21"/>
      <c r="AA39" s="20"/>
      <c r="AB39" s="21"/>
      <c r="AC39" s="20"/>
      <c r="AD39" s="20"/>
      <c r="AE39" s="20"/>
      <c r="AF39" s="20"/>
      <c r="AG39" s="20"/>
      <c r="AH39" s="20"/>
      <c r="AI39" s="20"/>
      <c r="AJ39" s="21"/>
      <c r="AK39" s="20"/>
      <c r="AL39" s="20"/>
      <c r="AM39" s="21"/>
      <c r="AN39" s="20"/>
      <c r="AO39" s="20"/>
      <c r="AP39" s="20"/>
      <c r="AQ39" s="20"/>
    </row>
    <row r="40" ht="14.25" spans="1:43">
      <c r="A40" s="74"/>
      <c r="B40" s="20"/>
      <c r="C40" s="20"/>
      <c r="D40" s="20"/>
      <c r="E40" s="20"/>
      <c r="F40" s="75"/>
      <c r="G40" s="20"/>
      <c r="H40" s="20"/>
      <c r="I40" s="21"/>
      <c r="J40" s="20"/>
      <c r="K40" s="20"/>
      <c r="L40" s="20"/>
      <c r="M40" s="20"/>
      <c r="N40" s="20"/>
      <c r="O40" s="21"/>
      <c r="P40" s="20"/>
      <c r="Q40" s="20"/>
      <c r="R40" s="20"/>
      <c r="S40" s="20"/>
      <c r="T40" s="20"/>
      <c r="U40" s="21"/>
      <c r="V40" s="20"/>
      <c r="W40" s="21"/>
      <c r="X40" s="20"/>
      <c r="Y40" s="20"/>
      <c r="Z40" s="21"/>
      <c r="AA40" s="20"/>
      <c r="AB40" s="21"/>
      <c r="AC40" s="20"/>
      <c r="AD40" s="20"/>
      <c r="AE40" s="20"/>
      <c r="AF40" s="20"/>
      <c r="AG40" s="20"/>
      <c r="AH40" s="20"/>
      <c r="AI40" s="20"/>
      <c r="AJ40" s="21"/>
      <c r="AK40" s="20"/>
      <c r="AL40" s="20"/>
      <c r="AM40" s="21"/>
      <c r="AN40" s="20"/>
      <c r="AO40" s="20"/>
      <c r="AP40" s="20"/>
      <c r="AQ40" s="20"/>
    </row>
    <row r="41" ht="14.25" spans="1:43">
      <c r="A41" s="74"/>
      <c r="B41" s="20"/>
      <c r="C41" s="20"/>
      <c r="D41" s="20"/>
      <c r="E41" s="20"/>
      <c r="F41" s="75"/>
      <c r="G41" s="20"/>
      <c r="H41" s="20"/>
      <c r="I41" s="21"/>
      <c r="J41" s="20"/>
      <c r="K41" s="20"/>
      <c r="L41" s="20"/>
      <c r="M41" s="20"/>
      <c r="N41" s="20"/>
      <c r="O41" s="21"/>
      <c r="P41" s="20"/>
      <c r="Q41" s="20"/>
      <c r="R41" s="20"/>
      <c r="S41" s="20"/>
      <c r="T41" s="20"/>
      <c r="U41" s="21"/>
      <c r="V41" s="20"/>
      <c r="W41" s="21"/>
      <c r="X41" s="20"/>
      <c r="Y41" s="20"/>
      <c r="Z41" s="21"/>
      <c r="AA41" s="20"/>
      <c r="AB41" s="21"/>
      <c r="AC41" s="20"/>
      <c r="AD41" s="20"/>
      <c r="AE41" s="20"/>
      <c r="AF41" s="20"/>
      <c r="AG41" s="20"/>
      <c r="AH41" s="20"/>
      <c r="AI41" s="20"/>
      <c r="AJ41" s="21"/>
      <c r="AK41" s="20"/>
      <c r="AL41" s="20"/>
      <c r="AM41" s="21"/>
      <c r="AN41" s="20"/>
      <c r="AO41" s="20"/>
      <c r="AP41" s="20"/>
      <c r="AQ41" s="20"/>
    </row>
    <row r="42" ht="14.25" spans="1:43">
      <c r="A42" s="74"/>
      <c r="B42" s="20"/>
      <c r="C42" s="20"/>
      <c r="D42" s="20"/>
      <c r="E42" s="20"/>
      <c r="F42" s="75"/>
      <c r="G42" s="20"/>
      <c r="H42" s="20"/>
      <c r="I42" s="21"/>
      <c r="J42" s="20"/>
      <c r="K42" s="20"/>
      <c r="L42" s="20"/>
      <c r="M42" s="20"/>
      <c r="N42" s="20"/>
      <c r="O42" s="21"/>
      <c r="P42" s="20"/>
      <c r="Q42" s="20"/>
      <c r="R42" s="20"/>
      <c r="S42" s="20"/>
      <c r="T42" s="20"/>
      <c r="U42" s="21"/>
      <c r="V42" s="20"/>
      <c r="W42" s="21"/>
      <c r="X42" s="20"/>
      <c r="Y42" s="20"/>
      <c r="Z42" s="21"/>
      <c r="AA42" s="20"/>
      <c r="AB42" s="21"/>
      <c r="AC42" s="20"/>
      <c r="AD42" s="20"/>
      <c r="AE42" s="20"/>
      <c r="AF42" s="20"/>
      <c r="AG42" s="20"/>
      <c r="AH42" s="20"/>
      <c r="AI42" s="20"/>
      <c r="AJ42" s="21"/>
      <c r="AK42" s="20"/>
      <c r="AL42" s="20"/>
      <c r="AM42" s="21"/>
      <c r="AN42" s="20"/>
      <c r="AO42" s="20"/>
      <c r="AP42" s="20"/>
      <c r="AQ42" s="20"/>
    </row>
    <row r="43" ht="14.25" spans="1:43">
      <c r="A43" s="74"/>
      <c r="B43" s="20"/>
      <c r="C43" s="20"/>
      <c r="D43" s="20"/>
      <c r="E43" s="20"/>
      <c r="F43" s="75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1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</row>
    <row r="44" ht="14.25" spans="1:43">
      <c r="A44" s="74"/>
      <c r="B44" s="20"/>
      <c r="C44" s="20"/>
      <c r="D44" s="20"/>
      <c r="E44" s="20"/>
      <c r="F44" s="75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1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</row>
    <row r="45" ht="14.25" spans="1:43">
      <c r="A45" s="74"/>
      <c r="B45" s="20"/>
      <c r="C45" s="20"/>
      <c r="D45" s="20"/>
      <c r="E45" s="20"/>
      <c r="F45" s="75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1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</row>
    <row r="46" ht="14.25" spans="1:43">
      <c r="A46" s="74"/>
      <c r="B46" s="20"/>
      <c r="C46" s="20"/>
      <c r="D46" s="20"/>
      <c r="E46" s="20"/>
      <c r="F46" s="75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1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</row>
    <row r="47" ht="14.25" spans="1:43">
      <c r="A47" s="74"/>
      <c r="B47" s="20"/>
      <c r="C47" s="20"/>
      <c r="D47" s="20"/>
      <c r="E47" s="20"/>
      <c r="F47" s="75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1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</row>
    <row r="48" ht="14.25" spans="1:43">
      <c r="A48" s="74"/>
      <c r="B48" s="20"/>
      <c r="C48" s="20"/>
      <c r="D48" s="20"/>
      <c r="E48" s="20"/>
      <c r="F48" s="75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1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</row>
    <row r="49" ht="14.25" spans="1:43">
      <c r="A49" s="74"/>
      <c r="B49" s="20"/>
      <c r="C49" s="20"/>
      <c r="D49" s="20"/>
      <c r="E49" s="20"/>
      <c r="F49" s="75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1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</row>
    <row r="50" ht="14.25" spans="1:43">
      <c r="A50" s="74"/>
      <c r="B50" s="20"/>
      <c r="C50" s="20"/>
      <c r="D50" s="20"/>
      <c r="E50" s="20"/>
      <c r="F50" s="75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1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</row>
    <row r="51" ht="14.25" spans="1:43">
      <c r="A51" s="74"/>
      <c r="B51" s="20"/>
      <c r="C51" s="20"/>
      <c r="D51" s="20"/>
      <c r="E51" s="20"/>
      <c r="F51" s="75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1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</row>
    <row r="52" ht="14.25" spans="1:43">
      <c r="A52" s="74"/>
      <c r="B52" s="20"/>
      <c r="C52" s="20"/>
      <c r="D52" s="20"/>
      <c r="E52" s="20"/>
      <c r="F52" s="75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1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</row>
    <row r="53" ht="14.25" spans="1:43">
      <c r="A53" s="74"/>
      <c r="B53" s="20"/>
      <c r="C53" s="20"/>
      <c r="D53" s="20"/>
      <c r="E53" s="20"/>
      <c r="F53" s="75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1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</row>
    <row r="54" ht="14.25" spans="1:43">
      <c r="A54" s="74"/>
      <c r="B54" s="20"/>
      <c r="C54" s="20"/>
      <c r="D54" s="20"/>
      <c r="E54" s="20"/>
      <c r="F54" s="75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1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</row>
    <row r="55" ht="14.25" spans="1:43">
      <c r="A55" s="74"/>
      <c r="B55" s="20"/>
      <c r="C55" s="20"/>
      <c r="D55" s="20"/>
      <c r="E55" s="20"/>
      <c r="F55" s="75"/>
      <c r="G55" s="20"/>
      <c r="H55" s="20"/>
      <c r="I55" s="21"/>
      <c r="J55" s="20"/>
      <c r="K55" s="20"/>
      <c r="L55" s="20"/>
      <c r="M55" s="20"/>
      <c r="N55" s="20"/>
      <c r="O55" s="21"/>
      <c r="P55" s="20"/>
      <c r="Q55" s="20"/>
      <c r="R55" s="20"/>
      <c r="S55" s="20"/>
      <c r="T55" s="20"/>
      <c r="U55" s="21"/>
      <c r="V55" s="20"/>
      <c r="W55" s="21"/>
      <c r="X55" s="20"/>
      <c r="Y55" s="20"/>
      <c r="Z55" s="21"/>
      <c r="AA55" s="20"/>
      <c r="AB55" s="21"/>
      <c r="AC55" s="20"/>
      <c r="AD55" s="20"/>
      <c r="AE55" s="20"/>
      <c r="AF55" s="20"/>
      <c r="AG55" s="20"/>
      <c r="AH55" s="20"/>
      <c r="AI55" s="20"/>
      <c r="AJ55" s="21"/>
      <c r="AK55" s="20"/>
      <c r="AL55" s="20"/>
      <c r="AM55" s="21"/>
      <c r="AN55" s="20"/>
      <c r="AO55" s="20"/>
      <c r="AP55" s="20"/>
      <c r="AQ55" s="20"/>
    </row>
    <row r="56" ht="14.25" spans="1:43">
      <c r="A56" s="74"/>
      <c r="B56" s="20"/>
      <c r="C56" s="20"/>
      <c r="D56" s="20"/>
      <c r="E56" s="20"/>
      <c r="F56" s="75"/>
      <c r="G56" s="20"/>
      <c r="H56" s="20"/>
      <c r="I56" s="21"/>
      <c r="J56" s="20"/>
      <c r="K56" s="20"/>
      <c r="L56" s="20"/>
      <c r="M56" s="20"/>
      <c r="N56" s="20"/>
      <c r="O56" s="21"/>
      <c r="P56" s="20"/>
      <c r="Q56" s="20"/>
      <c r="R56" s="20"/>
      <c r="S56" s="20"/>
      <c r="T56" s="20"/>
      <c r="U56" s="21"/>
      <c r="V56" s="20"/>
      <c r="W56" s="21"/>
      <c r="X56" s="20"/>
      <c r="Y56" s="20"/>
      <c r="Z56" s="21"/>
      <c r="AA56" s="20"/>
      <c r="AB56" s="21"/>
      <c r="AC56" s="20"/>
      <c r="AD56" s="20"/>
      <c r="AE56" s="20"/>
      <c r="AF56" s="20"/>
      <c r="AG56" s="20"/>
      <c r="AH56" s="20"/>
      <c r="AI56" s="20"/>
      <c r="AJ56" s="21"/>
      <c r="AK56" s="20"/>
      <c r="AL56" s="20"/>
      <c r="AM56" s="21"/>
      <c r="AN56" s="20"/>
      <c r="AO56" s="20"/>
      <c r="AP56" s="20"/>
      <c r="AQ56" s="20"/>
    </row>
    <row r="57" ht="14.25" spans="1:43">
      <c r="A57" s="74"/>
      <c r="B57" s="20"/>
      <c r="C57" s="20"/>
      <c r="D57" s="20"/>
      <c r="E57" s="20"/>
      <c r="F57" s="75"/>
      <c r="G57" s="20"/>
      <c r="H57" s="20"/>
      <c r="I57" s="21"/>
      <c r="J57" s="20"/>
      <c r="K57" s="20"/>
      <c r="L57" s="20"/>
      <c r="M57" s="20"/>
      <c r="N57" s="20"/>
      <c r="O57" s="21"/>
      <c r="P57" s="20"/>
      <c r="Q57" s="20"/>
      <c r="R57" s="20"/>
      <c r="S57" s="20"/>
      <c r="T57" s="20"/>
      <c r="U57" s="20"/>
      <c r="V57" s="20"/>
      <c r="W57" s="21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</row>
    <row r="58" ht="14.25" spans="1:43">
      <c r="A58" s="74"/>
      <c r="B58" s="20"/>
      <c r="C58" s="20"/>
      <c r="D58" s="20"/>
      <c r="E58" s="20"/>
      <c r="F58" s="75"/>
      <c r="G58" s="20"/>
      <c r="H58" s="20"/>
      <c r="I58" s="21"/>
      <c r="J58" s="20"/>
      <c r="K58" s="20"/>
      <c r="L58" s="20"/>
      <c r="M58" s="20"/>
      <c r="N58" s="20"/>
      <c r="O58" s="21"/>
      <c r="P58" s="20"/>
      <c r="Q58" s="20"/>
      <c r="R58" s="20"/>
      <c r="S58" s="20"/>
      <c r="T58" s="20"/>
      <c r="U58" s="20"/>
      <c r="V58" s="20"/>
      <c r="W58" s="21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</row>
    <row r="59" ht="14.25" spans="1:43">
      <c r="A59" s="74"/>
      <c r="B59" s="20"/>
      <c r="C59" s="20"/>
      <c r="D59" s="20"/>
      <c r="E59" s="20"/>
      <c r="F59" s="75"/>
      <c r="G59" s="20"/>
      <c r="H59" s="20"/>
      <c r="I59" s="21"/>
      <c r="J59" s="20"/>
      <c r="K59" s="20"/>
      <c r="L59" s="20"/>
      <c r="M59" s="20"/>
      <c r="N59" s="20"/>
      <c r="O59" s="21"/>
      <c r="P59" s="20"/>
      <c r="Q59" s="20"/>
      <c r="R59" s="20"/>
      <c r="S59" s="20"/>
      <c r="T59" s="20"/>
      <c r="U59" s="21"/>
      <c r="V59" s="20"/>
      <c r="W59" s="21"/>
      <c r="X59" s="20"/>
      <c r="Y59" s="20"/>
      <c r="Z59" s="21"/>
      <c r="AA59" s="20"/>
      <c r="AB59" s="21"/>
      <c r="AC59" s="20"/>
      <c r="AD59" s="20"/>
      <c r="AE59" s="20"/>
      <c r="AF59" s="20"/>
      <c r="AG59" s="20"/>
      <c r="AH59" s="20"/>
      <c r="AI59" s="20"/>
      <c r="AJ59" s="21"/>
      <c r="AK59" s="20"/>
      <c r="AL59" s="20"/>
      <c r="AM59" s="21"/>
      <c r="AN59" s="20"/>
      <c r="AO59" s="20"/>
      <c r="AP59" s="20"/>
      <c r="AQ59" s="20"/>
    </row>
    <row r="60" ht="14.25" spans="1:43">
      <c r="A60" s="74"/>
      <c r="B60" s="20"/>
      <c r="C60" s="20"/>
      <c r="D60" s="20"/>
      <c r="E60" s="20"/>
      <c r="F60" s="75"/>
      <c r="G60" s="20"/>
      <c r="H60" s="20"/>
      <c r="I60" s="21"/>
      <c r="J60" s="20"/>
      <c r="K60" s="20"/>
      <c r="L60" s="20"/>
      <c r="M60" s="20"/>
      <c r="N60" s="20"/>
      <c r="O60" s="21"/>
      <c r="P60" s="20"/>
      <c r="Q60" s="20"/>
      <c r="R60" s="20"/>
      <c r="S60" s="20"/>
      <c r="T60" s="20"/>
      <c r="U60" s="21"/>
      <c r="V60" s="20"/>
      <c r="W60" s="21"/>
      <c r="X60" s="20"/>
      <c r="Y60" s="20"/>
      <c r="Z60" s="21"/>
      <c r="AA60" s="20"/>
      <c r="AB60" s="21"/>
      <c r="AC60" s="20"/>
      <c r="AD60" s="20"/>
      <c r="AE60" s="20"/>
      <c r="AF60" s="20"/>
      <c r="AG60" s="20"/>
      <c r="AH60" s="20"/>
      <c r="AI60" s="20"/>
      <c r="AJ60" s="21"/>
      <c r="AK60" s="20"/>
      <c r="AL60" s="20"/>
      <c r="AM60" s="21"/>
      <c r="AN60" s="20"/>
      <c r="AO60" s="20"/>
      <c r="AP60" s="20"/>
      <c r="AQ60" s="20"/>
    </row>
    <row r="61" ht="14.25" spans="1:43">
      <c r="A61" s="74"/>
      <c r="B61" s="20"/>
      <c r="C61" s="20"/>
      <c r="D61" s="20"/>
      <c r="E61" s="20"/>
      <c r="F61" s="75"/>
      <c r="G61" s="20"/>
      <c r="H61" s="20"/>
      <c r="I61" s="21"/>
      <c r="J61" s="20"/>
      <c r="K61" s="20"/>
      <c r="L61" s="20"/>
      <c r="M61" s="20"/>
      <c r="N61" s="20"/>
      <c r="O61" s="21"/>
      <c r="P61" s="20"/>
      <c r="Q61" s="20"/>
      <c r="R61" s="20"/>
      <c r="S61" s="20"/>
      <c r="T61" s="20"/>
      <c r="U61" s="21"/>
      <c r="V61" s="20"/>
      <c r="W61" s="21"/>
      <c r="X61" s="20"/>
      <c r="Y61" s="20"/>
      <c r="Z61" s="21"/>
      <c r="AA61" s="20"/>
      <c r="AB61" s="21"/>
      <c r="AC61" s="20"/>
      <c r="AD61" s="20"/>
      <c r="AE61" s="20"/>
      <c r="AF61" s="20"/>
      <c r="AG61" s="20"/>
      <c r="AH61" s="20"/>
      <c r="AI61" s="20"/>
      <c r="AJ61" s="21"/>
      <c r="AK61" s="20"/>
      <c r="AL61" s="20"/>
      <c r="AM61" s="21"/>
      <c r="AN61" s="20"/>
      <c r="AO61" s="20"/>
      <c r="AP61" s="20"/>
      <c r="AQ61" s="20"/>
    </row>
    <row r="62" ht="14.25" spans="1:43">
      <c r="A62" s="74"/>
      <c r="B62" s="20"/>
      <c r="C62" s="20"/>
      <c r="D62" s="20"/>
      <c r="E62" s="20"/>
      <c r="F62" s="75"/>
      <c r="G62" s="20"/>
      <c r="H62" s="20"/>
      <c r="I62" s="21"/>
      <c r="J62" s="20"/>
      <c r="K62" s="20"/>
      <c r="L62" s="20"/>
      <c r="M62" s="20"/>
      <c r="N62" s="20"/>
      <c r="O62" s="21"/>
      <c r="P62" s="20"/>
      <c r="Q62" s="20"/>
      <c r="R62" s="20"/>
      <c r="S62" s="20"/>
      <c r="T62" s="20"/>
      <c r="U62" s="21"/>
      <c r="V62" s="20"/>
      <c r="W62" s="21"/>
      <c r="X62" s="20"/>
      <c r="Y62" s="20"/>
      <c r="Z62" s="21"/>
      <c r="AA62" s="20"/>
      <c r="AB62" s="21"/>
      <c r="AC62" s="20"/>
      <c r="AD62" s="20"/>
      <c r="AE62" s="20"/>
      <c r="AF62" s="20"/>
      <c r="AG62" s="20"/>
      <c r="AH62" s="20"/>
      <c r="AI62" s="20"/>
      <c r="AJ62" s="21"/>
      <c r="AK62" s="20"/>
      <c r="AL62" s="20"/>
      <c r="AM62" s="21"/>
      <c r="AN62" s="20"/>
      <c r="AO62" s="20"/>
      <c r="AP62" s="20"/>
      <c r="AQ62" s="20"/>
    </row>
    <row r="63" ht="14.25" spans="1:43">
      <c r="A63" s="74"/>
      <c r="B63" s="20"/>
      <c r="C63" s="20"/>
      <c r="D63" s="20"/>
      <c r="E63" s="20"/>
      <c r="F63" s="75"/>
      <c r="G63" s="20"/>
      <c r="H63" s="20"/>
      <c r="I63" s="21"/>
      <c r="J63" s="20"/>
      <c r="K63" s="20"/>
      <c r="L63" s="20"/>
      <c r="M63" s="20"/>
      <c r="N63" s="20"/>
      <c r="O63" s="21"/>
      <c r="P63" s="20"/>
      <c r="Q63" s="20"/>
      <c r="R63" s="20"/>
      <c r="S63" s="20"/>
      <c r="T63" s="20"/>
      <c r="U63" s="21"/>
      <c r="V63" s="20"/>
      <c r="W63" s="21"/>
      <c r="X63" s="20"/>
      <c r="Y63" s="20"/>
      <c r="Z63" s="21"/>
      <c r="AA63" s="20"/>
      <c r="AB63" s="21"/>
      <c r="AC63" s="20"/>
      <c r="AD63" s="20"/>
      <c r="AE63" s="20"/>
      <c r="AF63" s="20"/>
      <c r="AG63" s="20"/>
      <c r="AH63" s="20"/>
      <c r="AI63" s="20"/>
      <c r="AJ63" s="21"/>
      <c r="AK63" s="20"/>
      <c r="AL63" s="20"/>
      <c r="AM63" s="21"/>
      <c r="AN63" s="20"/>
      <c r="AO63" s="20"/>
      <c r="AP63" s="20"/>
      <c r="AQ63" s="20"/>
    </row>
    <row r="64" ht="14.25" spans="1:43">
      <c r="A64" s="74"/>
      <c r="B64" s="20"/>
      <c r="C64" s="20"/>
      <c r="D64" s="20"/>
      <c r="E64" s="20"/>
      <c r="F64" s="75"/>
      <c r="G64" s="20"/>
      <c r="H64" s="20"/>
      <c r="I64" s="21"/>
      <c r="J64" s="20"/>
      <c r="K64" s="20"/>
      <c r="L64" s="20"/>
      <c r="M64" s="20"/>
      <c r="N64" s="20"/>
      <c r="O64" s="21"/>
      <c r="P64" s="20"/>
      <c r="Q64" s="20"/>
      <c r="R64" s="20"/>
      <c r="S64" s="20"/>
      <c r="T64" s="20"/>
      <c r="U64" s="21"/>
      <c r="V64" s="20"/>
      <c r="W64" s="21"/>
      <c r="X64" s="20"/>
      <c r="Y64" s="20"/>
      <c r="Z64" s="21"/>
      <c r="AA64" s="20"/>
      <c r="AB64" s="21"/>
      <c r="AC64" s="20"/>
      <c r="AD64" s="20"/>
      <c r="AE64" s="20"/>
      <c r="AF64" s="20"/>
      <c r="AG64" s="20"/>
      <c r="AH64" s="20"/>
      <c r="AI64" s="20"/>
      <c r="AJ64" s="21"/>
      <c r="AK64" s="20"/>
      <c r="AL64" s="20"/>
      <c r="AM64" s="21"/>
      <c r="AN64" s="20"/>
      <c r="AO64" s="20"/>
      <c r="AP64" s="20"/>
      <c r="AQ64" s="20"/>
    </row>
    <row r="65" ht="14.25" spans="1:43">
      <c r="A65" s="74"/>
      <c r="B65" s="20"/>
      <c r="C65" s="20"/>
      <c r="D65" s="20"/>
      <c r="E65" s="20"/>
      <c r="F65" s="75"/>
      <c r="G65" s="20"/>
      <c r="H65" s="20"/>
      <c r="I65" s="21"/>
      <c r="J65" s="20"/>
      <c r="K65" s="20"/>
      <c r="L65" s="20"/>
      <c r="M65" s="20"/>
      <c r="N65" s="20"/>
      <c r="O65" s="21"/>
      <c r="P65" s="20"/>
      <c r="Q65" s="20"/>
      <c r="R65" s="20"/>
      <c r="S65" s="20"/>
      <c r="T65" s="20"/>
      <c r="U65" s="21"/>
      <c r="V65" s="20"/>
      <c r="W65" s="21"/>
      <c r="X65" s="20"/>
      <c r="Y65" s="20"/>
      <c r="Z65" s="21"/>
      <c r="AA65" s="20"/>
      <c r="AB65" s="21"/>
      <c r="AC65" s="20"/>
      <c r="AD65" s="20"/>
      <c r="AE65" s="20"/>
      <c r="AF65" s="20"/>
      <c r="AG65" s="20"/>
      <c r="AH65" s="20"/>
      <c r="AI65" s="20"/>
      <c r="AJ65" s="21"/>
      <c r="AK65" s="20"/>
      <c r="AL65" s="20"/>
      <c r="AM65" s="21"/>
      <c r="AN65" s="20"/>
      <c r="AO65" s="20"/>
      <c r="AP65" s="20"/>
      <c r="AQ65" s="20"/>
    </row>
    <row r="66" ht="14.25" spans="1:43">
      <c r="A66" s="74"/>
      <c r="B66" s="20"/>
      <c r="C66" s="20"/>
      <c r="D66" s="20"/>
      <c r="E66" s="20"/>
      <c r="F66" s="75"/>
      <c r="G66" s="20"/>
      <c r="H66" s="20"/>
      <c r="I66" s="21"/>
      <c r="J66" s="20"/>
      <c r="K66" s="20"/>
      <c r="L66" s="20"/>
      <c r="M66" s="20"/>
      <c r="N66" s="20"/>
      <c r="O66" s="21"/>
      <c r="P66" s="20"/>
      <c r="Q66" s="20"/>
      <c r="R66" s="20"/>
      <c r="S66" s="20"/>
      <c r="T66" s="20"/>
      <c r="U66" s="21"/>
      <c r="V66" s="20"/>
      <c r="W66" s="21"/>
      <c r="X66" s="20"/>
      <c r="Y66" s="20"/>
      <c r="Z66" s="21"/>
      <c r="AA66" s="20"/>
      <c r="AB66" s="21"/>
      <c r="AC66" s="20"/>
      <c r="AD66" s="20"/>
      <c r="AE66" s="20"/>
      <c r="AF66" s="20"/>
      <c r="AG66" s="20"/>
      <c r="AH66" s="20"/>
      <c r="AI66" s="20"/>
      <c r="AJ66" s="21"/>
      <c r="AK66" s="20"/>
      <c r="AL66" s="20"/>
      <c r="AM66" s="21"/>
      <c r="AN66" s="20"/>
      <c r="AO66" s="20"/>
      <c r="AP66" s="20"/>
      <c r="AQ66" s="20"/>
    </row>
    <row r="67" ht="14.25" spans="1:43">
      <c r="A67" s="74"/>
      <c r="B67" s="20"/>
      <c r="C67" s="20"/>
      <c r="D67" s="20"/>
      <c r="E67" s="20"/>
      <c r="F67" s="75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1"/>
      <c r="V67" s="20"/>
      <c r="W67" s="21"/>
      <c r="X67" s="20"/>
      <c r="Y67" s="20"/>
      <c r="Z67" s="21"/>
      <c r="AA67" s="20"/>
      <c r="AB67" s="21"/>
      <c r="AC67" s="20"/>
      <c r="AD67" s="20"/>
      <c r="AE67" s="20"/>
      <c r="AF67" s="20"/>
      <c r="AG67" s="20"/>
      <c r="AH67" s="20"/>
      <c r="AI67" s="20"/>
      <c r="AJ67" s="21"/>
      <c r="AK67" s="20"/>
      <c r="AL67" s="20"/>
      <c r="AM67" s="21"/>
      <c r="AN67" s="20"/>
      <c r="AO67" s="20"/>
      <c r="AP67" s="20"/>
      <c r="AQ67" s="20"/>
    </row>
    <row r="68" ht="14.25" spans="1:43">
      <c r="A68" s="74"/>
      <c r="B68" s="20"/>
      <c r="C68" s="20"/>
      <c r="D68" s="20"/>
      <c r="E68" s="20"/>
      <c r="F68" s="75"/>
      <c r="G68" s="20"/>
      <c r="H68" s="20"/>
      <c r="I68" s="21"/>
      <c r="J68" s="20"/>
      <c r="K68" s="20"/>
      <c r="L68" s="20"/>
      <c r="M68" s="20"/>
      <c r="N68" s="20"/>
      <c r="O68" s="21"/>
      <c r="P68" s="20"/>
      <c r="Q68" s="20"/>
      <c r="R68" s="20"/>
      <c r="S68" s="20"/>
      <c r="T68" s="20"/>
      <c r="U68" s="21"/>
      <c r="V68" s="20"/>
      <c r="W68" s="21"/>
      <c r="X68" s="20"/>
      <c r="Y68" s="20"/>
      <c r="Z68" s="21"/>
      <c r="AA68" s="20"/>
      <c r="AB68" s="21"/>
      <c r="AC68" s="20"/>
      <c r="AD68" s="20"/>
      <c r="AE68" s="20"/>
      <c r="AF68" s="20"/>
      <c r="AG68" s="20"/>
      <c r="AH68" s="20"/>
      <c r="AI68" s="20"/>
      <c r="AJ68" s="21"/>
      <c r="AK68" s="20"/>
      <c r="AL68" s="20"/>
      <c r="AM68" s="21"/>
      <c r="AN68" s="20"/>
      <c r="AO68" s="20"/>
      <c r="AP68" s="20"/>
      <c r="AQ68" s="20"/>
    </row>
    <row r="69" ht="14.25" spans="1:43">
      <c r="A69" s="74"/>
      <c r="B69" s="20"/>
      <c r="C69" s="20"/>
      <c r="D69" s="20"/>
      <c r="E69" s="20"/>
      <c r="F69" s="75"/>
      <c r="G69" s="20"/>
      <c r="H69" s="20"/>
      <c r="I69" s="21"/>
      <c r="J69" s="20"/>
      <c r="K69" s="20"/>
      <c r="L69" s="20"/>
      <c r="M69" s="20"/>
      <c r="N69" s="20"/>
      <c r="O69" s="21"/>
      <c r="P69" s="20"/>
      <c r="Q69" s="20"/>
      <c r="R69" s="20"/>
      <c r="S69" s="20"/>
      <c r="T69" s="20"/>
      <c r="U69" s="21"/>
      <c r="V69" s="20"/>
      <c r="W69" s="21"/>
      <c r="X69" s="20"/>
      <c r="Y69" s="20"/>
      <c r="Z69" s="21"/>
      <c r="AA69" s="20"/>
      <c r="AB69" s="21"/>
      <c r="AC69" s="20"/>
      <c r="AD69" s="20"/>
      <c r="AE69" s="20"/>
      <c r="AF69" s="20"/>
      <c r="AG69" s="20"/>
      <c r="AH69" s="20"/>
      <c r="AI69" s="20"/>
      <c r="AJ69" s="21"/>
      <c r="AK69" s="20"/>
      <c r="AL69" s="20"/>
      <c r="AM69" s="21"/>
      <c r="AN69" s="20"/>
      <c r="AO69" s="20"/>
      <c r="AP69" s="20"/>
      <c r="AQ69" s="20"/>
    </row>
    <row r="70" ht="14.25" spans="1:43">
      <c r="A70" s="74"/>
      <c r="B70" s="20"/>
      <c r="C70" s="20"/>
      <c r="D70" s="20"/>
      <c r="E70" s="20"/>
      <c r="F70" s="75"/>
      <c r="G70" s="20"/>
      <c r="H70" s="20"/>
      <c r="I70" s="21"/>
      <c r="J70" s="20"/>
      <c r="K70" s="20"/>
      <c r="L70" s="20"/>
      <c r="M70" s="20"/>
      <c r="N70" s="20"/>
      <c r="O70" s="21"/>
      <c r="P70" s="20"/>
      <c r="Q70" s="20"/>
      <c r="R70" s="20"/>
      <c r="S70" s="20"/>
      <c r="T70" s="20"/>
      <c r="U70" s="21"/>
      <c r="V70" s="20"/>
      <c r="W70" s="21"/>
      <c r="X70" s="20"/>
      <c r="Y70" s="20"/>
      <c r="Z70" s="21"/>
      <c r="AA70" s="20"/>
      <c r="AB70" s="21"/>
      <c r="AC70" s="20"/>
      <c r="AD70" s="20"/>
      <c r="AE70" s="20"/>
      <c r="AF70" s="20"/>
      <c r="AG70" s="20"/>
      <c r="AH70" s="20"/>
      <c r="AI70" s="20"/>
      <c r="AJ70" s="21"/>
      <c r="AK70" s="20"/>
      <c r="AL70" s="20"/>
      <c r="AM70" s="21"/>
      <c r="AN70" s="20"/>
      <c r="AO70" s="20"/>
      <c r="AP70" s="20"/>
      <c r="AQ70" s="20"/>
    </row>
    <row r="71" ht="14.25" spans="1:43">
      <c r="A71" s="74"/>
      <c r="B71" s="20"/>
      <c r="C71" s="20"/>
      <c r="D71" s="20"/>
      <c r="E71" s="20"/>
      <c r="F71" s="75"/>
      <c r="G71" s="20"/>
      <c r="H71" s="23"/>
      <c r="I71" s="21"/>
      <c r="J71" s="20"/>
      <c r="K71" s="20"/>
      <c r="L71" s="20"/>
      <c r="M71" s="20"/>
      <c r="N71" s="23"/>
      <c r="O71" s="21"/>
      <c r="P71" s="20"/>
      <c r="Q71" s="20"/>
      <c r="R71" s="22"/>
      <c r="S71" s="20"/>
      <c r="T71" s="20"/>
      <c r="U71" s="21"/>
      <c r="V71" s="22"/>
      <c r="W71" s="21"/>
      <c r="X71" s="20"/>
      <c r="Y71" s="22"/>
      <c r="Z71" s="21"/>
      <c r="AA71" s="22"/>
      <c r="AB71" s="21"/>
      <c r="AC71" s="23"/>
      <c r="AD71" s="23"/>
      <c r="AE71" s="21"/>
      <c r="AF71" s="21"/>
      <c r="AG71" s="20"/>
      <c r="AH71" s="21"/>
      <c r="AI71" s="20"/>
      <c r="AJ71" s="21"/>
      <c r="AK71" s="22"/>
      <c r="AL71" s="20"/>
      <c r="AM71" s="21"/>
      <c r="AN71" s="20"/>
      <c r="AO71" s="20"/>
      <c r="AP71" s="22"/>
      <c r="AQ71" s="20"/>
    </row>
    <row r="72" ht="14.25" spans="1:43">
      <c r="A72" s="74"/>
      <c r="B72" s="20"/>
      <c r="C72" s="20"/>
      <c r="D72" s="20"/>
      <c r="E72" s="20"/>
      <c r="F72" s="75"/>
      <c r="G72" s="20"/>
      <c r="H72" s="23"/>
      <c r="I72" s="21"/>
      <c r="J72" s="20"/>
      <c r="K72" s="20"/>
      <c r="L72" s="20"/>
      <c r="M72" s="20"/>
      <c r="N72" s="23"/>
      <c r="O72" s="21"/>
      <c r="P72" s="20"/>
      <c r="Q72" s="20"/>
      <c r="R72" s="22"/>
      <c r="S72" s="20"/>
      <c r="T72" s="20"/>
      <c r="U72" s="21"/>
      <c r="V72" s="20"/>
      <c r="W72" s="21"/>
      <c r="X72" s="20"/>
      <c r="Y72" s="22"/>
      <c r="Z72" s="21"/>
      <c r="AA72" s="22"/>
      <c r="AB72" s="21"/>
      <c r="AC72" s="23"/>
      <c r="AD72" s="23"/>
      <c r="AE72" s="21"/>
      <c r="AF72" s="21"/>
      <c r="AG72" s="20"/>
      <c r="AH72" s="21"/>
      <c r="AI72" s="20"/>
      <c r="AJ72" s="21"/>
      <c r="AK72" s="22"/>
      <c r="AL72" s="20"/>
      <c r="AM72" s="21"/>
      <c r="AN72" s="20"/>
      <c r="AO72" s="20"/>
      <c r="AP72" s="22"/>
      <c r="AQ72" s="20"/>
    </row>
    <row r="73" ht="14.25" spans="1:43">
      <c r="A73" s="74"/>
      <c r="B73" s="20"/>
      <c r="C73" s="20"/>
      <c r="D73" s="20"/>
      <c r="E73" s="20"/>
      <c r="F73" s="75"/>
      <c r="G73" s="20"/>
      <c r="H73" s="23"/>
      <c r="I73" s="21"/>
      <c r="J73" s="20"/>
      <c r="K73" s="20"/>
      <c r="L73" s="20"/>
      <c r="M73" s="20"/>
      <c r="N73" s="23"/>
      <c r="O73" s="21"/>
      <c r="P73" s="20"/>
      <c r="Q73" s="20"/>
      <c r="R73" s="22"/>
      <c r="S73" s="20"/>
      <c r="T73" s="20"/>
      <c r="U73" s="21"/>
      <c r="V73" s="22"/>
      <c r="W73" s="21"/>
      <c r="X73" s="20"/>
      <c r="Y73" s="22"/>
      <c r="Z73" s="21"/>
      <c r="AA73" s="22"/>
      <c r="AB73" s="21"/>
      <c r="AC73" s="23"/>
      <c r="AD73" s="23"/>
      <c r="AE73" s="21"/>
      <c r="AF73" s="21"/>
      <c r="AG73" s="20"/>
      <c r="AH73" s="21"/>
      <c r="AI73" s="20"/>
      <c r="AJ73" s="21"/>
      <c r="AK73" s="22"/>
      <c r="AL73" s="20"/>
      <c r="AM73" s="21"/>
      <c r="AN73" s="20"/>
      <c r="AO73" s="20"/>
      <c r="AP73" s="22"/>
      <c r="AQ73" s="20"/>
    </row>
    <row r="74" ht="14.25" spans="1:43">
      <c r="A74" s="74"/>
      <c r="B74" s="20"/>
      <c r="C74" s="20"/>
      <c r="D74" s="20"/>
      <c r="E74" s="20"/>
      <c r="F74" s="75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2"/>
      <c r="S74" s="20"/>
      <c r="T74" s="20"/>
      <c r="U74" s="21"/>
      <c r="V74" s="20"/>
      <c r="W74" s="21"/>
      <c r="X74" s="20"/>
      <c r="Y74" s="20"/>
      <c r="Z74" s="21"/>
      <c r="AA74" s="20"/>
      <c r="AB74" s="21"/>
      <c r="AC74" s="23"/>
      <c r="AD74" s="20"/>
      <c r="AE74" s="21"/>
      <c r="AF74" s="21"/>
      <c r="AG74" s="20"/>
      <c r="AH74" s="21"/>
      <c r="AI74" s="20"/>
      <c r="AJ74" s="21"/>
      <c r="AK74" s="20"/>
      <c r="AL74" s="20"/>
      <c r="AM74" s="21"/>
      <c r="AN74" s="20"/>
      <c r="AO74" s="20"/>
      <c r="AP74" s="20"/>
      <c r="AQ74" s="20"/>
    </row>
    <row r="75" ht="14.25" spans="1:43">
      <c r="A75" s="74"/>
      <c r="B75" s="20"/>
      <c r="C75" s="20"/>
      <c r="D75" s="20"/>
      <c r="E75" s="20"/>
      <c r="F75" s="75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1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</row>
    <row r="76" ht="14.25" spans="1:43">
      <c r="A76" s="74"/>
      <c r="B76" s="20"/>
      <c r="C76" s="20"/>
      <c r="D76" s="20"/>
      <c r="E76" s="20"/>
      <c r="F76" s="75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1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</row>
    <row r="77" ht="14.25" spans="1:43">
      <c r="A77" s="74"/>
      <c r="B77" s="20"/>
      <c r="C77" s="20"/>
      <c r="D77" s="20"/>
      <c r="E77" s="20"/>
      <c r="F77" s="75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1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</row>
    <row r="78" ht="14.25" spans="1:43">
      <c r="A78" s="74"/>
      <c r="B78" s="20"/>
      <c r="C78" s="20"/>
      <c r="D78" s="20"/>
      <c r="E78" s="20"/>
      <c r="F78" s="75"/>
      <c r="G78" s="20"/>
      <c r="H78" s="23"/>
      <c r="I78" s="21"/>
      <c r="J78" s="20"/>
      <c r="K78" s="20"/>
      <c r="L78" s="20"/>
      <c r="M78" s="20"/>
      <c r="N78" s="23"/>
      <c r="O78" s="21"/>
      <c r="P78" s="20"/>
      <c r="Q78" s="20"/>
      <c r="R78" s="22"/>
      <c r="S78" s="20"/>
      <c r="T78" s="22"/>
      <c r="U78" s="21"/>
      <c r="V78" s="22"/>
      <c r="W78" s="21"/>
      <c r="X78" s="20"/>
      <c r="Y78" s="22"/>
      <c r="Z78" s="21"/>
      <c r="AA78" s="22"/>
      <c r="AB78" s="21"/>
      <c r="AC78" s="23"/>
      <c r="AD78" s="23"/>
      <c r="AE78" s="21"/>
      <c r="AF78" s="21"/>
      <c r="AG78" s="20"/>
      <c r="AH78" s="21"/>
      <c r="AI78" s="20"/>
      <c r="AJ78" s="21"/>
      <c r="AK78" s="22"/>
      <c r="AL78" s="20"/>
      <c r="AM78" s="21"/>
      <c r="AN78" s="22"/>
      <c r="AO78" s="20"/>
      <c r="AP78" s="20"/>
      <c r="AQ78" s="20"/>
    </row>
    <row r="79" ht="14.25" spans="1:43">
      <c r="A79" s="74"/>
      <c r="B79" s="20"/>
      <c r="C79" s="20"/>
      <c r="D79" s="20"/>
      <c r="E79" s="20"/>
      <c r="F79" s="75"/>
      <c r="G79" s="20"/>
      <c r="H79" s="23"/>
      <c r="I79" s="21"/>
      <c r="J79" s="20"/>
      <c r="K79" s="20"/>
      <c r="L79" s="20"/>
      <c r="M79" s="20"/>
      <c r="N79" s="23"/>
      <c r="O79" s="21"/>
      <c r="P79" s="20"/>
      <c r="Q79" s="20"/>
      <c r="R79" s="22"/>
      <c r="S79" s="20"/>
      <c r="T79" s="22"/>
      <c r="U79" s="21"/>
      <c r="V79" s="22"/>
      <c r="W79" s="21"/>
      <c r="X79" s="20"/>
      <c r="Y79" s="22"/>
      <c r="Z79" s="21"/>
      <c r="AA79" s="22"/>
      <c r="AB79" s="21"/>
      <c r="AC79" s="23"/>
      <c r="AD79" s="23"/>
      <c r="AE79" s="21"/>
      <c r="AF79" s="21"/>
      <c r="AG79" s="20"/>
      <c r="AH79" s="21"/>
      <c r="AI79" s="20"/>
      <c r="AJ79" s="21"/>
      <c r="AK79" s="22"/>
      <c r="AL79" s="20"/>
      <c r="AM79" s="21"/>
      <c r="AN79" s="22"/>
      <c r="AO79" s="20"/>
      <c r="AP79" s="20"/>
      <c r="AQ79" s="20"/>
    </row>
    <row r="80" ht="14.25" spans="1:43">
      <c r="A80" s="74"/>
      <c r="B80" s="20"/>
      <c r="C80" s="20"/>
      <c r="D80" s="20"/>
      <c r="E80" s="20"/>
      <c r="F80" s="75"/>
      <c r="G80" s="20"/>
      <c r="H80" s="23"/>
      <c r="I80" s="21"/>
      <c r="J80" s="20"/>
      <c r="K80" s="20"/>
      <c r="L80" s="20"/>
      <c r="M80" s="20"/>
      <c r="N80" s="23"/>
      <c r="O80" s="21"/>
      <c r="P80" s="20"/>
      <c r="Q80" s="20"/>
      <c r="R80" s="22"/>
      <c r="S80" s="20"/>
      <c r="T80" s="20"/>
      <c r="U80" s="21"/>
      <c r="V80" s="22"/>
      <c r="W80" s="21"/>
      <c r="X80" s="20"/>
      <c r="Y80" s="22"/>
      <c r="Z80" s="21"/>
      <c r="AA80" s="22"/>
      <c r="AB80" s="21"/>
      <c r="AC80" s="23"/>
      <c r="AD80" s="23"/>
      <c r="AE80" s="21"/>
      <c r="AF80" s="21"/>
      <c r="AG80" s="20"/>
      <c r="AH80" s="21"/>
      <c r="AI80" s="20"/>
      <c r="AJ80" s="21"/>
      <c r="AK80" s="22"/>
      <c r="AL80" s="20"/>
      <c r="AM80" s="21"/>
      <c r="AN80" s="22"/>
      <c r="AO80" s="20"/>
      <c r="AP80" s="20"/>
      <c r="AQ80" s="20"/>
    </row>
    <row r="81" ht="14.25" spans="1:43">
      <c r="A81" s="74"/>
      <c r="B81" s="20"/>
      <c r="C81" s="20"/>
      <c r="D81" s="20"/>
      <c r="E81" s="20"/>
      <c r="F81" s="75"/>
      <c r="G81" s="20"/>
      <c r="H81" s="23"/>
      <c r="I81" s="21"/>
      <c r="J81" s="20"/>
      <c r="K81" s="20"/>
      <c r="L81" s="20"/>
      <c r="M81" s="20"/>
      <c r="N81" s="23"/>
      <c r="O81" s="21"/>
      <c r="P81" s="20"/>
      <c r="Q81" s="20"/>
      <c r="R81" s="22"/>
      <c r="S81" s="20"/>
      <c r="T81" s="22"/>
      <c r="U81" s="21"/>
      <c r="V81" s="22"/>
      <c r="W81" s="21"/>
      <c r="X81" s="20"/>
      <c r="Y81" s="22"/>
      <c r="Z81" s="21"/>
      <c r="AA81" s="22"/>
      <c r="AB81" s="21"/>
      <c r="AC81" s="23"/>
      <c r="AD81" s="23"/>
      <c r="AE81" s="21"/>
      <c r="AF81" s="21"/>
      <c r="AG81" s="20"/>
      <c r="AH81" s="21"/>
      <c r="AI81" s="20"/>
      <c r="AJ81" s="21"/>
      <c r="AK81" s="22"/>
      <c r="AL81" s="20"/>
      <c r="AM81" s="21"/>
      <c r="AN81" s="22"/>
      <c r="AO81" s="20"/>
      <c r="AP81" s="20"/>
      <c r="AQ81" s="20"/>
    </row>
    <row r="82" ht="14.25" spans="1:43">
      <c r="A82" s="74"/>
      <c r="B82" s="20"/>
      <c r="C82" s="20"/>
      <c r="D82" s="20"/>
      <c r="E82" s="20"/>
      <c r="F82" s="75"/>
      <c r="G82" s="20"/>
      <c r="H82" s="23"/>
      <c r="I82" s="21"/>
      <c r="J82" s="20"/>
      <c r="K82" s="20"/>
      <c r="L82" s="20"/>
      <c r="M82" s="20"/>
      <c r="N82" s="23"/>
      <c r="O82" s="21"/>
      <c r="P82" s="20"/>
      <c r="Q82" s="20"/>
      <c r="R82" s="22"/>
      <c r="S82" s="20"/>
      <c r="T82" s="22"/>
      <c r="U82" s="21"/>
      <c r="V82" s="22"/>
      <c r="W82" s="21"/>
      <c r="X82" s="20"/>
      <c r="Y82" s="22"/>
      <c r="Z82" s="21"/>
      <c r="AA82" s="22"/>
      <c r="AB82" s="21"/>
      <c r="AC82" s="23"/>
      <c r="AD82" s="23"/>
      <c r="AE82" s="21"/>
      <c r="AF82" s="21"/>
      <c r="AG82" s="20"/>
      <c r="AH82" s="21"/>
      <c r="AI82" s="20"/>
      <c r="AJ82" s="21"/>
      <c r="AK82" s="22"/>
      <c r="AL82" s="20"/>
      <c r="AM82" s="21"/>
      <c r="AN82" s="22"/>
      <c r="AO82" s="20"/>
      <c r="AP82" s="22"/>
      <c r="AQ82" s="20"/>
    </row>
    <row r="83" ht="14.25" spans="1:43">
      <c r="A83" s="74"/>
      <c r="B83" s="20"/>
      <c r="C83" s="20"/>
      <c r="D83" s="20"/>
      <c r="E83" s="20"/>
      <c r="F83" s="75"/>
      <c r="G83" s="20"/>
      <c r="H83" s="23"/>
      <c r="I83" s="21"/>
      <c r="J83" s="20"/>
      <c r="K83" s="20"/>
      <c r="L83" s="20"/>
      <c r="M83" s="20"/>
      <c r="N83" s="23"/>
      <c r="O83" s="21"/>
      <c r="P83" s="20"/>
      <c r="Q83" s="20"/>
      <c r="R83" s="22"/>
      <c r="S83" s="20"/>
      <c r="T83" s="20"/>
      <c r="U83" s="21"/>
      <c r="V83" s="20"/>
      <c r="W83" s="21"/>
      <c r="X83" s="20"/>
      <c r="Y83" s="22"/>
      <c r="Z83" s="21"/>
      <c r="AA83" s="22"/>
      <c r="AB83" s="21"/>
      <c r="AC83" s="23"/>
      <c r="AD83" s="23"/>
      <c r="AE83" s="21"/>
      <c r="AF83" s="21"/>
      <c r="AG83" s="20"/>
      <c r="AH83" s="21"/>
      <c r="AI83" s="20"/>
      <c r="AJ83" s="21"/>
      <c r="AK83" s="22"/>
      <c r="AL83" s="20"/>
      <c r="AM83" s="21"/>
      <c r="AN83" s="22"/>
      <c r="AO83" s="20"/>
      <c r="AP83" s="22"/>
      <c r="AQ83" s="20"/>
    </row>
    <row r="84" ht="14.25" spans="1:43">
      <c r="A84" s="74"/>
      <c r="B84" s="20"/>
      <c r="C84" s="20"/>
      <c r="D84" s="20"/>
      <c r="E84" s="20"/>
      <c r="F84" s="75"/>
      <c r="G84" s="20"/>
      <c r="H84" s="23"/>
      <c r="I84" s="21"/>
      <c r="J84" s="20"/>
      <c r="K84" s="20"/>
      <c r="L84" s="20"/>
      <c r="M84" s="20"/>
      <c r="N84" s="23"/>
      <c r="O84" s="21"/>
      <c r="P84" s="20"/>
      <c r="Q84" s="20"/>
      <c r="R84" s="22"/>
      <c r="S84" s="20"/>
      <c r="T84" s="20"/>
      <c r="U84" s="21"/>
      <c r="V84" s="20"/>
      <c r="W84" s="21"/>
      <c r="X84" s="20"/>
      <c r="Y84" s="20"/>
      <c r="Z84" s="21"/>
      <c r="AA84" s="22"/>
      <c r="AB84" s="21"/>
      <c r="AC84" s="23"/>
      <c r="AD84" s="23"/>
      <c r="AE84" s="21"/>
      <c r="AF84" s="21"/>
      <c r="AG84" s="20"/>
      <c r="AH84" s="21"/>
      <c r="AI84" s="20"/>
      <c r="AJ84" s="21"/>
      <c r="AK84" s="22"/>
      <c r="AL84" s="20"/>
      <c r="AM84" s="21"/>
      <c r="AN84" s="22"/>
      <c r="AO84" s="20"/>
      <c r="AP84" s="22"/>
      <c r="AQ84" s="20"/>
    </row>
    <row r="85" ht="14.25" spans="1:43">
      <c r="A85" s="74"/>
      <c r="B85" s="20"/>
      <c r="C85" s="20"/>
      <c r="D85" s="20"/>
      <c r="E85" s="20"/>
      <c r="F85" s="75"/>
      <c r="G85" s="20"/>
      <c r="H85" s="23"/>
      <c r="I85" s="21"/>
      <c r="J85" s="20"/>
      <c r="K85" s="20"/>
      <c r="L85" s="20"/>
      <c r="M85" s="20"/>
      <c r="N85" s="23"/>
      <c r="O85" s="21"/>
      <c r="P85" s="20"/>
      <c r="Q85" s="20"/>
      <c r="R85" s="22"/>
      <c r="S85" s="20"/>
      <c r="T85" s="20"/>
      <c r="U85" s="21"/>
      <c r="V85" s="22"/>
      <c r="W85" s="21"/>
      <c r="X85" s="20"/>
      <c r="Y85" s="20"/>
      <c r="Z85" s="21"/>
      <c r="AA85" s="22"/>
      <c r="AB85" s="21"/>
      <c r="AC85" s="23"/>
      <c r="AD85" s="20"/>
      <c r="AE85" s="21"/>
      <c r="AF85" s="21"/>
      <c r="AG85" s="20"/>
      <c r="AH85" s="21"/>
      <c r="AI85" s="20"/>
      <c r="AJ85" s="21"/>
      <c r="AK85" s="22"/>
      <c r="AL85" s="20"/>
      <c r="AM85" s="21"/>
      <c r="AN85" s="22"/>
      <c r="AO85" s="20"/>
      <c r="AP85" s="22"/>
      <c r="AQ85" s="20"/>
    </row>
    <row r="86" ht="14.25" spans="1:43">
      <c r="A86" s="74"/>
      <c r="B86" s="20"/>
      <c r="C86" s="20"/>
      <c r="D86" s="20"/>
      <c r="E86" s="20"/>
      <c r="F86" s="75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1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</row>
    <row r="87" ht="14.25" spans="1:43">
      <c r="A87" s="74"/>
      <c r="B87" s="20"/>
      <c r="C87" s="20"/>
      <c r="D87" s="20"/>
      <c r="E87" s="20"/>
      <c r="F87" s="75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1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</row>
    <row r="88" ht="14.25" spans="1:43">
      <c r="A88" s="74"/>
      <c r="B88" s="20"/>
      <c r="C88" s="20"/>
      <c r="D88" s="20"/>
      <c r="E88" s="20"/>
      <c r="F88" s="75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1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</row>
    <row r="89" ht="14.25" spans="1:43">
      <c r="A89" s="74"/>
      <c r="B89" s="20"/>
      <c r="C89" s="20"/>
      <c r="D89" s="20"/>
      <c r="E89" s="20"/>
      <c r="F89" s="75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1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</row>
    <row r="90" ht="14.25" spans="1:43">
      <c r="A90" s="74"/>
      <c r="B90" s="20"/>
      <c r="C90" s="20"/>
      <c r="D90" s="20"/>
      <c r="E90" s="20"/>
      <c r="F90" s="75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1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</row>
    <row r="91" ht="14.25" spans="1:43">
      <c r="A91" s="74"/>
      <c r="B91" s="20"/>
      <c r="C91" s="20"/>
      <c r="D91" s="20"/>
      <c r="E91" s="20"/>
      <c r="F91" s="75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1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</row>
    <row r="92" ht="14.25" spans="1:43">
      <c r="A92" s="74"/>
      <c r="B92" s="20"/>
      <c r="C92" s="20"/>
      <c r="D92" s="20"/>
      <c r="E92" s="20"/>
      <c r="F92" s="75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1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</row>
    <row r="93" ht="14.25" spans="1:43">
      <c r="A93" s="74"/>
      <c r="B93" s="20"/>
      <c r="C93" s="20"/>
      <c r="D93" s="20"/>
      <c r="E93" s="20"/>
      <c r="F93" s="75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1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</row>
    <row r="94" ht="14.25" spans="1:43">
      <c r="A94" s="74"/>
      <c r="B94" s="20"/>
      <c r="C94" s="20"/>
      <c r="D94" s="20"/>
      <c r="E94" s="20"/>
      <c r="F94" s="75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1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</row>
    <row r="95" ht="14.25" spans="1:43">
      <c r="A95" s="74"/>
      <c r="B95" s="20"/>
      <c r="C95" s="20"/>
      <c r="D95" s="20"/>
      <c r="E95" s="20"/>
      <c r="F95" s="75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1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</row>
    <row r="96" ht="14.25" spans="1:43">
      <c r="A96" s="74"/>
      <c r="B96" s="20"/>
      <c r="C96" s="20"/>
      <c r="D96" s="20"/>
      <c r="E96" s="20"/>
      <c r="F96" s="75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1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</row>
    <row r="97" ht="14.25" spans="1:43">
      <c r="A97" s="74"/>
      <c r="B97" s="20"/>
      <c r="C97" s="20"/>
      <c r="D97" s="20"/>
      <c r="E97" s="20"/>
      <c r="F97" s="75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1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</row>
    <row r="98" ht="14.25" spans="1:43">
      <c r="A98" s="74"/>
      <c r="B98" s="20"/>
      <c r="C98" s="20"/>
      <c r="D98" s="20"/>
      <c r="E98" s="20"/>
      <c r="F98" s="75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1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</row>
    <row r="99" ht="14.25" spans="1:43">
      <c r="A99" s="74"/>
      <c r="B99" s="20"/>
      <c r="C99" s="20"/>
      <c r="D99" s="20"/>
      <c r="E99" s="20"/>
      <c r="F99" s="75"/>
      <c r="G99" s="20"/>
      <c r="H99" s="23"/>
      <c r="I99" s="21"/>
      <c r="J99" s="20"/>
      <c r="K99" s="20"/>
      <c r="L99" s="20"/>
      <c r="M99" s="20"/>
      <c r="N99" s="23"/>
      <c r="O99" s="21"/>
      <c r="P99" s="20"/>
      <c r="Q99" s="20"/>
      <c r="R99" s="22"/>
      <c r="S99" s="20"/>
      <c r="T99" s="20"/>
      <c r="U99" s="21"/>
      <c r="V99" s="20"/>
      <c r="W99" s="21"/>
      <c r="X99" s="20"/>
      <c r="Y99" s="22"/>
      <c r="Z99" s="21"/>
      <c r="AA99" s="22"/>
      <c r="AB99" s="21"/>
      <c r="AC99" s="23"/>
      <c r="AD99" s="23"/>
      <c r="AE99" s="21"/>
      <c r="AF99" s="21"/>
      <c r="AG99" s="20"/>
      <c r="AH99" s="21"/>
      <c r="AI99" s="20"/>
      <c r="AJ99" s="21"/>
      <c r="AK99" s="22"/>
      <c r="AL99" s="20"/>
      <c r="AM99" s="21"/>
      <c r="AN99" s="20"/>
      <c r="AO99" s="20"/>
      <c r="AP99" s="22"/>
      <c r="AQ99" s="20"/>
    </row>
    <row r="100" ht="14.25" spans="1:43">
      <c r="A100" s="74"/>
      <c r="B100" s="20"/>
      <c r="C100" s="20"/>
      <c r="D100" s="20"/>
      <c r="E100" s="20"/>
      <c r="F100" s="75"/>
      <c r="G100" s="20"/>
      <c r="H100" s="23"/>
      <c r="I100" s="21"/>
      <c r="J100" s="20"/>
      <c r="K100" s="20"/>
      <c r="L100" s="20"/>
      <c r="M100" s="20"/>
      <c r="N100" s="23"/>
      <c r="O100" s="21"/>
      <c r="P100" s="20"/>
      <c r="Q100" s="20"/>
      <c r="R100" s="22"/>
      <c r="S100" s="20"/>
      <c r="T100" s="20"/>
      <c r="U100" s="21"/>
      <c r="V100" s="20"/>
      <c r="W100" s="21"/>
      <c r="X100" s="20"/>
      <c r="Y100" s="20"/>
      <c r="Z100" s="21"/>
      <c r="AA100" s="20"/>
      <c r="AB100" s="21"/>
      <c r="AC100" s="23"/>
      <c r="AD100" s="20"/>
      <c r="AE100" s="21"/>
      <c r="AF100" s="21"/>
      <c r="AG100" s="20"/>
      <c r="AH100" s="21"/>
      <c r="AI100" s="20"/>
      <c r="AJ100" s="21"/>
      <c r="AK100" s="20"/>
      <c r="AL100" s="20"/>
      <c r="AM100" s="21"/>
      <c r="AN100" s="20"/>
      <c r="AO100" s="20"/>
      <c r="AP100" s="20"/>
      <c r="AQ100" s="20"/>
    </row>
    <row r="101" ht="14.25" spans="1:43">
      <c r="A101" s="74"/>
      <c r="B101" s="20"/>
      <c r="C101" s="20"/>
      <c r="D101" s="20"/>
      <c r="E101" s="20"/>
      <c r="F101" s="75"/>
      <c r="G101" s="20"/>
      <c r="H101" s="23"/>
      <c r="I101" s="21"/>
      <c r="J101" s="20"/>
      <c r="K101" s="20"/>
      <c r="L101" s="20"/>
      <c r="M101" s="20"/>
      <c r="N101" s="23"/>
      <c r="O101" s="21"/>
      <c r="P101" s="20"/>
      <c r="Q101" s="20"/>
      <c r="R101" s="20"/>
      <c r="S101" s="20"/>
      <c r="T101" s="20"/>
      <c r="U101" s="21"/>
      <c r="V101" s="20"/>
      <c r="W101" s="21"/>
      <c r="X101" s="20"/>
      <c r="Y101" s="22"/>
      <c r="Z101" s="21"/>
      <c r="AA101" s="20"/>
      <c r="AB101" s="21"/>
      <c r="AC101" s="20"/>
      <c r="AD101" s="20"/>
      <c r="AE101" s="20"/>
      <c r="AF101" s="20"/>
      <c r="AG101" s="20"/>
      <c r="AH101" s="20"/>
      <c r="AI101" s="20"/>
      <c r="AJ101" s="21"/>
      <c r="AK101" s="20"/>
      <c r="AL101" s="20"/>
      <c r="AM101" s="21"/>
      <c r="AN101" s="20"/>
      <c r="AO101" s="20"/>
      <c r="AP101" s="20"/>
      <c r="AQ101" s="20"/>
    </row>
    <row r="102" ht="14.25" spans="1:43">
      <c r="A102" s="74"/>
      <c r="B102" s="20"/>
      <c r="C102" s="20"/>
      <c r="D102" s="20"/>
      <c r="E102" s="20"/>
      <c r="F102" s="75"/>
      <c r="G102" s="20"/>
      <c r="H102" s="23"/>
      <c r="I102" s="21"/>
      <c r="J102" s="20"/>
      <c r="K102" s="20"/>
      <c r="L102" s="20"/>
      <c r="M102" s="20"/>
      <c r="N102" s="23"/>
      <c r="O102" s="21"/>
      <c r="P102" s="20"/>
      <c r="Q102" s="20"/>
      <c r="R102" s="22"/>
      <c r="S102" s="20"/>
      <c r="T102" s="20"/>
      <c r="U102" s="21"/>
      <c r="V102" s="20"/>
      <c r="W102" s="21"/>
      <c r="X102" s="20"/>
      <c r="Y102" s="20"/>
      <c r="Z102" s="21"/>
      <c r="AA102" s="20"/>
      <c r="AB102" s="21"/>
      <c r="AC102" s="23"/>
      <c r="AD102" s="20"/>
      <c r="AE102" s="21"/>
      <c r="AF102" s="21"/>
      <c r="AG102" s="20"/>
      <c r="AH102" s="21"/>
      <c r="AI102" s="20"/>
      <c r="AJ102" s="21"/>
      <c r="AK102" s="22"/>
      <c r="AL102" s="20"/>
      <c r="AM102" s="21"/>
      <c r="AN102" s="20"/>
      <c r="AO102" s="20"/>
      <c r="AP102" s="20"/>
      <c r="AQ102" s="20"/>
    </row>
    <row r="103" ht="14.25" spans="1:43">
      <c r="A103" s="74"/>
      <c r="B103" s="20"/>
      <c r="C103" s="20"/>
      <c r="D103" s="20"/>
      <c r="E103" s="20"/>
      <c r="F103" s="75"/>
      <c r="G103" s="20"/>
      <c r="H103" s="23"/>
      <c r="I103" s="21"/>
      <c r="J103" s="20"/>
      <c r="K103" s="20"/>
      <c r="L103" s="20"/>
      <c r="M103" s="20"/>
      <c r="N103" s="23"/>
      <c r="O103" s="21"/>
      <c r="P103" s="20"/>
      <c r="Q103" s="20"/>
      <c r="R103" s="22"/>
      <c r="S103" s="20"/>
      <c r="T103" s="20"/>
      <c r="U103" s="21"/>
      <c r="V103" s="20"/>
      <c r="W103" s="21"/>
      <c r="X103" s="20"/>
      <c r="Y103" s="20"/>
      <c r="Z103" s="21"/>
      <c r="AA103" s="22"/>
      <c r="AB103" s="21"/>
      <c r="AC103" s="23"/>
      <c r="AD103" s="23"/>
      <c r="AE103" s="21"/>
      <c r="AF103" s="21"/>
      <c r="AG103" s="20"/>
      <c r="AH103" s="21"/>
      <c r="AI103" s="20"/>
      <c r="AJ103" s="21"/>
      <c r="AK103" s="22"/>
      <c r="AL103" s="20"/>
      <c r="AM103" s="21"/>
      <c r="AN103" s="20"/>
      <c r="AO103" s="20"/>
      <c r="AP103" s="22"/>
      <c r="AQ103" s="20"/>
    </row>
    <row r="104" ht="14.25" spans="1:43">
      <c r="A104" s="74"/>
      <c r="B104" s="20"/>
      <c r="C104" s="20"/>
      <c r="D104" s="20"/>
      <c r="E104" s="20"/>
      <c r="F104" s="75"/>
      <c r="G104" s="20"/>
      <c r="H104" s="23"/>
      <c r="I104" s="21"/>
      <c r="J104" s="20"/>
      <c r="K104" s="20"/>
      <c r="L104" s="20"/>
      <c r="M104" s="20"/>
      <c r="N104" s="23"/>
      <c r="O104" s="21"/>
      <c r="P104" s="20"/>
      <c r="Q104" s="20"/>
      <c r="R104" s="22"/>
      <c r="S104" s="20"/>
      <c r="T104" s="20"/>
      <c r="U104" s="21"/>
      <c r="V104" s="20"/>
      <c r="W104" s="21"/>
      <c r="X104" s="20"/>
      <c r="Y104" s="20"/>
      <c r="Z104" s="21"/>
      <c r="AA104" s="22"/>
      <c r="AB104" s="21"/>
      <c r="AC104" s="23"/>
      <c r="AD104" s="20"/>
      <c r="AE104" s="21"/>
      <c r="AF104" s="21"/>
      <c r="AG104" s="20"/>
      <c r="AH104" s="21"/>
      <c r="AI104" s="20"/>
      <c r="AJ104" s="21"/>
      <c r="AK104" s="22"/>
      <c r="AL104" s="20"/>
      <c r="AM104" s="21"/>
      <c r="AN104" s="20"/>
      <c r="AO104" s="20"/>
      <c r="AP104" s="22"/>
      <c r="AQ104" s="20"/>
    </row>
    <row r="105" ht="14.25" spans="1:43">
      <c r="A105" s="74"/>
      <c r="B105" s="20"/>
      <c r="C105" s="20"/>
      <c r="D105" s="20"/>
      <c r="E105" s="20"/>
      <c r="F105" s="75"/>
      <c r="G105" s="20"/>
      <c r="H105" s="23"/>
      <c r="I105" s="21"/>
      <c r="J105" s="20"/>
      <c r="K105" s="20"/>
      <c r="L105" s="20"/>
      <c r="M105" s="20"/>
      <c r="N105" s="23"/>
      <c r="O105" s="21"/>
      <c r="P105" s="20"/>
      <c r="Q105" s="20"/>
      <c r="R105" s="22"/>
      <c r="S105" s="20"/>
      <c r="T105" s="20"/>
      <c r="U105" s="21"/>
      <c r="V105" s="20"/>
      <c r="W105" s="21"/>
      <c r="X105" s="20"/>
      <c r="Y105" s="20"/>
      <c r="Z105" s="21"/>
      <c r="AA105" s="22"/>
      <c r="AB105" s="21"/>
      <c r="AC105" s="23"/>
      <c r="AD105" s="23"/>
      <c r="AE105" s="21"/>
      <c r="AF105" s="21"/>
      <c r="AG105" s="20"/>
      <c r="AH105" s="21"/>
      <c r="AI105" s="20"/>
      <c r="AJ105" s="21"/>
      <c r="AK105" s="22"/>
      <c r="AL105" s="20"/>
      <c r="AM105" s="21"/>
      <c r="AN105" s="20"/>
      <c r="AO105" s="20"/>
      <c r="AP105" s="22"/>
      <c r="AQ105" s="20"/>
    </row>
    <row r="106" ht="14.25" spans="1:43">
      <c r="A106" s="74"/>
      <c r="B106" s="20"/>
      <c r="C106" s="20"/>
      <c r="D106" s="20"/>
      <c r="E106" s="20"/>
      <c r="F106" s="75"/>
      <c r="G106" s="20"/>
      <c r="H106" s="23"/>
      <c r="I106" s="21"/>
      <c r="J106" s="20"/>
      <c r="K106" s="20"/>
      <c r="L106" s="20"/>
      <c r="M106" s="20"/>
      <c r="N106" s="23"/>
      <c r="O106" s="21"/>
      <c r="P106" s="20"/>
      <c r="Q106" s="20"/>
      <c r="R106" s="22"/>
      <c r="S106" s="20"/>
      <c r="T106" s="20"/>
      <c r="U106" s="21"/>
      <c r="V106" s="22"/>
      <c r="W106" s="21"/>
      <c r="X106" s="20"/>
      <c r="Y106" s="20"/>
      <c r="Z106" s="21"/>
      <c r="AA106" s="22"/>
      <c r="AB106" s="21"/>
      <c r="AC106" s="23"/>
      <c r="AD106" s="23"/>
      <c r="AE106" s="21"/>
      <c r="AF106" s="21"/>
      <c r="AG106" s="20"/>
      <c r="AH106" s="21"/>
      <c r="AI106" s="20"/>
      <c r="AJ106" s="21"/>
      <c r="AK106" s="22"/>
      <c r="AL106" s="20"/>
      <c r="AM106" s="21"/>
      <c r="AN106" s="20"/>
      <c r="AO106" s="20"/>
      <c r="AP106" s="22"/>
      <c r="AQ106" s="20"/>
    </row>
    <row r="107" ht="14.25" spans="1:43">
      <c r="A107" s="74"/>
      <c r="B107" s="20"/>
      <c r="C107" s="20"/>
      <c r="D107" s="20"/>
      <c r="E107" s="20"/>
      <c r="F107" s="75"/>
      <c r="G107" s="20"/>
      <c r="H107" s="23"/>
      <c r="I107" s="21"/>
      <c r="J107" s="20"/>
      <c r="K107" s="20"/>
      <c r="L107" s="20"/>
      <c r="M107" s="20"/>
      <c r="N107" s="23"/>
      <c r="O107" s="21"/>
      <c r="P107" s="20"/>
      <c r="Q107" s="20"/>
      <c r="R107" s="20"/>
      <c r="S107" s="20"/>
      <c r="T107" s="20"/>
      <c r="U107" s="21"/>
      <c r="V107" s="20"/>
      <c r="W107" s="21"/>
      <c r="X107" s="20"/>
      <c r="Y107" s="20"/>
      <c r="Z107" s="21"/>
      <c r="AA107" s="20"/>
      <c r="AB107" s="21"/>
      <c r="AC107" s="20"/>
      <c r="AD107" s="20"/>
      <c r="AE107" s="20"/>
      <c r="AF107" s="21"/>
      <c r="AG107" s="20"/>
      <c r="AH107" s="20"/>
      <c r="AI107" s="20"/>
      <c r="AJ107" s="21"/>
      <c r="AK107" s="20"/>
      <c r="AL107" s="20"/>
      <c r="AM107" s="21"/>
      <c r="AN107" s="20"/>
      <c r="AO107" s="20"/>
      <c r="AP107" s="20"/>
      <c r="AQ107" s="20"/>
    </row>
    <row r="108" ht="14.25" spans="1:43">
      <c r="A108" s="74"/>
      <c r="B108" s="20"/>
      <c r="C108" s="20"/>
      <c r="D108" s="20"/>
      <c r="E108" s="20"/>
      <c r="F108" s="75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1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</row>
    <row r="109" ht="14.25" spans="1:43">
      <c r="A109" s="74"/>
      <c r="B109" s="20"/>
      <c r="C109" s="20"/>
      <c r="D109" s="20"/>
      <c r="E109" s="20"/>
      <c r="F109" s="75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1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</row>
    <row r="110" ht="14.25" spans="1:43">
      <c r="A110" s="74"/>
      <c r="B110" s="20"/>
      <c r="C110" s="20"/>
      <c r="D110" s="20"/>
      <c r="E110" s="20"/>
      <c r="F110" s="75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1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</row>
    <row r="111" ht="14.25" spans="1:43">
      <c r="A111" s="74"/>
      <c r="B111" s="20"/>
      <c r="C111" s="20"/>
      <c r="D111" s="20"/>
      <c r="E111" s="20"/>
      <c r="F111" s="75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1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</row>
    <row r="112" ht="14.25" spans="1:43">
      <c r="A112" s="74"/>
      <c r="B112" s="20"/>
      <c r="C112" s="20"/>
      <c r="D112" s="20"/>
      <c r="E112" s="20"/>
      <c r="F112" s="75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1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</row>
    <row r="113" ht="14.25" spans="1:43">
      <c r="A113" s="74"/>
      <c r="B113" s="20"/>
      <c r="C113" s="20"/>
      <c r="D113" s="20"/>
      <c r="E113" s="20"/>
      <c r="F113" s="75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1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</row>
    <row r="114" ht="14.25" spans="1:43">
      <c r="A114" s="74"/>
      <c r="B114" s="20"/>
      <c r="C114" s="20"/>
      <c r="D114" s="20"/>
      <c r="E114" s="20"/>
      <c r="F114" s="75"/>
      <c r="G114" s="20"/>
      <c r="H114" s="23"/>
      <c r="I114" s="21"/>
      <c r="J114" s="20"/>
      <c r="K114" s="20"/>
      <c r="L114" s="20"/>
      <c r="M114" s="20"/>
      <c r="N114" s="23"/>
      <c r="O114" s="21"/>
      <c r="P114" s="20"/>
      <c r="Q114" s="20"/>
      <c r="R114" s="22"/>
      <c r="S114" s="20"/>
      <c r="T114" s="20"/>
      <c r="U114" s="21"/>
      <c r="V114" s="20"/>
      <c r="W114" s="21"/>
      <c r="X114" s="20"/>
      <c r="Y114" s="22"/>
      <c r="Z114" s="21"/>
      <c r="AA114" s="20"/>
      <c r="AB114" s="21"/>
      <c r="AC114" s="20"/>
      <c r="AD114" s="20"/>
      <c r="AE114" s="20"/>
      <c r="AF114" s="20"/>
      <c r="AG114" s="20"/>
      <c r="AH114" s="20"/>
      <c r="AI114" s="20"/>
      <c r="AJ114" s="21"/>
      <c r="AK114" s="20"/>
      <c r="AL114" s="20"/>
      <c r="AM114" s="21"/>
      <c r="AN114" s="20"/>
      <c r="AO114" s="20"/>
      <c r="AP114" s="20"/>
      <c r="AQ114" s="20"/>
    </row>
    <row r="115" ht="14.25" spans="1:43">
      <c r="A115" s="74"/>
      <c r="B115" s="20"/>
      <c r="C115" s="20"/>
      <c r="D115" s="20"/>
      <c r="E115" s="20"/>
      <c r="F115" s="75"/>
      <c r="G115" s="20"/>
      <c r="H115" s="23"/>
      <c r="I115" s="21"/>
      <c r="J115" s="20"/>
      <c r="K115" s="20"/>
      <c r="L115" s="20"/>
      <c r="M115" s="20"/>
      <c r="N115" s="23"/>
      <c r="O115" s="21"/>
      <c r="P115" s="20"/>
      <c r="Q115" s="20"/>
      <c r="R115" s="22"/>
      <c r="S115" s="20"/>
      <c r="T115" s="20"/>
      <c r="U115" s="21"/>
      <c r="V115" s="20"/>
      <c r="W115" s="21"/>
      <c r="X115" s="20"/>
      <c r="Y115" s="22"/>
      <c r="Z115" s="21"/>
      <c r="AA115" s="20"/>
      <c r="AB115" s="21"/>
      <c r="AC115" s="23"/>
      <c r="AD115" s="20"/>
      <c r="AE115" s="21"/>
      <c r="AF115" s="21"/>
      <c r="AG115" s="20"/>
      <c r="AH115" s="21"/>
      <c r="AI115" s="20"/>
      <c r="AJ115" s="21"/>
      <c r="AK115" s="20"/>
      <c r="AL115" s="20"/>
      <c r="AM115" s="21"/>
      <c r="AN115" s="20"/>
      <c r="AO115" s="20"/>
      <c r="AP115" s="20"/>
      <c r="AQ115" s="20"/>
    </row>
    <row r="116" ht="14.25" spans="1:43">
      <c r="A116" s="74"/>
      <c r="B116" s="20"/>
      <c r="C116" s="20"/>
      <c r="D116" s="20"/>
      <c r="E116" s="20"/>
      <c r="F116" s="75"/>
      <c r="G116" s="20"/>
      <c r="H116" s="23"/>
      <c r="I116" s="21"/>
      <c r="J116" s="20"/>
      <c r="K116" s="20"/>
      <c r="L116" s="20"/>
      <c r="M116" s="20"/>
      <c r="N116" s="23"/>
      <c r="O116" s="21"/>
      <c r="P116" s="20"/>
      <c r="Q116" s="20"/>
      <c r="R116" s="22"/>
      <c r="S116" s="20"/>
      <c r="T116" s="20"/>
      <c r="U116" s="21"/>
      <c r="V116" s="22"/>
      <c r="W116" s="21"/>
      <c r="X116" s="20"/>
      <c r="Y116" s="22"/>
      <c r="Z116" s="21"/>
      <c r="AA116" s="22"/>
      <c r="AB116" s="21"/>
      <c r="AC116" s="23"/>
      <c r="AD116" s="20"/>
      <c r="AE116" s="21"/>
      <c r="AF116" s="21"/>
      <c r="AG116" s="20"/>
      <c r="AH116" s="21"/>
      <c r="AI116" s="20"/>
      <c r="AJ116" s="21"/>
      <c r="AK116" s="22"/>
      <c r="AL116" s="20"/>
      <c r="AM116" s="21"/>
      <c r="AN116" s="22"/>
      <c r="AO116" s="20"/>
      <c r="AP116" s="22"/>
      <c r="AQ116" s="20"/>
    </row>
    <row r="117" ht="14.25" spans="1:43">
      <c r="A117" s="74"/>
      <c r="B117" s="20"/>
      <c r="C117" s="20"/>
      <c r="D117" s="20"/>
      <c r="E117" s="20"/>
      <c r="F117" s="75"/>
      <c r="G117" s="20"/>
      <c r="H117" s="23"/>
      <c r="I117" s="21"/>
      <c r="J117" s="20"/>
      <c r="K117" s="20"/>
      <c r="L117" s="20"/>
      <c r="M117" s="20"/>
      <c r="N117" s="23"/>
      <c r="O117" s="21"/>
      <c r="P117" s="20"/>
      <c r="Q117" s="20"/>
      <c r="R117" s="22"/>
      <c r="S117" s="20"/>
      <c r="T117" s="20"/>
      <c r="U117" s="21"/>
      <c r="V117" s="20"/>
      <c r="W117" s="21"/>
      <c r="X117" s="20"/>
      <c r="Y117" s="22"/>
      <c r="Z117" s="21"/>
      <c r="AA117" s="22"/>
      <c r="AB117" s="21"/>
      <c r="AC117" s="23"/>
      <c r="AD117" s="20"/>
      <c r="AE117" s="21"/>
      <c r="AF117" s="21"/>
      <c r="AG117" s="20"/>
      <c r="AH117" s="21"/>
      <c r="AI117" s="20"/>
      <c r="AJ117" s="21"/>
      <c r="AK117" s="22"/>
      <c r="AL117" s="20"/>
      <c r="AM117" s="21"/>
      <c r="AN117" s="22"/>
      <c r="AO117" s="20"/>
      <c r="AP117" s="22"/>
      <c r="AQ117" s="20"/>
    </row>
    <row r="118" ht="14.25" spans="1:43">
      <c r="A118" s="74"/>
      <c r="B118" s="20"/>
      <c r="C118" s="20"/>
      <c r="D118" s="20"/>
      <c r="E118" s="20"/>
      <c r="F118" s="75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2"/>
      <c r="S118" s="20"/>
      <c r="T118" s="20"/>
      <c r="U118" s="21"/>
      <c r="V118" s="20"/>
      <c r="W118" s="21"/>
      <c r="X118" s="20"/>
      <c r="Y118" s="20"/>
      <c r="Z118" s="21"/>
      <c r="AA118" s="20"/>
      <c r="AB118" s="21"/>
      <c r="AC118" s="23"/>
      <c r="AD118" s="20"/>
      <c r="AE118" s="21"/>
      <c r="AF118" s="21"/>
      <c r="AG118" s="20"/>
      <c r="AH118" s="21"/>
      <c r="AI118" s="20"/>
      <c r="AJ118" s="21"/>
      <c r="AK118" s="20"/>
      <c r="AL118" s="20"/>
      <c r="AM118" s="21"/>
      <c r="AN118" s="20"/>
      <c r="AO118" s="20"/>
      <c r="AP118" s="20"/>
      <c r="AQ118" s="20"/>
    </row>
    <row r="119" ht="14.25" spans="1:43">
      <c r="A119" s="74"/>
      <c r="B119" s="20"/>
      <c r="C119" s="20"/>
      <c r="D119" s="20"/>
      <c r="E119" s="20"/>
      <c r="F119" s="75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1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</row>
    <row r="120" ht="14.25" spans="1:43">
      <c r="A120" s="74"/>
      <c r="B120" s="20"/>
      <c r="C120" s="20"/>
      <c r="D120" s="20"/>
      <c r="E120" s="20"/>
      <c r="F120" s="75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1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</row>
    <row r="121" ht="14.25" spans="1:43">
      <c r="A121" s="74"/>
      <c r="B121" s="20"/>
      <c r="C121" s="20"/>
      <c r="D121" s="20"/>
      <c r="E121" s="20"/>
      <c r="F121" s="75"/>
      <c r="G121" s="20"/>
      <c r="H121" s="23"/>
      <c r="I121" s="21"/>
      <c r="J121" s="20"/>
      <c r="K121" s="20"/>
      <c r="L121" s="20"/>
      <c r="M121" s="20"/>
      <c r="N121" s="23"/>
      <c r="O121" s="21"/>
      <c r="P121" s="20"/>
      <c r="Q121" s="20"/>
      <c r="R121" s="22"/>
      <c r="S121" s="20"/>
      <c r="T121" s="22"/>
      <c r="U121" s="21"/>
      <c r="V121" s="22"/>
      <c r="W121" s="21"/>
      <c r="X121" s="20"/>
      <c r="Y121" s="22"/>
      <c r="Z121" s="21"/>
      <c r="AA121" s="22"/>
      <c r="AB121" s="21"/>
      <c r="AC121" s="23"/>
      <c r="AD121" s="23"/>
      <c r="AE121" s="21"/>
      <c r="AF121" s="21"/>
      <c r="AG121" s="20"/>
      <c r="AH121" s="21"/>
      <c r="AI121" s="20"/>
      <c r="AJ121" s="21"/>
      <c r="AK121" s="22"/>
      <c r="AL121" s="20"/>
      <c r="AM121" s="21"/>
      <c r="AN121" s="22"/>
      <c r="AO121" s="22"/>
      <c r="AP121" s="22"/>
      <c r="AQ121" s="20"/>
    </row>
    <row r="122" ht="14.25" spans="1:43">
      <c r="A122" s="74"/>
      <c r="B122" s="20"/>
      <c r="C122" s="20"/>
      <c r="D122" s="20"/>
      <c r="E122" s="20"/>
      <c r="F122" s="75"/>
      <c r="G122" s="20"/>
      <c r="H122" s="23"/>
      <c r="I122" s="21"/>
      <c r="J122" s="20"/>
      <c r="K122" s="20"/>
      <c r="L122" s="20"/>
      <c r="M122" s="20"/>
      <c r="N122" s="23"/>
      <c r="O122" s="21"/>
      <c r="P122" s="20"/>
      <c r="Q122" s="20"/>
      <c r="R122" s="22"/>
      <c r="S122" s="20"/>
      <c r="T122" s="22"/>
      <c r="U122" s="21"/>
      <c r="V122" s="22"/>
      <c r="W122" s="21"/>
      <c r="X122" s="20"/>
      <c r="Y122" s="22"/>
      <c r="Z122" s="21"/>
      <c r="AA122" s="22"/>
      <c r="AB122" s="21"/>
      <c r="AC122" s="23"/>
      <c r="AD122" s="23"/>
      <c r="AE122" s="21"/>
      <c r="AF122" s="21"/>
      <c r="AG122" s="20"/>
      <c r="AH122" s="21"/>
      <c r="AI122" s="20"/>
      <c r="AJ122" s="21"/>
      <c r="AK122" s="22"/>
      <c r="AL122" s="20"/>
      <c r="AM122" s="21"/>
      <c r="AN122" s="22"/>
      <c r="AO122" s="20"/>
      <c r="AP122" s="22"/>
      <c r="AQ122" s="20"/>
    </row>
    <row r="123" ht="14.25" spans="1:43">
      <c r="A123" s="74"/>
      <c r="B123" s="20"/>
      <c r="C123" s="20"/>
      <c r="D123" s="20"/>
      <c r="E123" s="20"/>
      <c r="F123" s="75"/>
      <c r="G123" s="20"/>
      <c r="H123" s="23"/>
      <c r="I123" s="21"/>
      <c r="J123" s="20"/>
      <c r="K123" s="20"/>
      <c r="L123" s="20"/>
      <c r="M123" s="20"/>
      <c r="N123" s="23"/>
      <c r="O123" s="21"/>
      <c r="P123" s="20"/>
      <c r="Q123" s="20"/>
      <c r="R123" s="22"/>
      <c r="S123" s="20"/>
      <c r="T123" s="22"/>
      <c r="U123" s="21"/>
      <c r="V123" s="22"/>
      <c r="W123" s="21"/>
      <c r="X123" s="20"/>
      <c r="Y123" s="22"/>
      <c r="Z123" s="21"/>
      <c r="AA123" s="22"/>
      <c r="AB123" s="21"/>
      <c r="AC123" s="23"/>
      <c r="AD123" s="23"/>
      <c r="AE123" s="21"/>
      <c r="AF123" s="21"/>
      <c r="AG123" s="20"/>
      <c r="AH123" s="21"/>
      <c r="AI123" s="20"/>
      <c r="AJ123" s="21"/>
      <c r="AK123" s="22"/>
      <c r="AL123" s="20"/>
      <c r="AM123" s="21"/>
      <c r="AN123" s="22"/>
      <c r="AO123" s="20"/>
      <c r="AP123" s="22"/>
      <c r="AQ123" s="20"/>
    </row>
    <row r="124" ht="14.25" spans="1:43">
      <c r="A124" s="74"/>
      <c r="B124" s="20"/>
      <c r="C124" s="20"/>
      <c r="D124" s="20"/>
      <c r="E124" s="20"/>
      <c r="F124" s="75"/>
      <c r="G124" s="20"/>
      <c r="H124" s="23"/>
      <c r="I124" s="21"/>
      <c r="J124" s="20"/>
      <c r="K124" s="20"/>
      <c r="L124" s="20"/>
      <c r="M124" s="20"/>
      <c r="N124" s="23"/>
      <c r="O124" s="21"/>
      <c r="P124" s="20"/>
      <c r="Q124" s="20"/>
      <c r="R124" s="22"/>
      <c r="S124" s="20"/>
      <c r="T124" s="22"/>
      <c r="U124" s="21"/>
      <c r="V124" s="22"/>
      <c r="W124" s="21"/>
      <c r="X124" s="20"/>
      <c r="Y124" s="22"/>
      <c r="Z124" s="21"/>
      <c r="AA124" s="20"/>
      <c r="AB124" s="21"/>
      <c r="AC124" s="23"/>
      <c r="AD124" s="23"/>
      <c r="AE124" s="21"/>
      <c r="AF124" s="21"/>
      <c r="AG124" s="20"/>
      <c r="AH124" s="21"/>
      <c r="AI124" s="20"/>
      <c r="AJ124" s="21"/>
      <c r="AK124" s="22"/>
      <c r="AL124" s="20"/>
      <c r="AM124" s="21"/>
      <c r="AN124" s="22"/>
      <c r="AO124" s="20"/>
      <c r="AP124" s="20"/>
      <c r="AQ124" s="20"/>
    </row>
    <row r="125" ht="14.25" spans="1:43">
      <c r="A125" s="74"/>
      <c r="B125" s="20"/>
      <c r="C125" s="20"/>
      <c r="D125" s="20"/>
      <c r="E125" s="20"/>
      <c r="F125" s="75"/>
      <c r="G125" s="20"/>
      <c r="H125" s="23"/>
      <c r="I125" s="21"/>
      <c r="J125" s="20"/>
      <c r="K125" s="20"/>
      <c r="L125" s="20"/>
      <c r="M125" s="20"/>
      <c r="N125" s="23"/>
      <c r="O125" s="21"/>
      <c r="P125" s="20"/>
      <c r="Q125" s="20"/>
      <c r="R125" s="22"/>
      <c r="S125" s="20"/>
      <c r="T125" s="20"/>
      <c r="U125" s="21"/>
      <c r="V125" s="22"/>
      <c r="W125" s="21"/>
      <c r="X125" s="20"/>
      <c r="Y125" s="22"/>
      <c r="Z125" s="21"/>
      <c r="AA125" s="22"/>
      <c r="AB125" s="21"/>
      <c r="AC125" s="23"/>
      <c r="AD125" s="23"/>
      <c r="AE125" s="21"/>
      <c r="AF125" s="21"/>
      <c r="AG125" s="20"/>
      <c r="AH125" s="21"/>
      <c r="AI125" s="20"/>
      <c r="AJ125" s="21"/>
      <c r="AK125" s="22"/>
      <c r="AL125" s="20"/>
      <c r="AM125" s="21"/>
      <c r="AN125" s="22"/>
      <c r="AO125" s="20"/>
      <c r="AP125" s="20"/>
      <c r="AQ125" s="20"/>
    </row>
    <row r="126" ht="14.25" spans="1:43">
      <c r="A126" s="74"/>
      <c r="B126" s="20"/>
      <c r="C126" s="20"/>
      <c r="D126" s="20"/>
      <c r="E126" s="20"/>
      <c r="F126" s="75"/>
      <c r="G126" s="20"/>
      <c r="H126" s="23"/>
      <c r="I126" s="21"/>
      <c r="J126" s="20"/>
      <c r="K126" s="20"/>
      <c r="L126" s="20"/>
      <c r="M126" s="20"/>
      <c r="N126" s="23"/>
      <c r="O126" s="21"/>
      <c r="P126" s="20"/>
      <c r="Q126" s="20"/>
      <c r="R126" s="22"/>
      <c r="S126" s="20"/>
      <c r="T126" s="20"/>
      <c r="U126" s="21"/>
      <c r="V126" s="20"/>
      <c r="W126" s="21"/>
      <c r="X126" s="20"/>
      <c r="Y126" s="22"/>
      <c r="Z126" s="21"/>
      <c r="AA126" s="20"/>
      <c r="AB126" s="21"/>
      <c r="AC126" s="23"/>
      <c r="AD126" s="20"/>
      <c r="AE126" s="21"/>
      <c r="AF126" s="21"/>
      <c r="AG126" s="20"/>
      <c r="AH126" s="21"/>
      <c r="AI126" s="20"/>
      <c r="AJ126" s="21"/>
      <c r="AK126" s="22"/>
      <c r="AL126" s="20"/>
      <c r="AM126" s="21"/>
      <c r="AN126" s="22"/>
      <c r="AO126" s="20"/>
      <c r="AP126" s="20"/>
      <c r="AQ126" s="20"/>
    </row>
    <row r="127" ht="14.25" spans="1:43">
      <c r="A127" s="74"/>
      <c r="B127" s="20"/>
      <c r="C127" s="20"/>
      <c r="D127" s="20"/>
      <c r="E127" s="20"/>
      <c r="F127" s="75"/>
      <c r="G127" s="20"/>
      <c r="H127" s="23"/>
      <c r="I127" s="21"/>
      <c r="J127" s="20"/>
      <c r="K127" s="20"/>
      <c r="L127" s="20"/>
      <c r="M127" s="20"/>
      <c r="N127" s="23"/>
      <c r="O127" s="21"/>
      <c r="P127" s="20"/>
      <c r="Q127" s="20"/>
      <c r="R127" s="22"/>
      <c r="S127" s="20"/>
      <c r="T127" s="20"/>
      <c r="U127" s="21"/>
      <c r="V127" s="22"/>
      <c r="W127" s="21"/>
      <c r="X127" s="20"/>
      <c r="Y127" s="22"/>
      <c r="Z127" s="21"/>
      <c r="AA127" s="20"/>
      <c r="AB127" s="21"/>
      <c r="AC127" s="23"/>
      <c r="AD127" s="20"/>
      <c r="AE127" s="21"/>
      <c r="AF127" s="21"/>
      <c r="AG127" s="20"/>
      <c r="AH127" s="21"/>
      <c r="AI127" s="20"/>
      <c r="AJ127" s="21"/>
      <c r="AK127" s="22"/>
      <c r="AL127" s="20"/>
      <c r="AM127" s="21"/>
      <c r="AN127" s="22"/>
      <c r="AO127" s="20"/>
      <c r="AP127" s="20"/>
      <c r="AQ127" s="20"/>
    </row>
    <row r="128" ht="14.25" spans="1:43">
      <c r="A128" s="74"/>
      <c r="B128" s="20"/>
      <c r="C128" s="20"/>
      <c r="D128" s="20"/>
      <c r="E128" s="20"/>
      <c r="F128" s="75"/>
      <c r="G128" s="20"/>
      <c r="H128" s="23"/>
      <c r="I128" s="21"/>
      <c r="J128" s="20"/>
      <c r="K128" s="20"/>
      <c r="L128" s="20"/>
      <c r="M128" s="20"/>
      <c r="N128" s="23"/>
      <c r="O128" s="21"/>
      <c r="P128" s="20"/>
      <c r="Q128" s="20"/>
      <c r="R128" s="22"/>
      <c r="S128" s="20"/>
      <c r="T128" s="22"/>
      <c r="U128" s="21"/>
      <c r="V128" s="22"/>
      <c r="W128" s="21"/>
      <c r="X128" s="20"/>
      <c r="Y128" s="22"/>
      <c r="Z128" s="21"/>
      <c r="AA128" s="22"/>
      <c r="AB128" s="21"/>
      <c r="AC128" s="23"/>
      <c r="AD128" s="23"/>
      <c r="AE128" s="21"/>
      <c r="AF128" s="21"/>
      <c r="AG128" s="20"/>
      <c r="AH128" s="21"/>
      <c r="AI128" s="20"/>
      <c r="AJ128" s="21"/>
      <c r="AK128" s="22"/>
      <c r="AL128" s="20"/>
      <c r="AM128" s="21"/>
      <c r="AN128" s="20"/>
      <c r="AO128" s="20"/>
      <c r="AP128" s="22"/>
      <c r="AQ128" s="20"/>
    </row>
    <row r="129" ht="14.25" spans="1:43">
      <c r="A129" s="74"/>
      <c r="B129" s="20"/>
      <c r="C129" s="20"/>
      <c r="D129" s="20"/>
      <c r="E129" s="20"/>
      <c r="F129" s="75"/>
      <c r="G129" s="20"/>
      <c r="H129" s="23"/>
      <c r="I129" s="21"/>
      <c r="J129" s="20"/>
      <c r="K129" s="20"/>
      <c r="L129" s="20"/>
      <c r="M129" s="20"/>
      <c r="N129" s="23"/>
      <c r="O129" s="21"/>
      <c r="P129" s="20"/>
      <c r="Q129" s="20"/>
      <c r="R129" s="22"/>
      <c r="S129" s="20"/>
      <c r="T129" s="20"/>
      <c r="U129" s="21"/>
      <c r="V129" s="22"/>
      <c r="W129" s="21"/>
      <c r="X129" s="20"/>
      <c r="Y129" s="22"/>
      <c r="Z129" s="21"/>
      <c r="AA129" s="22"/>
      <c r="AB129" s="21"/>
      <c r="AC129" s="23"/>
      <c r="AD129" s="23"/>
      <c r="AE129" s="21"/>
      <c r="AF129" s="21"/>
      <c r="AG129" s="20"/>
      <c r="AH129" s="21"/>
      <c r="AI129" s="20"/>
      <c r="AJ129" s="21"/>
      <c r="AK129" s="22"/>
      <c r="AL129" s="20"/>
      <c r="AM129" s="21"/>
      <c r="AN129" s="22"/>
      <c r="AO129" s="20"/>
      <c r="AP129" s="22"/>
      <c r="AQ129" s="20"/>
    </row>
    <row r="130" ht="14.25" spans="1:43">
      <c r="A130" s="74"/>
      <c r="B130" s="20"/>
      <c r="C130" s="20"/>
      <c r="D130" s="20"/>
      <c r="E130" s="20"/>
      <c r="F130" s="75"/>
      <c r="G130" s="20"/>
      <c r="H130" s="23"/>
      <c r="I130" s="21"/>
      <c r="J130" s="20"/>
      <c r="K130" s="20"/>
      <c r="L130" s="20"/>
      <c r="M130" s="20"/>
      <c r="N130" s="23"/>
      <c r="O130" s="21"/>
      <c r="P130" s="20"/>
      <c r="Q130" s="20"/>
      <c r="R130" s="22"/>
      <c r="S130" s="20"/>
      <c r="T130" s="20"/>
      <c r="U130" s="21"/>
      <c r="V130" s="22"/>
      <c r="W130" s="21"/>
      <c r="X130" s="20"/>
      <c r="Y130" s="22"/>
      <c r="Z130" s="21"/>
      <c r="AA130" s="22"/>
      <c r="AB130" s="21"/>
      <c r="AC130" s="23"/>
      <c r="AD130" s="23"/>
      <c r="AE130" s="21"/>
      <c r="AF130" s="21"/>
      <c r="AG130" s="20"/>
      <c r="AH130" s="21"/>
      <c r="AI130" s="20"/>
      <c r="AJ130" s="21"/>
      <c r="AK130" s="22"/>
      <c r="AL130" s="20"/>
      <c r="AM130" s="21"/>
      <c r="AN130" s="22"/>
      <c r="AO130" s="20"/>
      <c r="AP130" s="22"/>
      <c r="AQ130" s="20"/>
    </row>
    <row r="131" ht="14.25" spans="1:43">
      <c r="A131" s="74"/>
      <c r="B131" s="20"/>
      <c r="C131" s="20"/>
      <c r="D131" s="20"/>
      <c r="E131" s="20"/>
      <c r="F131" s="75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2"/>
      <c r="S131" s="20"/>
      <c r="T131" s="20"/>
      <c r="U131" s="21"/>
      <c r="V131" s="20"/>
      <c r="W131" s="21"/>
      <c r="X131" s="20"/>
      <c r="Y131" s="20"/>
      <c r="Z131" s="21"/>
      <c r="AA131" s="20"/>
      <c r="AB131" s="21"/>
      <c r="AC131" s="23"/>
      <c r="AD131" s="20"/>
      <c r="AE131" s="21"/>
      <c r="AF131" s="21"/>
      <c r="AG131" s="20"/>
      <c r="AH131" s="21"/>
      <c r="AI131" s="20"/>
      <c r="AJ131" s="21"/>
      <c r="AK131" s="20"/>
      <c r="AL131" s="20"/>
      <c r="AM131" s="21"/>
      <c r="AN131" s="20"/>
      <c r="AO131" s="20"/>
      <c r="AP131" s="20"/>
      <c r="AQ131" s="20"/>
    </row>
    <row r="132" ht="14.25" spans="1:43">
      <c r="A132" s="74"/>
      <c r="B132" s="20"/>
      <c r="C132" s="20"/>
      <c r="D132" s="20"/>
      <c r="E132" s="20"/>
      <c r="F132" s="75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1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</row>
    <row r="133" ht="14.25" spans="1:43">
      <c r="A133" s="74"/>
      <c r="B133" s="20"/>
      <c r="C133" s="20"/>
      <c r="D133" s="20"/>
      <c r="E133" s="20"/>
      <c r="F133" s="75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1"/>
      <c r="V133" s="20"/>
      <c r="W133" s="21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1"/>
      <c r="AK133" s="20"/>
      <c r="AL133" s="20"/>
      <c r="AM133" s="21"/>
      <c r="AN133" s="20"/>
      <c r="AO133" s="20"/>
      <c r="AP133" s="20"/>
      <c r="AQ133" s="20"/>
    </row>
    <row r="134" ht="14.25" spans="1:43">
      <c r="A134" s="74"/>
      <c r="B134" s="20"/>
      <c r="C134" s="20"/>
      <c r="D134" s="20"/>
      <c r="E134" s="20"/>
      <c r="F134" s="75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1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</row>
    <row r="135" ht="14.25" spans="1:43">
      <c r="A135" s="74"/>
      <c r="B135" s="20"/>
      <c r="C135" s="20"/>
      <c r="D135" s="20"/>
      <c r="E135" s="20"/>
      <c r="F135" s="75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1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</row>
    <row r="136" ht="14.25" spans="1:43">
      <c r="A136" s="74"/>
      <c r="B136" s="20"/>
      <c r="C136" s="20"/>
      <c r="D136" s="20"/>
      <c r="E136" s="20"/>
      <c r="F136" s="75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1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</row>
    <row r="137" ht="14.25" spans="1:43">
      <c r="A137" s="74"/>
      <c r="B137" s="20"/>
      <c r="C137" s="20"/>
      <c r="D137" s="20"/>
      <c r="E137" s="20"/>
      <c r="F137" s="75"/>
      <c r="G137" s="20"/>
      <c r="H137" s="20"/>
      <c r="I137" s="21"/>
      <c r="J137" s="20"/>
      <c r="K137" s="20"/>
      <c r="L137" s="20"/>
      <c r="M137" s="20"/>
      <c r="N137" s="20"/>
      <c r="O137" s="21"/>
      <c r="P137" s="20"/>
      <c r="Q137" s="20"/>
      <c r="R137" s="20"/>
      <c r="S137" s="20"/>
      <c r="T137" s="20"/>
      <c r="U137" s="21"/>
      <c r="V137" s="20"/>
      <c r="W137" s="21"/>
      <c r="X137" s="20"/>
      <c r="Y137" s="20"/>
      <c r="Z137" s="21"/>
      <c r="AA137" s="20"/>
      <c r="AB137" s="21"/>
      <c r="AC137" s="23"/>
      <c r="AD137" s="20"/>
      <c r="AE137" s="21"/>
      <c r="AF137" s="21"/>
      <c r="AG137" s="20"/>
      <c r="AH137" s="21"/>
      <c r="AI137" s="20"/>
      <c r="AJ137" s="21"/>
      <c r="AK137" s="20"/>
      <c r="AL137" s="20"/>
      <c r="AM137" s="21"/>
      <c r="AN137" s="20"/>
      <c r="AO137" s="20"/>
      <c r="AP137" s="20"/>
      <c r="AQ137" s="20"/>
    </row>
    <row r="138" ht="14.25" spans="1:43">
      <c r="A138" s="74"/>
      <c r="B138" s="20"/>
      <c r="C138" s="20"/>
      <c r="D138" s="20"/>
      <c r="E138" s="20"/>
      <c r="F138" s="75"/>
      <c r="G138" s="20"/>
      <c r="H138" s="20"/>
      <c r="I138" s="21"/>
      <c r="J138" s="20"/>
      <c r="K138" s="20"/>
      <c r="L138" s="20"/>
      <c r="M138" s="20"/>
      <c r="N138" s="20"/>
      <c r="O138" s="21"/>
      <c r="P138" s="20"/>
      <c r="Q138" s="20"/>
      <c r="R138" s="20"/>
      <c r="S138" s="20"/>
      <c r="T138" s="20"/>
      <c r="U138" s="21"/>
      <c r="V138" s="20"/>
      <c r="W138" s="21"/>
      <c r="X138" s="20"/>
      <c r="Y138" s="20"/>
      <c r="Z138" s="21"/>
      <c r="AA138" s="20"/>
      <c r="AB138" s="21"/>
      <c r="AC138" s="20"/>
      <c r="AD138" s="20"/>
      <c r="AE138" s="20"/>
      <c r="AF138" s="20"/>
      <c r="AG138" s="20"/>
      <c r="AH138" s="20"/>
      <c r="AI138" s="20"/>
      <c r="AJ138" s="21"/>
      <c r="AK138" s="20"/>
      <c r="AL138" s="20"/>
      <c r="AM138" s="21"/>
      <c r="AN138" s="20"/>
      <c r="AO138" s="20"/>
      <c r="AP138" s="20"/>
      <c r="AQ138" s="20"/>
    </row>
    <row r="139" ht="14.25" spans="1:43">
      <c r="A139" s="74"/>
      <c r="B139" s="20"/>
      <c r="C139" s="20"/>
      <c r="D139" s="20"/>
      <c r="E139" s="20"/>
      <c r="F139" s="75"/>
      <c r="G139" s="20"/>
      <c r="H139" s="20"/>
      <c r="I139" s="21"/>
      <c r="J139" s="20"/>
      <c r="K139" s="20"/>
      <c r="L139" s="20"/>
      <c r="M139" s="20"/>
      <c r="N139" s="20"/>
      <c r="O139" s="21"/>
      <c r="P139" s="20"/>
      <c r="Q139" s="20"/>
      <c r="R139" s="20"/>
      <c r="S139" s="20"/>
      <c r="T139" s="20"/>
      <c r="U139" s="21"/>
      <c r="V139" s="20"/>
      <c r="W139" s="21"/>
      <c r="X139" s="20"/>
      <c r="Y139" s="20"/>
      <c r="Z139" s="21"/>
      <c r="AA139" s="20"/>
      <c r="AB139" s="21"/>
      <c r="AC139" s="20"/>
      <c r="AD139" s="20"/>
      <c r="AE139" s="20"/>
      <c r="AF139" s="20"/>
      <c r="AG139" s="20"/>
      <c r="AH139" s="20"/>
      <c r="AI139" s="20"/>
      <c r="AJ139" s="21"/>
      <c r="AK139" s="20"/>
      <c r="AL139" s="20"/>
      <c r="AM139" s="21"/>
      <c r="AN139" s="20"/>
      <c r="AO139" s="20"/>
      <c r="AP139" s="20"/>
      <c r="AQ139" s="20"/>
    </row>
    <row r="140" ht="14.25" spans="1:43">
      <c r="A140" s="74"/>
      <c r="B140" s="20"/>
      <c r="C140" s="20"/>
      <c r="D140" s="20"/>
      <c r="E140" s="20"/>
      <c r="F140" s="75"/>
      <c r="G140" s="20"/>
      <c r="H140" s="20"/>
      <c r="I140" s="21"/>
      <c r="J140" s="20"/>
      <c r="K140" s="20"/>
      <c r="L140" s="20"/>
      <c r="M140" s="20"/>
      <c r="N140" s="23"/>
      <c r="O140" s="21"/>
      <c r="P140" s="20"/>
      <c r="Q140" s="20"/>
      <c r="R140" s="22"/>
      <c r="S140" s="20"/>
      <c r="T140" s="20"/>
      <c r="U140" s="21"/>
      <c r="V140" s="20"/>
      <c r="W140" s="21"/>
      <c r="X140" s="20"/>
      <c r="Y140" s="22"/>
      <c r="Z140" s="21"/>
      <c r="AA140" s="20"/>
      <c r="AB140" s="21"/>
      <c r="AC140" s="20"/>
      <c r="AD140" s="20"/>
      <c r="AE140" s="20"/>
      <c r="AF140" s="20"/>
      <c r="AG140" s="20"/>
      <c r="AH140" s="20"/>
      <c r="AI140" s="20"/>
      <c r="AJ140" s="21"/>
      <c r="AK140" s="20"/>
      <c r="AL140" s="20"/>
      <c r="AM140" s="21"/>
      <c r="AN140" s="20"/>
      <c r="AO140" s="20"/>
      <c r="AP140" s="20"/>
      <c r="AQ140" s="20"/>
    </row>
    <row r="141" ht="14.25" spans="1:43">
      <c r="A141" s="74"/>
      <c r="B141" s="20"/>
      <c r="C141" s="20"/>
      <c r="D141" s="20"/>
      <c r="E141" s="20"/>
      <c r="F141" s="75"/>
      <c r="G141" s="20"/>
      <c r="H141" s="20"/>
      <c r="I141" s="21"/>
      <c r="J141" s="20"/>
      <c r="K141" s="20"/>
      <c r="L141" s="20"/>
      <c r="M141" s="20"/>
      <c r="N141" s="20"/>
      <c r="O141" s="21"/>
      <c r="P141" s="20"/>
      <c r="Q141" s="20"/>
      <c r="R141" s="20"/>
      <c r="S141" s="20"/>
      <c r="T141" s="20"/>
      <c r="U141" s="21"/>
      <c r="V141" s="20"/>
      <c r="W141" s="21"/>
      <c r="X141" s="20"/>
      <c r="Y141" s="20"/>
      <c r="Z141" s="21"/>
      <c r="AA141" s="20"/>
      <c r="AB141" s="21"/>
      <c r="AC141" s="20"/>
      <c r="AD141" s="20"/>
      <c r="AE141" s="20"/>
      <c r="AF141" s="20"/>
      <c r="AG141" s="20"/>
      <c r="AH141" s="20"/>
      <c r="AI141" s="20"/>
      <c r="AJ141" s="21"/>
      <c r="AK141" s="20"/>
      <c r="AL141" s="20"/>
      <c r="AM141" s="21"/>
      <c r="AN141" s="20"/>
      <c r="AO141" s="20"/>
      <c r="AP141" s="20"/>
      <c r="AQ141" s="20"/>
    </row>
    <row r="142" ht="14.25" spans="1:43">
      <c r="A142" s="74"/>
      <c r="B142" s="20"/>
      <c r="C142" s="20"/>
      <c r="D142" s="20"/>
      <c r="E142" s="20"/>
      <c r="F142" s="75"/>
      <c r="G142" s="20"/>
      <c r="H142" s="20"/>
      <c r="I142" s="21"/>
      <c r="J142" s="20"/>
      <c r="K142" s="20"/>
      <c r="L142" s="20"/>
      <c r="M142" s="20"/>
      <c r="N142" s="20"/>
      <c r="O142" s="21"/>
      <c r="P142" s="20"/>
      <c r="Q142" s="20"/>
      <c r="R142" s="20"/>
      <c r="S142" s="20"/>
      <c r="T142" s="20"/>
      <c r="U142" s="21"/>
      <c r="V142" s="20"/>
      <c r="W142" s="21"/>
      <c r="X142" s="20"/>
      <c r="Y142" s="20"/>
      <c r="Z142" s="21"/>
      <c r="AA142" s="20"/>
      <c r="AB142" s="21"/>
      <c r="AC142" s="20"/>
      <c r="AD142" s="20"/>
      <c r="AE142" s="20"/>
      <c r="AF142" s="20"/>
      <c r="AG142" s="20"/>
      <c r="AH142" s="20"/>
      <c r="AI142" s="20"/>
      <c r="AJ142" s="21"/>
      <c r="AK142" s="20"/>
      <c r="AL142" s="20"/>
      <c r="AM142" s="21"/>
      <c r="AN142" s="20"/>
      <c r="AO142" s="20"/>
      <c r="AP142" s="20"/>
      <c r="AQ142" s="20"/>
    </row>
    <row r="143" ht="14.25" spans="1:43">
      <c r="A143" s="74"/>
      <c r="B143" s="20"/>
      <c r="C143" s="20"/>
      <c r="D143" s="20"/>
      <c r="E143" s="20"/>
      <c r="F143" s="75"/>
      <c r="G143" s="20"/>
      <c r="H143" s="20"/>
      <c r="I143" s="21"/>
      <c r="J143" s="20"/>
      <c r="K143" s="20"/>
      <c r="L143" s="20"/>
      <c r="M143" s="20"/>
      <c r="N143" s="20"/>
      <c r="O143" s="21"/>
      <c r="P143" s="20"/>
      <c r="Q143" s="20"/>
      <c r="R143" s="20"/>
      <c r="S143" s="20"/>
      <c r="T143" s="20"/>
      <c r="U143" s="21"/>
      <c r="V143" s="20"/>
      <c r="W143" s="21"/>
      <c r="X143" s="20"/>
      <c r="Y143" s="20"/>
      <c r="Z143" s="21"/>
      <c r="AA143" s="20"/>
      <c r="AB143" s="21"/>
      <c r="AC143" s="20"/>
      <c r="AD143" s="20"/>
      <c r="AE143" s="20"/>
      <c r="AF143" s="20"/>
      <c r="AG143" s="20"/>
      <c r="AH143" s="20"/>
      <c r="AI143" s="20"/>
      <c r="AJ143" s="21"/>
      <c r="AK143" s="20"/>
      <c r="AL143" s="20"/>
      <c r="AM143" s="21"/>
      <c r="AN143" s="20"/>
      <c r="AO143" s="20"/>
      <c r="AP143" s="20"/>
      <c r="AQ143" s="20"/>
    </row>
    <row r="144" ht="14.25" spans="1:43">
      <c r="A144" s="74"/>
      <c r="B144" s="20"/>
      <c r="C144" s="20"/>
      <c r="D144" s="20"/>
      <c r="E144" s="20"/>
      <c r="F144" s="75"/>
      <c r="G144" s="20"/>
      <c r="H144" s="20"/>
      <c r="I144" s="21"/>
      <c r="J144" s="20"/>
      <c r="K144" s="20"/>
      <c r="L144" s="20"/>
      <c r="M144" s="20"/>
      <c r="N144" s="20"/>
      <c r="O144" s="21"/>
      <c r="P144" s="20"/>
      <c r="Q144" s="20"/>
      <c r="R144" s="20"/>
      <c r="S144" s="20"/>
      <c r="T144" s="20"/>
      <c r="U144" s="20"/>
      <c r="V144" s="20"/>
      <c r="W144" s="21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</row>
    <row r="145" ht="14.25" spans="1:43">
      <c r="A145" s="74"/>
      <c r="B145" s="20"/>
      <c r="C145" s="20"/>
      <c r="D145" s="20"/>
      <c r="E145" s="20"/>
      <c r="F145" s="75"/>
      <c r="G145" s="20"/>
      <c r="H145" s="20"/>
      <c r="I145" s="21"/>
      <c r="J145" s="20"/>
      <c r="K145" s="20"/>
      <c r="L145" s="20"/>
      <c r="M145" s="20"/>
      <c r="N145" s="20"/>
      <c r="O145" s="21"/>
      <c r="P145" s="20"/>
      <c r="Q145" s="20"/>
      <c r="R145" s="20"/>
      <c r="S145" s="20"/>
      <c r="T145" s="20"/>
      <c r="U145" s="21"/>
      <c r="V145" s="20"/>
      <c r="W145" s="21"/>
      <c r="X145" s="20"/>
      <c r="Y145" s="20"/>
      <c r="Z145" s="21"/>
      <c r="AA145" s="20"/>
      <c r="AB145" s="21"/>
      <c r="AC145" s="20"/>
      <c r="AD145" s="20"/>
      <c r="AE145" s="20"/>
      <c r="AF145" s="20"/>
      <c r="AG145" s="20"/>
      <c r="AH145" s="20"/>
      <c r="AI145" s="20"/>
      <c r="AJ145" s="21"/>
      <c r="AK145" s="20"/>
      <c r="AL145" s="20"/>
      <c r="AM145" s="21"/>
      <c r="AN145" s="20"/>
      <c r="AO145" s="20"/>
      <c r="AP145" s="20"/>
      <c r="AQ145" s="20"/>
    </row>
    <row r="146" ht="14.25" spans="1:43">
      <c r="A146" s="74"/>
      <c r="B146" s="20"/>
      <c r="C146" s="20"/>
      <c r="D146" s="20"/>
      <c r="E146" s="20"/>
      <c r="F146" s="75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1"/>
      <c r="V146" s="20"/>
      <c r="W146" s="21"/>
      <c r="X146" s="20"/>
      <c r="Y146" s="20"/>
      <c r="Z146" s="21"/>
      <c r="AA146" s="20"/>
      <c r="AB146" s="21"/>
      <c r="AC146" s="20"/>
      <c r="AD146" s="20"/>
      <c r="AE146" s="20"/>
      <c r="AF146" s="20"/>
      <c r="AG146" s="20"/>
      <c r="AH146" s="20"/>
      <c r="AI146" s="20"/>
      <c r="AJ146" s="21"/>
      <c r="AK146" s="20"/>
      <c r="AL146" s="20"/>
      <c r="AM146" s="21"/>
      <c r="AN146" s="20"/>
      <c r="AO146" s="20"/>
      <c r="AP146" s="20"/>
      <c r="AQ146" s="20"/>
    </row>
    <row r="147" ht="14.25" spans="1:43">
      <c r="A147" s="74"/>
      <c r="B147" s="20"/>
      <c r="C147" s="20"/>
      <c r="D147" s="20"/>
      <c r="E147" s="20"/>
      <c r="F147" s="75"/>
      <c r="G147" s="20"/>
      <c r="H147" s="20"/>
      <c r="I147" s="21"/>
      <c r="J147" s="20"/>
      <c r="K147" s="20"/>
      <c r="L147" s="20"/>
      <c r="M147" s="20"/>
      <c r="N147" s="20"/>
      <c r="O147" s="21"/>
      <c r="P147" s="20"/>
      <c r="Q147" s="20"/>
      <c r="R147" s="20"/>
      <c r="S147" s="20"/>
      <c r="T147" s="20"/>
      <c r="U147" s="20"/>
      <c r="V147" s="20"/>
      <c r="W147" s="21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</row>
    <row r="148" ht="14.25" spans="1:43">
      <c r="A148" s="74"/>
      <c r="B148" s="20"/>
      <c r="C148" s="20"/>
      <c r="D148" s="20"/>
      <c r="E148" s="20"/>
      <c r="F148" s="75"/>
      <c r="G148" s="20"/>
      <c r="H148" s="20"/>
      <c r="I148" s="21"/>
      <c r="J148" s="20"/>
      <c r="K148" s="20"/>
      <c r="L148" s="20"/>
      <c r="M148" s="20"/>
      <c r="N148" s="20"/>
      <c r="O148" s="21"/>
      <c r="P148" s="20"/>
      <c r="Q148" s="20"/>
      <c r="R148" s="20"/>
      <c r="S148" s="20"/>
      <c r="T148" s="20"/>
      <c r="U148" s="21"/>
      <c r="V148" s="20"/>
      <c r="W148" s="21"/>
      <c r="X148" s="20"/>
      <c r="Y148" s="20"/>
      <c r="Z148" s="21"/>
      <c r="AA148" s="20"/>
      <c r="AB148" s="21"/>
      <c r="AC148" s="20"/>
      <c r="AD148" s="20"/>
      <c r="AE148" s="20"/>
      <c r="AF148" s="20"/>
      <c r="AG148" s="20"/>
      <c r="AH148" s="20"/>
      <c r="AI148" s="20"/>
      <c r="AJ148" s="21"/>
      <c r="AK148" s="20"/>
      <c r="AL148" s="20"/>
      <c r="AM148" s="21"/>
      <c r="AN148" s="20"/>
      <c r="AO148" s="20"/>
      <c r="AP148" s="20"/>
      <c r="AQ148" s="20"/>
    </row>
    <row r="149" ht="14.25" spans="1:43">
      <c r="A149" s="74"/>
      <c r="B149" s="20"/>
      <c r="C149" s="20"/>
      <c r="D149" s="20"/>
      <c r="E149" s="20"/>
      <c r="F149" s="75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1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</row>
    <row r="150" ht="14.25" spans="1:43">
      <c r="A150" s="74"/>
      <c r="B150" s="20"/>
      <c r="C150" s="20"/>
      <c r="D150" s="20"/>
      <c r="E150" s="20"/>
      <c r="F150" s="75"/>
      <c r="G150" s="20"/>
      <c r="H150" s="20"/>
      <c r="I150" s="21"/>
      <c r="J150" s="20"/>
      <c r="K150" s="20"/>
      <c r="L150" s="20"/>
      <c r="M150" s="20"/>
      <c r="N150" s="20"/>
      <c r="O150" s="21"/>
      <c r="P150" s="20"/>
      <c r="Q150" s="20"/>
      <c r="R150" s="20"/>
      <c r="S150" s="20"/>
      <c r="T150" s="20"/>
      <c r="U150" s="21"/>
      <c r="V150" s="20"/>
      <c r="W150" s="21"/>
      <c r="X150" s="20"/>
      <c r="Y150" s="20"/>
      <c r="Z150" s="21"/>
      <c r="AA150" s="20"/>
      <c r="AB150" s="21"/>
      <c r="AC150" s="20"/>
      <c r="AD150" s="20"/>
      <c r="AE150" s="20"/>
      <c r="AF150" s="20"/>
      <c r="AG150" s="20"/>
      <c r="AH150" s="20"/>
      <c r="AI150" s="20"/>
      <c r="AJ150" s="21"/>
      <c r="AK150" s="20"/>
      <c r="AL150" s="20"/>
      <c r="AM150" s="21"/>
      <c r="AN150" s="20"/>
      <c r="AO150" s="20"/>
      <c r="AP150" s="20"/>
      <c r="AQ150" s="20"/>
    </row>
    <row r="151" ht="14.25" spans="1:43">
      <c r="A151" s="74"/>
      <c r="B151" s="20"/>
      <c r="C151" s="20"/>
      <c r="D151" s="20"/>
      <c r="E151" s="20"/>
      <c r="F151" s="75"/>
      <c r="G151" s="20"/>
      <c r="H151" s="20"/>
      <c r="I151" s="21"/>
      <c r="J151" s="20"/>
      <c r="K151" s="20"/>
      <c r="L151" s="20"/>
      <c r="M151" s="20"/>
      <c r="N151" s="20"/>
      <c r="O151" s="21"/>
      <c r="P151" s="20"/>
      <c r="Q151" s="20"/>
      <c r="R151" s="20"/>
      <c r="S151" s="20"/>
      <c r="T151" s="20"/>
      <c r="U151" s="21"/>
      <c r="V151" s="20"/>
      <c r="W151" s="21"/>
      <c r="X151" s="20"/>
      <c r="Y151" s="20"/>
      <c r="Z151" s="21"/>
      <c r="AA151" s="20"/>
      <c r="AB151" s="21"/>
      <c r="AC151" s="20"/>
      <c r="AD151" s="20"/>
      <c r="AE151" s="20"/>
      <c r="AF151" s="20"/>
      <c r="AG151" s="20"/>
      <c r="AH151" s="20"/>
      <c r="AI151" s="20"/>
      <c r="AJ151" s="21"/>
      <c r="AK151" s="20"/>
      <c r="AL151" s="20"/>
      <c r="AM151" s="21"/>
      <c r="AN151" s="20"/>
      <c r="AO151" s="20"/>
      <c r="AP151" s="20"/>
      <c r="AQ151" s="20"/>
    </row>
    <row r="152" ht="14.25" spans="1:43">
      <c r="A152" s="74"/>
      <c r="B152" s="20"/>
      <c r="C152" s="20"/>
      <c r="D152" s="20"/>
      <c r="E152" s="20"/>
      <c r="F152" s="75"/>
      <c r="G152" s="20"/>
      <c r="H152" s="20"/>
      <c r="I152" s="21"/>
      <c r="J152" s="20"/>
      <c r="K152" s="20"/>
      <c r="L152" s="20"/>
      <c r="M152" s="20"/>
      <c r="N152" s="20"/>
      <c r="O152" s="21"/>
      <c r="P152" s="20"/>
      <c r="Q152" s="20"/>
      <c r="R152" s="20"/>
      <c r="S152" s="20"/>
      <c r="T152" s="20"/>
      <c r="U152" s="21"/>
      <c r="V152" s="20"/>
      <c r="W152" s="21"/>
      <c r="X152" s="20"/>
      <c r="Y152" s="20"/>
      <c r="Z152" s="21"/>
      <c r="AA152" s="20"/>
      <c r="AB152" s="21"/>
      <c r="AC152" s="20"/>
      <c r="AD152" s="20"/>
      <c r="AE152" s="20"/>
      <c r="AF152" s="20"/>
      <c r="AG152" s="20"/>
      <c r="AH152" s="20"/>
      <c r="AI152" s="20"/>
      <c r="AJ152" s="21"/>
      <c r="AK152" s="20"/>
      <c r="AL152" s="20"/>
      <c r="AM152" s="21"/>
      <c r="AN152" s="20"/>
      <c r="AO152" s="20"/>
      <c r="AP152" s="20"/>
      <c r="AQ152" s="20"/>
    </row>
    <row r="153" ht="14.25" spans="1:43">
      <c r="A153" s="74"/>
      <c r="B153" s="20"/>
      <c r="C153" s="20"/>
      <c r="D153" s="20"/>
      <c r="E153" s="20"/>
      <c r="F153" s="75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1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</row>
    <row r="154" ht="14.25" spans="1:43">
      <c r="A154" s="74"/>
      <c r="B154" s="20"/>
      <c r="C154" s="20"/>
      <c r="D154" s="20"/>
      <c r="E154" s="20"/>
      <c r="F154" s="75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1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</row>
    <row r="155" ht="14.25" spans="1:43">
      <c r="A155" s="74"/>
      <c r="B155" s="20"/>
      <c r="C155" s="20"/>
      <c r="D155" s="20"/>
      <c r="E155" s="20"/>
      <c r="F155" s="75"/>
      <c r="G155" s="20"/>
      <c r="H155" s="20"/>
      <c r="I155" s="21"/>
      <c r="J155" s="20"/>
      <c r="K155" s="20"/>
      <c r="L155" s="20"/>
      <c r="M155" s="20"/>
      <c r="N155" s="20"/>
      <c r="O155" s="21"/>
      <c r="P155" s="20"/>
      <c r="Q155" s="20"/>
      <c r="R155" s="20"/>
      <c r="S155" s="20"/>
      <c r="T155" s="20"/>
      <c r="U155" s="21"/>
      <c r="V155" s="20"/>
      <c r="W155" s="21"/>
      <c r="X155" s="20"/>
      <c r="Y155" s="20"/>
      <c r="Z155" s="21"/>
      <c r="AA155" s="20"/>
      <c r="AB155" s="21"/>
      <c r="AC155" s="20"/>
      <c r="AD155" s="20"/>
      <c r="AE155" s="20"/>
      <c r="AF155" s="20"/>
      <c r="AG155" s="20"/>
      <c r="AH155" s="20"/>
      <c r="AI155" s="20"/>
      <c r="AJ155" s="21"/>
      <c r="AK155" s="20"/>
      <c r="AL155" s="20"/>
      <c r="AM155" s="21"/>
      <c r="AN155" s="20"/>
      <c r="AO155" s="20"/>
      <c r="AP155" s="20"/>
      <c r="AQ155" s="20"/>
    </row>
    <row r="156" ht="14.25" spans="1:43">
      <c r="A156" s="74"/>
      <c r="B156" s="20"/>
      <c r="C156" s="20"/>
      <c r="D156" s="20"/>
      <c r="E156" s="20"/>
      <c r="F156" s="75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1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</row>
    <row r="157" ht="14.25" spans="1:43">
      <c r="A157" s="74"/>
      <c r="B157" s="20"/>
      <c r="C157" s="20"/>
      <c r="D157" s="20"/>
      <c r="E157" s="20"/>
      <c r="F157" s="75"/>
      <c r="G157" s="20"/>
      <c r="H157" s="20"/>
      <c r="I157" s="21"/>
      <c r="J157" s="20"/>
      <c r="K157" s="20"/>
      <c r="L157" s="20"/>
      <c r="M157" s="20"/>
      <c r="N157" s="20"/>
      <c r="O157" s="21"/>
      <c r="P157" s="20"/>
      <c r="Q157" s="20"/>
      <c r="R157" s="20"/>
      <c r="S157" s="20"/>
      <c r="T157" s="20"/>
      <c r="U157" s="21"/>
      <c r="V157" s="20"/>
      <c r="W157" s="21"/>
      <c r="X157" s="20"/>
      <c r="Y157" s="20"/>
      <c r="Z157" s="21"/>
      <c r="AA157" s="20"/>
      <c r="AB157" s="21"/>
      <c r="AC157" s="20"/>
      <c r="AD157" s="20"/>
      <c r="AE157" s="20"/>
      <c r="AF157" s="20"/>
      <c r="AG157" s="20"/>
      <c r="AH157" s="20"/>
      <c r="AI157" s="20"/>
      <c r="AJ157" s="21"/>
      <c r="AK157" s="20"/>
      <c r="AL157" s="20"/>
      <c r="AM157" s="21"/>
      <c r="AN157" s="20"/>
      <c r="AO157" s="20"/>
      <c r="AP157" s="20"/>
      <c r="AQ157" s="20"/>
    </row>
    <row r="158" ht="14.25" spans="1:43">
      <c r="A158" s="74"/>
      <c r="B158" s="20"/>
      <c r="C158" s="20"/>
      <c r="D158" s="20"/>
      <c r="E158" s="20"/>
      <c r="F158" s="75"/>
      <c r="G158" s="20"/>
      <c r="H158" s="20"/>
      <c r="I158" s="21"/>
      <c r="J158" s="20"/>
      <c r="K158" s="20"/>
      <c r="L158" s="20"/>
      <c r="M158" s="20"/>
      <c r="N158" s="20"/>
      <c r="O158" s="21"/>
      <c r="P158" s="20"/>
      <c r="Q158" s="20"/>
      <c r="R158" s="20"/>
      <c r="S158" s="20"/>
      <c r="T158" s="20"/>
      <c r="U158" s="21"/>
      <c r="V158" s="20"/>
      <c r="W158" s="21"/>
      <c r="X158" s="20"/>
      <c r="Y158" s="20"/>
      <c r="Z158" s="21"/>
      <c r="AA158" s="20"/>
      <c r="AB158" s="21"/>
      <c r="AC158" s="20"/>
      <c r="AD158" s="20"/>
      <c r="AE158" s="20"/>
      <c r="AF158" s="20"/>
      <c r="AG158" s="20"/>
      <c r="AH158" s="20"/>
      <c r="AI158" s="20"/>
      <c r="AJ158" s="21"/>
      <c r="AK158" s="20"/>
      <c r="AL158" s="20"/>
      <c r="AM158" s="21"/>
      <c r="AN158" s="20"/>
      <c r="AO158" s="20"/>
      <c r="AP158" s="20"/>
      <c r="AQ158" s="20"/>
    </row>
    <row r="159" ht="14.25" spans="1:43">
      <c r="A159" s="74"/>
      <c r="B159" s="20"/>
      <c r="C159" s="20"/>
      <c r="D159" s="20"/>
      <c r="E159" s="20"/>
      <c r="F159" s="75"/>
      <c r="G159" s="20"/>
      <c r="H159" s="20"/>
      <c r="I159" s="21"/>
      <c r="J159" s="20"/>
      <c r="K159" s="20"/>
      <c r="L159" s="20"/>
      <c r="M159" s="20"/>
      <c r="N159" s="20"/>
      <c r="O159" s="21"/>
      <c r="P159" s="20"/>
      <c r="Q159" s="20"/>
      <c r="R159" s="20"/>
      <c r="S159" s="20"/>
      <c r="T159" s="20"/>
      <c r="U159" s="21"/>
      <c r="V159" s="20"/>
      <c r="W159" s="21"/>
      <c r="X159" s="20"/>
      <c r="Y159" s="20"/>
      <c r="Z159" s="21"/>
      <c r="AA159" s="20"/>
      <c r="AB159" s="21"/>
      <c r="AC159" s="20"/>
      <c r="AD159" s="20"/>
      <c r="AE159" s="20"/>
      <c r="AF159" s="20"/>
      <c r="AG159" s="20"/>
      <c r="AH159" s="20"/>
      <c r="AI159" s="20"/>
      <c r="AJ159" s="21"/>
      <c r="AK159" s="20"/>
      <c r="AL159" s="20"/>
      <c r="AM159" s="21"/>
      <c r="AN159" s="20"/>
      <c r="AO159" s="20"/>
      <c r="AP159" s="20"/>
      <c r="AQ159" s="20"/>
    </row>
    <row r="160" ht="14.25" spans="1:43">
      <c r="A160" s="74"/>
      <c r="B160" s="20"/>
      <c r="C160" s="20"/>
      <c r="D160" s="20"/>
      <c r="E160" s="20"/>
      <c r="F160" s="75"/>
      <c r="G160" s="20"/>
      <c r="H160" s="20"/>
      <c r="I160" s="21"/>
      <c r="J160" s="20"/>
      <c r="K160" s="20"/>
      <c r="L160" s="20"/>
      <c r="M160" s="20"/>
      <c r="N160" s="20"/>
      <c r="O160" s="21"/>
      <c r="P160" s="20"/>
      <c r="Q160" s="20"/>
      <c r="R160" s="20"/>
      <c r="S160" s="20"/>
      <c r="T160" s="20"/>
      <c r="U160" s="21"/>
      <c r="V160" s="20"/>
      <c r="W160" s="21"/>
      <c r="X160" s="20"/>
      <c r="Y160" s="20"/>
      <c r="Z160" s="21"/>
      <c r="AA160" s="20"/>
      <c r="AB160" s="21"/>
      <c r="AC160" s="20"/>
      <c r="AD160" s="20"/>
      <c r="AE160" s="20"/>
      <c r="AF160" s="20"/>
      <c r="AG160" s="20"/>
      <c r="AH160" s="20"/>
      <c r="AI160" s="20"/>
      <c r="AJ160" s="21"/>
      <c r="AK160" s="20"/>
      <c r="AL160" s="20"/>
      <c r="AM160" s="21"/>
      <c r="AN160" s="20"/>
      <c r="AO160" s="20"/>
      <c r="AP160" s="20"/>
      <c r="AQ160" s="20"/>
    </row>
    <row r="161" ht="14.25" spans="1:43">
      <c r="A161" s="74"/>
      <c r="B161" s="20"/>
      <c r="C161" s="20"/>
      <c r="D161" s="20"/>
      <c r="E161" s="20"/>
      <c r="F161" s="75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1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</row>
    <row r="162" ht="14.25" spans="1:43">
      <c r="A162" s="74"/>
      <c r="B162" s="20"/>
      <c r="C162" s="20"/>
      <c r="D162" s="20"/>
      <c r="E162" s="20"/>
      <c r="F162" s="75"/>
      <c r="G162" s="20"/>
      <c r="H162" s="20"/>
      <c r="I162" s="21"/>
      <c r="J162" s="20"/>
      <c r="K162" s="20"/>
      <c r="L162" s="20"/>
      <c r="M162" s="20"/>
      <c r="N162" s="20"/>
      <c r="O162" s="21"/>
      <c r="P162" s="20"/>
      <c r="Q162" s="20"/>
      <c r="R162" s="20"/>
      <c r="S162" s="20"/>
      <c r="T162" s="20"/>
      <c r="U162" s="20"/>
      <c r="V162" s="20"/>
      <c r="W162" s="21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</row>
    <row r="163" ht="14.25" spans="1:43">
      <c r="A163" s="74"/>
      <c r="B163" s="20"/>
      <c r="C163" s="20"/>
      <c r="D163" s="20"/>
      <c r="E163" s="20"/>
      <c r="F163" s="75"/>
      <c r="G163" s="20"/>
      <c r="H163" s="20"/>
      <c r="I163" s="21"/>
      <c r="J163" s="20"/>
      <c r="K163" s="20"/>
      <c r="L163" s="20"/>
      <c r="M163" s="20"/>
      <c r="N163" s="20"/>
      <c r="O163" s="21"/>
      <c r="P163" s="20"/>
      <c r="Q163" s="20"/>
      <c r="R163" s="20"/>
      <c r="S163" s="20"/>
      <c r="T163" s="20"/>
      <c r="U163" s="20"/>
      <c r="V163" s="20"/>
      <c r="W163" s="21"/>
      <c r="X163" s="20"/>
      <c r="Y163" s="20"/>
      <c r="Z163" s="20"/>
      <c r="AA163" s="20"/>
      <c r="AB163" s="20"/>
      <c r="AC163" s="20"/>
      <c r="AD163" s="20"/>
      <c r="AE163" s="20"/>
      <c r="AF163" s="21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</row>
    <row r="164" ht="14.25" spans="1:43">
      <c r="A164" s="74"/>
      <c r="B164" s="20"/>
      <c r="C164" s="20"/>
      <c r="D164" s="20"/>
      <c r="E164" s="20"/>
      <c r="F164" s="75"/>
      <c r="G164" s="20"/>
      <c r="H164" s="20"/>
      <c r="I164" s="21"/>
      <c r="J164" s="20"/>
      <c r="K164" s="20"/>
      <c r="L164" s="20"/>
      <c r="M164" s="20"/>
      <c r="N164" s="20"/>
      <c r="O164" s="21"/>
      <c r="P164" s="20"/>
      <c r="Q164" s="20"/>
      <c r="R164" s="20"/>
      <c r="S164" s="20"/>
      <c r="T164" s="20"/>
      <c r="U164" s="20"/>
      <c r="V164" s="20"/>
      <c r="W164" s="21"/>
      <c r="X164" s="20"/>
      <c r="Y164" s="20"/>
      <c r="Z164" s="20"/>
      <c r="AA164" s="20"/>
      <c r="AB164" s="20"/>
      <c r="AC164" s="23"/>
      <c r="AD164" s="20"/>
      <c r="AE164" s="21"/>
      <c r="AF164" s="21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</row>
    <row r="165" ht="14.25" spans="1:43">
      <c r="A165" s="74"/>
      <c r="B165" s="20"/>
      <c r="C165" s="20"/>
      <c r="D165" s="20"/>
      <c r="E165" s="20"/>
      <c r="F165" s="75"/>
      <c r="G165" s="20"/>
      <c r="H165" s="20"/>
      <c r="I165" s="21"/>
      <c r="J165" s="20"/>
      <c r="K165" s="20"/>
      <c r="L165" s="20"/>
      <c r="M165" s="20"/>
      <c r="N165" s="20"/>
      <c r="O165" s="21"/>
      <c r="P165" s="20"/>
      <c r="Q165" s="20"/>
      <c r="R165" s="20"/>
      <c r="S165" s="20"/>
      <c r="T165" s="20"/>
      <c r="U165" s="21"/>
      <c r="V165" s="20"/>
      <c r="W165" s="21"/>
      <c r="X165" s="20"/>
      <c r="Y165" s="20"/>
      <c r="Z165" s="21"/>
      <c r="AA165" s="20"/>
      <c r="AB165" s="21"/>
      <c r="AC165" s="23"/>
      <c r="AD165" s="20"/>
      <c r="AE165" s="21"/>
      <c r="AF165" s="21"/>
      <c r="AG165" s="20"/>
      <c r="AH165" s="21"/>
      <c r="AI165" s="20"/>
      <c r="AJ165" s="21"/>
      <c r="AK165" s="20"/>
      <c r="AL165" s="20"/>
      <c r="AM165" s="21"/>
      <c r="AN165" s="20"/>
      <c r="AO165" s="20"/>
      <c r="AP165" s="20"/>
      <c r="AQ165" s="20"/>
    </row>
    <row r="166" ht="14.25" spans="1:43">
      <c r="A166" s="74"/>
      <c r="B166" s="20"/>
      <c r="C166" s="20"/>
      <c r="D166" s="20"/>
      <c r="E166" s="20"/>
      <c r="F166" s="75"/>
      <c r="G166" s="20"/>
      <c r="H166" s="20"/>
      <c r="I166" s="21"/>
      <c r="J166" s="20"/>
      <c r="K166" s="20"/>
      <c r="L166" s="20"/>
      <c r="M166" s="20"/>
      <c r="N166" s="20"/>
      <c r="O166" s="21"/>
      <c r="P166" s="20"/>
      <c r="Q166" s="20"/>
      <c r="R166" s="20"/>
      <c r="S166" s="20"/>
      <c r="T166" s="20"/>
      <c r="U166" s="20"/>
      <c r="V166" s="20"/>
      <c r="W166" s="21"/>
      <c r="X166" s="20"/>
      <c r="Y166" s="20"/>
      <c r="Z166" s="20"/>
      <c r="AA166" s="20"/>
      <c r="AB166" s="20"/>
      <c r="AC166" s="23"/>
      <c r="AD166" s="20"/>
      <c r="AE166" s="21"/>
      <c r="AF166" s="21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</row>
    <row r="167" ht="14.25" spans="1:43">
      <c r="A167" s="74"/>
      <c r="B167" s="20"/>
      <c r="C167" s="20"/>
      <c r="D167" s="20"/>
      <c r="E167" s="20"/>
      <c r="F167" s="75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1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</row>
    <row r="168" ht="14.25" spans="1:43">
      <c r="A168" s="74"/>
      <c r="B168" s="20"/>
      <c r="C168" s="20"/>
      <c r="D168" s="20"/>
      <c r="E168" s="20"/>
      <c r="F168" s="75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1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</row>
    <row r="169" ht="14.25" spans="1:43">
      <c r="A169" s="74"/>
      <c r="B169" s="20"/>
      <c r="C169" s="20"/>
      <c r="D169" s="20"/>
      <c r="E169" s="20"/>
      <c r="F169" s="75"/>
      <c r="G169" s="20"/>
      <c r="H169" s="20"/>
      <c r="I169" s="21"/>
      <c r="J169" s="20"/>
      <c r="K169" s="20"/>
      <c r="L169" s="20"/>
      <c r="M169" s="20"/>
      <c r="N169" s="20"/>
      <c r="O169" s="21"/>
      <c r="P169" s="20"/>
      <c r="Q169" s="20"/>
      <c r="R169" s="22"/>
      <c r="S169" s="20"/>
      <c r="T169" s="20"/>
      <c r="U169" s="21"/>
      <c r="V169" s="20"/>
      <c r="W169" s="21"/>
      <c r="X169" s="20"/>
      <c r="Y169" s="22"/>
      <c r="Z169" s="21"/>
      <c r="AA169" s="20"/>
      <c r="AB169" s="21"/>
      <c r="AC169" s="23"/>
      <c r="AD169" s="20"/>
      <c r="AE169" s="21"/>
      <c r="AF169" s="21"/>
      <c r="AG169" s="20"/>
      <c r="AH169" s="21"/>
      <c r="AI169" s="20"/>
      <c r="AJ169" s="21"/>
      <c r="AK169" s="22"/>
      <c r="AL169" s="20"/>
      <c r="AM169" s="21"/>
      <c r="AN169" s="20"/>
      <c r="AO169" s="20"/>
      <c r="AP169" s="20"/>
      <c r="AQ169" s="20"/>
    </row>
    <row r="170" ht="14.25" spans="1:43">
      <c r="A170" s="74"/>
      <c r="B170" s="20"/>
      <c r="C170" s="20"/>
      <c r="D170" s="20"/>
      <c r="E170" s="20"/>
      <c r="F170" s="75"/>
      <c r="G170" s="20"/>
      <c r="H170" s="23"/>
      <c r="I170" s="21"/>
      <c r="J170" s="20"/>
      <c r="K170" s="20"/>
      <c r="L170" s="20"/>
      <c r="M170" s="20"/>
      <c r="N170" s="23"/>
      <c r="O170" s="21"/>
      <c r="P170" s="20"/>
      <c r="Q170" s="20"/>
      <c r="R170" s="22"/>
      <c r="S170" s="20"/>
      <c r="T170" s="20"/>
      <c r="U170" s="21"/>
      <c r="V170" s="20"/>
      <c r="W170" s="21"/>
      <c r="X170" s="20"/>
      <c r="Y170" s="22"/>
      <c r="Z170" s="21"/>
      <c r="AA170" s="22"/>
      <c r="AB170" s="21"/>
      <c r="AC170" s="23"/>
      <c r="AD170" s="23"/>
      <c r="AE170" s="21"/>
      <c r="AF170" s="21"/>
      <c r="AG170" s="20"/>
      <c r="AH170" s="21"/>
      <c r="AI170" s="20"/>
      <c r="AJ170" s="21"/>
      <c r="AK170" s="22"/>
      <c r="AL170" s="20"/>
      <c r="AM170" s="21"/>
      <c r="AN170" s="20"/>
      <c r="AO170" s="20"/>
      <c r="AP170" s="22"/>
      <c r="AQ170" s="20"/>
    </row>
    <row r="171" ht="14.25" spans="1:43">
      <c r="A171" s="74"/>
      <c r="B171" s="20"/>
      <c r="C171" s="20"/>
      <c r="D171" s="20"/>
      <c r="E171" s="20"/>
      <c r="F171" s="75"/>
      <c r="G171" s="20"/>
      <c r="H171" s="23"/>
      <c r="I171" s="21"/>
      <c r="J171" s="20"/>
      <c r="K171" s="20"/>
      <c r="L171" s="20"/>
      <c r="M171" s="20"/>
      <c r="N171" s="23"/>
      <c r="O171" s="21"/>
      <c r="P171" s="20"/>
      <c r="Q171" s="20"/>
      <c r="R171" s="22"/>
      <c r="S171" s="20"/>
      <c r="T171" s="20"/>
      <c r="U171" s="21"/>
      <c r="V171" s="20"/>
      <c r="W171" s="21"/>
      <c r="X171" s="20"/>
      <c r="Y171" s="22"/>
      <c r="Z171" s="21"/>
      <c r="AA171" s="22"/>
      <c r="AB171" s="21"/>
      <c r="AC171" s="23"/>
      <c r="AD171" s="23"/>
      <c r="AE171" s="21"/>
      <c r="AF171" s="21"/>
      <c r="AG171" s="20"/>
      <c r="AH171" s="21"/>
      <c r="AI171" s="20"/>
      <c r="AJ171" s="21"/>
      <c r="AK171" s="22"/>
      <c r="AL171" s="20"/>
      <c r="AM171" s="21"/>
      <c r="AN171" s="20"/>
      <c r="AO171" s="20"/>
      <c r="AP171" s="22"/>
      <c r="AQ171" s="20"/>
    </row>
    <row r="172" ht="14.25" spans="1:43">
      <c r="A172" s="74"/>
      <c r="B172" s="20"/>
      <c r="C172" s="20"/>
      <c r="D172" s="20"/>
      <c r="E172" s="20"/>
      <c r="F172" s="75"/>
      <c r="G172" s="20"/>
      <c r="H172" s="23"/>
      <c r="I172" s="21"/>
      <c r="J172" s="20"/>
      <c r="K172" s="20"/>
      <c r="L172" s="20"/>
      <c r="M172" s="20"/>
      <c r="N172" s="23"/>
      <c r="O172" s="21"/>
      <c r="P172" s="20"/>
      <c r="Q172" s="20"/>
      <c r="R172" s="22"/>
      <c r="S172" s="20"/>
      <c r="T172" s="20"/>
      <c r="U172" s="21"/>
      <c r="V172" s="22"/>
      <c r="W172" s="21"/>
      <c r="X172" s="20"/>
      <c r="Y172" s="22"/>
      <c r="Z172" s="21"/>
      <c r="AA172" s="22"/>
      <c r="AB172" s="21"/>
      <c r="AC172" s="23"/>
      <c r="AD172" s="23"/>
      <c r="AE172" s="21"/>
      <c r="AF172" s="21"/>
      <c r="AG172" s="20"/>
      <c r="AH172" s="21"/>
      <c r="AI172" s="20"/>
      <c r="AJ172" s="21"/>
      <c r="AK172" s="22"/>
      <c r="AL172" s="20"/>
      <c r="AM172" s="21"/>
      <c r="AN172" s="20"/>
      <c r="AO172" s="20"/>
      <c r="AP172" s="22"/>
      <c r="AQ172" s="20"/>
    </row>
    <row r="173" ht="14.25" spans="1:43">
      <c r="A173" s="74"/>
      <c r="B173" s="20"/>
      <c r="C173" s="20"/>
      <c r="D173" s="20"/>
      <c r="E173" s="20"/>
      <c r="F173" s="75"/>
      <c r="G173" s="20"/>
      <c r="H173" s="20"/>
      <c r="I173" s="21"/>
      <c r="J173" s="20"/>
      <c r="K173" s="20"/>
      <c r="L173" s="20"/>
      <c r="M173" s="20"/>
      <c r="N173" s="20"/>
      <c r="O173" s="21"/>
      <c r="P173" s="20"/>
      <c r="Q173" s="20"/>
      <c r="R173" s="20"/>
      <c r="S173" s="20"/>
      <c r="T173" s="20"/>
      <c r="U173" s="20"/>
      <c r="V173" s="20"/>
      <c r="W173" s="21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</row>
    <row r="174" ht="14.25" spans="1:43">
      <c r="A174" s="74"/>
      <c r="B174" s="20"/>
      <c r="C174" s="20"/>
      <c r="D174" s="20"/>
      <c r="E174" s="20"/>
      <c r="F174" s="75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1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</row>
    <row r="175" ht="14.25" spans="1:43">
      <c r="A175" s="74"/>
      <c r="B175" s="20"/>
      <c r="C175" s="20"/>
      <c r="D175" s="20"/>
      <c r="E175" s="20"/>
      <c r="F175" s="75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1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</row>
    <row r="176" ht="14.25" spans="1:43">
      <c r="A176" s="74"/>
      <c r="B176" s="20"/>
      <c r="C176" s="20"/>
      <c r="D176" s="20"/>
      <c r="E176" s="20"/>
      <c r="F176" s="75"/>
      <c r="G176" s="20"/>
      <c r="H176" s="20"/>
      <c r="I176" s="21"/>
      <c r="J176" s="20"/>
      <c r="K176" s="20"/>
      <c r="L176" s="20"/>
      <c r="M176" s="20"/>
      <c r="N176" s="20"/>
      <c r="O176" s="21"/>
      <c r="P176" s="20"/>
      <c r="Q176" s="20"/>
      <c r="R176" s="20"/>
      <c r="S176" s="20"/>
      <c r="T176" s="20"/>
      <c r="U176" s="20"/>
      <c r="V176" s="20"/>
      <c r="W176" s="21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</row>
    <row r="177" ht="14.25" spans="1:43">
      <c r="A177" s="74"/>
      <c r="B177" s="20"/>
      <c r="C177" s="20"/>
      <c r="D177" s="20"/>
      <c r="E177" s="20"/>
      <c r="F177" s="75"/>
      <c r="G177" s="20"/>
      <c r="H177" s="20"/>
      <c r="I177" s="21"/>
      <c r="J177" s="20"/>
      <c r="K177" s="20"/>
      <c r="L177" s="20"/>
      <c r="M177" s="20"/>
      <c r="N177" s="20"/>
      <c r="O177" s="21"/>
      <c r="P177" s="20"/>
      <c r="Q177" s="20"/>
      <c r="R177" s="20"/>
      <c r="S177" s="20"/>
      <c r="T177" s="20"/>
      <c r="U177" s="20"/>
      <c r="V177" s="20"/>
      <c r="W177" s="21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</row>
    <row r="178" ht="14.25" spans="1:43">
      <c r="A178" s="74"/>
      <c r="B178" s="20"/>
      <c r="C178" s="20"/>
      <c r="D178" s="20"/>
      <c r="E178" s="20"/>
      <c r="F178" s="75"/>
      <c r="G178" s="20"/>
      <c r="H178" s="20"/>
      <c r="I178" s="21"/>
      <c r="J178" s="20"/>
      <c r="K178" s="20"/>
      <c r="L178" s="20"/>
      <c r="M178" s="20"/>
      <c r="N178" s="20"/>
      <c r="O178" s="21"/>
      <c r="P178" s="20"/>
      <c r="Q178" s="20"/>
      <c r="R178" s="20"/>
      <c r="S178" s="20"/>
      <c r="T178" s="20"/>
      <c r="U178" s="20"/>
      <c r="V178" s="20"/>
      <c r="W178" s="21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</row>
    <row r="179" ht="14.25" spans="1:43">
      <c r="A179" s="74"/>
      <c r="B179" s="20"/>
      <c r="C179" s="20"/>
      <c r="D179" s="20"/>
      <c r="E179" s="20"/>
      <c r="F179" s="75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1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</row>
    <row r="180" ht="14.25" spans="1:43">
      <c r="A180" s="74"/>
      <c r="B180" s="20"/>
      <c r="C180" s="20"/>
      <c r="D180" s="20"/>
      <c r="E180" s="20"/>
      <c r="F180" s="75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1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</row>
    <row r="181" ht="14.25" spans="1:43">
      <c r="A181" s="74"/>
      <c r="B181" s="20"/>
      <c r="C181" s="20"/>
      <c r="D181" s="20"/>
      <c r="E181" s="20"/>
      <c r="F181" s="75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1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</row>
    <row r="182" ht="14.25" spans="1:43">
      <c r="A182" s="74"/>
      <c r="B182" s="20"/>
      <c r="C182" s="20"/>
      <c r="D182" s="20"/>
      <c r="E182" s="20"/>
      <c r="F182" s="75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1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</row>
    <row r="183" ht="14.25" spans="1:43">
      <c r="A183" s="74"/>
      <c r="B183" s="20"/>
      <c r="C183" s="20"/>
      <c r="D183" s="20"/>
      <c r="E183" s="20"/>
      <c r="F183" s="75"/>
      <c r="G183" s="20"/>
      <c r="H183" s="20"/>
      <c r="I183" s="21"/>
      <c r="J183" s="20"/>
      <c r="K183" s="20"/>
      <c r="L183" s="20"/>
      <c r="M183" s="20"/>
      <c r="N183" s="20"/>
      <c r="O183" s="21"/>
      <c r="P183" s="20"/>
      <c r="Q183" s="20"/>
      <c r="R183" s="22"/>
      <c r="S183" s="20"/>
      <c r="T183" s="20"/>
      <c r="U183" s="21"/>
      <c r="V183" s="20"/>
      <c r="W183" s="21"/>
      <c r="X183" s="20"/>
      <c r="Y183" s="20"/>
      <c r="Z183" s="21"/>
      <c r="AA183" s="20"/>
      <c r="AB183" s="21"/>
      <c r="AC183" s="23"/>
      <c r="AD183" s="20"/>
      <c r="AE183" s="21"/>
      <c r="AF183" s="21"/>
      <c r="AG183" s="20"/>
      <c r="AH183" s="21"/>
      <c r="AI183" s="20"/>
      <c r="AJ183" s="21"/>
      <c r="AK183" s="20"/>
      <c r="AL183" s="20"/>
      <c r="AM183" s="21"/>
      <c r="AN183" s="20"/>
      <c r="AO183" s="20"/>
      <c r="AP183" s="20"/>
      <c r="AQ183" s="20"/>
    </row>
    <row r="184" ht="14.25" spans="1:43">
      <c r="A184" s="74"/>
      <c r="B184" s="20"/>
      <c r="C184" s="20"/>
      <c r="D184" s="20"/>
      <c r="E184" s="20"/>
      <c r="F184" s="75"/>
      <c r="G184" s="20"/>
      <c r="H184" s="20"/>
      <c r="I184" s="21"/>
      <c r="J184" s="20"/>
      <c r="K184" s="20"/>
      <c r="L184" s="20"/>
      <c r="M184" s="20"/>
      <c r="N184" s="20"/>
      <c r="O184" s="21"/>
      <c r="P184" s="20"/>
      <c r="Q184" s="20"/>
      <c r="R184" s="22"/>
      <c r="S184" s="20"/>
      <c r="T184" s="20"/>
      <c r="U184" s="21"/>
      <c r="V184" s="20"/>
      <c r="W184" s="21"/>
      <c r="X184" s="20"/>
      <c r="Y184" s="20"/>
      <c r="Z184" s="21"/>
      <c r="AA184" s="20"/>
      <c r="AB184" s="21"/>
      <c r="AC184" s="23"/>
      <c r="AD184" s="20"/>
      <c r="AE184" s="21"/>
      <c r="AF184" s="21"/>
      <c r="AG184" s="20"/>
      <c r="AH184" s="21"/>
      <c r="AI184" s="20"/>
      <c r="AJ184" s="21"/>
      <c r="AK184" s="20"/>
      <c r="AL184" s="20"/>
      <c r="AM184" s="21"/>
      <c r="AN184" s="20"/>
      <c r="AO184" s="20"/>
      <c r="AP184" s="20"/>
      <c r="AQ184" s="20"/>
    </row>
    <row r="185" ht="14.25" spans="1:43">
      <c r="A185" s="74"/>
      <c r="B185" s="20"/>
      <c r="C185" s="20"/>
      <c r="D185" s="20"/>
      <c r="E185" s="20"/>
      <c r="F185" s="75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1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</row>
    <row r="186" ht="14.25" spans="1:43">
      <c r="A186" s="74"/>
      <c r="B186" s="20"/>
      <c r="C186" s="20"/>
      <c r="D186" s="20"/>
      <c r="E186" s="20"/>
      <c r="F186" s="75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1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</row>
    <row r="187" ht="14.25" spans="1:43">
      <c r="A187" s="74"/>
      <c r="B187" s="20"/>
      <c r="C187" s="20"/>
      <c r="D187" s="20"/>
      <c r="E187" s="20"/>
      <c r="F187" s="75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1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</row>
    <row r="188" ht="14.25" spans="1:43">
      <c r="A188" s="74"/>
      <c r="B188" s="20"/>
      <c r="C188" s="20"/>
      <c r="D188" s="20"/>
      <c r="E188" s="20"/>
      <c r="F188" s="75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1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</row>
    <row r="189" ht="14.25" spans="1:43">
      <c r="A189" s="74"/>
      <c r="B189" s="20"/>
      <c r="C189" s="20"/>
      <c r="D189" s="20"/>
      <c r="E189" s="20"/>
      <c r="F189" s="75"/>
      <c r="G189" s="20"/>
      <c r="H189" s="20"/>
      <c r="I189" s="21"/>
      <c r="J189" s="20"/>
      <c r="K189" s="20"/>
      <c r="L189" s="20"/>
      <c r="M189" s="20"/>
      <c r="N189" s="20"/>
      <c r="O189" s="21"/>
      <c r="P189" s="20"/>
      <c r="Q189" s="20"/>
      <c r="R189" s="20"/>
      <c r="S189" s="20"/>
      <c r="T189" s="20"/>
      <c r="U189" s="21"/>
      <c r="V189" s="20"/>
      <c r="W189" s="21"/>
      <c r="X189" s="20"/>
      <c r="Y189" s="20"/>
      <c r="Z189" s="21"/>
      <c r="AA189" s="20"/>
      <c r="AB189" s="21"/>
      <c r="AC189" s="23"/>
      <c r="AD189" s="20"/>
      <c r="AE189" s="21"/>
      <c r="AF189" s="21"/>
      <c r="AG189" s="20"/>
      <c r="AH189" s="21"/>
      <c r="AI189" s="20"/>
      <c r="AJ189" s="21"/>
      <c r="AK189" s="20"/>
      <c r="AL189" s="20"/>
      <c r="AM189" s="21"/>
      <c r="AN189" s="20"/>
      <c r="AO189" s="20"/>
      <c r="AP189" s="20"/>
      <c r="AQ189" s="20"/>
    </row>
    <row r="190" ht="14.25" spans="1:43">
      <c r="A190" s="74"/>
      <c r="B190" s="20"/>
      <c r="C190" s="20"/>
      <c r="D190" s="20"/>
      <c r="E190" s="20"/>
      <c r="F190" s="75"/>
      <c r="G190" s="20"/>
      <c r="H190" s="23"/>
      <c r="I190" s="21"/>
      <c r="J190" s="20"/>
      <c r="K190" s="20"/>
      <c r="L190" s="20"/>
      <c r="M190" s="20"/>
      <c r="N190" s="23"/>
      <c r="O190" s="21"/>
      <c r="P190" s="20"/>
      <c r="Q190" s="20"/>
      <c r="R190" s="22"/>
      <c r="S190" s="20"/>
      <c r="T190" s="20"/>
      <c r="U190" s="21"/>
      <c r="V190" s="20"/>
      <c r="W190" s="21"/>
      <c r="X190" s="20"/>
      <c r="Y190" s="22"/>
      <c r="Z190" s="21"/>
      <c r="AA190" s="22"/>
      <c r="AB190" s="21"/>
      <c r="AC190" s="23"/>
      <c r="AD190" s="23"/>
      <c r="AE190" s="21"/>
      <c r="AF190" s="21"/>
      <c r="AG190" s="20"/>
      <c r="AH190" s="21"/>
      <c r="AI190" s="20"/>
      <c r="AJ190" s="21"/>
      <c r="AK190" s="22"/>
      <c r="AL190" s="20"/>
      <c r="AM190" s="21"/>
      <c r="AN190" s="20"/>
      <c r="AO190" s="20"/>
      <c r="AP190" s="22"/>
      <c r="AQ190" s="20"/>
    </row>
    <row r="191" ht="14.25" spans="1:43">
      <c r="A191" s="74"/>
      <c r="B191" s="20"/>
      <c r="C191" s="20"/>
      <c r="D191" s="20"/>
      <c r="E191" s="20"/>
      <c r="F191" s="75"/>
      <c r="G191" s="20"/>
      <c r="H191" s="23"/>
      <c r="I191" s="21"/>
      <c r="J191" s="20"/>
      <c r="K191" s="20"/>
      <c r="L191" s="20"/>
      <c r="M191" s="20"/>
      <c r="N191" s="23"/>
      <c r="O191" s="21"/>
      <c r="P191" s="20"/>
      <c r="Q191" s="20"/>
      <c r="R191" s="22"/>
      <c r="S191" s="20"/>
      <c r="T191" s="20"/>
      <c r="U191" s="21"/>
      <c r="V191" s="20"/>
      <c r="W191" s="21"/>
      <c r="X191" s="20"/>
      <c r="Y191" s="22"/>
      <c r="Z191" s="21"/>
      <c r="AA191" s="22"/>
      <c r="AB191" s="21"/>
      <c r="AC191" s="23"/>
      <c r="AD191" s="23"/>
      <c r="AE191" s="21"/>
      <c r="AF191" s="21"/>
      <c r="AG191" s="20"/>
      <c r="AH191" s="21"/>
      <c r="AI191" s="20"/>
      <c r="AJ191" s="21"/>
      <c r="AK191" s="22"/>
      <c r="AL191" s="20"/>
      <c r="AM191" s="21"/>
      <c r="AN191" s="20"/>
      <c r="AO191" s="20"/>
      <c r="AP191" s="22"/>
      <c r="AQ191" s="20"/>
    </row>
    <row r="192" ht="14.25" spans="1:43">
      <c r="A192" s="74"/>
      <c r="B192" s="20"/>
      <c r="C192" s="20"/>
      <c r="D192" s="20"/>
      <c r="E192" s="20"/>
      <c r="F192" s="75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1"/>
      <c r="V192" s="20"/>
      <c r="W192" s="21"/>
      <c r="X192" s="20"/>
      <c r="Y192" s="20"/>
      <c r="Z192" s="21"/>
      <c r="AA192" s="20"/>
      <c r="AB192" s="21"/>
      <c r="AC192" s="23"/>
      <c r="AD192" s="20"/>
      <c r="AE192" s="21"/>
      <c r="AF192" s="21"/>
      <c r="AG192" s="20"/>
      <c r="AH192" s="21"/>
      <c r="AI192" s="20"/>
      <c r="AJ192" s="21"/>
      <c r="AK192" s="20"/>
      <c r="AL192" s="20"/>
      <c r="AM192" s="21"/>
      <c r="AN192" s="20"/>
      <c r="AO192" s="20"/>
      <c r="AP192" s="20"/>
      <c r="AQ192" s="20"/>
    </row>
    <row r="193" ht="14.25" spans="1:43">
      <c r="A193" s="74"/>
      <c r="B193" s="20"/>
      <c r="C193" s="20"/>
      <c r="D193" s="20"/>
      <c r="E193" s="20"/>
      <c r="F193" s="75"/>
      <c r="G193" s="20"/>
      <c r="H193" s="20"/>
      <c r="I193" s="21"/>
      <c r="J193" s="20"/>
      <c r="K193" s="20"/>
      <c r="L193" s="20"/>
      <c r="M193" s="20"/>
      <c r="N193" s="20"/>
      <c r="O193" s="21"/>
      <c r="P193" s="20"/>
      <c r="Q193" s="20"/>
      <c r="R193" s="20"/>
      <c r="S193" s="20"/>
      <c r="T193" s="20"/>
      <c r="U193" s="21"/>
      <c r="V193" s="20"/>
      <c r="W193" s="21"/>
      <c r="X193" s="20"/>
      <c r="Y193" s="20"/>
      <c r="Z193" s="21"/>
      <c r="AA193" s="20"/>
      <c r="AB193" s="21"/>
      <c r="AC193" s="23"/>
      <c r="AD193" s="20"/>
      <c r="AE193" s="21"/>
      <c r="AF193" s="21"/>
      <c r="AG193" s="20"/>
      <c r="AH193" s="21"/>
      <c r="AI193" s="20"/>
      <c r="AJ193" s="21"/>
      <c r="AK193" s="20"/>
      <c r="AL193" s="20"/>
      <c r="AM193" s="21"/>
      <c r="AN193" s="20"/>
      <c r="AO193" s="20"/>
      <c r="AP193" s="20"/>
      <c r="AQ193" s="20"/>
    </row>
    <row r="194" ht="14.25" spans="1:43">
      <c r="A194" s="74"/>
      <c r="B194" s="20"/>
      <c r="C194" s="20"/>
      <c r="D194" s="20"/>
      <c r="E194" s="20"/>
      <c r="F194" s="75"/>
      <c r="G194" s="20"/>
      <c r="H194" s="20"/>
      <c r="I194" s="21"/>
      <c r="J194" s="20"/>
      <c r="K194" s="20"/>
      <c r="L194" s="20"/>
      <c r="M194" s="20"/>
      <c r="N194" s="23"/>
      <c r="O194" s="21"/>
      <c r="P194" s="20"/>
      <c r="Q194" s="20"/>
      <c r="R194" s="22"/>
      <c r="S194" s="20"/>
      <c r="T194" s="20"/>
      <c r="U194" s="21"/>
      <c r="V194" s="20"/>
      <c r="W194" s="21"/>
      <c r="X194" s="20"/>
      <c r="Y194" s="20"/>
      <c r="Z194" s="21"/>
      <c r="AA194" s="22"/>
      <c r="AB194" s="21"/>
      <c r="AC194" s="23"/>
      <c r="AD194" s="20"/>
      <c r="AE194" s="21"/>
      <c r="AF194" s="21"/>
      <c r="AG194" s="20"/>
      <c r="AH194" s="21"/>
      <c r="AI194" s="20"/>
      <c r="AJ194" s="21"/>
      <c r="AK194" s="22"/>
      <c r="AL194" s="20"/>
      <c r="AM194" s="21"/>
      <c r="AN194" s="20"/>
      <c r="AO194" s="20"/>
      <c r="AP194" s="22"/>
      <c r="AQ194" s="20"/>
    </row>
    <row r="195" ht="14.25" spans="1:43">
      <c r="A195" s="74"/>
      <c r="B195" s="20"/>
      <c r="C195" s="20"/>
      <c r="D195" s="20"/>
      <c r="E195" s="20"/>
      <c r="F195" s="75"/>
      <c r="G195" s="20"/>
      <c r="H195" s="20"/>
      <c r="I195" s="21"/>
      <c r="J195" s="20"/>
      <c r="K195" s="20"/>
      <c r="L195" s="20"/>
      <c r="M195" s="20"/>
      <c r="N195" s="23"/>
      <c r="O195" s="21"/>
      <c r="P195" s="20"/>
      <c r="Q195" s="20"/>
      <c r="R195" s="22"/>
      <c r="S195" s="20"/>
      <c r="T195" s="20"/>
      <c r="U195" s="21"/>
      <c r="V195" s="20"/>
      <c r="W195" s="21"/>
      <c r="X195" s="20"/>
      <c r="Y195" s="22"/>
      <c r="Z195" s="21"/>
      <c r="AA195" s="20"/>
      <c r="AB195" s="21"/>
      <c r="AC195" s="23"/>
      <c r="AD195" s="20"/>
      <c r="AE195" s="21"/>
      <c r="AF195" s="21"/>
      <c r="AG195" s="20"/>
      <c r="AH195" s="21"/>
      <c r="AI195" s="20"/>
      <c r="AJ195" s="21"/>
      <c r="AK195" s="20"/>
      <c r="AL195" s="20"/>
      <c r="AM195" s="21"/>
      <c r="AN195" s="20"/>
      <c r="AO195" s="20"/>
      <c r="AP195" s="20"/>
      <c r="AQ195" s="20"/>
    </row>
    <row r="196" ht="14.25" spans="1:43">
      <c r="A196" s="74"/>
      <c r="B196" s="20"/>
      <c r="C196" s="20"/>
      <c r="D196" s="20"/>
      <c r="E196" s="20"/>
      <c r="F196" s="75"/>
      <c r="G196" s="20"/>
      <c r="H196" s="23"/>
      <c r="I196" s="21"/>
      <c r="J196" s="20"/>
      <c r="K196" s="20"/>
      <c r="L196" s="20"/>
      <c r="M196" s="20"/>
      <c r="N196" s="23"/>
      <c r="O196" s="21"/>
      <c r="P196" s="20"/>
      <c r="Q196" s="20"/>
      <c r="R196" s="22"/>
      <c r="S196" s="20"/>
      <c r="T196" s="20"/>
      <c r="U196" s="21"/>
      <c r="V196" s="20"/>
      <c r="W196" s="21"/>
      <c r="X196" s="20"/>
      <c r="Y196" s="22"/>
      <c r="Z196" s="21"/>
      <c r="AA196" s="22"/>
      <c r="AB196" s="21"/>
      <c r="AC196" s="23"/>
      <c r="AD196" s="20"/>
      <c r="AE196" s="21"/>
      <c r="AF196" s="21"/>
      <c r="AG196" s="20"/>
      <c r="AH196" s="21"/>
      <c r="AI196" s="20"/>
      <c r="AJ196" s="21"/>
      <c r="AK196" s="22"/>
      <c r="AL196" s="20"/>
      <c r="AM196" s="21"/>
      <c r="AN196" s="20"/>
      <c r="AO196" s="20"/>
      <c r="AP196" s="22"/>
      <c r="AQ196" s="20"/>
    </row>
    <row r="197" ht="14.25" spans="1:43">
      <c r="A197" s="74"/>
      <c r="B197" s="20"/>
      <c r="C197" s="20"/>
      <c r="D197" s="20"/>
      <c r="E197" s="20"/>
      <c r="F197" s="75"/>
      <c r="G197" s="20"/>
      <c r="H197" s="23"/>
      <c r="I197" s="21"/>
      <c r="J197" s="20"/>
      <c r="K197" s="20"/>
      <c r="L197" s="20"/>
      <c r="M197" s="20"/>
      <c r="N197" s="23"/>
      <c r="O197" s="21"/>
      <c r="P197" s="20"/>
      <c r="Q197" s="20"/>
      <c r="R197" s="22"/>
      <c r="S197" s="20"/>
      <c r="T197" s="20"/>
      <c r="U197" s="21"/>
      <c r="V197" s="20"/>
      <c r="W197" s="21"/>
      <c r="X197" s="20"/>
      <c r="Y197" s="22"/>
      <c r="Z197" s="21"/>
      <c r="AA197" s="22"/>
      <c r="AB197" s="21"/>
      <c r="AC197" s="23"/>
      <c r="AD197" s="23"/>
      <c r="AE197" s="21"/>
      <c r="AF197" s="21"/>
      <c r="AG197" s="20"/>
      <c r="AH197" s="21"/>
      <c r="AI197" s="20"/>
      <c r="AJ197" s="21"/>
      <c r="AK197" s="22"/>
      <c r="AL197" s="20"/>
      <c r="AM197" s="21"/>
      <c r="AN197" s="20"/>
      <c r="AO197" s="20"/>
      <c r="AP197" s="22"/>
      <c r="AQ197" s="20"/>
    </row>
    <row r="198" ht="14.25" spans="1:43">
      <c r="A198" s="74"/>
      <c r="B198" s="20"/>
      <c r="C198" s="20"/>
      <c r="D198" s="20"/>
      <c r="E198" s="20"/>
      <c r="F198" s="75"/>
      <c r="G198" s="20"/>
      <c r="H198" s="23"/>
      <c r="I198" s="21"/>
      <c r="J198" s="20"/>
      <c r="K198" s="20"/>
      <c r="L198" s="20"/>
      <c r="M198" s="20"/>
      <c r="N198" s="23"/>
      <c r="O198" s="21"/>
      <c r="P198" s="20"/>
      <c r="Q198" s="20"/>
      <c r="R198" s="22"/>
      <c r="S198" s="20"/>
      <c r="T198" s="20"/>
      <c r="U198" s="21"/>
      <c r="V198" s="20"/>
      <c r="W198" s="21"/>
      <c r="X198" s="20"/>
      <c r="Y198" s="20"/>
      <c r="Z198" s="21"/>
      <c r="AA198" s="22"/>
      <c r="AB198" s="21"/>
      <c r="AC198" s="23"/>
      <c r="AD198" s="23"/>
      <c r="AE198" s="21"/>
      <c r="AF198" s="21"/>
      <c r="AG198" s="20"/>
      <c r="AH198" s="21"/>
      <c r="AI198" s="20"/>
      <c r="AJ198" s="21"/>
      <c r="AK198" s="22"/>
      <c r="AL198" s="20"/>
      <c r="AM198" s="21"/>
      <c r="AN198" s="20"/>
      <c r="AO198" s="20"/>
      <c r="AP198" s="22"/>
      <c r="AQ198" s="20"/>
    </row>
    <row r="199" ht="14.25" spans="1:43">
      <c r="A199" s="74"/>
      <c r="B199" s="20"/>
      <c r="C199" s="20"/>
      <c r="D199" s="20"/>
      <c r="E199" s="20"/>
      <c r="F199" s="75"/>
      <c r="G199" s="20"/>
      <c r="H199" s="23"/>
      <c r="I199" s="21"/>
      <c r="J199" s="20"/>
      <c r="K199" s="20"/>
      <c r="L199" s="20"/>
      <c r="M199" s="20"/>
      <c r="N199" s="23"/>
      <c r="O199" s="21"/>
      <c r="P199" s="20"/>
      <c r="Q199" s="20"/>
      <c r="R199" s="22"/>
      <c r="S199" s="20"/>
      <c r="T199" s="20"/>
      <c r="U199" s="21"/>
      <c r="V199" s="20"/>
      <c r="W199" s="21"/>
      <c r="X199" s="20"/>
      <c r="Y199" s="22"/>
      <c r="Z199" s="21"/>
      <c r="AA199" s="22"/>
      <c r="AB199" s="21"/>
      <c r="AC199" s="23"/>
      <c r="AD199" s="23"/>
      <c r="AE199" s="21"/>
      <c r="AF199" s="21"/>
      <c r="AG199" s="20"/>
      <c r="AH199" s="21"/>
      <c r="AI199" s="20"/>
      <c r="AJ199" s="21"/>
      <c r="AK199" s="22"/>
      <c r="AL199" s="20"/>
      <c r="AM199" s="21"/>
      <c r="AN199" s="20"/>
      <c r="AO199" s="20"/>
      <c r="AP199" s="22"/>
      <c r="AQ199" s="20"/>
    </row>
    <row r="200" ht="14.25" spans="1:43">
      <c r="A200" s="74"/>
      <c r="B200" s="20"/>
      <c r="C200" s="20"/>
      <c r="D200" s="20"/>
      <c r="E200" s="20"/>
      <c r="F200" s="75"/>
      <c r="G200" s="20"/>
      <c r="H200" s="23"/>
      <c r="I200" s="21"/>
      <c r="J200" s="20"/>
      <c r="K200" s="20"/>
      <c r="L200" s="20"/>
      <c r="M200" s="20"/>
      <c r="N200" s="23"/>
      <c r="O200" s="21"/>
      <c r="P200" s="20"/>
      <c r="Q200" s="20"/>
      <c r="R200" s="22"/>
      <c r="S200" s="20"/>
      <c r="T200" s="20"/>
      <c r="U200" s="21"/>
      <c r="V200" s="20"/>
      <c r="W200" s="21"/>
      <c r="X200" s="20"/>
      <c r="Y200" s="20"/>
      <c r="Z200" s="21"/>
      <c r="AA200" s="22"/>
      <c r="AB200" s="21"/>
      <c r="AC200" s="23"/>
      <c r="AD200" s="23"/>
      <c r="AE200" s="21"/>
      <c r="AF200" s="21"/>
      <c r="AG200" s="20"/>
      <c r="AH200" s="21"/>
      <c r="AI200" s="20"/>
      <c r="AJ200" s="21"/>
      <c r="AK200" s="22"/>
      <c r="AL200" s="20"/>
      <c r="AM200" s="21"/>
      <c r="AN200" s="20"/>
      <c r="AO200" s="22"/>
      <c r="AP200" s="22"/>
      <c r="AQ200" s="20"/>
    </row>
    <row r="201" ht="14.25" spans="1:43">
      <c r="A201" s="74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</row>
    <row r="202" ht="14.25" spans="1:43">
      <c r="A202" s="74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</row>
    <row r="203" ht="14.25" spans="1:43">
      <c r="A203" s="74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</row>
    <row r="204" ht="14.25" spans="1:43">
      <c r="A204" s="74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</row>
    <row r="205" ht="14.25" spans="1:43">
      <c r="A205" s="74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</row>
    <row r="206" ht="14.25" spans="1:43">
      <c r="A206" s="74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</row>
    <row r="207" ht="14.25" spans="1:43">
      <c r="A207" s="74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</row>
    <row r="208" ht="14.25" spans="1:43">
      <c r="A208" s="74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</row>
    <row r="209" ht="14.25" spans="1:43">
      <c r="A209" s="74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</row>
    <row r="210" ht="14.25" spans="1:43">
      <c r="A210" s="74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</row>
    <row r="211" ht="14.25" spans="1:43">
      <c r="A211" s="74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</row>
    <row r="212" ht="14.25" spans="1:43">
      <c r="A212" s="74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</row>
    <row r="213" ht="14.25" spans="1:43">
      <c r="A213" s="74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</row>
    <row r="214" ht="14.25" spans="1:43">
      <c r="A214" s="74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</row>
    <row r="215" ht="14.25" spans="1:43">
      <c r="A215" s="74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</row>
    <row r="216" ht="14.25" spans="1:43">
      <c r="A216" s="74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</row>
    <row r="217" ht="14.25" spans="1:43">
      <c r="A217" s="74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</row>
    <row r="218" ht="14.25" spans="1:43">
      <c r="A218" s="74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</row>
    <row r="219" ht="14.25" spans="1:43">
      <c r="A219" s="74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</row>
    <row r="220" ht="14.25" spans="1:43">
      <c r="A220" s="74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</row>
    <row r="221" ht="14.25" spans="1:43">
      <c r="A221" s="74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</row>
    <row r="222" ht="14.25" spans="1:43">
      <c r="A222" s="74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</row>
    <row r="223" ht="14.25" spans="1:43">
      <c r="A223" s="74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</row>
    <row r="224" ht="14.25" spans="1:43">
      <c r="A224" s="74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</row>
    <row r="225" ht="14.25" spans="1:43">
      <c r="A225" s="74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</row>
    <row r="226" ht="14.25" spans="1:43">
      <c r="A226" s="74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</row>
    <row r="227" ht="14.25" spans="1:43">
      <c r="A227" s="74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</row>
    <row r="228" ht="14.25" spans="1:43">
      <c r="A228" s="74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</row>
    <row r="229" ht="14.25" spans="1:43">
      <c r="A229" s="74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</row>
    <row r="230" ht="14.25" spans="1:43">
      <c r="A230" s="74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</row>
    <row r="231" ht="14.25" spans="1:43">
      <c r="A231" s="74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</row>
    <row r="232" ht="14.25" spans="1:43">
      <c r="A232" s="74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</row>
    <row r="233" ht="14.25" spans="1:43">
      <c r="A233" s="74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</row>
    <row r="234" ht="14.25" spans="1:43">
      <c r="A234" s="74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</row>
    <row r="235" ht="14.25" spans="1:43">
      <c r="A235" s="74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</row>
    <row r="236" ht="14.25" spans="1:43">
      <c r="A236" s="74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</row>
    <row r="237" ht="14.25" spans="1:43">
      <c r="A237" s="74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</row>
    <row r="238" ht="14.25" spans="1:43">
      <c r="A238" s="74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</row>
    <row r="239" ht="14.25" spans="1:43">
      <c r="A239" s="74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</row>
    <row r="240" ht="14.25" spans="1:43">
      <c r="A240" s="74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</row>
    <row r="241" ht="14.25" spans="1:43">
      <c r="A241" s="74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</row>
    <row r="242" ht="14.25" spans="1:43">
      <c r="A242" s="74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</row>
    <row r="243" ht="14.25" spans="1:43">
      <c r="A243" s="74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</row>
    <row r="244" ht="14.25" spans="1:43">
      <c r="A244" s="74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</row>
    <row r="245" ht="14.25" spans="1:43">
      <c r="A245" s="74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</row>
    <row r="246" ht="14.25" spans="1:43">
      <c r="A246" s="74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</row>
    <row r="247" ht="14.25" spans="1:43">
      <c r="A247" s="74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</row>
    <row r="248" ht="14.25" spans="1:43">
      <c r="A248" s="74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</row>
    <row r="249" ht="14.25" spans="1:43">
      <c r="A249" s="74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</row>
    <row r="250" ht="14.25" spans="1:43">
      <c r="A250" s="74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</row>
    <row r="251" ht="14.25" spans="1:43">
      <c r="A251" s="74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</row>
    <row r="252" ht="14.25" spans="1:43">
      <c r="A252" s="74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</row>
    <row r="253" ht="14.25" spans="1:43">
      <c r="A253" s="74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</row>
    <row r="254" ht="14.25" spans="1:43">
      <c r="A254" s="74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</row>
    <row r="255" ht="14.25" spans="1:43">
      <c r="A255" s="74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</row>
    <row r="256" ht="14.25" spans="1:43">
      <c r="A256" s="74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</row>
    <row r="257" ht="14.25" spans="1:43">
      <c r="A257" s="74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</row>
    <row r="258" ht="14.25" spans="1:43">
      <c r="A258" s="74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</row>
    <row r="259" ht="14.25" spans="1:43">
      <c r="A259" s="74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</row>
    <row r="260" ht="14.25" spans="1:43">
      <c r="A260" s="74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</row>
    <row r="261" ht="14.25" spans="1:43">
      <c r="A261" s="74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</row>
    <row r="262" ht="14.25" spans="1:43">
      <c r="A262" s="74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</row>
    <row r="263" ht="14.25" spans="1:43">
      <c r="A263" s="74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</row>
    <row r="264" ht="14.25" spans="1:43">
      <c r="A264" s="74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</row>
    <row r="265" ht="14.25" spans="1:43">
      <c r="A265" s="74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</row>
    <row r="266" ht="14.25" spans="1:43">
      <c r="A266" s="74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</row>
    <row r="267" ht="14.25" spans="1:43">
      <c r="A267" s="74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</row>
    <row r="268" ht="14.25" spans="1:43">
      <c r="A268" s="74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</row>
    <row r="269" ht="14.25" spans="1:43">
      <c r="A269" s="74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</row>
    <row r="270" ht="14.25" spans="1:43">
      <c r="A270" s="74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</row>
    <row r="271" ht="14.25" spans="1:43">
      <c r="A271" s="74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</row>
    <row r="272" ht="14.25" spans="1:43">
      <c r="A272" s="74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</row>
    <row r="273" ht="14.25" spans="1:43">
      <c r="A273" s="74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</row>
    <row r="274" ht="14.25" spans="1:43">
      <c r="A274" s="74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</row>
    <row r="275" ht="14.25" spans="1:43">
      <c r="A275" s="74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</row>
    <row r="276" ht="14.25" spans="1:43">
      <c r="A276" s="74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</row>
    <row r="277" ht="14.25" spans="1:43">
      <c r="A277" s="74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</row>
    <row r="278" ht="14.25" spans="1:43">
      <c r="A278" s="74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</row>
    <row r="279" ht="14.25" spans="1:43">
      <c r="A279" s="74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</row>
    <row r="280" ht="14.25" spans="1:43">
      <c r="A280" s="74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</row>
    <row r="281" ht="14.25" spans="1:43">
      <c r="A281" s="74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</row>
    <row r="282" ht="14.25" spans="1:43">
      <c r="A282" s="74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</row>
    <row r="283" ht="14.25" spans="1:43">
      <c r="A283" s="74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</row>
    <row r="284" ht="14.25" spans="1:43">
      <c r="A284" s="74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</row>
    <row r="285" ht="14.25" spans="1:43">
      <c r="A285" s="74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</row>
    <row r="286" ht="14.25" spans="1:43">
      <c r="A286" s="74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</row>
    <row r="287" ht="14.25" spans="1:43">
      <c r="A287" s="74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</row>
    <row r="288" ht="14.25" spans="1:43">
      <c r="A288" s="74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</row>
    <row r="289" ht="14.25" spans="1:43">
      <c r="A289" s="74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</row>
    <row r="290" ht="14.25" spans="1:43">
      <c r="A290" s="74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</row>
    <row r="291" ht="14.25" spans="1:43">
      <c r="A291" s="74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</row>
    <row r="292" ht="14.25" spans="1:43">
      <c r="A292" s="74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</row>
    <row r="293" ht="14.25" spans="1:43">
      <c r="A293" s="74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</row>
    <row r="294" ht="14.25" spans="1:43">
      <c r="A294" s="74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</row>
    <row r="295" ht="14.25" spans="1:43">
      <c r="A295" s="74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</row>
    <row r="296" ht="14.25" spans="1:43">
      <c r="A296" s="74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</row>
    <row r="297" ht="14.25" spans="1:43">
      <c r="A297" s="74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</row>
    <row r="298" ht="14.25" spans="1:43">
      <c r="A298" s="74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</row>
    <row r="299" ht="14.25" spans="1:43">
      <c r="A299" s="74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</row>
    <row r="300" ht="14.25" spans="1:43">
      <c r="A300" s="74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</row>
    <row r="301" ht="14.25" spans="1:43">
      <c r="A301" s="74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</row>
    <row r="302" ht="14.25" spans="1:43">
      <c r="A302" s="74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</row>
    <row r="303" ht="14.25" spans="1:43">
      <c r="A303" s="74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</row>
    <row r="304" ht="14.25" spans="1:43">
      <c r="A304" s="74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</row>
    <row r="305" ht="14.25" spans="1:43">
      <c r="A305" s="74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</row>
    <row r="306" ht="14.25" spans="1:43">
      <c r="A306" s="74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</row>
    <row r="307" ht="14.25" spans="1:43">
      <c r="A307" s="74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</row>
    <row r="308" ht="14.25" spans="1:43">
      <c r="A308" s="74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</row>
    <row r="309" ht="14.25" spans="1:43">
      <c r="A309" s="74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</row>
    <row r="310" ht="14.25" spans="1:43">
      <c r="A310" s="74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</row>
    <row r="311" ht="14.25" spans="1:43">
      <c r="A311" s="74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</row>
    <row r="312" ht="14.25" spans="1:43">
      <c r="A312" s="74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</row>
    <row r="313" ht="14.25" spans="1:43">
      <c r="A313" s="74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</row>
    <row r="314" ht="14.25" spans="1:43">
      <c r="A314" s="74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</row>
    <row r="315" ht="14.25" spans="1:43">
      <c r="A315" s="74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</row>
    <row r="316" ht="14.25" spans="1:43">
      <c r="A316" s="74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</row>
    <row r="317" ht="14.25" spans="1:43">
      <c r="A317" s="74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</row>
    <row r="318" ht="14.25" spans="1:43">
      <c r="A318" s="74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</row>
    <row r="319" ht="14.25" spans="1:43">
      <c r="A319" s="74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</row>
    <row r="320" ht="14.25" spans="1:43">
      <c r="A320" s="74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</row>
    <row r="321" ht="14.25" spans="1:43">
      <c r="A321" s="74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</row>
    <row r="322" ht="14.25" spans="1:43">
      <c r="A322" s="74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</row>
    <row r="323" ht="14.25" spans="1:43">
      <c r="A323" s="74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</row>
    <row r="324" ht="14.25" spans="1:43">
      <c r="A324" s="74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</row>
    <row r="325" ht="14.25" spans="1:43">
      <c r="A325" s="74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</row>
    <row r="326" ht="14.25" spans="1:43">
      <c r="A326" s="74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</row>
    <row r="327" ht="14.25" spans="1:43">
      <c r="A327" s="74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</row>
    <row r="328" ht="14.25" spans="1:43">
      <c r="A328" s="74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</row>
    <row r="329" ht="14.25" spans="1:43">
      <c r="A329" s="74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</row>
    <row r="330" ht="14.25" spans="1:43">
      <c r="A330" s="74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</row>
    <row r="331" ht="14.25" spans="1:43">
      <c r="A331" s="74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</row>
    <row r="332" ht="14.25" spans="1:43">
      <c r="A332" s="74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</row>
    <row r="333" ht="14.25" spans="1:43">
      <c r="A333" s="74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</row>
    <row r="334" ht="14.25" spans="1:43">
      <c r="A334" s="74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</row>
    <row r="335" ht="14.25" spans="1:43">
      <c r="A335" s="74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</row>
    <row r="336" ht="14.25" spans="1:43">
      <c r="A336" s="74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</row>
    <row r="337" ht="14.25" spans="1:43">
      <c r="A337" s="74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</row>
    <row r="338" ht="14.25" spans="1:43">
      <c r="A338" s="74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</row>
    <row r="339" ht="14.25" spans="1:43">
      <c r="A339" s="74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</row>
    <row r="340" ht="14.25" spans="1:43">
      <c r="A340" s="74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</row>
    <row r="341" ht="14.25" spans="1:43">
      <c r="A341" s="74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</row>
    <row r="342" ht="14.25" spans="1:43">
      <c r="A342" s="74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</row>
    <row r="343" ht="14.25" spans="1:43">
      <c r="A343" s="74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</row>
    <row r="344" ht="14.25" spans="1:43">
      <c r="A344" s="74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</row>
    <row r="345" ht="14.25" spans="1:43">
      <c r="A345" s="74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</row>
    <row r="346" ht="14.25" spans="1:43">
      <c r="A346" s="74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</row>
    <row r="347" ht="14.25" spans="1:43">
      <c r="A347" s="74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</row>
    <row r="348" ht="14.25" spans="1:43">
      <c r="A348" s="74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</row>
    <row r="349" ht="14.25" spans="1:43">
      <c r="A349" s="74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</row>
    <row r="350" ht="14.25" spans="1:43">
      <c r="A350" s="74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</row>
    <row r="351" ht="14.25" spans="1:43">
      <c r="A351" s="74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</row>
    <row r="352" ht="14.25" spans="1:43">
      <c r="A352" s="74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</row>
    <row r="353" ht="14.25" spans="1:43">
      <c r="A353" s="74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</row>
    <row r="354" ht="14.25" spans="1:43">
      <c r="A354" s="74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</row>
    <row r="355" ht="14.25" spans="1:43">
      <c r="A355" s="74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</row>
    <row r="356" ht="14.25" spans="1:43">
      <c r="A356" s="74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</row>
    <row r="357" ht="14.25" spans="1:43">
      <c r="A357" s="74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</row>
    <row r="358" ht="14.25" spans="1:43">
      <c r="A358" s="74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</row>
    <row r="359" ht="14.25" spans="1:43">
      <c r="A359" s="74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</row>
    <row r="360" ht="14.25" spans="1:43">
      <c r="A360" s="74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</row>
    <row r="361" ht="14.25" spans="1:43">
      <c r="A361" s="74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</row>
    <row r="362" ht="14.25" spans="1:43">
      <c r="A362" s="74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</row>
    <row r="363" ht="14.25" spans="1:43">
      <c r="A363" s="74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</row>
    <row r="364" ht="14.25" spans="1:43">
      <c r="A364" s="74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</row>
    <row r="365" ht="14.25" spans="1:43">
      <c r="A365" s="74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</row>
    <row r="366" ht="14.25" spans="1:43">
      <c r="A366" s="74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</row>
    <row r="367" ht="14.25" spans="1:43">
      <c r="A367" s="74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</row>
    <row r="368" ht="14.25" spans="1:43">
      <c r="A368" s="74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</row>
    <row r="369" ht="14.25" spans="1:43">
      <c r="A369" s="74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</row>
    <row r="370" ht="14.25" spans="1:43">
      <c r="A370" s="74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</row>
    <row r="371" ht="14.25" spans="1:43">
      <c r="A371" s="74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</row>
    <row r="372" ht="14.25" spans="1:43">
      <c r="A372" s="74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</row>
    <row r="373" ht="14.25" spans="1:43">
      <c r="A373" s="74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</row>
    <row r="374" ht="14.25" spans="1:43">
      <c r="A374" s="74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</row>
    <row r="375" ht="14.25" spans="1:43">
      <c r="A375" s="74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</row>
    <row r="376" ht="14.25" spans="1:43">
      <c r="A376" s="74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</row>
    <row r="377" ht="14.25" spans="1:43">
      <c r="A377" s="74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</row>
    <row r="378" ht="14.25" spans="1:43">
      <c r="A378" s="74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</row>
    <row r="379" ht="14.25" spans="1:43">
      <c r="A379" s="74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</row>
    <row r="380" ht="14.25" spans="1:43">
      <c r="A380" s="74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</row>
    <row r="381" ht="14.25" spans="1:43">
      <c r="A381" s="74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</row>
    <row r="382" ht="14.25" spans="1:43">
      <c r="A382" s="74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</row>
    <row r="383" ht="14.25" spans="1:43">
      <c r="A383" s="74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</row>
    <row r="384" ht="14.25" spans="1:43">
      <c r="A384" s="74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</row>
    <row r="385" ht="14.25" spans="1:43">
      <c r="A385" s="74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</row>
    <row r="386" ht="14.25" spans="1:43">
      <c r="A386" s="74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</row>
    <row r="387" ht="14.25" spans="1:43">
      <c r="A387" s="74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</row>
    <row r="388" ht="14.25" spans="1:43">
      <c r="A388" s="74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</row>
    <row r="389" ht="14.25" spans="1:43">
      <c r="A389" s="74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</row>
    <row r="390" ht="14.25" spans="1:43">
      <c r="A390" s="74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</row>
    <row r="391" ht="14.25" spans="1:43">
      <c r="A391" s="74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</row>
    <row r="392" ht="14.25" spans="1:43">
      <c r="A392" s="74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</row>
    <row r="393" ht="14.25" spans="1:43">
      <c r="A393" s="74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</row>
    <row r="394" ht="14.25" spans="1:43">
      <c r="A394" s="74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</row>
    <row r="395" ht="14.25" spans="1:43">
      <c r="A395" s="74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</row>
    <row r="396" ht="14.25" spans="1:43">
      <c r="A396" s="74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</row>
    <row r="397" ht="14.25" spans="1:43">
      <c r="A397" s="74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</row>
    <row r="398" ht="14.25" spans="1:43">
      <c r="A398" s="74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</row>
    <row r="399" ht="14.25" spans="1:43">
      <c r="A399" s="74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</row>
    <row r="400" ht="14.25" spans="1:43">
      <c r="A400" s="74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</row>
    <row r="401" ht="14.25" spans="1:43">
      <c r="A401" s="74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</row>
    <row r="402" ht="14.25" spans="1:43">
      <c r="A402" s="74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</row>
    <row r="403" ht="14.25" spans="1:43">
      <c r="A403" s="74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</row>
    <row r="404" ht="14.25" spans="1:43">
      <c r="A404" s="74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</row>
    <row r="405" ht="14.25" spans="1:43">
      <c r="A405" s="74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</row>
    <row r="406" ht="14.25" spans="1:43">
      <c r="A406" s="74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</row>
    <row r="407" ht="14.25" spans="1:43">
      <c r="A407" s="74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</row>
    <row r="408" ht="14.25" spans="1:43">
      <c r="A408" s="74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</row>
    <row r="409" ht="14.25" spans="1:43">
      <c r="A409" s="74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</row>
    <row r="410" ht="14.25" spans="1:43">
      <c r="A410" s="74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</row>
    <row r="411" ht="14.25" spans="1:43">
      <c r="A411" s="74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</row>
    <row r="412" ht="14.25" spans="1:43">
      <c r="A412" s="74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</row>
    <row r="413" ht="14.25" spans="1:43">
      <c r="A413" s="74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</row>
    <row r="414" ht="14.25" spans="1:43">
      <c r="A414" s="74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</row>
    <row r="415" ht="14.25" spans="1:43">
      <c r="A415" s="74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</row>
    <row r="416" ht="14.25" spans="1:43">
      <c r="A416" s="74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</row>
    <row r="417" ht="14.25" spans="1:43">
      <c r="A417" s="74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</row>
    <row r="418" ht="14.25" spans="1:43">
      <c r="A418" s="74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</row>
    <row r="419" ht="14.25" spans="1:43">
      <c r="A419" s="74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</row>
    <row r="420" ht="14.25" spans="1:43">
      <c r="A420" s="74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</row>
    <row r="421" ht="14.25" spans="1:43">
      <c r="A421" s="74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</row>
    <row r="422" ht="14.25" spans="1:43">
      <c r="A422" s="74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</row>
    <row r="423" ht="14.25" spans="1:43">
      <c r="A423" s="74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</row>
    <row r="424" ht="14.25" spans="1:43">
      <c r="A424" s="74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</row>
    <row r="425" ht="14.25" spans="1:43">
      <c r="A425" s="74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</row>
    <row r="426" ht="14.25" spans="1:43">
      <c r="A426" s="74"/>
      <c r="B426" s="20"/>
      <c r="C426" s="20"/>
      <c r="D426" s="20"/>
      <c r="E426" s="20"/>
      <c r="F426" s="77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</row>
    <row r="427" ht="14.25" spans="1:43">
      <c r="A427" s="74"/>
      <c r="B427" s="20"/>
      <c r="C427" s="20"/>
      <c r="D427" s="20"/>
      <c r="E427" s="20"/>
      <c r="F427" s="77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</row>
    <row r="428" ht="14.25" spans="1:43">
      <c r="A428" s="74"/>
      <c r="B428" s="20"/>
      <c r="C428" s="20"/>
      <c r="D428" s="20"/>
      <c r="E428" s="20"/>
      <c r="F428" s="77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</row>
    <row r="429" ht="14.25" spans="1:43">
      <c r="A429" s="74"/>
      <c r="B429" s="20"/>
      <c r="C429" s="20"/>
      <c r="D429" s="20"/>
      <c r="E429" s="20"/>
      <c r="F429" s="77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</row>
    <row r="430" ht="14.25" spans="1:43">
      <c r="A430" s="74"/>
      <c r="B430" s="20"/>
      <c r="C430" s="20"/>
      <c r="D430" s="20"/>
      <c r="E430" s="20"/>
      <c r="F430" s="77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</row>
    <row r="431" ht="14.25" spans="1:43">
      <c r="A431" s="74"/>
      <c r="B431" s="20"/>
      <c r="C431" s="20"/>
      <c r="D431" s="20"/>
      <c r="E431" s="20"/>
      <c r="F431" s="77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</row>
    <row r="432" ht="14.25" spans="1:43">
      <c r="A432" s="74"/>
      <c r="B432" s="20"/>
      <c r="C432" s="20"/>
      <c r="D432" s="20"/>
      <c r="E432" s="20"/>
      <c r="F432" s="77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</row>
    <row r="433" ht="14.25" spans="1:43">
      <c r="A433" s="74"/>
      <c r="B433" s="20"/>
      <c r="C433" s="20"/>
      <c r="D433" s="20"/>
      <c r="E433" s="20"/>
      <c r="F433" s="77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</row>
    <row r="434" ht="14.25" spans="1:43">
      <c r="A434" s="74"/>
      <c r="B434" s="20"/>
      <c r="C434" s="20"/>
      <c r="D434" s="20"/>
      <c r="E434" s="20"/>
      <c r="F434" s="77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</row>
    <row r="435" ht="14.25" spans="1:43">
      <c r="A435" s="74"/>
      <c r="B435" s="20"/>
      <c r="C435" s="20"/>
      <c r="D435" s="20"/>
      <c r="E435" s="20"/>
      <c r="F435" s="77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</row>
    <row r="436" ht="14.25" spans="1:43">
      <c r="A436" s="74"/>
      <c r="B436" s="20"/>
      <c r="C436" s="20"/>
      <c r="D436" s="20"/>
      <c r="E436" s="20"/>
      <c r="F436" s="77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</row>
    <row r="437" ht="14.25" spans="1:43">
      <c r="A437" s="74"/>
      <c r="B437" s="20"/>
      <c r="C437" s="20"/>
      <c r="D437" s="20"/>
      <c r="E437" s="20"/>
      <c r="F437" s="77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</row>
    <row r="438" ht="14.25" spans="1:43">
      <c r="A438" s="74"/>
      <c r="B438" s="20"/>
      <c r="C438" s="20"/>
      <c r="D438" s="20"/>
      <c r="E438" s="20"/>
      <c r="F438" s="77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</row>
    <row r="439" ht="14.25" spans="1:43">
      <c r="A439" s="74"/>
      <c r="B439" s="20"/>
      <c r="C439" s="20"/>
      <c r="D439" s="20"/>
      <c r="E439" s="20"/>
      <c r="F439" s="77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</row>
    <row r="440" ht="14.25" spans="1:43">
      <c r="A440" s="74"/>
      <c r="B440" s="20"/>
      <c r="C440" s="20"/>
      <c r="D440" s="20"/>
      <c r="E440" s="20"/>
      <c r="F440" s="77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</row>
    <row r="441" ht="14.25" spans="1:43">
      <c r="A441" s="74"/>
      <c r="B441" s="20"/>
      <c r="C441" s="20"/>
      <c r="D441" s="20"/>
      <c r="E441" s="20"/>
      <c r="F441" s="77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</row>
    <row r="442" ht="14.25" spans="1:43">
      <c r="A442" s="74"/>
      <c r="B442" s="20"/>
      <c r="C442" s="20"/>
      <c r="D442" s="20"/>
      <c r="E442" s="20"/>
      <c r="F442" s="77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</row>
    <row r="443" ht="14.25" spans="1:43">
      <c r="A443" s="74"/>
      <c r="B443" s="20"/>
      <c r="C443" s="20"/>
      <c r="D443" s="20"/>
      <c r="E443" s="20"/>
      <c r="F443" s="77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</row>
    <row r="444" ht="14.25" spans="1:43">
      <c r="A444" s="74"/>
      <c r="B444" s="20"/>
      <c r="C444" s="20"/>
      <c r="D444" s="20"/>
      <c r="E444" s="20"/>
      <c r="F444" s="77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</row>
    <row r="445" ht="14.25" spans="1:43">
      <c r="A445" s="74"/>
      <c r="B445" s="20"/>
      <c r="C445" s="20"/>
      <c r="D445" s="20"/>
      <c r="E445" s="20"/>
      <c r="F445" s="77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</row>
    <row r="446" ht="14.25" spans="1:43">
      <c r="A446" s="74"/>
      <c r="B446" s="20"/>
      <c r="C446" s="20"/>
      <c r="D446" s="20"/>
      <c r="E446" s="20"/>
      <c r="F446" s="77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</row>
    <row r="447" ht="14.25" spans="1:43">
      <c r="A447" s="74"/>
      <c r="B447" s="20"/>
      <c r="C447" s="20"/>
      <c r="D447" s="20"/>
      <c r="E447" s="20"/>
      <c r="F447" s="77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</row>
    <row r="448" ht="14.25" spans="1:43">
      <c r="A448" s="74"/>
      <c r="B448" s="20"/>
      <c r="C448" s="20"/>
      <c r="D448" s="20"/>
      <c r="E448" s="20"/>
      <c r="F448" s="77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</row>
    <row r="449" ht="14.25" spans="1:43">
      <c r="A449" s="74"/>
      <c r="B449" s="20"/>
      <c r="C449" s="20"/>
      <c r="D449" s="20"/>
      <c r="E449" s="20"/>
      <c r="F449" s="77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</row>
    <row r="450" ht="14.25" spans="1:43">
      <c r="A450" s="74"/>
      <c r="B450" s="20"/>
      <c r="C450" s="20"/>
      <c r="D450" s="20"/>
      <c r="E450" s="20"/>
      <c r="F450" s="77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</row>
    <row r="451" ht="14.25" spans="1:43">
      <c r="A451" s="74"/>
      <c r="B451" s="20"/>
      <c r="C451" s="20"/>
      <c r="D451" s="20"/>
      <c r="E451" s="20"/>
      <c r="F451" s="77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</row>
    <row r="452" ht="14.25" spans="1:43">
      <c r="A452" s="74"/>
      <c r="B452" s="20"/>
      <c r="C452" s="20"/>
      <c r="D452" s="20"/>
      <c r="E452" s="20"/>
      <c r="F452" s="77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</row>
    <row r="453" ht="14.25" spans="1:43">
      <c r="A453" s="74"/>
      <c r="B453" s="20"/>
      <c r="C453" s="20"/>
      <c r="D453" s="20"/>
      <c r="E453" s="20"/>
      <c r="F453" s="77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</row>
    <row r="454" ht="14.25" spans="1:43">
      <c r="A454" s="74"/>
      <c r="B454" s="20"/>
      <c r="C454" s="20"/>
      <c r="D454" s="20"/>
      <c r="E454" s="20"/>
      <c r="F454" s="77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</row>
    <row r="455" ht="14.25" spans="1:43">
      <c r="A455" s="74"/>
      <c r="B455" s="20"/>
      <c r="C455" s="20"/>
      <c r="D455" s="20"/>
      <c r="E455" s="20"/>
      <c r="F455" s="77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</row>
    <row r="456" ht="14.25" spans="1:43">
      <c r="A456" s="74"/>
      <c r="B456" s="20"/>
      <c r="C456" s="20"/>
      <c r="D456" s="20"/>
      <c r="E456" s="20"/>
      <c r="F456" s="77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</row>
    <row r="457" ht="14.25" spans="1:43">
      <c r="A457" s="74"/>
      <c r="B457" s="20"/>
      <c r="C457" s="20"/>
      <c r="D457" s="20"/>
      <c r="E457" s="20"/>
      <c r="F457" s="77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</row>
    <row r="458" ht="14.25" spans="1:43">
      <c r="A458" s="74"/>
      <c r="B458" s="20"/>
      <c r="C458" s="20"/>
      <c r="D458" s="20"/>
      <c r="E458" s="20"/>
      <c r="F458" s="77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</row>
    <row r="459" ht="14.25" spans="1:43">
      <c r="A459" s="74"/>
      <c r="B459" s="20"/>
      <c r="C459" s="20"/>
      <c r="D459" s="20"/>
      <c r="E459" s="20"/>
      <c r="F459" s="77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</row>
    <row r="460" ht="14.25" spans="1:43">
      <c r="A460" s="74"/>
      <c r="B460" s="20"/>
      <c r="C460" s="20"/>
      <c r="D460" s="20"/>
      <c r="E460" s="20"/>
      <c r="F460" s="77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</row>
    <row r="461" ht="14.25" spans="1:43">
      <c r="A461" s="74"/>
      <c r="B461" s="20"/>
      <c r="C461" s="20"/>
      <c r="D461" s="20"/>
      <c r="E461" s="20"/>
      <c r="F461" s="77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</row>
    <row r="462" ht="14.25" spans="1:43">
      <c r="A462" s="74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</row>
    <row r="463" ht="14.25" spans="1:43">
      <c r="A463" s="74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</row>
    <row r="464" ht="14.25" spans="1:43">
      <c r="A464" s="74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</row>
    <row r="465" ht="14.25" spans="1:43">
      <c r="A465" s="74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</row>
    <row r="466" ht="14.25" spans="1:43">
      <c r="A466" s="74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</row>
    <row r="467" ht="14.25" spans="1:43">
      <c r="A467" s="74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</row>
    <row r="468" ht="14.25" spans="1:43">
      <c r="A468" s="74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</row>
    <row r="469" ht="14.25" spans="1:43">
      <c r="A469" s="74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</row>
    <row r="470" ht="14.25" spans="1:43">
      <c r="A470" s="74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</row>
    <row r="471" ht="14.25" spans="1:43">
      <c r="A471" s="74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</row>
    <row r="472" ht="14.25" spans="1:43">
      <c r="A472" s="74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</row>
    <row r="473" ht="14.25" spans="1:43">
      <c r="A473" s="74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</row>
    <row r="474" ht="14.25" spans="1:43">
      <c r="A474" s="74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</row>
    <row r="475" ht="14.25" spans="1:43">
      <c r="A475" s="74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</row>
    <row r="476" ht="14.25" spans="1:43">
      <c r="A476" s="74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</row>
    <row r="477" ht="14.25" spans="1:43">
      <c r="A477" s="74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</row>
    <row r="478" ht="14.25" spans="1:43">
      <c r="A478" s="74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</row>
    <row r="479" ht="14.25" spans="1:43">
      <c r="A479" s="74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</row>
    <row r="480" ht="14.25" spans="1:43">
      <c r="A480" s="74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</row>
    <row r="481" ht="14.25" spans="1:43">
      <c r="A481" s="74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</row>
    <row r="482" ht="14.25" spans="1:43">
      <c r="A482" s="74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</row>
    <row r="483" ht="14.25" spans="1:43">
      <c r="A483" s="74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</row>
    <row r="484" ht="14.25" spans="1:43">
      <c r="A484" s="74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</row>
    <row r="485" ht="14.25" spans="1:43">
      <c r="A485" s="74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</row>
    <row r="486" ht="14.25" spans="1:43">
      <c r="A486" s="74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</row>
    <row r="487" ht="14.25" spans="1:43">
      <c r="A487" s="74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</row>
    <row r="488" ht="14.25" spans="1:43">
      <c r="A488" s="74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</row>
    <row r="489" ht="14.25" spans="1:43">
      <c r="A489" s="74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</row>
    <row r="490" ht="14.25" spans="1:43">
      <c r="A490" s="74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</row>
    <row r="491" ht="14.25" spans="1:43">
      <c r="A491" s="74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</row>
    <row r="492" ht="14.25" spans="1:43">
      <c r="A492" s="74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</row>
    <row r="493" ht="14.25" spans="1:43">
      <c r="A493" s="74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</row>
    <row r="494" ht="14.25" spans="1:43">
      <c r="A494" s="74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</row>
    <row r="495" ht="14.25" spans="1:43">
      <c r="A495" s="74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</row>
    <row r="496" ht="14.25" spans="1:43">
      <c r="A496" s="74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</row>
    <row r="497" ht="14.25" spans="1:43">
      <c r="A497" s="74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</row>
    <row r="498" ht="14.25" spans="1:43">
      <c r="A498" s="74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</row>
    <row r="499" ht="14.25" spans="1:43">
      <c r="A499" s="74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</row>
    <row r="500" ht="14.25" spans="1:43">
      <c r="A500" s="74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</row>
    <row r="501" ht="14.25" spans="1:43">
      <c r="A501" s="74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</row>
    <row r="502" ht="14.25" spans="1:43">
      <c r="A502" s="74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</row>
    <row r="503" ht="14.25" spans="1:43">
      <c r="A503" s="74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</row>
    <row r="504" ht="14.25" spans="1:43">
      <c r="A504" s="74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</row>
    <row r="505" ht="14.25" spans="1:43">
      <c r="A505" s="74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</row>
    <row r="506" ht="14.25" spans="1:43">
      <c r="A506" s="74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</row>
    <row r="507" ht="14.25" spans="1:43">
      <c r="A507" s="74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</row>
    <row r="508" ht="14.25" spans="1:43">
      <c r="A508" s="74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</row>
    <row r="509" ht="14.25" spans="1:43">
      <c r="A509" s="74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</row>
    <row r="510" ht="14.25" spans="1:43">
      <c r="A510" s="74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</row>
    <row r="511" ht="14.25" spans="1:43">
      <c r="A511" s="74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</row>
    <row r="512" ht="14.25" spans="1:43">
      <c r="A512" s="74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</row>
    <row r="513" ht="14.25" spans="1:43">
      <c r="A513" s="74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</row>
    <row r="514" ht="14.25" spans="1:43">
      <c r="A514" s="74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</row>
    <row r="515" ht="14.25" spans="1:43">
      <c r="A515" s="74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</row>
    <row r="516" ht="14.25" spans="1:43">
      <c r="A516" s="74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</row>
    <row r="517" ht="14.25" spans="1:43">
      <c r="A517" s="74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</row>
    <row r="518" ht="14.25" spans="1:43">
      <c r="A518" s="74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</row>
    <row r="519" ht="14.25" spans="1:43">
      <c r="A519" s="74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</row>
    <row r="520" ht="14.25" spans="1:43">
      <c r="A520" s="74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</row>
    <row r="521" ht="14.25" spans="1:43">
      <c r="A521" s="74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</row>
    <row r="522" ht="14.25" spans="1:43">
      <c r="A522" s="74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</row>
    <row r="523" ht="14.25" spans="1:43">
      <c r="A523" s="74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</row>
    <row r="524" ht="14.25" spans="1:43">
      <c r="A524" s="74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</row>
    <row r="525" ht="14.25" spans="1:43">
      <c r="A525" s="74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</row>
    <row r="526" ht="14.25" spans="1:43">
      <c r="A526" s="74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</row>
    <row r="527" ht="14.25" spans="1:43">
      <c r="A527" s="74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</row>
    <row r="528" ht="14.25" spans="1:43">
      <c r="A528" s="74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</row>
    <row r="529" ht="14.25" spans="1:43">
      <c r="A529" s="74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</row>
    <row r="530" ht="14.25" spans="1:43">
      <c r="A530" s="74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</row>
    <row r="531" ht="14.25" spans="1:43">
      <c r="A531" s="74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</row>
    <row r="532" ht="14.25" spans="1:43">
      <c r="A532" s="74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</row>
    <row r="533" ht="14.25" spans="1:43">
      <c r="A533" s="74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</row>
    <row r="534" ht="14.25" spans="1:43">
      <c r="A534" s="74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</row>
    <row r="535" ht="14.25" spans="1:43">
      <c r="A535" s="74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</row>
    <row r="536" ht="14.25" spans="1:43">
      <c r="A536" s="74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</row>
    <row r="537" ht="14.25" spans="1:43">
      <c r="A537" s="74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</row>
    <row r="538" ht="14.25" spans="1:43">
      <c r="A538" s="74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</row>
    <row r="539" ht="14.25" spans="1:43">
      <c r="A539" s="74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</row>
    <row r="540" ht="14.25" spans="1:43">
      <c r="A540" s="74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</row>
    <row r="541" ht="14.25" spans="1:43">
      <c r="A541" s="74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</row>
    <row r="542" ht="14.25" spans="1:43">
      <c r="A542" s="74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</row>
    <row r="543" ht="14.25" spans="1:43">
      <c r="A543" s="74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</row>
    <row r="544" ht="14.25" spans="1:43">
      <c r="A544" s="74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</row>
    <row r="545" ht="14.25" spans="1:43">
      <c r="A545" s="74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</row>
    <row r="546" ht="14.25" spans="1:43">
      <c r="A546" s="74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</row>
    <row r="547" ht="14.25" spans="1:43">
      <c r="A547" s="74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</row>
    <row r="548" ht="14.25" spans="1:43">
      <c r="A548" s="74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</row>
    <row r="549" ht="14.25" spans="1:43">
      <c r="A549" s="74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</row>
    <row r="550" ht="14.25" spans="1:43">
      <c r="A550" s="74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</row>
    <row r="551" ht="14.25" spans="1:43">
      <c r="A551" s="74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</row>
    <row r="552" ht="14.25" spans="1:43">
      <c r="A552" s="74"/>
      <c r="B552" s="20"/>
      <c r="C552" s="20"/>
      <c r="D552" s="20"/>
      <c r="E552" s="20"/>
      <c r="F552" s="77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</row>
    <row r="553" ht="14.25" spans="1:43">
      <c r="A553" s="74"/>
      <c r="B553" s="20"/>
      <c r="C553" s="20"/>
      <c r="D553" s="20"/>
      <c r="E553" s="20"/>
      <c r="F553" s="77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</row>
    <row r="554" ht="14.25" spans="1:43">
      <c r="A554" s="74"/>
      <c r="B554" s="20"/>
      <c r="C554" s="20"/>
      <c r="D554" s="20"/>
      <c r="E554" s="20"/>
      <c r="F554" s="77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</row>
    <row r="555" ht="14.25" spans="1:43">
      <c r="A555" s="74"/>
      <c r="B555" s="20"/>
      <c r="C555" s="20"/>
      <c r="D555" s="20"/>
      <c r="E555" s="20"/>
      <c r="F555" s="77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</row>
    <row r="556" ht="14.25" spans="1:43">
      <c r="A556" s="74"/>
      <c r="B556" s="20"/>
      <c r="C556" s="20"/>
      <c r="D556" s="20"/>
      <c r="E556" s="20"/>
      <c r="F556" s="77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</row>
    <row r="557" ht="14.25" spans="1:43">
      <c r="A557" s="74"/>
      <c r="B557" s="20"/>
      <c r="C557" s="20"/>
      <c r="D557" s="20"/>
      <c r="E557" s="20"/>
      <c r="F557" s="77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</row>
    <row r="558" ht="14.25" spans="1:43">
      <c r="A558" s="74"/>
      <c r="B558" s="20"/>
      <c r="C558" s="20"/>
      <c r="D558" s="20"/>
      <c r="E558" s="20"/>
      <c r="F558" s="77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</row>
    <row r="559" ht="14.25" spans="1:43">
      <c r="A559" s="74"/>
      <c r="B559" s="20"/>
      <c r="C559" s="20"/>
      <c r="D559" s="20"/>
      <c r="E559" s="20"/>
      <c r="F559" s="77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</row>
    <row r="560" ht="14.25" spans="1:43">
      <c r="A560" s="74"/>
      <c r="B560" s="20"/>
      <c r="C560" s="20"/>
      <c r="D560" s="20"/>
      <c r="E560" s="20"/>
      <c r="F560" s="77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</row>
    <row r="561" ht="14.25" spans="1:43">
      <c r="A561" s="74"/>
      <c r="B561" s="20"/>
      <c r="C561" s="20"/>
      <c r="D561" s="20"/>
      <c r="E561" s="20"/>
      <c r="F561" s="77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</row>
    <row r="562" ht="14.25" spans="1:43">
      <c r="A562" s="74"/>
      <c r="B562" s="20"/>
      <c r="C562" s="20"/>
      <c r="D562" s="20"/>
      <c r="E562" s="20"/>
      <c r="F562" s="77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</row>
    <row r="563" ht="14.25" spans="1:43">
      <c r="A563" s="74"/>
      <c r="B563" s="20"/>
      <c r="C563" s="20"/>
      <c r="D563" s="20"/>
      <c r="E563" s="20"/>
      <c r="F563" s="77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</row>
    <row r="564" ht="14.25" spans="1:43">
      <c r="A564" s="74"/>
      <c r="B564" s="20"/>
      <c r="C564" s="20"/>
      <c r="D564" s="20"/>
      <c r="E564" s="20"/>
      <c r="F564" s="77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</row>
    <row r="565" ht="14.25" spans="1:43">
      <c r="A565" s="74"/>
      <c r="B565" s="20"/>
      <c r="C565" s="20"/>
      <c r="D565" s="20"/>
      <c r="E565" s="20"/>
      <c r="F565" s="77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</row>
    <row r="566" ht="14.25" spans="1:43">
      <c r="A566" s="74"/>
      <c r="B566" s="20"/>
      <c r="C566" s="20"/>
      <c r="D566" s="20"/>
      <c r="E566" s="20"/>
      <c r="F566" s="77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</row>
    <row r="567" ht="14.25" spans="1:43">
      <c r="A567" s="74"/>
      <c r="B567" s="20"/>
      <c r="C567" s="20"/>
      <c r="D567" s="20"/>
      <c r="E567" s="20"/>
      <c r="F567" s="77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</row>
    <row r="568" ht="14.25" spans="1:43">
      <c r="A568" s="74"/>
      <c r="B568" s="20"/>
      <c r="C568" s="20"/>
      <c r="D568" s="20"/>
      <c r="E568" s="20"/>
      <c r="F568" s="77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</row>
    <row r="569" ht="14.25" spans="1:43">
      <c r="A569" s="74"/>
      <c r="B569" s="20"/>
      <c r="C569" s="20"/>
      <c r="D569" s="20"/>
      <c r="E569" s="20"/>
      <c r="F569" s="77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</row>
    <row r="570" ht="14.25" spans="1:43">
      <c r="A570" s="74"/>
      <c r="B570" s="20"/>
      <c r="C570" s="20"/>
      <c r="D570" s="20"/>
      <c r="E570" s="20"/>
      <c r="F570" s="77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</row>
    <row r="571" ht="14.25" spans="1:43">
      <c r="A571" s="74"/>
      <c r="B571" s="20"/>
      <c r="C571" s="20"/>
      <c r="D571" s="20"/>
      <c r="E571" s="20"/>
      <c r="F571" s="77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</row>
    <row r="572" ht="14.25" spans="1:43">
      <c r="A572" s="74"/>
      <c r="B572" s="20"/>
      <c r="C572" s="20"/>
      <c r="D572" s="20"/>
      <c r="E572" s="20"/>
      <c r="F572" s="77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</row>
    <row r="573" ht="14.25" spans="1:43">
      <c r="A573" s="74"/>
      <c r="B573" s="20"/>
      <c r="C573" s="20"/>
      <c r="D573" s="20"/>
      <c r="E573" s="20"/>
      <c r="F573" s="77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</row>
    <row r="574" ht="14.25" spans="1:43">
      <c r="A574" s="74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</row>
    <row r="575" ht="14.25" spans="1:43">
      <c r="A575" s="74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</row>
    <row r="576" ht="14.25" spans="1:43">
      <c r="A576" s="74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</row>
    <row r="577" ht="14.25" spans="1:43">
      <c r="A577" s="74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</row>
    <row r="578" ht="14.25" spans="1:43">
      <c r="A578" s="74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</row>
    <row r="579" ht="14.25" spans="1:43">
      <c r="A579" s="74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</row>
    <row r="580" ht="14.25" spans="1:43">
      <c r="A580" s="74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</row>
    <row r="581" ht="14.25" spans="1:43">
      <c r="A581" s="74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</row>
    <row r="582" ht="14.25" spans="1:43">
      <c r="A582" s="74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</row>
    <row r="583" ht="14.25" spans="1:43">
      <c r="A583" s="74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</row>
    <row r="584" ht="14.25" spans="1:43">
      <c r="A584" s="74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</row>
    <row r="585" ht="14.25" spans="1:43">
      <c r="A585" s="74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</row>
    <row r="586" ht="14.25" spans="1:43">
      <c r="A586" s="74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</row>
    <row r="587" ht="14.25" spans="1:43">
      <c r="A587" s="74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</row>
    <row r="588" ht="14.25" spans="1:43">
      <c r="A588" s="74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</row>
    <row r="589" ht="14.25" spans="1:43">
      <c r="A589" s="74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</row>
    <row r="590" ht="14.25" spans="1:43">
      <c r="A590" s="74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</row>
    <row r="591" ht="14.25" spans="1:43">
      <c r="A591" s="74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</row>
    <row r="592" ht="14.25" spans="1:43">
      <c r="A592" s="74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</row>
    <row r="593" ht="14.25" spans="1:43">
      <c r="A593" s="74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</row>
    <row r="594" ht="14.25" spans="1:43">
      <c r="A594" s="74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</row>
    <row r="595" ht="14.25" spans="1:43">
      <c r="A595" s="74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</row>
    <row r="596" ht="14.25" spans="1:43">
      <c r="A596" s="74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</row>
    <row r="597" ht="14.25" spans="1:43">
      <c r="A597" s="74"/>
      <c r="B597" s="20"/>
      <c r="C597" s="20"/>
      <c r="D597" s="20"/>
      <c r="E597" s="20"/>
      <c r="F597" s="77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</row>
    <row r="598" ht="14.25" spans="1:43">
      <c r="A598" s="74"/>
      <c r="B598" s="20"/>
      <c r="C598" s="20"/>
      <c r="D598" s="20"/>
      <c r="E598" s="20"/>
      <c r="F598" s="77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</row>
    <row r="599" ht="14.25" spans="1:43">
      <c r="A599" s="74"/>
      <c r="B599" s="20"/>
      <c r="C599" s="20"/>
      <c r="D599" s="20"/>
      <c r="E599" s="20"/>
      <c r="F599" s="77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</row>
    <row r="600" ht="14.25" spans="1:43">
      <c r="A600" s="74"/>
      <c r="B600" s="20"/>
      <c r="C600" s="20"/>
      <c r="D600" s="20"/>
      <c r="E600" s="20"/>
      <c r="F600" s="77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</row>
    <row r="601" ht="14.25" spans="1:43">
      <c r="A601" s="74"/>
      <c r="B601" s="20"/>
      <c r="C601" s="20"/>
      <c r="D601" s="20"/>
      <c r="E601" s="20"/>
      <c r="F601" s="77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</row>
    <row r="602" ht="14.25" spans="1:43">
      <c r="A602" s="74"/>
      <c r="B602" s="20"/>
      <c r="C602" s="20"/>
      <c r="D602" s="20"/>
      <c r="E602" s="20"/>
      <c r="F602" s="77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</row>
    <row r="603" ht="14.25" spans="1:43">
      <c r="A603" s="74"/>
      <c r="B603" s="20"/>
      <c r="C603" s="20"/>
      <c r="D603" s="20"/>
      <c r="E603" s="20"/>
      <c r="F603" s="77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</row>
    <row r="604" ht="14.25" spans="1:43">
      <c r="A604" s="74"/>
      <c r="B604" s="20"/>
      <c r="C604" s="20"/>
      <c r="D604" s="20"/>
      <c r="E604" s="20"/>
      <c r="F604" s="77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</row>
    <row r="605" ht="14.25" spans="1:43">
      <c r="A605" s="74"/>
      <c r="B605" s="20"/>
      <c r="C605" s="20"/>
      <c r="D605" s="20"/>
      <c r="E605" s="20"/>
      <c r="F605" s="77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</row>
    <row r="606" ht="14.25" spans="1:43">
      <c r="A606" s="74"/>
      <c r="B606" s="20"/>
      <c r="C606" s="20"/>
      <c r="D606" s="20"/>
      <c r="E606" s="20"/>
      <c r="F606" s="77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</row>
    <row r="607" ht="14.25" spans="1:43">
      <c r="A607" s="74"/>
      <c r="B607" s="20"/>
      <c r="C607" s="20"/>
      <c r="D607" s="20"/>
      <c r="E607" s="20"/>
      <c r="F607" s="77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</row>
    <row r="608" ht="14.25" spans="1:43">
      <c r="A608" s="74"/>
      <c r="B608" s="20"/>
      <c r="C608" s="20"/>
      <c r="D608" s="20"/>
      <c r="E608" s="20"/>
      <c r="F608" s="77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</row>
    <row r="609" ht="14.25" spans="1:43">
      <c r="A609" s="74"/>
      <c r="B609" s="20"/>
      <c r="C609" s="20"/>
      <c r="D609" s="20"/>
      <c r="E609" s="20"/>
      <c r="F609" s="77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</row>
    <row r="610" ht="14.25" spans="1:43">
      <c r="A610" s="74"/>
      <c r="B610" s="20"/>
      <c r="C610" s="20"/>
      <c r="D610" s="20"/>
      <c r="E610" s="20"/>
      <c r="F610" s="77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</row>
    <row r="611" ht="14.25" spans="1:43">
      <c r="A611" s="74"/>
      <c r="B611" s="20"/>
      <c r="C611" s="20"/>
      <c r="D611" s="20"/>
      <c r="E611" s="20"/>
      <c r="F611" s="77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</row>
    <row r="612" ht="14.25" spans="1:43">
      <c r="A612" s="74"/>
      <c r="B612" s="20"/>
      <c r="C612" s="20"/>
      <c r="D612" s="20"/>
      <c r="E612" s="20"/>
      <c r="F612" s="77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</row>
    <row r="613" ht="14.25" spans="1:43">
      <c r="A613" s="74"/>
      <c r="B613" s="20"/>
      <c r="C613" s="20"/>
      <c r="D613" s="20"/>
      <c r="E613" s="20"/>
      <c r="F613" s="77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</row>
    <row r="614" ht="14.25" spans="1:43">
      <c r="A614" s="74"/>
      <c r="B614" s="20"/>
      <c r="C614" s="20"/>
      <c r="D614" s="20"/>
      <c r="E614" s="20"/>
      <c r="F614" s="77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</row>
    <row r="615" ht="14.25" spans="1:43">
      <c r="A615" s="74"/>
      <c r="B615" s="20"/>
      <c r="C615" s="20"/>
      <c r="D615" s="20"/>
      <c r="E615" s="20"/>
      <c r="F615" s="77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</row>
    <row r="616" ht="14.25" spans="1:43">
      <c r="A616" s="74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</row>
    <row r="617" ht="14.25" spans="1:43">
      <c r="A617" s="74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</row>
    <row r="618" ht="14.25" spans="1:43">
      <c r="A618" s="74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</row>
    <row r="619" ht="14.25" spans="1:43">
      <c r="A619" s="74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</row>
    <row r="620" ht="14.25" spans="1:43">
      <c r="A620" s="74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</row>
    <row r="621" ht="14.25" spans="1:43">
      <c r="A621" s="74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</row>
    <row r="622" ht="14.25" spans="1:43">
      <c r="A622" s="74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</row>
    <row r="623" ht="14.25" spans="1:43">
      <c r="A623" s="74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</row>
    <row r="624" ht="14.25" spans="1:43">
      <c r="A624" s="74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</row>
    <row r="625" ht="14.25" spans="1:43">
      <c r="A625" s="74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</row>
    <row r="626" ht="14.25" spans="1:43">
      <c r="A626" s="74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</row>
    <row r="627" ht="14.25" spans="1:43">
      <c r="A627" s="74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</row>
    <row r="628" ht="14.25" spans="1:43">
      <c r="A628" s="74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</row>
    <row r="629" ht="14.25" spans="1:43">
      <c r="A629" s="74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</row>
    <row r="630" ht="14.25" spans="1:43">
      <c r="A630" s="74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</row>
    <row r="631" ht="14.25" spans="1:43">
      <c r="A631" s="74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</row>
    <row r="632" ht="14.25" spans="1:43">
      <c r="A632" s="74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</row>
    <row r="633" ht="14.25" spans="1:43">
      <c r="A633" s="74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</row>
    <row r="634" ht="14.25" spans="1:43">
      <c r="A634" s="74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</row>
    <row r="635" ht="14.25" spans="1:43">
      <c r="A635" s="74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</row>
    <row r="636" ht="14.25" spans="1:43">
      <c r="A636" s="74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</row>
    <row r="637" ht="14.25" spans="1:43">
      <c r="A637" s="74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</row>
    <row r="638" ht="14.25" spans="1:43">
      <c r="A638" s="74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</row>
    <row r="639" ht="14.25" spans="1:43">
      <c r="A639" s="74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</row>
    <row r="640" ht="14.25" spans="1:43">
      <c r="A640" s="74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</row>
    <row r="641" ht="14.25" spans="1:43">
      <c r="A641" s="74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</row>
    <row r="642" ht="14.25" spans="1:43">
      <c r="A642" s="74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</row>
    <row r="643" ht="14.25" spans="1:43">
      <c r="A643" s="74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</row>
    <row r="644" ht="14.25" spans="1:43">
      <c r="A644" s="74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</row>
    <row r="645" ht="14.25" spans="1:43">
      <c r="A645" s="74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</row>
    <row r="646" ht="14.25" spans="1:43">
      <c r="A646" s="74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</row>
    <row r="647" ht="14.25" spans="1:43">
      <c r="A647" s="74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</row>
    <row r="648" ht="14.25" spans="1:43">
      <c r="A648" s="74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</row>
    <row r="649" ht="14.25" spans="1:43">
      <c r="A649" s="74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</row>
    <row r="650" ht="14.25" spans="1:43">
      <c r="A650" s="74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</row>
    <row r="651" ht="14.25" spans="1:43">
      <c r="A651" s="74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</row>
    <row r="652" ht="14.25" spans="1:43">
      <c r="A652" s="74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</row>
    <row r="653" ht="14.25" spans="1:43">
      <c r="A653" s="74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</row>
    <row r="654" ht="14.25" spans="1:43">
      <c r="A654" s="74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</row>
    <row r="655" ht="14.25" spans="1:43">
      <c r="A655" s="74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</row>
    <row r="656" ht="14.25" spans="1:43">
      <c r="A656" s="74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</row>
    <row r="657" ht="14.25" spans="1:43">
      <c r="A657" s="74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</row>
    <row r="658" ht="14.25" spans="1:43">
      <c r="A658" s="74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</row>
    <row r="659" ht="14.25" spans="1:43">
      <c r="A659" s="74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</row>
    <row r="660" ht="14.25" spans="1:43">
      <c r="A660" s="74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</row>
    <row r="661" ht="14.25" spans="1:43">
      <c r="A661" s="74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</row>
    <row r="662" ht="14.25" spans="1:43">
      <c r="A662" s="74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</row>
    <row r="663" ht="14.25" spans="1:43">
      <c r="A663" s="74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</row>
    <row r="664" ht="14.25" spans="1:43">
      <c r="A664" s="74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</row>
    <row r="665" ht="14.25" spans="1:43">
      <c r="A665" s="74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</row>
    <row r="666" ht="14.25" spans="1:43">
      <c r="A666" s="74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</row>
    <row r="667" ht="14.25" spans="1:43">
      <c r="A667" s="74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</row>
    <row r="668" ht="14.25" spans="1:43">
      <c r="A668" s="74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</row>
    <row r="669" ht="14.25" spans="1:43">
      <c r="A669" s="74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</row>
    <row r="670" ht="14.25" spans="1:43">
      <c r="A670" s="74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</row>
    <row r="671" ht="14.25" spans="1:43">
      <c r="A671" s="74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</row>
    <row r="672" ht="14.25" spans="1:43">
      <c r="A672" s="74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</row>
    <row r="673" ht="14.25" spans="1:43">
      <c r="A673" s="74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</row>
    <row r="674" ht="14.25" spans="1:43">
      <c r="A674" s="74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</row>
    <row r="675" ht="14.25" spans="1:43">
      <c r="A675" s="74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</row>
    <row r="676" ht="14.25" spans="1:43">
      <c r="A676" s="74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</row>
    <row r="677" ht="14.25" spans="1:43">
      <c r="A677" s="74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</row>
    <row r="678" ht="14.25" spans="1:43">
      <c r="A678" s="74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</row>
    <row r="679" ht="14.25" spans="1:43">
      <c r="A679" s="74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</row>
    <row r="680" ht="14.25" spans="1:43">
      <c r="A680" s="74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</row>
    <row r="681" ht="14.25" spans="1:43">
      <c r="A681" s="74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</row>
    <row r="682" ht="14.25" spans="1:43">
      <c r="A682" s="74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</row>
    <row r="683" ht="14.25" spans="1:43">
      <c r="A683" s="74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</row>
    <row r="684" ht="14.25" spans="1:43">
      <c r="A684" s="74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</row>
    <row r="685" ht="14.25" spans="1:43">
      <c r="A685" s="74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</row>
    <row r="686" ht="14.25" spans="1:43">
      <c r="A686" s="74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</row>
    <row r="687" ht="14.25" spans="1:43">
      <c r="A687" s="74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</row>
    <row r="688" ht="14.25" spans="1:43">
      <c r="A688" s="74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</row>
    <row r="689" ht="14.25" spans="1:43">
      <c r="A689" s="74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</row>
    <row r="690" ht="14.25" spans="1:43">
      <c r="A690" s="74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</row>
    <row r="691" ht="14.25" spans="1:43">
      <c r="A691" s="74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</row>
    <row r="692" ht="14.25" spans="1:43">
      <c r="A692" s="74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</row>
    <row r="693" ht="14.25" spans="1:43">
      <c r="A693" s="74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</row>
    <row r="694" ht="14.25" spans="1:43">
      <c r="A694" s="74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</row>
    <row r="695" ht="14.25" spans="1:43">
      <c r="A695" s="74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</row>
    <row r="696" ht="14.25" spans="1:43">
      <c r="A696" s="74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</row>
    <row r="697" ht="14.25" spans="1:43">
      <c r="A697" s="74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</row>
    <row r="698" ht="14.25" spans="1:43">
      <c r="A698" s="74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</row>
    <row r="699" ht="14.25" spans="1:43">
      <c r="A699" s="74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</row>
    <row r="700" ht="14.25" spans="1:43">
      <c r="A700" s="74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</row>
    <row r="701" ht="14.25" spans="1:43">
      <c r="A701" s="74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</row>
    <row r="702" ht="14.25" spans="1:43">
      <c r="A702" s="74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</row>
    <row r="703" ht="14.25" spans="1:43">
      <c r="A703" s="74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</row>
    <row r="704" ht="14.25" spans="1:43">
      <c r="A704" s="74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</row>
    <row r="705" ht="14.25" spans="1:43">
      <c r="A705" s="74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</row>
    <row r="706" ht="14.25" spans="1:43">
      <c r="A706" s="74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</row>
    <row r="707" ht="14.25" spans="1:43">
      <c r="A707" s="74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</row>
    <row r="708" ht="14.25" spans="1:43">
      <c r="A708" s="74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</row>
    <row r="709" ht="14.25" spans="1:43">
      <c r="A709" s="74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</row>
    <row r="710" ht="14.25" spans="1:43">
      <c r="A710" s="74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</row>
    <row r="711" ht="14.25" spans="1:43">
      <c r="A711" s="74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</row>
    <row r="712" ht="14.25" spans="1:43">
      <c r="A712" s="74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</row>
    <row r="713" ht="14.25" spans="1:43">
      <c r="A713" s="74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</row>
    <row r="714" ht="14.25" spans="1:43">
      <c r="A714" s="74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</row>
    <row r="715" ht="14.25" spans="1:43">
      <c r="A715" s="74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</row>
    <row r="716" ht="14.25" spans="1:43">
      <c r="A716" s="74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</row>
    <row r="717" ht="14.25" spans="1:43">
      <c r="A717" s="74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</row>
    <row r="718" ht="14.25" spans="1:43">
      <c r="A718" s="74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</row>
    <row r="719" ht="14.25" spans="1:43">
      <c r="A719" s="74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</row>
    <row r="720" ht="14.25" spans="1:43">
      <c r="A720" s="74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</row>
    <row r="721" ht="14.25" spans="1:43">
      <c r="A721" s="74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</row>
    <row r="722" ht="14.25" spans="1:43">
      <c r="A722" s="74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</row>
    <row r="723" ht="14.25" spans="1:43">
      <c r="A723" s="74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</row>
    <row r="724" ht="14.25" spans="1:43">
      <c r="A724" s="74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</row>
    <row r="725" ht="14.25" spans="1:43">
      <c r="A725" s="74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</row>
    <row r="726" ht="14.25" spans="1:43">
      <c r="A726" s="74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</row>
    <row r="727" ht="14.25" spans="1:43">
      <c r="A727" s="74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</row>
    <row r="728" ht="14.25" spans="1:43">
      <c r="A728" s="74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</row>
    <row r="729" ht="14.25" spans="1:43">
      <c r="A729" s="74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</row>
    <row r="730" ht="14.25" spans="1:43">
      <c r="A730" s="74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</row>
    <row r="731" ht="14.25" spans="1:43">
      <c r="A731" s="74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</row>
    <row r="732" ht="14.25" spans="1:43">
      <c r="A732" s="74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</row>
    <row r="733" ht="14.25" spans="1:43">
      <c r="A733" s="74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</row>
    <row r="734" ht="14.25" spans="1:43">
      <c r="A734" s="74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</row>
    <row r="735" ht="14.25" spans="1:43">
      <c r="A735" s="74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</row>
    <row r="736" ht="14.25" spans="1:43">
      <c r="A736" s="74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</row>
    <row r="737" ht="14.25" spans="1:43">
      <c r="A737" s="74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</row>
    <row r="738" ht="14.25" spans="1:43">
      <c r="A738" s="74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</row>
    <row r="739" ht="14.25" spans="1:43">
      <c r="A739" s="74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</row>
    <row r="740" ht="14.25" spans="1:43">
      <c r="A740" s="74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</row>
    <row r="741" ht="14.25" spans="1:43">
      <c r="A741" s="74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</row>
    <row r="742" ht="14.25" spans="1:43">
      <c r="A742" s="74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</row>
    <row r="743" ht="14.25" spans="1:43">
      <c r="A743" s="74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</row>
    <row r="744" ht="14.25" spans="1:43">
      <c r="A744" s="74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</row>
    <row r="745" ht="14.25" spans="1:43">
      <c r="A745" s="74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</row>
    <row r="746" ht="14.25" spans="1:43">
      <c r="A746" s="74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</row>
    <row r="747" ht="14.25" spans="1:43">
      <c r="A747" s="74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</row>
    <row r="748" ht="14.25" spans="1:43">
      <c r="A748" s="74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</row>
    <row r="749" ht="14.25" spans="1:43">
      <c r="A749" s="74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</row>
    <row r="750" ht="14.25" spans="1:43">
      <c r="A750" s="74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</row>
    <row r="751" ht="14.25" spans="1:43">
      <c r="A751" s="74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</row>
    <row r="752" ht="14.25" spans="1:43">
      <c r="A752" s="74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</row>
    <row r="753" ht="14.25" spans="1:43">
      <c r="A753" s="74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</row>
    <row r="754" ht="14.25" spans="1:43">
      <c r="A754" s="74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</row>
    <row r="755" ht="14.25" spans="1:43">
      <c r="A755" s="74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</row>
    <row r="756" ht="14.25" spans="1:43">
      <c r="A756" s="74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</row>
    <row r="757" ht="14.25" spans="1:43">
      <c r="A757" s="74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</row>
    <row r="758" ht="14.25" spans="1:43">
      <c r="A758" s="74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</row>
    <row r="759" ht="14.25" spans="1:43">
      <c r="A759" s="74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</row>
    <row r="760" ht="14.25" spans="1:43">
      <c r="A760" s="74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</row>
    <row r="761" ht="14.25" spans="1:43">
      <c r="A761" s="74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</row>
    <row r="762" ht="14.25" spans="1:43">
      <c r="A762" s="74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</row>
    <row r="763" ht="14.25" spans="1:43">
      <c r="A763" s="74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</row>
    <row r="764" ht="14.25" spans="1:43">
      <c r="A764" s="74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</row>
    <row r="765" ht="14.25" spans="1:43">
      <c r="A765" s="74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</row>
    <row r="766" ht="14.25" spans="1:43">
      <c r="A766" s="74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</row>
    <row r="767" ht="14.25" spans="1:43">
      <c r="A767" s="74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</row>
    <row r="768" ht="14.25" spans="1:43">
      <c r="A768" s="74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</row>
    <row r="769" ht="14.25" spans="1:43">
      <c r="A769" s="74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</row>
    <row r="770" ht="14.25" spans="1:43">
      <c r="A770" s="74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</row>
    <row r="771" ht="14.25" spans="1:43">
      <c r="A771" s="74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</row>
    <row r="772" ht="14.25" spans="1:43">
      <c r="A772" s="74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</row>
    <row r="773" ht="14.25" spans="1:43">
      <c r="A773" s="74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</row>
    <row r="774" ht="14.25" spans="1:43">
      <c r="A774" s="74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</row>
    <row r="775" ht="14.25" spans="1:43">
      <c r="A775" s="74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</row>
    <row r="776" ht="14.25" spans="1:43">
      <c r="A776" s="74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</row>
    <row r="777" ht="14.25" spans="1:43">
      <c r="A777" s="74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</row>
    <row r="778" ht="14.25" spans="1:43">
      <c r="A778" s="74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</row>
    <row r="779" ht="14.25" spans="1:43">
      <c r="A779" s="74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</row>
    <row r="780" ht="14.25" spans="1:43">
      <c r="A780" s="74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</row>
    <row r="781" ht="14.25" spans="1:43">
      <c r="A781" s="74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</row>
    <row r="782" ht="14.25" spans="1:43">
      <c r="A782" s="74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</row>
    <row r="783" ht="14.25" spans="1:43">
      <c r="A783" s="74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</row>
    <row r="784" ht="14.25" spans="1:43">
      <c r="A784" s="74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</row>
    <row r="785" ht="14.25" spans="1:43">
      <c r="A785" s="74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</row>
    <row r="786" ht="14.25" spans="1:43">
      <c r="A786" s="74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</row>
    <row r="787" ht="14.25" spans="1:43">
      <c r="A787" s="74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</row>
    <row r="788" ht="14.25" spans="1:43">
      <c r="A788" s="74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</row>
    <row r="789" ht="14.25" spans="1:43">
      <c r="A789" s="74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</row>
    <row r="790" ht="14.25" spans="1:43">
      <c r="A790" s="74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</row>
    <row r="791" ht="14.25" spans="1:43">
      <c r="A791" s="74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</row>
    <row r="792" ht="14.25" spans="1:43">
      <c r="A792" s="74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</row>
    <row r="793" ht="14.25" spans="1:43">
      <c r="A793" s="74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</row>
    <row r="794" ht="14.25" spans="1:43">
      <c r="A794" s="74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</row>
    <row r="795" ht="14.25" spans="1:43">
      <c r="A795" s="74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</row>
    <row r="796" ht="14.25" spans="1:43">
      <c r="A796" s="74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</row>
    <row r="797" ht="14.25" spans="1:43">
      <c r="A797" s="74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</row>
    <row r="798" ht="14.25" spans="1:43">
      <c r="A798" s="74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</row>
    <row r="799" ht="14.25" spans="1:43">
      <c r="A799" s="74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</row>
    <row r="800" ht="14.25" spans="1:43">
      <c r="A800" s="74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</row>
    <row r="801" ht="14.25" spans="1:43">
      <c r="A801" s="74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</row>
    <row r="802" ht="14.25" spans="1:43">
      <c r="A802" s="74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</row>
    <row r="803" ht="14.25" spans="1:43">
      <c r="A803" s="74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</row>
    <row r="804" ht="14.25" spans="1:43">
      <c r="A804" s="74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</row>
    <row r="805" ht="14.25" spans="1:43">
      <c r="A805" s="74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</row>
    <row r="806" ht="14.25" spans="1:43">
      <c r="A806" s="74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</row>
    <row r="807" ht="14.25" spans="1:43">
      <c r="A807" s="74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</row>
    <row r="808" ht="14.25" spans="1:43">
      <c r="A808" s="74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</row>
    <row r="809" ht="14.25" spans="1:43">
      <c r="A809" s="74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</row>
    <row r="810" ht="14.25" spans="1:43">
      <c r="A810" s="74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</row>
    <row r="811" ht="14.25" spans="1:43">
      <c r="A811" s="74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</row>
    <row r="812" ht="14.25" spans="1:43">
      <c r="A812" s="74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</row>
    <row r="813" ht="14.25" spans="1:43">
      <c r="A813" s="74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</row>
    <row r="814" ht="14.25" spans="1:43">
      <c r="A814" s="74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</row>
    <row r="815" ht="14.25" spans="1:43">
      <c r="A815" s="74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</row>
    <row r="816" ht="14.25" spans="1:43">
      <c r="A816" s="74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</row>
    <row r="817" ht="14.25" spans="1:43">
      <c r="A817" s="74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</row>
    <row r="818" ht="14.25" spans="1:43">
      <c r="A818" s="74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</row>
    <row r="819" ht="14.25" spans="1:43">
      <c r="A819" s="74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</row>
    <row r="820" ht="14.25" spans="1:43">
      <c r="A820" s="74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</row>
    <row r="821" ht="14.25" spans="1:43">
      <c r="A821" s="74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</row>
    <row r="822" ht="14.25" spans="1:43">
      <c r="A822" s="74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</row>
    <row r="823" ht="14.25" spans="1:43">
      <c r="A823" s="74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</row>
    <row r="824" ht="14.25" spans="1:43">
      <c r="A824" s="74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</row>
    <row r="825" ht="14.25" spans="1:43">
      <c r="A825" s="74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</row>
    <row r="826" ht="14.25" spans="1:43">
      <c r="A826" s="74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</row>
    <row r="827" ht="14.25" spans="1:43">
      <c r="A827" s="74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</row>
    <row r="828" ht="14.25" spans="1:43">
      <c r="A828" s="74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</row>
    <row r="829" ht="14.25" spans="1:43">
      <c r="A829" s="74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</row>
    <row r="830" ht="14.25" spans="1:43">
      <c r="A830" s="74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</row>
    <row r="831" ht="14.25" spans="1:43">
      <c r="A831" s="74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</row>
    <row r="832" ht="14.25" spans="1:43">
      <c r="A832" s="74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</row>
    <row r="833" ht="14.25" spans="1:43">
      <c r="A833" s="74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</row>
    <row r="834" ht="14.25" spans="1:43">
      <c r="A834" s="74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</row>
    <row r="835" ht="14.25" spans="1:43">
      <c r="A835" s="74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</row>
    <row r="836" ht="14.25" spans="1:43">
      <c r="A836" s="74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</row>
    <row r="837" ht="14.25" spans="1:43">
      <c r="A837" s="74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</row>
    <row r="838" ht="14.25" spans="1:43">
      <c r="A838" s="74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</row>
    <row r="839" ht="14.25" spans="1:43">
      <c r="A839" s="74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</row>
    <row r="840" ht="14.25" spans="1:43">
      <c r="A840" s="74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</row>
    <row r="841" ht="14.25" spans="1:43">
      <c r="A841" s="74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</row>
    <row r="842" ht="14.25" spans="1:43">
      <c r="A842" s="74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</row>
    <row r="843" ht="14.25" spans="1:43">
      <c r="A843" s="74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</row>
    <row r="844" ht="14.25" spans="1:43">
      <c r="A844" s="74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</row>
    <row r="845" ht="14.25" spans="1:43">
      <c r="A845" s="74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</row>
    <row r="846" ht="14.25" spans="1:43">
      <c r="A846" s="74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</row>
    <row r="847" ht="14.25" spans="1:43">
      <c r="A847" s="74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</row>
    <row r="848" ht="14.25" spans="1:43">
      <c r="A848" s="74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</row>
    <row r="849" ht="14.25" spans="1:43">
      <c r="A849" s="74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</row>
    <row r="850" ht="14.25" spans="1:43">
      <c r="A850" s="74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</row>
    <row r="851" ht="14.25" spans="1:43">
      <c r="A851" s="74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</row>
    <row r="852" ht="14.25" spans="1:43">
      <c r="A852" s="74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</row>
    <row r="853" ht="14.25" spans="1:43">
      <c r="A853" s="74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</row>
    <row r="854" ht="14.25" spans="1:43">
      <c r="A854" s="74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</row>
    <row r="855" ht="14.25" spans="1:43">
      <c r="A855" s="74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</row>
    <row r="856" ht="14.25" spans="1:43">
      <c r="A856" s="74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</row>
    <row r="857" ht="14.25" spans="1:43">
      <c r="A857" s="74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</row>
    <row r="858" ht="14.25" spans="1:43">
      <c r="A858" s="74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</row>
    <row r="859" ht="14.25" spans="1:43">
      <c r="A859" s="74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</row>
    <row r="860" ht="14.25" spans="1:43">
      <c r="A860" s="74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</row>
    <row r="861" ht="14.25" spans="1:43">
      <c r="A861" s="74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</row>
    <row r="862" ht="14.25" spans="1:43">
      <c r="A862" s="74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</row>
    <row r="863" ht="14.25" spans="1:43">
      <c r="A863" s="74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</row>
    <row r="864" ht="14.25" spans="1:43">
      <c r="A864" s="74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</row>
    <row r="865" ht="14.25" spans="1:43">
      <c r="A865" s="74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</row>
    <row r="866" ht="14.25" spans="1:43">
      <c r="A866" s="74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</row>
    <row r="867" ht="14.25" spans="1:43">
      <c r="A867" s="74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</row>
    <row r="868" ht="14.25" spans="1:43">
      <c r="A868" s="74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</row>
    <row r="869" ht="14.25" spans="1:43">
      <c r="A869" s="74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</row>
    <row r="870" ht="14.25" spans="1:43">
      <c r="A870" s="74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</row>
    <row r="871" ht="14.25" spans="1:43">
      <c r="A871" s="74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</row>
    <row r="872" ht="14.25" spans="1:43">
      <c r="A872" s="74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</row>
    <row r="873" ht="14.25" spans="1:43">
      <c r="A873" s="74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</row>
    <row r="874" ht="14.25" spans="1:43">
      <c r="A874" s="74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</row>
    <row r="875" ht="14.25" spans="1:43">
      <c r="A875" s="74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</row>
    <row r="876" ht="14.25" spans="1:43">
      <c r="A876" s="74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</row>
    <row r="877" ht="14.25" spans="1:43">
      <c r="A877" s="74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</row>
    <row r="878" ht="14.25" spans="1:43">
      <c r="A878" s="74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</row>
    <row r="879" ht="14.25" spans="1:43">
      <c r="A879" s="74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</row>
    <row r="880" ht="14.25" spans="1:43">
      <c r="A880" s="74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</row>
    <row r="881" ht="14.25" spans="1:43">
      <c r="A881" s="74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</row>
    <row r="882" ht="14.25" spans="1:43">
      <c r="A882" s="74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</row>
    <row r="883" ht="14.25" spans="1:43">
      <c r="A883" s="74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</row>
    <row r="884" ht="14.25" spans="1:43">
      <c r="A884" s="74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</row>
    <row r="885" ht="14.25" spans="1:43">
      <c r="A885" s="74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</row>
    <row r="886" ht="14.25" spans="1:43">
      <c r="A886" s="74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</row>
    <row r="887" ht="14.25" spans="1:43">
      <c r="A887" s="74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</row>
    <row r="888" ht="14.25" spans="1:43">
      <c r="A888" s="74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</row>
    <row r="889" ht="14.25" spans="1:43">
      <c r="A889" s="74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</row>
    <row r="890" ht="14.25" spans="1:43">
      <c r="A890" s="74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</row>
    <row r="891" ht="14.25" spans="1:43">
      <c r="A891" s="74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</row>
    <row r="892" ht="14.25" spans="1:43">
      <c r="A892" s="74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</row>
    <row r="893" ht="14.25" spans="1:43">
      <c r="A893" s="74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</row>
    <row r="894" ht="14.25" spans="1:43">
      <c r="A894" s="74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</row>
    <row r="895" ht="14.25" spans="1:43">
      <c r="A895" s="74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</row>
    <row r="896" ht="14.25" spans="1:43">
      <c r="A896" s="74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</row>
    <row r="897" ht="14.25" spans="1:43">
      <c r="A897" s="74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</row>
    <row r="898" ht="14.25" spans="1:43">
      <c r="A898" s="74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</row>
    <row r="899" ht="14.25" spans="1:43">
      <c r="A899" s="74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</row>
    <row r="900" ht="14.25" spans="1:43">
      <c r="A900" s="74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</row>
    <row r="901" ht="14.25" spans="1:43">
      <c r="A901" s="74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</row>
    <row r="902" ht="14.25" spans="1:43">
      <c r="A902" s="74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</row>
    <row r="903" ht="14.25" spans="1:43">
      <c r="A903" s="74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</row>
    <row r="904" ht="14.25" spans="1:43">
      <c r="A904" s="74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</row>
    <row r="905" ht="14.25" spans="1:43">
      <c r="A905" s="74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</row>
    <row r="906" ht="14.25" spans="1:43">
      <c r="A906" s="74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</row>
    <row r="907" ht="14.25" spans="1:43">
      <c r="A907" s="74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</row>
    <row r="908" ht="14.25" spans="1:43">
      <c r="A908" s="74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</row>
    <row r="909" ht="14.25" spans="1:43">
      <c r="A909" s="74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</row>
    <row r="910" ht="14.25" spans="1:43">
      <c r="A910" s="74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</row>
    <row r="911" ht="14.25" spans="1:43">
      <c r="A911" s="74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</row>
    <row r="912" ht="14.25" spans="1:43">
      <c r="A912" s="74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</row>
    <row r="913" ht="14.25" spans="1:43">
      <c r="A913" s="74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</row>
    <row r="914" ht="14.25" spans="1:43">
      <c r="A914" s="74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</row>
    <row r="915" ht="14.25" spans="1:43">
      <c r="A915" s="74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</row>
    <row r="916" ht="14.25" spans="1:43">
      <c r="A916" s="74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</row>
    <row r="917" ht="14.25" spans="1:43">
      <c r="A917" s="74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</row>
    <row r="918" ht="14.25" spans="1:43">
      <c r="A918" s="74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</row>
    <row r="919" ht="14.25" spans="1:43">
      <c r="A919" s="74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</row>
    <row r="920" ht="14.25" spans="1:43">
      <c r="A920" s="74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</row>
    <row r="921" ht="14.25" spans="1:43">
      <c r="A921" s="74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</row>
    <row r="922" ht="14.25" spans="1:43">
      <c r="A922" s="74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</row>
    <row r="923" ht="14.25" spans="1:43">
      <c r="A923" s="74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</row>
    <row r="924" ht="14.25" spans="1:43">
      <c r="A924" s="74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</row>
    <row r="925" ht="14.25" spans="1:43">
      <c r="A925" s="74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</row>
    <row r="926" ht="14.25" spans="1:43">
      <c r="A926" s="74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</row>
    <row r="927" ht="14.25" spans="1:43">
      <c r="A927" s="74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</row>
    <row r="928" ht="14.25" spans="1:43">
      <c r="A928" s="74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</row>
    <row r="929" ht="14.25" spans="1:43">
      <c r="A929" s="74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</row>
    <row r="930" ht="14.25" spans="1:43">
      <c r="A930" s="74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</row>
    <row r="931" ht="14.25" spans="1:43">
      <c r="A931" s="74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</row>
    <row r="932" ht="14.25" spans="1:43">
      <c r="A932" s="74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</row>
    <row r="933" ht="14.25" spans="1:43">
      <c r="A933" s="74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</row>
    <row r="934" ht="14.25" spans="1:43">
      <c r="A934" s="74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</row>
    <row r="935" ht="14.25" spans="1:43">
      <c r="A935" s="74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</row>
    <row r="936" ht="14.25" spans="1:43">
      <c r="A936" s="74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</row>
    <row r="937" ht="14.25" spans="1:43">
      <c r="A937" s="74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</row>
    <row r="938" ht="14.25" spans="1:43">
      <c r="A938" s="74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</row>
    <row r="939" ht="14.25" spans="1:43">
      <c r="A939" s="74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</row>
    <row r="940" ht="14.25" spans="1:43">
      <c r="A940" s="74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</row>
    <row r="941" ht="14.25" spans="1:43">
      <c r="A941" s="74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</row>
    <row r="942" ht="14.25" spans="1:43">
      <c r="A942" s="74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</row>
    <row r="943" ht="14.25" spans="1:43">
      <c r="A943" s="74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</row>
    <row r="944" ht="14.25" spans="1:43">
      <c r="A944" s="74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</row>
    <row r="945" ht="14.25" spans="1:43">
      <c r="A945" s="74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</row>
    <row r="946" ht="14.25" spans="1:43">
      <c r="A946" s="74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</row>
    <row r="947" ht="14.25" spans="1:43">
      <c r="A947" s="74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</row>
    <row r="948" ht="14.25" spans="1:43">
      <c r="A948" s="74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</row>
    <row r="949" ht="14.25" spans="1:43">
      <c r="A949" s="74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</row>
    <row r="950" ht="14.25" spans="1:43">
      <c r="A950" s="74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</row>
    <row r="951" ht="14.25" spans="1:43">
      <c r="A951" s="74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</row>
    <row r="952" ht="14.25" spans="1:43">
      <c r="A952" s="74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</row>
    <row r="953" ht="14.25" spans="1:43">
      <c r="A953" s="74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</row>
    <row r="954" ht="14.25" spans="1:43">
      <c r="A954" s="74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</row>
    <row r="955" ht="14.25" spans="1:43">
      <c r="A955" s="74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</row>
    <row r="956" ht="14.25" spans="1:43">
      <c r="A956" s="74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</row>
    <row r="957" ht="14.25" spans="1:43">
      <c r="A957" s="74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</row>
    <row r="958" ht="14.25" spans="1:43">
      <c r="A958" s="74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</row>
    <row r="959" ht="14.25" spans="1:43">
      <c r="A959" s="74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</row>
    <row r="960" ht="14.25" spans="1:43">
      <c r="A960" s="74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</row>
    <row r="961" ht="14.25" spans="1:43">
      <c r="A961" s="74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</row>
    <row r="962" ht="14.25" spans="1:43">
      <c r="A962" s="74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</row>
    <row r="963" ht="14.25" spans="1:43">
      <c r="A963" s="74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</row>
    <row r="964" ht="14.25" spans="1:43">
      <c r="A964" s="74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</row>
    <row r="965" ht="14.25" spans="1:43">
      <c r="A965" s="74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</row>
    <row r="966" ht="14.25" spans="1:43">
      <c r="A966" s="74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</row>
    <row r="967" ht="14.25" spans="1:43">
      <c r="A967" s="74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</row>
    <row r="968" ht="14.25" spans="1:43">
      <c r="A968" s="74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</row>
    <row r="969" ht="14.25" spans="1:43">
      <c r="A969" s="74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</row>
    <row r="970" ht="14.25" spans="1:43">
      <c r="A970" s="74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</row>
    <row r="971" ht="14.25" spans="1:43">
      <c r="A971" s="74"/>
      <c r="B971" s="20"/>
      <c r="C971" s="20"/>
      <c r="D971" s="20"/>
      <c r="E971" s="20"/>
      <c r="F971" s="77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</row>
    <row r="972" ht="14.25" spans="1:43">
      <c r="A972" s="74"/>
      <c r="B972" s="20"/>
      <c r="C972" s="20"/>
      <c r="D972" s="20"/>
      <c r="E972" s="20"/>
      <c r="F972" s="77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</row>
    <row r="973" ht="14.25" spans="1:43">
      <c r="A973" s="74"/>
      <c r="B973" s="20"/>
      <c r="C973" s="20"/>
      <c r="D973" s="20"/>
      <c r="E973" s="20"/>
      <c r="F973" s="77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</row>
    <row r="974" ht="14.25" spans="1:43">
      <c r="A974" s="74"/>
      <c r="B974" s="20"/>
      <c r="C974" s="20"/>
      <c r="D974" s="20"/>
      <c r="E974" s="20"/>
      <c r="F974" s="77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</row>
    <row r="975" ht="14.25" spans="1:43">
      <c r="A975" s="74"/>
      <c r="B975" s="20"/>
      <c r="C975" s="20"/>
      <c r="D975" s="20"/>
      <c r="E975" s="20"/>
      <c r="F975" s="77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</row>
    <row r="976" ht="14.25" spans="1:43">
      <c r="A976" s="74"/>
      <c r="B976" s="20"/>
      <c r="C976" s="20"/>
      <c r="D976" s="20"/>
      <c r="E976" s="20"/>
      <c r="F976" s="77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</row>
    <row r="977" ht="14.25" spans="1:43">
      <c r="A977" s="74"/>
      <c r="B977" s="20"/>
      <c r="C977" s="20"/>
      <c r="D977" s="20"/>
      <c r="E977" s="20"/>
      <c r="F977" s="77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</row>
    <row r="978" ht="14.25" spans="1:43">
      <c r="A978" s="74"/>
      <c r="B978" s="20"/>
      <c r="C978" s="20"/>
      <c r="D978" s="20"/>
      <c r="E978" s="20"/>
      <c r="F978" s="77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</row>
    <row r="979" ht="14.25" spans="1:43">
      <c r="A979" s="74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</row>
    <row r="980" ht="14.25" spans="1:43">
      <c r="A980" s="74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</row>
    <row r="981" ht="14.25" spans="1:43">
      <c r="A981" s="74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</row>
    <row r="982" ht="14.25" spans="1:43">
      <c r="A982" s="74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</row>
    <row r="983" ht="14.25" spans="1:43">
      <c r="A983" s="74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</row>
    <row r="984" ht="14.25" spans="1:43">
      <c r="A984" s="74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</row>
    <row r="985" ht="14.25" spans="1:43">
      <c r="A985" s="74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</row>
    <row r="986" ht="14.25" spans="1:43">
      <c r="A986" s="74"/>
      <c r="B986" s="20"/>
      <c r="C986" s="20"/>
      <c r="D986" s="20"/>
      <c r="E986" s="20"/>
      <c r="F986" s="77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</row>
    <row r="987" ht="14.25" spans="1:43">
      <c r="A987" s="74"/>
      <c r="B987" s="20"/>
      <c r="C987" s="20"/>
      <c r="D987" s="20"/>
      <c r="E987" s="20"/>
      <c r="F987" s="77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</row>
    <row r="988" ht="14.25" spans="1:43">
      <c r="A988" s="74"/>
      <c r="B988" s="20"/>
      <c r="C988" s="20"/>
      <c r="D988" s="20"/>
      <c r="E988" s="20"/>
      <c r="F988" s="77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</row>
    <row r="989" ht="14.25" spans="1:43">
      <c r="A989" s="74"/>
      <c r="B989" s="20"/>
      <c r="C989" s="20"/>
      <c r="D989" s="20"/>
      <c r="E989" s="20"/>
      <c r="F989" s="77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</row>
    <row r="990" ht="14.25" spans="1:43">
      <c r="A990" s="74"/>
      <c r="B990" s="20"/>
      <c r="C990" s="20"/>
      <c r="D990" s="20"/>
      <c r="E990" s="20"/>
      <c r="F990" s="77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</row>
    <row r="991" ht="14.25" spans="1:43">
      <c r="A991" s="74"/>
      <c r="B991" s="20"/>
      <c r="C991" s="20"/>
      <c r="D991" s="20"/>
      <c r="E991" s="20"/>
      <c r="F991" s="77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</row>
    <row r="992" ht="14.25" spans="1:43">
      <c r="A992" s="74"/>
      <c r="B992" s="20"/>
      <c r="C992" s="20"/>
      <c r="D992" s="20"/>
      <c r="E992" s="20"/>
      <c r="F992" s="77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</row>
    <row r="993" ht="14.25" spans="1:43">
      <c r="A993" s="74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</row>
    <row r="994" ht="14.25" spans="1:43">
      <c r="A994" s="74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</row>
    <row r="995" ht="14.25" spans="1:43">
      <c r="A995" s="74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</row>
    <row r="996" ht="14.25" spans="1:43">
      <c r="A996" s="74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</row>
    <row r="997" ht="14.25" spans="1:43">
      <c r="A997" s="74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</row>
    <row r="998" ht="14.25" spans="1:43">
      <c r="A998" s="74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</row>
    <row r="999" ht="14.25" spans="1:43">
      <c r="A999" s="74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</row>
    <row r="1000" ht="14.25" spans="1:43">
      <c r="A1000" s="74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</row>
    <row r="1001" ht="14.25" spans="1:43">
      <c r="A1001" s="74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</row>
    <row r="1002" ht="14.25" spans="1:43">
      <c r="A1002" s="74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5"/>
  </sheetPr>
  <dimension ref="A1:S50"/>
  <sheetViews>
    <sheetView workbookViewId="0">
      <selection activeCell="Z30" sqref="Z30"/>
    </sheetView>
  </sheetViews>
  <sheetFormatPr defaultColWidth="9" defaultRowHeight="13.5"/>
  <cols>
    <col min="1" max="1" width="6.63333333333333" customWidth="1"/>
    <col min="2" max="2" width="6.25" style="62" customWidth="1"/>
    <col min="3" max="3" width="10.8833333333333" customWidth="1"/>
    <col min="4" max="4" width="7.75" customWidth="1"/>
    <col min="6" max="6" width="6.63333333333333" customWidth="1"/>
    <col min="7" max="7" width="6.25" style="62" customWidth="1"/>
    <col min="8" max="8" width="10.8833333333333" customWidth="1"/>
    <col min="9" max="9" width="7.75" customWidth="1"/>
    <col min="12" max="12" width="9" style="62"/>
    <col min="17" max="17" width="9" style="62"/>
  </cols>
  <sheetData>
    <row r="1" ht="23.25" spans="1:19">
      <c r="A1" s="63"/>
      <c r="B1" s="64"/>
      <c r="C1" s="63"/>
      <c r="D1" s="63"/>
      <c r="F1" s="63"/>
      <c r="G1" s="64"/>
      <c r="H1" s="63"/>
      <c r="I1" s="63"/>
      <c r="K1" s="63"/>
      <c r="L1" s="64"/>
      <c r="M1" s="63"/>
      <c r="N1" s="63"/>
      <c r="P1" s="63"/>
      <c r="Q1" s="64"/>
      <c r="R1" s="63"/>
      <c r="S1" s="63"/>
    </row>
    <row r="2" ht="29" customHeight="1" spans="1:19">
      <c r="A2" s="65" t="s">
        <v>255</v>
      </c>
      <c r="B2" s="66" t="s">
        <v>256</v>
      </c>
      <c r="C2" s="65" t="s">
        <v>257</v>
      </c>
      <c r="D2" s="65" t="s">
        <v>258</v>
      </c>
      <c r="F2" s="65" t="s">
        <v>34</v>
      </c>
      <c r="G2" s="66" t="s">
        <v>259</v>
      </c>
      <c r="H2" s="65" t="s">
        <v>260</v>
      </c>
      <c r="I2" s="65" t="s">
        <v>261</v>
      </c>
      <c r="K2" s="65" t="s">
        <v>34</v>
      </c>
      <c r="L2" s="66" t="s">
        <v>259</v>
      </c>
      <c r="M2" s="65" t="s">
        <v>260</v>
      </c>
      <c r="N2" s="65" t="s">
        <v>261</v>
      </c>
      <c r="P2" s="65" t="s">
        <v>34</v>
      </c>
      <c r="Q2" s="66" t="s">
        <v>259</v>
      </c>
      <c r="R2" s="65" t="s">
        <v>260</v>
      </c>
      <c r="S2" s="65" t="s">
        <v>261</v>
      </c>
    </row>
    <row r="3" ht="21" customHeight="1" spans="1:19">
      <c r="A3" s="67"/>
      <c r="B3" s="68"/>
      <c r="C3" s="69"/>
      <c r="D3" s="67"/>
      <c r="F3" s="67"/>
      <c r="G3" s="68"/>
      <c r="H3" s="69"/>
      <c r="I3" s="69"/>
      <c r="K3" s="67"/>
      <c r="L3" s="68"/>
      <c r="M3" s="69"/>
      <c r="N3" s="69"/>
      <c r="P3" s="67"/>
      <c r="Q3" s="68"/>
      <c r="R3" s="69"/>
      <c r="S3" s="69"/>
    </row>
    <row r="4" ht="21" customHeight="1" spans="1:19">
      <c r="A4" s="67"/>
      <c r="B4" s="68"/>
      <c r="C4" s="69"/>
      <c r="D4" s="69"/>
      <c r="F4" s="67"/>
      <c r="G4" s="68"/>
      <c r="H4" s="69"/>
      <c r="I4" s="69"/>
      <c r="K4" s="67"/>
      <c r="L4" s="68"/>
      <c r="M4" s="69"/>
      <c r="N4" s="69"/>
      <c r="P4" s="67"/>
      <c r="Q4" s="68"/>
      <c r="R4" s="69"/>
      <c r="S4" s="69"/>
    </row>
    <row r="5" ht="21" customHeight="1" spans="1:19">
      <c r="A5" s="67"/>
      <c r="B5" s="68"/>
      <c r="C5" s="69"/>
      <c r="D5" s="69"/>
      <c r="F5" s="67"/>
      <c r="G5" s="68"/>
      <c r="H5" s="69"/>
      <c r="I5" s="69"/>
      <c r="K5" s="67"/>
      <c r="L5" s="68"/>
      <c r="M5" s="69"/>
      <c r="N5" s="69"/>
      <c r="P5" s="67"/>
      <c r="Q5" s="68"/>
      <c r="R5" s="69"/>
      <c r="S5" s="69"/>
    </row>
    <row r="6" ht="21" customHeight="1" spans="1:19">
      <c r="A6" s="67"/>
      <c r="B6" s="68"/>
      <c r="C6" s="69"/>
      <c r="D6" s="69"/>
      <c r="F6" s="67"/>
      <c r="G6" s="68"/>
      <c r="H6" s="69"/>
      <c r="I6" s="69"/>
      <c r="K6" s="67"/>
      <c r="L6" s="68"/>
      <c r="M6" s="69"/>
      <c r="N6" s="69"/>
      <c r="P6" s="67"/>
      <c r="Q6" s="68"/>
      <c r="R6" s="69"/>
      <c r="S6" s="69"/>
    </row>
    <row r="7" ht="21" customHeight="1" spans="1:19">
      <c r="A7" s="67"/>
      <c r="B7" s="68"/>
      <c r="C7" s="69"/>
      <c r="D7" s="69"/>
      <c r="F7" s="67"/>
      <c r="G7" s="68"/>
      <c r="H7" s="69"/>
      <c r="I7" s="69"/>
      <c r="K7" s="67"/>
      <c r="L7" s="68"/>
      <c r="M7" s="69"/>
      <c r="N7" s="69"/>
      <c r="P7" s="67"/>
      <c r="Q7" s="68"/>
      <c r="R7" s="69"/>
      <c r="S7" s="69"/>
    </row>
    <row r="8" ht="21" customHeight="1" spans="1:19">
      <c r="A8" s="67"/>
      <c r="B8" s="68"/>
      <c r="C8" s="69"/>
      <c r="D8" s="69"/>
      <c r="F8" s="67"/>
      <c r="G8" s="68"/>
      <c r="H8" s="69"/>
      <c r="I8" s="69"/>
      <c r="K8" s="67"/>
      <c r="L8" s="68"/>
      <c r="M8" s="69"/>
      <c r="N8" s="69"/>
      <c r="P8" s="67"/>
      <c r="Q8" s="68"/>
      <c r="R8" s="69"/>
      <c r="S8" s="69"/>
    </row>
    <row r="9" ht="21" customHeight="1" spans="1:19">
      <c r="A9" s="67"/>
      <c r="B9" s="68"/>
      <c r="C9" s="69"/>
      <c r="D9" s="69"/>
      <c r="F9" s="67"/>
      <c r="G9" s="68"/>
      <c r="H9" s="69"/>
      <c r="I9" s="69"/>
      <c r="K9" s="67"/>
      <c r="L9" s="68"/>
      <c r="M9" s="69"/>
      <c r="N9" s="69"/>
      <c r="P9" s="67"/>
      <c r="Q9" s="68"/>
      <c r="R9" s="69"/>
      <c r="S9" s="69"/>
    </row>
    <row r="10" ht="21" customHeight="1" spans="1:19">
      <c r="A10" s="67"/>
      <c r="B10" s="68"/>
      <c r="C10" s="69"/>
      <c r="D10" s="69"/>
      <c r="F10" s="67"/>
      <c r="G10" s="68"/>
      <c r="H10" s="69"/>
      <c r="I10" s="69"/>
      <c r="K10" s="67"/>
      <c r="L10" s="68"/>
      <c r="M10" s="69"/>
      <c r="N10" s="69"/>
      <c r="P10" s="67"/>
      <c r="Q10" s="68"/>
      <c r="R10" s="69"/>
      <c r="S10" s="69"/>
    </row>
    <row r="11" ht="21" customHeight="1" spans="1:19">
      <c r="A11" s="67"/>
      <c r="B11" s="68"/>
      <c r="C11" s="69"/>
      <c r="D11" s="69"/>
      <c r="F11" s="67"/>
      <c r="G11" s="68"/>
      <c r="H11" s="69"/>
      <c r="I11" s="69"/>
      <c r="K11" s="67"/>
      <c r="L11" s="68"/>
      <c r="M11" s="69"/>
      <c r="N11" s="69"/>
      <c r="P11" s="67"/>
      <c r="Q11" s="68"/>
      <c r="R11" s="69"/>
      <c r="S11" s="69"/>
    </row>
    <row r="12" ht="21" customHeight="1" spans="1:19">
      <c r="A12" s="67"/>
      <c r="B12" s="68"/>
      <c r="C12" s="69"/>
      <c r="D12" s="69"/>
      <c r="F12" s="67"/>
      <c r="G12" s="68"/>
      <c r="H12" s="69"/>
      <c r="I12" s="69"/>
      <c r="K12" s="67"/>
      <c r="L12" s="68"/>
      <c r="M12" s="69"/>
      <c r="N12" s="69"/>
      <c r="P12" s="67"/>
      <c r="Q12" s="68"/>
      <c r="R12" s="69"/>
      <c r="S12" s="69"/>
    </row>
    <row r="13" ht="21" customHeight="1" spans="1:19">
      <c r="A13" s="67"/>
      <c r="B13" s="68"/>
      <c r="C13" s="69"/>
      <c r="D13" s="69"/>
      <c r="F13" s="67"/>
      <c r="G13" s="68"/>
      <c r="H13" s="69"/>
      <c r="I13" s="69"/>
      <c r="K13" s="67"/>
      <c r="L13" s="68"/>
      <c r="M13" s="69"/>
      <c r="N13" s="69"/>
      <c r="P13" s="67"/>
      <c r="Q13" s="68"/>
      <c r="R13" s="69"/>
      <c r="S13" s="69"/>
    </row>
    <row r="14" ht="21" customHeight="1" spans="1:19">
      <c r="A14" s="67"/>
      <c r="B14" s="68"/>
      <c r="C14" s="69"/>
      <c r="D14" s="69"/>
      <c r="F14" s="67"/>
      <c r="G14" s="68"/>
      <c r="H14" s="69"/>
      <c r="I14" s="69"/>
      <c r="K14" s="67"/>
      <c r="L14" s="68"/>
      <c r="M14" s="69"/>
      <c r="N14" s="69"/>
      <c r="P14" s="67"/>
      <c r="Q14" s="68"/>
      <c r="R14" s="69"/>
      <c r="S14" s="69"/>
    </row>
    <row r="15" ht="21" customHeight="1" spans="1:19">
      <c r="A15" s="67"/>
      <c r="B15" s="68"/>
      <c r="C15" s="69"/>
      <c r="D15" s="69"/>
      <c r="F15" s="67"/>
      <c r="G15" s="68"/>
      <c r="H15" s="69"/>
      <c r="I15" s="69"/>
      <c r="K15" s="67"/>
      <c r="L15" s="68"/>
      <c r="M15" s="69"/>
      <c r="N15" s="69"/>
      <c r="P15" s="67"/>
      <c r="Q15" s="68"/>
      <c r="R15" s="69"/>
      <c r="S15" s="69"/>
    </row>
    <row r="16" ht="21" customHeight="1" spans="1:19">
      <c r="A16" s="67"/>
      <c r="B16" s="68"/>
      <c r="C16" s="69"/>
      <c r="D16" s="69"/>
      <c r="F16" s="67"/>
      <c r="G16" s="68"/>
      <c r="H16" s="69"/>
      <c r="I16" s="69"/>
      <c r="K16" s="67"/>
      <c r="L16" s="68"/>
      <c r="M16" s="69"/>
      <c r="N16" s="69"/>
      <c r="P16" s="67"/>
      <c r="Q16" s="68"/>
      <c r="R16" s="69"/>
      <c r="S16" s="69"/>
    </row>
    <row r="17" ht="21" customHeight="1" spans="1:19">
      <c r="A17" s="67"/>
      <c r="B17" s="68"/>
      <c r="C17" s="69"/>
      <c r="D17" s="69"/>
      <c r="F17" s="67"/>
      <c r="G17" s="68"/>
      <c r="H17" s="69"/>
      <c r="I17" s="69"/>
      <c r="K17" s="67"/>
      <c r="L17" s="68"/>
      <c r="M17" s="69"/>
      <c r="N17" s="69"/>
      <c r="P17" s="67"/>
      <c r="Q17" s="68"/>
      <c r="R17" s="69"/>
      <c r="S17" s="69"/>
    </row>
    <row r="18" ht="21" customHeight="1" spans="1:19">
      <c r="A18" s="67"/>
      <c r="B18" s="68"/>
      <c r="C18" s="69"/>
      <c r="D18" s="69"/>
      <c r="F18" s="67"/>
      <c r="G18" s="68"/>
      <c r="H18" s="69"/>
      <c r="I18" s="69"/>
      <c r="K18" s="67"/>
      <c r="L18" s="68"/>
      <c r="M18" s="69"/>
      <c r="N18" s="69"/>
      <c r="P18" s="67"/>
      <c r="Q18" s="68"/>
      <c r="R18" s="69"/>
      <c r="S18" s="69"/>
    </row>
    <row r="19" ht="21" customHeight="1" spans="1:19">
      <c r="A19" s="67"/>
      <c r="B19" s="68"/>
      <c r="C19" s="69"/>
      <c r="D19" s="69"/>
      <c r="F19" s="67"/>
      <c r="G19" s="68"/>
      <c r="H19" s="69"/>
      <c r="I19" s="69"/>
      <c r="K19" s="67"/>
      <c r="L19" s="68"/>
      <c r="M19" s="69"/>
      <c r="N19" s="69"/>
      <c r="P19" s="67"/>
      <c r="Q19" s="68"/>
      <c r="R19" s="69"/>
      <c r="S19" s="69"/>
    </row>
    <row r="20" ht="21" customHeight="1" spans="1:19">
      <c r="A20" s="67"/>
      <c r="B20" s="68"/>
      <c r="C20" s="69"/>
      <c r="D20" s="69"/>
      <c r="F20" s="67"/>
      <c r="G20" s="68"/>
      <c r="H20" s="69"/>
      <c r="I20" s="69"/>
      <c r="K20" s="67"/>
      <c r="L20" s="68"/>
      <c r="M20" s="69"/>
      <c r="N20" s="69"/>
      <c r="P20" s="67"/>
      <c r="Q20" s="68"/>
      <c r="R20" s="69"/>
      <c r="S20" s="69"/>
    </row>
    <row r="21" ht="21" customHeight="1" spans="1:19">
      <c r="A21" s="67"/>
      <c r="B21" s="68"/>
      <c r="C21" s="69"/>
      <c r="D21" s="69"/>
      <c r="F21" s="67"/>
      <c r="G21" s="68"/>
      <c r="H21" s="69"/>
      <c r="I21" s="69"/>
      <c r="K21" s="67"/>
      <c r="L21" s="68"/>
      <c r="M21" s="69"/>
      <c r="N21" s="69"/>
      <c r="P21" s="67"/>
      <c r="Q21" s="68"/>
      <c r="R21" s="69"/>
      <c r="S21" s="69"/>
    </row>
    <row r="22" ht="21" customHeight="1" spans="1:19">
      <c r="A22" s="67"/>
      <c r="B22" s="68"/>
      <c r="C22" s="69"/>
      <c r="D22" s="69"/>
      <c r="F22" s="67"/>
      <c r="G22" s="68"/>
      <c r="H22" s="69"/>
      <c r="I22" s="69"/>
      <c r="K22" s="67"/>
      <c r="L22" s="68"/>
      <c r="M22" s="69"/>
      <c r="N22" s="69"/>
      <c r="P22" s="67"/>
      <c r="Q22" s="68"/>
      <c r="R22" s="69"/>
      <c r="S22" s="69"/>
    </row>
    <row r="23" ht="21" customHeight="1" spans="1:19">
      <c r="A23" s="67"/>
      <c r="B23" s="68"/>
      <c r="C23" s="69"/>
      <c r="D23" s="69"/>
      <c r="F23" s="67"/>
      <c r="G23" s="68"/>
      <c r="H23" s="69"/>
      <c r="I23" s="69"/>
      <c r="K23" s="67"/>
      <c r="L23" s="68"/>
      <c r="M23" s="69"/>
      <c r="N23" s="69"/>
      <c r="P23" s="67"/>
      <c r="Q23" s="68"/>
      <c r="R23" s="69"/>
      <c r="S23" s="69"/>
    </row>
    <row r="24" ht="21" customHeight="1" spans="1:19">
      <c r="A24" s="67"/>
      <c r="B24" s="68"/>
      <c r="C24" s="69"/>
      <c r="D24" s="69"/>
      <c r="F24" s="67"/>
      <c r="G24" s="68"/>
      <c r="H24" s="69"/>
      <c r="I24" s="69"/>
      <c r="K24" s="67"/>
      <c r="L24" s="68"/>
      <c r="M24" s="69"/>
      <c r="N24" s="69"/>
      <c r="P24" s="67"/>
      <c r="Q24" s="68"/>
      <c r="R24" s="69"/>
      <c r="S24" s="69"/>
    </row>
    <row r="25" ht="21" customHeight="1" spans="1:19">
      <c r="A25" s="67"/>
      <c r="B25" s="68"/>
      <c r="C25" s="69"/>
      <c r="D25" s="69"/>
      <c r="F25" s="67"/>
      <c r="G25" s="68"/>
      <c r="H25" s="69"/>
      <c r="I25" s="69"/>
      <c r="K25" s="67"/>
      <c r="L25" s="68"/>
      <c r="M25" s="69"/>
      <c r="N25" s="69"/>
      <c r="P25" s="67"/>
      <c r="Q25" s="68"/>
      <c r="R25" s="69"/>
      <c r="S25" s="69"/>
    </row>
    <row r="26" ht="21" customHeight="1" spans="1:19">
      <c r="A26" s="67"/>
      <c r="B26" s="68"/>
      <c r="C26" s="69"/>
      <c r="D26" s="67"/>
      <c r="F26" s="67"/>
      <c r="G26" s="68"/>
      <c r="H26" s="69"/>
      <c r="I26" s="67"/>
      <c r="K26" s="67"/>
      <c r="L26" s="68"/>
      <c r="M26" s="69"/>
      <c r="N26" s="67"/>
      <c r="P26" s="67"/>
      <c r="Q26" s="68"/>
      <c r="R26" s="69"/>
      <c r="S26" s="67"/>
    </row>
    <row r="27" ht="21" customHeight="1" spans="1:19">
      <c r="A27" s="67"/>
      <c r="B27" s="68"/>
      <c r="C27" s="69"/>
      <c r="D27" s="67"/>
      <c r="F27" s="67"/>
      <c r="G27" s="68"/>
      <c r="H27" s="69"/>
      <c r="I27" s="67"/>
      <c r="K27" s="67"/>
      <c r="L27" s="68"/>
      <c r="M27" s="69"/>
      <c r="N27" s="67"/>
      <c r="P27" s="67"/>
      <c r="Q27" s="68"/>
      <c r="R27" s="69"/>
      <c r="S27" s="67"/>
    </row>
    <row r="28" ht="21" customHeight="1" spans="1:19">
      <c r="A28" s="67"/>
      <c r="B28" s="68"/>
      <c r="C28" s="69"/>
      <c r="D28" s="67"/>
      <c r="F28" s="67"/>
      <c r="G28" s="68"/>
      <c r="H28" s="69"/>
      <c r="I28" s="67"/>
      <c r="K28" s="67"/>
      <c r="L28" s="68"/>
      <c r="M28" s="69"/>
      <c r="N28" s="67"/>
      <c r="P28" s="67"/>
      <c r="Q28" s="68"/>
      <c r="R28" s="69"/>
      <c r="S28" s="67"/>
    </row>
    <row r="29" ht="21" customHeight="1" spans="1:19">
      <c r="A29" s="67"/>
      <c r="B29" s="68"/>
      <c r="C29" s="69"/>
      <c r="D29" s="67"/>
      <c r="F29" s="67"/>
      <c r="G29" s="68"/>
      <c r="H29" s="69"/>
      <c r="I29" s="67"/>
      <c r="K29" s="67"/>
      <c r="L29" s="68"/>
      <c r="M29" s="69"/>
      <c r="N29" s="67"/>
      <c r="P29" s="67"/>
      <c r="Q29" s="68"/>
      <c r="R29" s="69"/>
      <c r="S29" s="67"/>
    </row>
    <row r="30" ht="21" customHeight="1" spans="1:19">
      <c r="A30" s="67"/>
      <c r="B30" s="68"/>
      <c r="C30" s="69"/>
      <c r="D30" s="67"/>
      <c r="F30" s="67"/>
      <c r="G30" s="68"/>
      <c r="H30" s="69"/>
      <c r="I30" s="67"/>
      <c r="K30" s="67"/>
      <c r="L30" s="68"/>
      <c r="M30" s="69"/>
      <c r="N30" s="67"/>
      <c r="P30" s="67"/>
      <c r="Q30" s="68"/>
      <c r="R30" s="69"/>
      <c r="S30" s="67"/>
    </row>
    <row r="31" ht="21" customHeight="1" spans="1:19">
      <c r="A31" s="67"/>
      <c r="B31" s="68"/>
      <c r="C31" s="69"/>
      <c r="D31" s="67"/>
      <c r="F31" s="67"/>
      <c r="G31" s="68"/>
      <c r="H31" s="69"/>
      <c r="I31" s="67"/>
      <c r="K31" s="67"/>
      <c r="L31" s="68"/>
      <c r="M31" s="69"/>
      <c r="N31" s="67"/>
      <c r="P31" s="67"/>
      <c r="Q31" s="68"/>
      <c r="R31" s="69"/>
      <c r="S31" s="67"/>
    </row>
    <row r="32" ht="21" customHeight="1" spans="1:19">
      <c r="A32" s="67"/>
      <c r="B32" s="68"/>
      <c r="C32" s="69"/>
      <c r="D32" s="67"/>
      <c r="F32" s="67"/>
      <c r="G32" s="68"/>
      <c r="H32" s="69"/>
      <c r="I32" s="67"/>
      <c r="K32" s="67"/>
      <c r="L32" s="68"/>
      <c r="M32" s="69"/>
      <c r="N32" s="67"/>
      <c r="P32" s="67"/>
      <c r="Q32" s="68"/>
      <c r="R32" s="69"/>
      <c r="S32" s="67"/>
    </row>
    <row r="33" ht="21" customHeight="1" spans="1:19">
      <c r="A33" s="67"/>
      <c r="B33" s="68"/>
      <c r="C33" s="69"/>
      <c r="D33" s="67"/>
      <c r="F33" s="67"/>
      <c r="G33" s="68"/>
      <c r="H33" s="69"/>
      <c r="I33" s="67"/>
      <c r="K33" s="67"/>
      <c r="L33" s="68"/>
      <c r="M33" s="69"/>
      <c r="N33" s="67"/>
      <c r="P33" s="67"/>
      <c r="Q33" s="68"/>
      <c r="R33" s="69"/>
      <c r="S33" s="67"/>
    </row>
    <row r="34" ht="21" customHeight="1" spans="1:19">
      <c r="A34" s="67"/>
      <c r="B34" s="68"/>
      <c r="C34" s="69"/>
      <c r="D34" s="67"/>
      <c r="F34" s="67"/>
      <c r="G34" s="68"/>
      <c r="H34" s="69"/>
      <c r="I34" s="67"/>
      <c r="K34" s="67"/>
      <c r="L34" s="68"/>
      <c r="M34" s="69"/>
      <c r="N34" s="67"/>
      <c r="P34" s="67"/>
      <c r="Q34" s="68"/>
      <c r="R34" s="69"/>
      <c r="S34" s="67"/>
    </row>
    <row r="35" ht="21" customHeight="1" spans="1:19">
      <c r="A35" s="67"/>
      <c r="B35" s="68"/>
      <c r="C35" s="69"/>
      <c r="D35" s="67"/>
      <c r="F35" s="67"/>
      <c r="G35" s="68"/>
      <c r="H35" s="69"/>
      <c r="I35" s="67"/>
      <c r="K35" s="67"/>
      <c r="L35" s="68"/>
      <c r="M35" s="69"/>
      <c r="N35" s="67"/>
      <c r="P35" s="67"/>
      <c r="Q35" s="68"/>
      <c r="R35" s="69"/>
      <c r="S35" s="67"/>
    </row>
    <row r="36" ht="21" customHeight="1" spans="1:19">
      <c r="A36" s="67"/>
      <c r="B36" s="68"/>
      <c r="C36" s="69"/>
      <c r="D36" s="67"/>
      <c r="F36" s="67"/>
      <c r="G36" s="68"/>
      <c r="H36" s="69"/>
      <c r="I36" s="67"/>
      <c r="K36" s="67"/>
      <c r="L36" s="68"/>
      <c r="M36" s="69"/>
      <c r="N36" s="67"/>
      <c r="P36" s="67"/>
      <c r="Q36" s="68"/>
      <c r="R36" s="69"/>
      <c r="S36" s="67"/>
    </row>
    <row r="37" ht="21" customHeight="1" spans="1:19">
      <c r="A37" s="67"/>
      <c r="B37" s="68"/>
      <c r="C37" s="69"/>
      <c r="D37" s="67"/>
      <c r="F37" s="67"/>
      <c r="G37" s="68"/>
      <c r="H37" s="69"/>
      <c r="I37" s="67"/>
      <c r="K37" s="67"/>
      <c r="L37" s="68"/>
      <c r="M37" s="69"/>
      <c r="N37" s="67"/>
      <c r="P37" s="67"/>
      <c r="Q37" s="68"/>
      <c r="R37" s="69"/>
      <c r="S37" s="67"/>
    </row>
    <row r="38" ht="21" customHeight="1" spans="1:19">
      <c r="A38" s="67"/>
      <c r="B38" s="68"/>
      <c r="C38" s="69"/>
      <c r="D38" s="67"/>
      <c r="F38" s="67"/>
      <c r="G38" s="68"/>
      <c r="H38" s="69"/>
      <c r="I38" s="67"/>
      <c r="K38" s="67"/>
      <c r="L38" s="68"/>
      <c r="M38" s="69"/>
      <c r="N38" s="67"/>
      <c r="P38" s="67"/>
      <c r="Q38" s="68"/>
      <c r="R38" s="69"/>
      <c r="S38" s="67"/>
    </row>
    <row r="39" ht="21" customHeight="1" spans="1:19">
      <c r="A39" s="67"/>
      <c r="B39" s="68"/>
      <c r="C39" s="69"/>
      <c r="D39" s="67"/>
      <c r="F39" s="67"/>
      <c r="G39" s="68"/>
      <c r="H39" s="69"/>
      <c r="I39" s="67"/>
      <c r="K39" s="67"/>
      <c r="L39" s="68"/>
      <c r="M39" s="69"/>
      <c r="N39" s="67"/>
      <c r="P39" s="67"/>
      <c r="Q39" s="68"/>
      <c r="R39" s="69"/>
      <c r="S39" s="67"/>
    </row>
    <row r="40" ht="21" customHeight="1" spans="1:19">
      <c r="A40" s="67"/>
      <c r="B40" s="68"/>
      <c r="C40" s="69"/>
      <c r="D40" s="67"/>
      <c r="F40" s="67"/>
      <c r="G40" s="68"/>
      <c r="H40" s="69"/>
      <c r="I40" s="67"/>
      <c r="K40" s="67"/>
      <c r="L40" s="68"/>
      <c r="M40" s="69"/>
      <c r="N40" s="67"/>
      <c r="P40" s="67"/>
      <c r="Q40" s="68"/>
      <c r="R40" s="69"/>
      <c r="S40" s="67"/>
    </row>
    <row r="41" ht="21" customHeight="1" spans="1:19">
      <c r="A41" s="67"/>
      <c r="B41" s="68"/>
      <c r="C41" s="69"/>
      <c r="D41" s="67"/>
      <c r="F41" s="67"/>
      <c r="G41" s="68"/>
      <c r="H41" s="69"/>
      <c r="I41" s="67"/>
      <c r="K41" s="67"/>
      <c r="L41" s="68"/>
      <c r="M41" s="69"/>
      <c r="N41" s="67"/>
      <c r="P41" s="67"/>
      <c r="Q41" s="68"/>
      <c r="R41" s="69"/>
      <c r="S41" s="67"/>
    </row>
    <row r="42" ht="21" customHeight="1" spans="1:19">
      <c r="A42" s="67"/>
      <c r="B42" s="68"/>
      <c r="C42" s="69"/>
      <c r="D42" s="67"/>
      <c r="F42" s="67"/>
      <c r="G42" s="68"/>
      <c r="H42" s="69"/>
      <c r="I42" s="67"/>
      <c r="K42" s="67"/>
      <c r="L42" s="68"/>
      <c r="M42" s="69"/>
      <c r="N42" s="67"/>
      <c r="P42" s="67"/>
      <c r="Q42" s="68"/>
      <c r="R42" s="69"/>
      <c r="S42" s="67"/>
    </row>
    <row r="43" ht="21" customHeight="1" spans="1:19">
      <c r="A43" s="67"/>
      <c r="B43" s="68"/>
      <c r="C43" s="69"/>
      <c r="D43" s="67"/>
      <c r="F43" s="67"/>
      <c r="G43" s="68"/>
      <c r="H43" s="69"/>
      <c r="I43" s="67"/>
      <c r="K43" s="67"/>
      <c r="L43" s="68"/>
      <c r="M43" s="69"/>
      <c r="N43" s="67"/>
      <c r="P43" s="67"/>
      <c r="Q43" s="68"/>
      <c r="R43" s="69"/>
      <c r="S43" s="67"/>
    </row>
    <row r="44" ht="21" customHeight="1" spans="1:19">
      <c r="A44" s="67"/>
      <c r="B44" s="68"/>
      <c r="C44" s="69"/>
      <c r="D44" s="67"/>
      <c r="F44" s="67"/>
      <c r="G44" s="68"/>
      <c r="H44" s="69"/>
      <c r="I44" s="67"/>
      <c r="K44" s="67"/>
      <c r="L44" s="68"/>
      <c r="M44" s="69"/>
      <c r="N44" s="67"/>
      <c r="P44" s="67"/>
      <c r="Q44" s="68"/>
      <c r="R44" s="69"/>
      <c r="S44" s="67"/>
    </row>
    <row r="45" ht="21" customHeight="1" spans="1:19">
      <c r="A45" s="67"/>
      <c r="B45" s="68"/>
      <c r="C45" s="69"/>
      <c r="D45" s="67"/>
      <c r="F45" s="67"/>
      <c r="G45" s="68"/>
      <c r="H45" s="69"/>
      <c r="I45" s="67"/>
      <c r="K45" s="67"/>
      <c r="L45" s="68"/>
      <c r="M45" s="69"/>
      <c r="N45" s="67"/>
      <c r="P45" s="67"/>
      <c r="Q45" s="68"/>
      <c r="R45" s="69"/>
      <c r="S45" s="67"/>
    </row>
    <row r="46" ht="21" customHeight="1" spans="1:19">
      <c r="A46" s="67"/>
      <c r="B46" s="68"/>
      <c r="C46" s="69"/>
      <c r="D46" s="67"/>
      <c r="F46" s="67"/>
      <c r="G46" s="68"/>
      <c r="H46" s="69"/>
      <c r="I46" s="67"/>
      <c r="K46" s="67"/>
      <c r="L46" s="68"/>
      <c r="M46" s="69"/>
      <c r="N46" s="67"/>
      <c r="P46" s="67"/>
      <c r="Q46" s="68"/>
      <c r="R46" s="69"/>
      <c r="S46" s="67"/>
    </row>
    <row r="47" ht="21" customHeight="1" spans="1:19">
      <c r="A47" s="67"/>
      <c r="B47" s="68"/>
      <c r="C47" s="69"/>
      <c r="D47" s="67"/>
      <c r="F47" s="67"/>
      <c r="G47" s="68"/>
      <c r="H47" s="69"/>
      <c r="I47" s="67"/>
      <c r="K47" s="67"/>
      <c r="L47" s="68"/>
      <c r="M47" s="69"/>
      <c r="N47" s="67"/>
      <c r="P47" s="67"/>
      <c r="Q47" s="68"/>
      <c r="R47" s="69"/>
      <c r="S47" s="67"/>
    </row>
    <row r="48" ht="21" customHeight="1" spans="1:19">
      <c r="A48" s="67"/>
      <c r="B48" s="68"/>
      <c r="C48" s="69"/>
      <c r="D48" s="67"/>
      <c r="F48" s="67"/>
      <c r="G48" s="68"/>
      <c r="H48" s="69"/>
      <c r="I48" s="67"/>
      <c r="K48" s="67"/>
      <c r="L48" s="68"/>
      <c r="M48" s="69"/>
      <c r="N48" s="67"/>
      <c r="P48" s="67"/>
      <c r="Q48" s="68"/>
      <c r="R48" s="69"/>
      <c r="S48" s="67"/>
    </row>
    <row r="49" ht="21" customHeight="1" spans="1:19">
      <c r="A49" s="67"/>
      <c r="B49" s="68"/>
      <c r="C49" s="69"/>
      <c r="D49" s="67"/>
      <c r="F49" s="67"/>
      <c r="G49" s="68"/>
      <c r="H49" s="69"/>
      <c r="I49" s="67"/>
      <c r="K49" s="67"/>
      <c r="L49" s="68"/>
      <c r="M49" s="69"/>
      <c r="N49" s="67"/>
      <c r="P49" s="67"/>
      <c r="Q49" s="68"/>
      <c r="R49" s="69"/>
      <c r="S49" s="67"/>
    </row>
    <row r="50" ht="21" customHeight="1" spans="1:19">
      <c r="A50" s="67"/>
      <c r="B50" s="68"/>
      <c r="C50" s="69"/>
      <c r="D50" s="67"/>
      <c r="F50" s="67"/>
      <c r="G50" s="68"/>
      <c r="H50" s="69"/>
      <c r="I50" s="67"/>
      <c r="K50" s="67"/>
      <c r="L50" s="68"/>
      <c r="M50" s="69"/>
      <c r="N50" s="67"/>
      <c r="P50" s="67"/>
      <c r="Q50" s="68"/>
      <c r="R50" s="69"/>
      <c r="S50" s="67"/>
    </row>
  </sheetData>
  <mergeCells count="4">
    <mergeCell ref="A1:D1"/>
    <mergeCell ref="F1:I1"/>
    <mergeCell ref="K1:N1"/>
    <mergeCell ref="P1:S1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5"/>
  </sheetPr>
  <dimension ref="A1:AY73"/>
  <sheetViews>
    <sheetView workbookViewId="0">
      <selection activeCell="AP24" sqref="AP24"/>
    </sheetView>
  </sheetViews>
  <sheetFormatPr defaultColWidth="9" defaultRowHeight="14.25"/>
  <cols>
    <col min="1" max="1" width="6.63333333333333" style="20" customWidth="1"/>
    <col min="2" max="2" width="21.5" style="20" customWidth="1"/>
    <col min="3" max="4" width="7.88333333333333" style="20" customWidth="1"/>
    <col min="5" max="6" width="9.5" style="20" customWidth="1"/>
    <col min="7" max="7" width="11.25" style="20" customWidth="1"/>
    <col min="8" max="8" width="13.1333333333333" style="20" customWidth="1"/>
    <col min="9" max="9" width="13.1333333333333" style="38" customWidth="1"/>
    <col min="10" max="10" width="11.25" style="20" customWidth="1"/>
    <col min="11" max="11" width="13.1333333333333" style="20" customWidth="1"/>
    <col min="12" max="12" width="14.8833333333333" style="20" customWidth="1"/>
    <col min="13" max="13" width="9" style="20"/>
    <col min="14" max="14" width="5.13333333333333" style="20" customWidth="1"/>
    <col min="15" max="15" width="27.8833333333333" style="20" customWidth="1"/>
    <col min="16" max="17" width="8.88333333333333" style="20" customWidth="1"/>
    <col min="18" max="19" width="10.8833333333333" style="20" customWidth="1"/>
    <col min="20" max="20" width="12.8833333333333" style="20" customWidth="1"/>
    <col min="21" max="21" width="15" style="20" customWidth="1"/>
    <col min="22" max="22" width="15.1333333333333" style="20" customWidth="1"/>
    <col min="23" max="23" width="12.8833333333333" style="20" customWidth="1"/>
    <col min="24" max="24" width="15" style="20" customWidth="1"/>
    <col min="25" max="25" width="17.1333333333333" style="20" customWidth="1"/>
    <col min="26" max="26" width="9" style="20"/>
    <col min="27" max="27" width="5.13333333333333" style="20" customWidth="1"/>
    <col min="28" max="28" width="23.75" style="20" customWidth="1"/>
    <col min="29" max="30" width="8.88333333333333" style="20" customWidth="1"/>
    <col min="31" max="32" width="10.8833333333333" style="20" customWidth="1"/>
    <col min="33" max="33" width="12.8833333333333" style="20" customWidth="1"/>
    <col min="34" max="34" width="15" style="20" customWidth="1"/>
    <col min="35" max="35" width="17.25" style="20" customWidth="1"/>
    <col min="36" max="36" width="12.8833333333333" style="20" customWidth="1"/>
    <col min="37" max="37" width="15" style="20" customWidth="1"/>
    <col min="38" max="38" width="17.1333333333333" style="20" customWidth="1"/>
    <col min="39" max="39" width="9" style="20"/>
    <col min="40" max="40" width="5.13333333333333" style="20" customWidth="1"/>
    <col min="41" max="41" width="23.75" style="20" customWidth="1"/>
    <col min="42" max="43" width="8.88333333333333" style="20" customWidth="1"/>
    <col min="44" max="45" width="10.8833333333333" style="20" customWidth="1"/>
    <col min="46" max="46" width="12.8833333333333" style="20" customWidth="1"/>
    <col min="47" max="47" width="15" style="20" customWidth="1"/>
    <col min="48" max="48" width="15.1333333333333" style="20" customWidth="1"/>
    <col min="49" max="49" width="12.8833333333333" style="20" customWidth="1"/>
    <col min="50" max="50" width="15" style="20" customWidth="1"/>
    <col min="51" max="51" width="17.1333333333333" style="20" customWidth="1"/>
    <col min="52" max="16384" width="9" style="20"/>
  </cols>
  <sheetData>
    <row r="1" ht="34" customHeight="1" spans="1:51">
      <c r="A1" s="48"/>
      <c r="B1" s="48"/>
      <c r="C1" s="48"/>
      <c r="D1" s="48"/>
      <c r="E1" s="48"/>
      <c r="F1" s="48"/>
      <c r="G1" s="48"/>
      <c r="H1" s="48"/>
      <c r="I1" s="53"/>
      <c r="J1" s="48"/>
      <c r="K1" s="48"/>
      <c r="L1" s="48"/>
      <c r="N1" s="54"/>
      <c r="O1" s="55"/>
      <c r="P1" s="55"/>
      <c r="Q1" s="55"/>
      <c r="R1" s="55"/>
      <c r="S1" s="55"/>
      <c r="T1" s="55"/>
      <c r="U1" s="55"/>
      <c r="V1" s="55"/>
      <c r="W1" s="55"/>
      <c r="X1" s="55"/>
      <c r="Y1" s="60"/>
      <c r="AA1" s="54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N1" s="54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60"/>
    </row>
    <row r="2" ht="24" customHeight="1" spans="1:51">
      <c r="A2" s="49" t="s">
        <v>262</v>
      </c>
      <c r="B2" s="49" t="s">
        <v>263</v>
      </c>
      <c r="C2" s="49" t="s">
        <v>264</v>
      </c>
      <c r="D2" s="49" t="s">
        <v>265</v>
      </c>
      <c r="E2" s="50" t="s">
        <v>266</v>
      </c>
      <c r="F2" s="50" t="s">
        <v>267</v>
      </c>
      <c r="G2" s="49" t="s">
        <v>268</v>
      </c>
      <c r="H2" s="49" t="s">
        <v>269</v>
      </c>
      <c r="I2" s="56" t="s">
        <v>270</v>
      </c>
      <c r="J2" s="49" t="s">
        <v>271</v>
      </c>
      <c r="K2" s="49" t="s">
        <v>272</v>
      </c>
      <c r="L2" s="49" t="s">
        <v>273</v>
      </c>
      <c r="N2" s="57" t="s">
        <v>274</v>
      </c>
      <c r="O2" s="57" t="s">
        <v>127</v>
      </c>
      <c r="P2" s="57" t="s">
        <v>275</v>
      </c>
      <c r="Q2" s="57" t="s">
        <v>276</v>
      </c>
      <c r="R2" s="59" t="s">
        <v>277</v>
      </c>
      <c r="S2" s="59" t="s">
        <v>278</v>
      </c>
      <c r="T2" s="57" t="s">
        <v>279</v>
      </c>
      <c r="U2" s="57" t="s">
        <v>280</v>
      </c>
      <c r="V2" s="57" t="s">
        <v>281</v>
      </c>
      <c r="W2" s="57" t="s">
        <v>282</v>
      </c>
      <c r="X2" s="57" t="s">
        <v>283</v>
      </c>
      <c r="Y2" s="57" t="s">
        <v>284</v>
      </c>
      <c r="AA2" s="57" t="s">
        <v>274</v>
      </c>
      <c r="AB2" s="61" t="s">
        <v>127</v>
      </c>
      <c r="AC2" s="57" t="s">
        <v>275</v>
      </c>
      <c r="AD2" s="57" t="s">
        <v>276</v>
      </c>
      <c r="AE2" s="59" t="s">
        <v>277</v>
      </c>
      <c r="AF2" s="59" t="s">
        <v>278</v>
      </c>
      <c r="AG2" s="57" t="s">
        <v>279</v>
      </c>
      <c r="AH2" s="57" t="s">
        <v>280</v>
      </c>
      <c r="AI2" s="57" t="s">
        <v>285</v>
      </c>
      <c r="AJ2" s="57" t="s">
        <v>282</v>
      </c>
      <c r="AK2" s="57" t="s">
        <v>283</v>
      </c>
      <c r="AL2" s="57" t="s">
        <v>284</v>
      </c>
      <c r="AN2" s="57" t="s">
        <v>274</v>
      </c>
      <c r="AO2" s="57" t="s">
        <v>127</v>
      </c>
      <c r="AP2" s="57" t="s">
        <v>275</v>
      </c>
      <c r="AQ2" s="57" t="s">
        <v>276</v>
      </c>
      <c r="AR2" s="59" t="s">
        <v>277</v>
      </c>
      <c r="AS2" s="59" t="s">
        <v>278</v>
      </c>
      <c r="AT2" s="57" t="s">
        <v>279</v>
      </c>
      <c r="AU2" s="57" t="s">
        <v>280</v>
      </c>
      <c r="AV2" s="57" t="s">
        <v>281</v>
      </c>
      <c r="AW2" s="57" t="s">
        <v>282</v>
      </c>
      <c r="AX2" s="57" t="s">
        <v>283</v>
      </c>
      <c r="AY2" s="57" t="s">
        <v>284</v>
      </c>
    </row>
    <row r="3" ht="16" customHeight="1" spans="1:12">
      <c r="A3" s="51"/>
      <c r="B3" s="36"/>
      <c r="C3" s="51"/>
      <c r="D3" s="51"/>
      <c r="E3" s="51"/>
      <c r="F3" s="52"/>
      <c r="G3" s="52"/>
      <c r="H3" s="52"/>
      <c r="I3" s="58"/>
      <c r="J3" s="52"/>
      <c r="K3" s="52"/>
      <c r="L3" s="52"/>
    </row>
    <row r="4" spans="1:12">
      <c r="A4" s="51"/>
      <c r="B4" s="36"/>
      <c r="C4" s="51"/>
      <c r="D4" s="51"/>
      <c r="E4" s="51"/>
      <c r="F4" s="52"/>
      <c r="G4" s="52"/>
      <c r="H4" s="52"/>
      <c r="I4" s="58"/>
      <c r="J4" s="52"/>
      <c r="K4" s="52"/>
      <c r="L4" s="52"/>
    </row>
    <row r="5" spans="1:12">
      <c r="A5" s="51"/>
      <c r="B5" s="36"/>
      <c r="C5" s="51"/>
      <c r="D5" s="51"/>
      <c r="E5" s="51"/>
      <c r="F5" s="52"/>
      <c r="G5" s="52"/>
      <c r="H5" s="52"/>
      <c r="I5" s="58"/>
      <c r="J5" s="52"/>
      <c r="K5" s="52"/>
      <c r="L5" s="52"/>
    </row>
    <row r="6" spans="1:33">
      <c r="A6" s="51"/>
      <c r="B6" s="36"/>
      <c r="C6" s="51"/>
      <c r="D6" s="51"/>
      <c r="E6" s="51"/>
      <c r="F6" s="52"/>
      <c r="G6" s="52"/>
      <c r="H6" s="52"/>
      <c r="I6" s="58"/>
      <c r="J6" s="52"/>
      <c r="K6" s="52"/>
      <c r="L6" s="52"/>
      <c r="AG6" s="21"/>
    </row>
    <row r="7" spans="1:12">
      <c r="A7" s="51"/>
      <c r="B7" s="36"/>
      <c r="C7" s="51"/>
      <c r="D7" s="51"/>
      <c r="E7" s="51"/>
      <c r="F7" s="52"/>
      <c r="G7" s="52"/>
      <c r="H7" s="52"/>
      <c r="I7" s="58"/>
      <c r="J7" s="52"/>
      <c r="K7" s="52"/>
      <c r="L7" s="52"/>
    </row>
    <row r="8" spans="1:12">
      <c r="A8" s="51"/>
      <c r="B8" s="36"/>
      <c r="C8" s="51"/>
      <c r="D8" s="51"/>
      <c r="E8" s="51"/>
      <c r="F8" s="52"/>
      <c r="G8" s="52"/>
      <c r="H8" s="52"/>
      <c r="I8" s="58"/>
      <c r="J8" s="52"/>
      <c r="K8" s="52"/>
      <c r="L8" s="52"/>
    </row>
    <row r="9" spans="1:12">
      <c r="A9" s="51"/>
      <c r="B9" s="36"/>
      <c r="C9" s="51"/>
      <c r="D9" s="51"/>
      <c r="E9" s="51"/>
      <c r="F9" s="52"/>
      <c r="G9" s="52"/>
      <c r="H9" s="52"/>
      <c r="I9" s="58"/>
      <c r="J9" s="52"/>
      <c r="K9" s="52"/>
      <c r="L9" s="52"/>
    </row>
    <row r="10" spans="1:12">
      <c r="A10" s="51"/>
      <c r="B10" s="36"/>
      <c r="C10" s="51"/>
      <c r="D10" s="51"/>
      <c r="E10" s="51"/>
      <c r="F10" s="52"/>
      <c r="G10" s="52"/>
      <c r="H10" s="52"/>
      <c r="I10" s="58"/>
      <c r="J10" s="52"/>
      <c r="K10" s="52"/>
      <c r="L10" s="52"/>
    </row>
    <row r="11" spans="1:12">
      <c r="A11" s="51"/>
      <c r="B11" s="36"/>
      <c r="C11" s="51"/>
      <c r="D11" s="51"/>
      <c r="E11" s="51"/>
      <c r="F11" s="52"/>
      <c r="G11" s="52"/>
      <c r="H11" s="52"/>
      <c r="I11" s="58"/>
      <c r="J11" s="52"/>
      <c r="K11" s="52"/>
      <c r="L11" s="52"/>
    </row>
    <row r="12" spans="1:12">
      <c r="A12" s="51"/>
      <c r="B12" s="36"/>
      <c r="C12" s="51"/>
      <c r="D12" s="51"/>
      <c r="E12" s="51"/>
      <c r="F12" s="52"/>
      <c r="G12" s="52"/>
      <c r="H12" s="52"/>
      <c r="I12" s="58"/>
      <c r="J12" s="52"/>
      <c r="K12" s="52"/>
      <c r="L12" s="52"/>
    </row>
    <row r="13" spans="1:12">
      <c r="A13" s="51"/>
      <c r="B13" s="36"/>
      <c r="C13" s="51"/>
      <c r="D13" s="51"/>
      <c r="E13" s="51"/>
      <c r="F13" s="52"/>
      <c r="G13" s="52"/>
      <c r="H13" s="52"/>
      <c r="I13" s="58"/>
      <c r="J13" s="52"/>
      <c r="K13" s="52"/>
      <c r="L13" s="52"/>
    </row>
    <row r="14" spans="1:12">
      <c r="A14" s="51"/>
      <c r="B14" s="36"/>
      <c r="C14" s="51"/>
      <c r="D14" s="51"/>
      <c r="E14" s="51"/>
      <c r="F14" s="52"/>
      <c r="G14" s="52"/>
      <c r="H14" s="52"/>
      <c r="I14" s="58"/>
      <c r="J14" s="52"/>
      <c r="K14" s="52"/>
      <c r="L14" s="52"/>
    </row>
    <row r="15" spans="1:12">
      <c r="A15" s="51"/>
      <c r="B15" s="36"/>
      <c r="C15" s="51"/>
      <c r="D15" s="51"/>
      <c r="E15" s="51"/>
      <c r="F15" s="52"/>
      <c r="G15" s="52"/>
      <c r="H15" s="52"/>
      <c r="I15" s="58"/>
      <c r="J15" s="52"/>
      <c r="K15" s="52"/>
      <c r="L15" s="52"/>
    </row>
    <row r="16" spans="1:12">
      <c r="A16" s="51"/>
      <c r="B16" s="36"/>
      <c r="C16" s="51"/>
      <c r="D16" s="51"/>
      <c r="E16" s="51"/>
      <c r="F16" s="52"/>
      <c r="G16" s="52"/>
      <c r="H16" s="52"/>
      <c r="I16" s="58"/>
      <c r="J16" s="52"/>
      <c r="K16" s="52"/>
      <c r="L16" s="52"/>
    </row>
    <row r="17" spans="1:12">
      <c r="A17" s="51"/>
      <c r="B17" s="36"/>
      <c r="C17" s="51"/>
      <c r="D17" s="51"/>
      <c r="E17" s="51"/>
      <c r="F17" s="52"/>
      <c r="G17" s="52"/>
      <c r="H17" s="52"/>
      <c r="I17" s="58"/>
      <c r="J17" s="52"/>
      <c r="K17" s="52"/>
      <c r="L17" s="52"/>
    </row>
    <row r="18" spans="1:12">
      <c r="A18" s="51"/>
      <c r="B18" s="36"/>
      <c r="C18" s="51"/>
      <c r="D18" s="51"/>
      <c r="E18" s="51"/>
      <c r="F18" s="52"/>
      <c r="G18" s="52"/>
      <c r="H18" s="52"/>
      <c r="I18" s="58"/>
      <c r="J18" s="52"/>
      <c r="K18" s="52"/>
      <c r="L18" s="52"/>
    </row>
    <row r="19" spans="1:12">
      <c r="A19" s="51"/>
      <c r="B19" s="36"/>
      <c r="C19" s="51"/>
      <c r="D19" s="51"/>
      <c r="E19" s="51"/>
      <c r="F19" s="52"/>
      <c r="G19" s="52"/>
      <c r="H19" s="52"/>
      <c r="I19" s="58"/>
      <c r="J19" s="52"/>
      <c r="K19" s="52"/>
      <c r="L19" s="52"/>
    </row>
    <row r="20" spans="1:12">
      <c r="A20" s="51"/>
      <c r="B20" s="36"/>
      <c r="C20" s="51"/>
      <c r="D20" s="51"/>
      <c r="E20" s="51"/>
      <c r="F20" s="52"/>
      <c r="G20" s="52"/>
      <c r="H20" s="52"/>
      <c r="I20" s="58"/>
      <c r="J20" s="52"/>
      <c r="K20" s="52"/>
      <c r="L20" s="52"/>
    </row>
    <row r="21" spans="1:12">
      <c r="A21" s="51"/>
      <c r="B21" s="36"/>
      <c r="C21" s="51"/>
      <c r="D21" s="51"/>
      <c r="E21" s="51"/>
      <c r="F21" s="52"/>
      <c r="G21" s="52"/>
      <c r="H21" s="52"/>
      <c r="I21" s="58"/>
      <c r="J21" s="52"/>
      <c r="K21" s="52"/>
      <c r="L21" s="52"/>
    </row>
    <row r="22" spans="1:12">
      <c r="A22" s="51"/>
      <c r="B22" s="36"/>
      <c r="C22" s="51"/>
      <c r="D22" s="51"/>
      <c r="E22" s="51"/>
      <c r="F22" s="52"/>
      <c r="G22" s="52"/>
      <c r="H22" s="52"/>
      <c r="I22" s="58"/>
      <c r="J22" s="52"/>
      <c r="K22" s="52"/>
      <c r="L22" s="52"/>
    </row>
    <row r="23" spans="1:12">
      <c r="A23" s="51"/>
      <c r="B23" s="36"/>
      <c r="C23" s="51"/>
      <c r="D23" s="51"/>
      <c r="E23" s="51"/>
      <c r="F23" s="52"/>
      <c r="G23" s="52"/>
      <c r="H23" s="52"/>
      <c r="I23" s="58"/>
      <c r="J23" s="52"/>
      <c r="K23" s="52"/>
      <c r="L23" s="52"/>
    </row>
    <row r="24" spans="1:12">
      <c r="A24" s="51"/>
      <c r="B24" s="36"/>
      <c r="C24" s="51"/>
      <c r="D24" s="51"/>
      <c r="E24" s="51"/>
      <c r="F24" s="52"/>
      <c r="G24" s="52"/>
      <c r="H24" s="52"/>
      <c r="I24" s="58"/>
      <c r="J24" s="52"/>
      <c r="K24" s="52"/>
      <c r="L24" s="52"/>
    </row>
    <row r="25" spans="1:12">
      <c r="A25" s="51"/>
      <c r="B25" s="36"/>
      <c r="C25" s="51"/>
      <c r="D25" s="51"/>
      <c r="E25" s="51"/>
      <c r="F25" s="52"/>
      <c r="G25" s="52"/>
      <c r="H25" s="52"/>
      <c r="I25" s="58"/>
      <c r="J25" s="52"/>
      <c r="K25" s="52"/>
      <c r="L25" s="52"/>
    </row>
    <row r="26" spans="1:12">
      <c r="A26" s="51"/>
      <c r="B26" s="36"/>
      <c r="C26" s="51"/>
      <c r="D26" s="51"/>
      <c r="E26" s="51"/>
      <c r="F26" s="52"/>
      <c r="G26" s="52"/>
      <c r="H26" s="52"/>
      <c r="I26" s="58"/>
      <c r="J26" s="52"/>
      <c r="K26" s="52"/>
      <c r="L26" s="52"/>
    </row>
    <row r="27" spans="1:12">
      <c r="A27" s="51"/>
      <c r="B27" s="36"/>
      <c r="C27" s="51"/>
      <c r="D27" s="51"/>
      <c r="E27" s="51"/>
      <c r="F27" s="52"/>
      <c r="G27" s="52"/>
      <c r="H27" s="52"/>
      <c r="I27" s="58"/>
      <c r="J27" s="52"/>
      <c r="K27" s="52"/>
      <c r="L27" s="52"/>
    </row>
    <row r="28" spans="1:12">
      <c r="A28" s="51"/>
      <c r="B28" s="36"/>
      <c r="C28" s="51"/>
      <c r="D28" s="51"/>
      <c r="E28" s="51"/>
      <c r="F28" s="52"/>
      <c r="G28" s="52"/>
      <c r="H28" s="52"/>
      <c r="I28" s="58"/>
      <c r="J28" s="52"/>
      <c r="K28" s="52"/>
      <c r="L28" s="52"/>
    </row>
    <row r="29" spans="1:12">
      <c r="A29" s="51"/>
      <c r="B29" s="36"/>
      <c r="C29" s="51"/>
      <c r="D29" s="51"/>
      <c r="E29" s="51"/>
      <c r="F29" s="52"/>
      <c r="G29" s="52"/>
      <c r="H29" s="52"/>
      <c r="I29" s="58"/>
      <c r="J29" s="52"/>
      <c r="K29" s="52"/>
      <c r="L29" s="52"/>
    </row>
    <row r="30" spans="1:12">
      <c r="A30" s="51"/>
      <c r="B30" s="36"/>
      <c r="C30" s="51"/>
      <c r="D30" s="51"/>
      <c r="E30" s="51"/>
      <c r="F30" s="52"/>
      <c r="G30" s="52"/>
      <c r="H30" s="52"/>
      <c r="I30" s="58"/>
      <c r="J30" s="52"/>
      <c r="K30" s="52"/>
      <c r="L30" s="52"/>
    </row>
    <row r="31" spans="1:12">
      <c r="A31" s="51"/>
      <c r="B31" s="36"/>
      <c r="C31" s="51"/>
      <c r="D31" s="51"/>
      <c r="E31" s="51"/>
      <c r="F31" s="52"/>
      <c r="G31" s="52"/>
      <c r="H31" s="52"/>
      <c r="I31" s="58"/>
      <c r="J31" s="52"/>
      <c r="K31" s="52"/>
      <c r="L31" s="52"/>
    </row>
    <row r="32" spans="1:12">
      <c r="A32" s="51"/>
      <c r="B32" s="36"/>
      <c r="C32" s="51"/>
      <c r="D32" s="51"/>
      <c r="E32" s="51"/>
      <c r="F32" s="52"/>
      <c r="G32" s="52"/>
      <c r="H32" s="52"/>
      <c r="I32" s="58"/>
      <c r="J32" s="52"/>
      <c r="K32" s="52"/>
      <c r="L32" s="52"/>
    </row>
    <row r="33" spans="1:12">
      <c r="A33" s="51"/>
      <c r="B33" s="36"/>
      <c r="C33" s="51"/>
      <c r="D33" s="51"/>
      <c r="E33" s="51"/>
      <c r="F33" s="52"/>
      <c r="G33" s="52"/>
      <c r="H33" s="52"/>
      <c r="I33" s="58"/>
      <c r="J33" s="52"/>
      <c r="K33" s="52"/>
      <c r="L33" s="52"/>
    </row>
    <row r="34" spans="1:12">
      <c r="A34" s="51"/>
      <c r="B34" s="36"/>
      <c r="C34" s="51"/>
      <c r="D34" s="51"/>
      <c r="E34" s="51"/>
      <c r="F34" s="52"/>
      <c r="G34" s="52"/>
      <c r="H34" s="52"/>
      <c r="I34" s="58"/>
      <c r="J34" s="52"/>
      <c r="K34" s="52"/>
      <c r="L34" s="52"/>
    </row>
    <row r="35" spans="1:12">
      <c r="A35" s="51"/>
      <c r="B35" s="36"/>
      <c r="C35" s="51"/>
      <c r="D35" s="51"/>
      <c r="E35" s="51"/>
      <c r="F35" s="52"/>
      <c r="G35" s="52"/>
      <c r="H35" s="52"/>
      <c r="I35" s="58"/>
      <c r="J35" s="52"/>
      <c r="K35" s="52"/>
      <c r="L35" s="52"/>
    </row>
    <row r="36" spans="1:12">
      <c r="A36" s="51"/>
      <c r="B36" s="36"/>
      <c r="C36" s="51"/>
      <c r="D36" s="51"/>
      <c r="E36" s="51"/>
      <c r="F36" s="52"/>
      <c r="G36" s="52"/>
      <c r="H36" s="52"/>
      <c r="I36" s="58"/>
      <c r="J36" s="52"/>
      <c r="K36" s="52"/>
      <c r="L36" s="52"/>
    </row>
    <row r="37" spans="1:12">
      <c r="A37" s="51"/>
      <c r="B37" s="36"/>
      <c r="C37" s="51"/>
      <c r="D37" s="51"/>
      <c r="E37" s="51"/>
      <c r="F37" s="52"/>
      <c r="G37" s="52"/>
      <c r="H37" s="52"/>
      <c r="I37" s="58"/>
      <c r="J37" s="52"/>
      <c r="K37" s="52"/>
      <c r="L37" s="52"/>
    </row>
    <row r="38" spans="1:12">
      <c r="A38" s="51"/>
      <c r="B38" s="36"/>
      <c r="C38" s="51"/>
      <c r="D38" s="51"/>
      <c r="E38" s="51"/>
      <c r="F38" s="52"/>
      <c r="G38" s="52"/>
      <c r="H38" s="52"/>
      <c r="I38" s="58"/>
      <c r="J38" s="52"/>
      <c r="K38" s="52"/>
      <c r="L38" s="52"/>
    </row>
    <row r="39" spans="1:12">
      <c r="A39" s="51"/>
      <c r="B39" s="36"/>
      <c r="C39" s="51"/>
      <c r="D39" s="51"/>
      <c r="E39" s="51"/>
      <c r="F39" s="52"/>
      <c r="G39" s="52"/>
      <c r="H39" s="52"/>
      <c r="I39" s="58"/>
      <c r="J39" s="52"/>
      <c r="K39" s="52"/>
      <c r="L39" s="52"/>
    </row>
    <row r="40" spans="1:12">
      <c r="A40" s="51"/>
      <c r="B40" s="36"/>
      <c r="C40" s="51"/>
      <c r="D40" s="51"/>
      <c r="E40" s="51"/>
      <c r="F40" s="52"/>
      <c r="G40" s="52"/>
      <c r="H40" s="52"/>
      <c r="I40" s="58"/>
      <c r="J40" s="52"/>
      <c r="K40" s="52"/>
      <c r="L40" s="52"/>
    </row>
    <row r="41" spans="1:12">
      <c r="A41" s="51"/>
      <c r="B41" s="36"/>
      <c r="C41" s="51"/>
      <c r="D41" s="51"/>
      <c r="E41" s="51"/>
      <c r="F41" s="52"/>
      <c r="G41" s="52"/>
      <c r="H41" s="52"/>
      <c r="I41" s="58"/>
      <c r="J41" s="52"/>
      <c r="K41" s="52"/>
      <c r="L41" s="52"/>
    </row>
    <row r="42" spans="1:12">
      <c r="A42" s="51"/>
      <c r="B42" s="36"/>
      <c r="C42" s="51"/>
      <c r="D42" s="51"/>
      <c r="E42" s="51"/>
      <c r="F42" s="52"/>
      <c r="G42" s="52"/>
      <c r="H42" s="52"/>
      <c r="I42" s="58"/>
      <c r="J42" s="52"/>
      <c r="K42" s="52"/>
      <c r="L42" s="52"/>
    </row>
    <row r="43" spans="1:12">
      <c r="A43" s="51"/>
      <c r="B43" s="36"/>
      <c r="C43" s="51"/>
      <c r="D43" s="51"/>
      <c r="E43" s="51"/>
      <c r="F43" s="52"/>
      <c r="G43" s="52"/>
      <c r="H43" s="52"/>
      <c r="I43" s="58"/>
      <c r="J43" s="52"/>
      <c r="K43" s="52"/>
      <c r="L43" s="52"/>
    </row>
    <row r="44" spans="1:12">
      <c r="A44" s="51"/>
      <c r="B44" s="36"/>
      <c r="C44" s="51"/>
      <c r="D44" s="51"/>
      <c r="E44" s="51"/>
      <c r="F44" s="52"/>
      <c r="G44" s="52"/>
      <c r="H44" s="52"/>
      <c r="I44" s="58"/>
      <c r="J44" s="52"/>
      <c r="K44" s="52"/>
      <c r="L44" s="52"/>
    </row>
    <row r="45" spans="1:12">
      <c r="A45" s="51"/>
      <c r="B45" s="36"/>
      <c r="C45" s="51"/>
      <c r="D45" s="51"/>
      <c r="E45" s="51"/>
      <c r="F45" s="52"/>
      <c r="G45" s="52"/>
      <c r="H45" s="52"/>
      <c r="I45" s="58"/>
      <c r="J45" s="52"/>
      <c r="K45" s="52"/>
      <c r="L45" s="52"/>
    </row>
    <row r="46" spans="1:12">
      <c r="A46" s="51"/>
      <c r="B46" s="36"/>
      <c r="C46" s="51"/>
      <c r="D46" s="51"/>
      <c r="E46" s="51"/>
      <c r="F46" s="52"/>
      <c r="G46" s="52"/>
      <c r="H46" s="52"/>
      <c r="I46" s="58"/>
      <c r="J46" s="52"/>
      <c r="K46" s="52"/>
      <c r="L46" s="52"/>
    </row>
    <row r="47" spans="1:12">
      <c r="A47" s="51"/>
      <c r="B47" s="36"/>
      <c r="C47" s="51"/>
      <c r="D47" s="51"/>
      <c r="E47" s="51"/>
      <c r="F47" s="52"/>
      <c r="G47" s="52"/>
      <c r="H47" s="52"/>
      <c r="I47" s="58"/>
      <c r="J47" s="52"/>
      <c r="K47" s="52"/>
      <c r="L47" s="52"/>
    </row>
    <row r="48" spans="1:12">
      <c r="A48" s="51"/>
      <c r="B48" s="36"/>
      <c r="C48" s="51"/>
      <c r="D48" s="51"/>
      <c r="E48" s="51"/>
      <c r="F48" s="52"/>
      <c r="G48" s="52"/>
      <c r="H48" s="52"/>
      <c r="I48" s="58"/>
      <c r="J48" s="52"/>
      <c r="K48" s="52"/>
      <c r="L48" s="52"/>
    </row>
    <row r="49" spans="1:12">
      <c r="A49" s="51"/>
      <c r="B49" s="36"/>
      <c r="C49" s="51"/>
      <c r="D49" s="51"/>
      <c r="E49" s="51"/>
      <c r="F49" s="52"/>
      <c r="G49" s="52"/>
      <c r="H49" s="52"/>
      <c r="I49" s="58"/>
      <c r="J49" s="52"/>
      <c r="K49" s="52"/>
      <c r="L49" s="52"/>
    </row>
    <row r="50" spans="1:12">
      <c r="A50" s="51"/>
      <c r="B50" s="36"/>
      <c r="C50" s="51"/>
      <c r="D50" s="51"/>
      <c r="E50" s="51"/>
      <c r="F50" s="52"/>
      <c r="G50" s="52"/>
      <c r="H50" s="52"/>
      <c r="I50" s="58"/>
      <c r="J50" s="52"/>
      <c r="K50" s="52"/>
      <c r="L50" s="52"/>
    </row>
    <row r="51" spans="1:12">
      <c r="A51" s="51"/>
      <c r="B51" s="36"/>
      <c r="C51" s="51"/>
      <c r="D51" s="51"/>
      <c r="E51" s="51"/>
      <c r="F51" s="52"/>
      <c r="G51" s="52"/>
      <c r="H51" s="52"/>
      <c r="I51" s="58"/>
      <c r="J51" s="52"/>
      <c r="K51" s="52"/>
      <c r="L51" s="52"/>
    </row>
    <row r="52" spans="1:12">
      <c r="A52" s="51"/>
      <c r="B52" s="36"/>
      <c r="C52" s="51"/>
      <c r="D52" s="51"/>
      <c r="E52" s="51"/>
      <c r="F52" s="52"/>
      <c r="G52" s="52"/>
      <c r="H52" s="52"/>
      <c r="I52" s="58"/>
      <c r="J52" s="52"/>
      <c r="K52" s="52"/>
      <c r="L52" s="52"/>
    </row>
    <row r="53" spans="1:12">
      <c r="A53" s="51"/>
      <c r="B53" s="36"/>
      <c r="C53" s="51"/>
      <c r="D53" s="51"/>
      <c r="E53" s="51"/>
      <c r="F53" s="52"/>
      <c r="G53" s="52"/>
      <c r="H53" s="52"/>
      <c r="I53" s="58"/>
      <c r="J53" s="52"/>
      <c r="K53" s="52"/>
      <c r="L53" s="52"/>
    </row>
    <row r="54" spans="1:12">
      <c r="A54" s="51"/>
      <c r="B54" s="36"/>
      <c r="C54" s="51"/>
      <c r="D54" s="51"/>
      <c r="E54" s="51"/>
      <c r="F54" s="52"/>
      <c r="G54" s="52"/>
      <c r="H54" s="52"/>
      <c r="I54" s="58"/>
      <c r="J54" s="52"/>
      <c r="K54" s="52"/>
      <c r="L54" s="52"/>
    </row>
    <row r="55" spans="1:12">
      <c r="A55" s="51"/>
      <c r="B55" s="36"/>
      <c r="C55" s="51"/>
      <c r="D55" s="51"/>
      <c r="E55" s="51"/>
      <c r="F55" s="52"/>
      <c r="G55" s="52"/>
      <c r="H55" s="52"/>
      <c r="I55" s="58"/>
      <c r="J55" s="52"/>
      <c r="K55" s="52"/>
      <c r="L55" s="52"/>
    </row>
    <row r="56" spans="1:12">
      <c r="A56" s="51"/>
      <c r="B56" s="36"/>
      <c r="C56" s="51"/>
      <c r="D56" s="51"/>
      <c r="E56" s="51"/>
      <c r="F56" s="52"/>
      <c r="G56" s="52"/>
      <c r="H56" s="52"/>
      <c r="I56" s="58"/>
      <c r="J56" s="52"/>
      <c r="K56" s="52"/>
      <c r="L56" s="52"/>
    </row>
    <row r="57" spans="1:12">
      <c r="A57" s="51"/>
      <c r="B57" s="36"/>
      <c r="C57" s="51"/>
      <c r="D57" s="51"/>
      <c r="E57" s="51"/>
      <c r="F57" s="52"/>
      <c r="G57" s="52"/>
      <c r="H57" s="52"/>
      <c r="I57" s="58"/>
      <c r="J57" s="52"/>
      <c r="K57" s="52"/>
      <c r="L57" s="52"/>
    </row>
    <row r="58" spans="1:12">
      <c r="A58" s="51"/>
      <c r="B58" s="36"/>
      <c r="C58" s="51"/>
      <c r="D58" s="51"/>
      <c r="E58" s="51"/>
      <c r="F58" s="52"/>
      <c r="G58" s="52"/>
      <c r="H58" s="52"/>
      <c r="I58" s="58"/>
      <c r="J58" s="52"/>
      <c r="K58" s="52"/>
      <c r="L58" s="52"/>
    </row>
    <row r="59" spans="1:12">
      <c r="A59" s="51"/>
      <c r="B59" s="36"/>
      <c r="C59" s="51"/>
      <c r="D59" s="51"/>
      <c r="E59" s="51"/>
      <c r="F59" s="52"/>
      <c r="G59" s="52"/>
      <c r="H59" s="52"/>
      <c r="I59" s="58"/>
      <c r="J59" s="52"/>
      <c r="K59" s="52"/>
      <c r="L59" s="52"/>
    </row>
    <row r="60" spans="1:12">
      <c r="A60" s="51"/>
      <c r="B60" s="36"/>
      <c r="C60" s="51"/>
      <c r="D60" s="51"/>
      <c r="E60" s="51"/>
      <c r="F60" s="52"/>
      <c r="G60" s="52"/>
      <c r="H60" s="52"/>
      <c r="I60" s="58"/>
      <c r="J60" s="52"/>
      <c r="K60" s="52"/>
      <c r="L60" s="52"/>
    </row>
    <row r="61" spans="1:12">
      <c r="A61" s="51"/>
      <c r="B61" s="36"/>
      <c r="C61" s="51"/>
      <c r="D61" s="51"/>
      <c r="E61" s="51"/>
      <c r="F61" s="52"/>
      <c r="G61" s="52"/>
      <c r="H61" s="52"/>
      <c r="I61" s="58"/>
      <c r="J61" s="52"/>
      <c r="K61" s="52"/>
      <c r="L61" s="52"/>
    </row>
    <row r="62" spans="1:12">
      <c r="A62" s="51"/>
      <c r="B62" s="36"/>
      <c r="C62" s="51"/>
      <c r="D62" s="51"/>
      <c r="E62" s="51"/>
      <c r="F62" s="52"/>
      <c r="G62" s="52"/>
      <c r="H62" s="52"/>
      <c r="I62" s="58"/>
      <c r="J62" s="52"/>
      <c r="K62" s="52"/>
      <c r="L62" s="52"/>
    </row>
    <row r="63" spans="1:12">
      <c r="A63" s="51"/>
      <c r="B63" s="36"/>
      <c r="C63" s="51"/>
      <c r="D63" s="51"/>
      <c r="E63" s="51"/>
      <c r="F63" s="52"/>
      <c r="G63" s="52"/>
      <c r="H63" s="52"/>
      <c r="I63" s="58"/>
      <c r="J63" s="52"/>
      <c r="K63" s="52"/>
      <c r="L63" s="52"/>
    </row>
    <row r="64" spans="1:12">
      <c r="A64" s="51"/>
      <c r="B64" s="36"/>
      <c r="C64" s="51"/>
      <c r="D64" s="51"/>
      <c r="E64" s="51"/>
      <c r="F64" s="52"/>
      <c r="G64" s="52"/>
      <c r="H64" s="52"/>
      <c r="I64" s="58"/>
      <c r="J64" s="52"/>
      <c r="K64" s="52"/>
      <c r="L64" s="52"/>
    </row>
    <row r="65" spans="1:12">
      <c r="A65" s="51"/>
      <c r="B65" s="36"/>
      <c r="C65" s="51"/>
      <c r="D65" s="51"/>
      <c r="E65" s="51"/>
      <c r="F65" s="52"/>
      <c r="G65" s="52"/>
      <c r="H65" s="52"/>
      <c r="I65" s="58"/>
      <c r="J65" s="52"/>
      <c r="K65" s="52"/>
      <c r="L65" s="52"/>
    </row>
    <row r="66" spans="1:12">
      <c r="A66" s="51"/>
      <c r="B66" s="36"/>
      <c r="C66" s="51"/>
      <c r="D66" s="51"/>
      <c r="E66" s="51"/>
      <c r="F66" s="52"/>
      <c r="G66" s="52"/>
      <c r="H66" s="52"/>
      <c r="I66" s="58"/>
      <c r="J66" s="52"/>
      <c r="K66" s="52"/>
      <c r="L66" s="52"/>
    </row>
    <row r="67" spans="1:12">
      <c r="A67" s="51"/>
      <c r="B67" s="36"/>
      <c r="C67" s="51"/>
      <c r="D67" s="51"/>
      <c r="E67" s="51"/>
      <c r="F67" s="52"/>
      <c r="G67" s="52"/>
      <c r="H67" s="52"/>
      <c r="I67" s="58"/>
      <c r="J67" s="52"/>
      <c r="K67" s="52"/>
      <c r="L67" s="52"/>
    </row>
    <row r="68" spans="1:12">
      <c r="A68" s="51"/>
      <c r="B68" s="36"/>
      <c r="C68" s="51"/>
      <c r="D68" s="51"/>
      <c r="E68" s="51"/>
      <c r="F68" s="52"/>
      <c r="G68" s="52"/>
      <c r="H68" s="52"/>
      <c r="I68" s="58"/>
      <c r="J68" s="52"/>
      <c r="K68" s="52"/>
      <c r="L68" s="52"/>
    </row>
    <row r="69" spans="1:12">
      <c r="A69" s="51"/>
      <c r="B69" s="36"/>
      <c r="C69" s="51"/>
      <c r="D69" s="51"/>
      <c r="E69" s="51"/>
      <c r="F69" s="52"/>
      <c r="G69" s="52"/>
      <c r="H69" s="52"/>
      <c r="I69" s="58"/>
      <c r="J69" s="52"/>
      <c r="K69" s="52"/>
      <c r="L69" s="52"/>
    </row>
    <row r="70" spans="1:12">
      <c r="A70" s="51"/>
      <c r="B70" s="36"/>
      <c r="C70" s="51"/>
      <c r="D70" s="51"/>
      <c r="E70" s="51"/>
      <c r="F70" s="52"/>
      <c r="G70" s="52"/>
      <c r="H70" s="52"/>
      <c r="I70" s="58"/>
      <c r="J70" s="52"/>
      <c r="K70" s="52"/>
      <c r="L70" s="52"/>
    </row>
    <row r="71" spans="1:12">
      <c r="A71" s="51"/>
      <c r="B71" s="36"/>
      <c r="C71" s="51"/>
      <c r="D71" s="51"/>
      <c r="E71" s="51"/>
      <c r="F71" s="52"/>
      <c r="G71" s="52"/>
      <c r="H71" s="52"/>
      <c r="I71" s="58"/>
      <c r="J71" s="52"/>
      <c r="K71" s="52"/>
      <c r="L71" s="52"/>
    </row>
    <row r="72" spans="1:12">
      <c r="A72" s="51"/>
      <c r="B72" s="36"/>
      <c r="C72" s="51"/>
      <c r="D72" s="51"/>
      <c r="E72" s="51"/>
      <c r="F72" s="52"/>
      <c r="G72" s="52"/>
      <c r="H72" s="52"/>
      <c r="I72" s="58"/>
      <c r="J72" s="52"/>
      <c r="K72" s="52"/>
      <c r="L72" s="52"/>
    </row>
    <row r="73" spans="1:12">
      <c r="A73" s="51"/>
      <c r="B73" s="36"/>
      <c r="C73" s="51"/>
      <c r="D73" s="51"/>
      <c r="E73" s="51"/>
      <c r="F73" s="52"/>
      <c r="G73" s="52"/>
      <c r="H73" s="52"/>
      <c r="I73" s="58"/>
      <c r="J73" s="52"/>
      <c r="K73" s="52"/>
      <c r="L73" s="52"/>
    </row>
  </sheetData>
  <mergeCells count="4">
    <mergeCell ref="A1:L1"/>
    <mergeCell ref="N1:Y1"/>
    <mergeCell ref="AA1:AL1"/>
    <mergeCell ref="AN1:AY1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7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E4" sqref="E4"/>
    </sheetView>
  </sheetViews>
  <sheetFormatPr defaultColWidth="9" defaultRowHeight="14.25"/>
  <cols>
    <col min="1" max="1" width="11.1333333333333" style="26" customWidth="1"/>
    <col min="2" max="2" width="17.3833333333333" style="26" customWidth="1"/>
    <col min="3" max="3" width="15.25" style="26" customWidth="1"/>
    <col min="4" max="4" width="17.1333333333333" style="26" customWidth="1"/>
    <col min="5" max="5" width="64.5" style="26" customWidth="1"/>
    <col min="6" max="6" width="14.75" style="27"/>
    <col min="7" max="7" width="11.6333333333333" style="27"/>
    <col min="8" max="8" width="12.8833333333333" style="28" customWidth="1"/>
    <col min="9" max="11" width="9" style="27"/>
    <col min="12" max="12" width="11.6333333333333" style="27"/>
    <col min="13" max="14" width="12.8833333333333" style="28" customWidth="1"/>
    <col min="15" max="15" width="12.1333333333333" style="26" customWidth="1"/>
    <col min="16" max="18" width="12.25" style="26" customWidth="1"/>
    <col min="19" max="19" width="7" style="26" customWidth="1"/>
    <col min="20" max="20" width="9.13333333333333" style="28" customWidth="1"/>
    <col min="21" max="21" width="12.25" style="26" customWidth="1"/>
    <col min="22" max="22" width="12.25" style="28" customWidth="1"/>
    <col min="23" max="23" width="8" style="26" customWidth="1"/>
    <col min="24" max="24" width="10.6333333333333" style="28" customWidth="1"/>
    <col min="25" max="26" width="12.25" style="26" customWidth="1"/>
    <col min="27" max="27" width="12.25" style="28" customWidth="1"/>
    <col min="28" max="16384" width="9" style="26"/>
  </cols>
  <sheetData>
    <row r="1" ht="21" customHeight="1" spans="1:27">
      <c r="A1" s="29" t="s">
        <v>55</v>
      </c>
      <c r="B1" s="29" t="s">
        <v>56</v>
      </c>
      <c r="C1" s="29" t="s">
        <v>58</v>
      </c>
      <c r="D1" s="29" t="s">
        <v>59</v>
      </c>
      <c r="E1" s="29" t="s">
        <v>60</v>
      </c>
      <c r="F1" s="30" t="s">
        <v>141</v>
      </c>
      <c r="G1" s="31"/>
      <c r="H1" s="31"/>
      <c r="I1" s="31"/>
      <c r="J1" s="31"/>
      <c r="K1" s="31"/>
      <c r="L1" s="31"/>
      <c r="M1" s="31"/>
      <c r="N1" s="43"/>
      <c r="O1" s="44" t="s">
        <v>142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7"/>
    </row>
    <row r="2" ht="21" customHeight="1" spans="1:27">
      <c r="A2" s="32"/>
      <c r="B2" s="32"/>
      <c r="C2" s="32"/>
      <c r="D2" s="32"/>
      <c r="E2" s="32"/>
      <c r="F2" s="33" t="s">
        <v>229</v>
      </c>
      <c r="G2" s="34" t="s">
        <v>238</v>
      </c>
      <c r="H2" s="35" t="s">
        <v>286</v>
      </c>
      <c r="I2" s="46" t="s">
        <v>287</v>
      </c>
      <c r="J2" s="46" t="s">
        <v>288</v>
      </c>
      <c r="K2" s="46" t="s">
        <v>289</v>
      </c>
      <c r="L2" s="33" t="s">
        <v>290</v>
      </c>
      <c r="M2" s="35" t="s">
        <v>291</v>
      </c>
      <c r="N2" s="35" t="s">
        <v>242</v>
      </c>
      <c r="O2" s="33" t="s">
        <v>229</v>
      </c>
      <c r="P2" s="34" t="s">
        <v>238</v>
      </c>
      <c r="Q2" s="35" t="s">
        <v>286</v>
      </c>
      <c r="R2" s="35" t="s">
        <v>107</v>
      </c>
      <c r="S2" s="46" t="s">
        <v>287</v>
      </c>
      <c r="T2" s="35" t="s">
        <v>107</v>
      </c>
      <c r="U2" s="46" t="s">
        <v>288</v>
      </c>
      <c r="V2" s="35" t="s">
        <v>107</v>
      </c>
      <c r="W2" s="46" t="s">
        <v>289</v>
      </c>
      <c r="X2" s="35" t="s">
        <v>107</v>
      </c>
      <c r="Y2" s="33" t="s">
        <v>290</v>
      </c>
      <c r="Z2" s="35" t="s">
        <v>291</v>
      </c>
      <c r="AA2" s="35" t="s">
        <v>107</v>
      </c>
    </row>
    <row r="3" ht="24" customHeight="1" spans="1:27">
      <c r="A3" s="36"/>
      <c r="B3" s="36"/>
      <c r="C3" s="37"/>
      <c r="D3" s="37"/>
      <c r="E3" s="36"/>
      <c r="F3" s="38">
        <f>IFERROR(SUMIF('船长每月数据(2022年)'!E:E,C:C,'船长每月数据(2022年)'!R:R),0)</f>
        <v>0</v>
      </c>
      <c r="G3" s="38">
        <f>IFERROR(SUMIF('船长每月数据(2022年)'!E:E,C:C,'船长每月数据(2022年)'!AA:AA),0)</f>
        <v>0</v>
      </c>
      <c r="H3" s="21">
        <f>IFERROR(G3/F3,0)</f>
        <v>0</v>
      </c>
      <c r="I3" s="38">
        <f>IFERROR(SUMIF('船长每月数据(2022年)'!E:E,C:C,'船长每月数据(2022年)'!AA:AA)/SUMIF('船长每月数据(2022年)'!E:E,C:C,'船长每月数据(2022年)'!AD:AD),0)</f>
        <v>0</v>
      </c>
      <c r="J3" s="38">
        <f>IFERROR(SUMIF('船长每月数据(2022年)'!E:E,C:C,'船长每月数据(2022年)'!AA:AA)/SUMIF('船长每月数据(2022年)'!E:E,C:C,'船长每月数据(2022年)'!AI:AI),0)</f>
        <v>0</v>
      </c>
      <c r="K3" s="38">
        <f>IFERROR(SUMIF('船长每月数据(2022年)'!E:E,C:C,'船长每月数据(2022年)'!AA:AA)/SUMIF('船长每月数据(2022年)'!E:E,C:C,'船长每月数据(2022年)'!P:P),0)</f>
        <v>0</v>
      </c>
      <c r="L3" s="38">
        <f>IFERROR(SUMIF('船长每月数据(2022年)'!E:E,C:C,'船长每月数据(2022年)'!V:V),0)</f>
        <v>0</v>
      </c>
      <c r="M3" s="21">
        <f>IFERROR(L3/F3,0)</f>
        <v>0</v>
      </c>
      <c r="N3" s="21">
        <f>IFERROR(SUMIF('船长每月数据(2022年)'!E:E,C:C,'船长每月数据(2022年)'!P:P)/SUMIF('船长每月数据(2022年)'!E:E,C:C,'船长每月数据(2022年)'!H:H),0)</f>
        <v>0</v>
      </c>
      <c r="O3" s="38">
        <f>SUMIF('船长每月数据(2023年)'!E:E,C:C,'船长每月数据(2023年)'!R:R)</f>
        <v>0</v>
      </c>
      <c r="P3" s="38">
        <f>SUMIF('船长每月数据(2023年)'!E:E,C:C,'船长每月数据(2023年)'!AA:AA)</f>
        <v>0</v>
      </c>
      <c r="Q3" s="21">
        <f>IFERROR(P3/O3,0)</f>
        <v>0</v>
      </c>
      <c r="R3" s="21">
        <f>IFERROR((Q3-H3)/H3,0)</f>
        <v>0</v>
      </c>
      <c r="S3" s="38">
        <f>IFERROR(SUMIF('船长每月数据(2023年)'!E:E,C:C,'船长每月数据(2023年)'!AA:AA)/SUMIF('船长每月数据(2023年)'!E:E,C:C,'船长每月数据(2023年)'!AD:AD),0)</f>
        <v>0</v>
      </c>
      <c r="T3" s="21">
        <f>IFERROR((S3-I3)/I3,0)</f>
        <v>0</v>
      </c>
      <c r="U3" s="38">
        <f>IFERROR(SUMIF('船长每月数据(2023年)'!E:E,C:C,'船长每月数据(2023年)'!AA:AA)/SUMIF('船长每月数据(2023年)'!E:E,C:C,'船长每月数据(2023年)'!AI:AI),0)</f>
        <v>0</v>
      </c>
      <c r="V3" s="21">
        <f>IFERROR((U3-J3)/J3,0)</f>
        <v>0</v>
      </c>
      <c r="W3" s="38">
        <f>IFERROR(SUMIF('船长每月数据(2023年)'!E:E,C:C,'船长每月数据(2023年)'!AA:AA)/SUMIF('船长每月数据(2023年)'!E:E,C:C,'船长每月数据(2023年)'!P:P),0)</f>
        <v>0</v>
      </c>
      <c r="X3" s="21">
        <f>IFERROR((W3-K3)/K3,0)</f>
        <v>0</v>
      </c>
      <c r="Y3" s="38">
        <f>IFERROR(SUMIF('船长每月数据(2023年)'!E:E,C:C,'船长每月数据(2023年)'!V:V),0)</f>
        <v>0</v>
      </c>
      <c r="Z3" s="21">
        <f>IFERROR(Y3/O3,0)</f>
        <v>0</v>
      </c>
      <c r="AA3" s="21">
        <f>IFERROR((Z3-M3)/M3,0)</f>
        <v>0</v>
      </c>
    </row>
    <row r="4" ht="24" customHeight="1" spans="1:27">
      <c r="A4" s="36"/>
      <c r="B4" s="36"/>
      <c r="C4" s="37"/>
      <c r="D4" s="37"/>
      <c r="E4" s="39"/>
      <c r="F4" s="38">
        <f>IFERROR(SUMIF('船长每月数据(2022年)'!E:E,C:C,'船长每月数据(2022年)'!R:R),0)</f>
        <v>0</v>
      </c>
      <c r="G4" s="38">
        <f>IFERROR(SUMIF('船长每月数据(2022年)'!E:E,C:C,'船长每月数据(2022年)'!AA:AA),0)</f>
        <v>0</v>
      </c>
      <c r="H4" s="21">
        <f t="shared" ref="H4:H36" si="0">IFERROR(G4/F4,0)</f>
        <v>0</v>
      </c>
      <c r="I4" s="38">
        <f>IFERROR(SUMIF('船长每月数据(2022年)'!E:E,C:C,'船长每月数据(2022年)'!AA:AA)/SUMIF('船长每月数据(2022年)'!E:E,C:C,'船长每月数据(2022年)'!AD:AD),0)</f>
        <v>0</v>
      </c>
      <c r="J4" s="38">
        <f>IFERROR(SUMIF('船长每月数据(2022年)'!E:E,C:C,'船长每月数据(2022年)'!AA:AA)/SUMIF('船长每月数据(2022年)'!E:E,C:C,'船长每月数据(2022年)'!AI:AI),0)</f>
        <v>0</v>
      </c>
      <c r="K4" s="38">
        <f>IFERROR(SUMIF('船长每月数据(2022年)'!E:E,C:C,'船长每月数据(2022年)'!AA:AA)/SUMIF('船长每月数据(2022年)'!E:E,C:C,'船长每月数据(2022年)'!P:P),0)</f>
        <v>0</v>
      </c>
      <c r="L4" s="38">
        <f>IFERROR(SUMIF('船长每月数据(2022年)'!E:E,C:C,'船长每月数据(2022年)'!V:V),0)</f>
        <v>0</v>
      </c>
      <c r="M4" s="21">
        <f t="shared" ref="M4:M36" si="1">IFERROR(L4/F4,0)</f>
        <v>0</v>
      </c>
      <c r="N4" s="21">
        <f>IFERROR(SUMIF('船长每月数据(2022年)'!E:E,C:C,'船长每月数据(2022年)'!P:P)/SUMIF('船长每月数据(2022年)'!E:E,C:C,'船长每月数据(2022年)'!H:H),0)</f>
        <v>0</v>
      </c>
      <c r="O4" s="38">
        <f>SUMIF('船长每月数据(2023年)'!E:E,C:C,'船长每月数据(2023年)'!R:R)</f>
        <v>0</v>
      </c>
      <c r="P4" s="38">
        <f>SUMIF('船长每月数据(2023年)'!E:E,C:C,'船长每月数据(2023年)'!AA:AA)</f>
        <v>0</v>
      </c>
      <c r="Q4" s="21">
        <f t="shared" ref="Q4:Q36" si="2">IFERROR(P4/O4,0)</f>
        <v>0</v>
      </c>
      <c r="R4" s="21">
        <f t="shared" ref="R4:R36" si="3">IFERROR((Q4-H4)/H4,0)</f>
        <v>0</v>
      </c>
      <c r="S4" s="38">
        <f>IFERROR(SUMIF('船长每月数据(2023年)'!E:E,C:C,'船长每月数据(2023年)'!AA:AA)/SUMIF('船长每月数据(2023年)'!E:E,C:C,'船长每月数据(2023年)'!AD:AD),0)</f>
        <v>0</v>
      </c>
      <c r="T4" s="21">
        <f t="shared" ref="T4:T37" si="4">IFERROR((S4-I4)/I4,0)</f>
        <v>0</v>
      </c>
      <c r="U4" s="38">
        <f>IFERROR(SUMIF('船长每月数据(2023年)'!E:E,C:C,'船长每月数据(2023年)'!AA:AA)/SUMIF('船长每月数据(2023年)'!E:E,C:C,'船长每月数据(2023年)'!AI:AI),0)</f>
        <v>0</v>
      </c>
      <c r="V4" s="21">
        <f t="shared" ref="V4:V36" si="5">IFERROR((U4-J4)/J4,0)</f>
        <v>0</v>
      </c>
      <c r="W4" s="38">
        <f>IFERROR(SUMIF('船长每月数据(2023年)'!E:E,C:C,'船长每月数据(2023年)'!AA:AA)/SUMIF('船长每月数据(2023年)'!E:E,C:C,'船长每月数据(2023年)'!P:P),0)</f>
        <v>0</v>
      </c>
      <c r="X4" s="21">
        <f t="shared" ref="X4:X36" si="6">IFERROR((W4-K4)/K4,0)</f>
        <v>0</v>
      </c>
      <c r="Y4" s="38">
        <f>IFERROR(SUMIF('船长每月数据(2023年)'!E:E,C:C,'船长每月数据(2023年)'!V:V),0)</f>
        <v>0</v>
      </c>
      <c r="Z4" s="21">
        <f t="shared" ref="Z4:Z36" si="7">IFERROR(Y4/O4,0)</f>
        <v>0</v>
      </c>
      <c r="AA4" s="21">
        <f t="shared" ref="AA4:AA36" si="8">IFERROR((Z4-M4)/M4,0)</f>
        <v>0</v>
      </c>
    </row>
    <row r="5" ht="24" customHeight="1" spans="1:27">
      <c r="A5" s="36"/>
      <c r="B5" s="36"/>
      <c r="C5" s="37"/>
      <c r="D5" s="37"/>
      <c r="E5" s="36"/>
      <c r="F5" s="38">
        <f>IFERROR(SUMIF('船长每月数据(2022年)'!E:E,C:C,'船长每月数据(2022年)'!R:R),0)</f>
        <v>0</v>
      </c>
      <c r="G5" s="38">
        <f>IFERROR(SUMIF('船长每月数据(2022年)'!E:E,C:C,'船长每月数据(2022年)'!AA:AA),0)</f>
        <v>0</v>
      </c>
      <c r="H5" s="21">
        <f t="shared" si="0"/>
        <v>0</v>
      </c>
      <c r="I5" s="38">
        <f>IFERROR(SUMIF('船长每月数据(2022年)'!E:E,C:C,'船长每月数据(2022年)'!AA:AA)/SUMIF('船长每月数据(2022年)'!E:E,C:C,'船长每月数据(2022年)'!AD:AD),0)</f>
        <v>0</v>
      </c>
      <c r="J5" s="38">
        <f>IFERROR(SUMIF('船长每月数据(2022年)'!E:E,C:C,'船长每月数据(2022年)'!AA:AA)/SUMIF('船长每月数据(2022年)'!E:E,C:C,'船长每月数据(2022年)'!AI:AI),0)</f>
        <v>0</v>
      </c>
      <c r="K5" s="38">
        <f>IFERROR(SUMIF('船长每月数据(2022年)'!E:E,C:C,'船长每月数据(2022年)'!AA:AA)/SUMIF('船长每月数据(2022年)'!E:E,C:C,'船长每月数据(2022年)'!P:P),0)</f>
        <v>0</v>
      </c>
      <c r="L5" s="38">
        <f>IFERROR(SUMIF('船长每月数据(2022年)'!E:E,C:C,'船长每月数据(2022年)'!V:V),0)</f>
        <v>0</v>
      </c>
      <c r="M5" s="21">
        <f t="shared" si="1"/>
        <v>0</v>
      </c>
      <c r="N5" s="21">
        <f>IFERROR(SUMIF('船长每月数据(2022年)'!E:E,C:C,'船长每月数据(2022年)'!P:P)/SUMIF('船长每月数据(2022年)'!E:E,C:C,'船长每月数据(2022年)'!H:H),0)</f>
        <v>0</v>
      </c>
      <c r="O5" s="38">
        <f>SUMIF('船长每月数据(2023年)'!E:E,C:C,'船长每月数据(2023年)'!R:R)</f>
        <v>0</v>
      </c>
      <c r="P5" s="38">
        <f>SUMIF('船长每月数据(2023年)'!E:E,C:C,'船长每月数据(2023年)'!AA:AA)</f>
        <v>0</v>
      </c>
      <c r="Q5" s="21">
        <f t="shared" si="2"/>
        <v>0</v>
      </c>
      <c r="R5" s="21">
        <f t="shared" si="3"/>
        <v>0</v>
      </c>
      <c r="S5" s="38">
        <f>IFERROR(SUMIF('船长每月数据(2023年)'!E:E,C:C,'船长每月数据(2023年)'!AA:AA)/SUMIF('船长每月数据(2023年)'!E:E,C:C,'船长每月数据(2023年)'!AD:AD),0)</f>
        <v>0</v>
      </c>
      <c r="T5" s="21">
        <f t="shared" si="4"/>
        <v>0</v>
      </c>
      <c r="U5" s="38">
        <f>IFERROR(SUMIF('船长每月数据(2023年)'!E:E,C:C,'船长每月数据(2023年)'!AA:AA)/SUMIF('船长每月数据(2023年)'!E:E,C:C,'船长每月数据(2023年)'!AI:AI),0)</f>
        <v>0</v>
      </c>
      <c r="V5" s="21">
        <f t="shared" si="5"/>
        <v>0</v>
      </c>
      <c r="W5" s="38">
        <f>IFERROR(SUMIF('船长每月数据(2023年)'!E:E,C:C,'船长每月数据(2023年)'!AA:AA)/SUMIF('船长每月数据(2023年)'!E:E,C:C,'船长每月数据(2023年)'!P:P),0)</f>
        <v>0</v>
      </c>
      <c r="X5" s="21">
        <f t="shared" si="6"/>
        <v>0</v>
      </c>
      <c r="Y5" s="38">
        <f>IFERROR(SUMIF('船长每月数据(2023年)'!E:E,C:C,'船长每月数据(2023年)'!V:V),0)</f>
        <v>0</v>
      </c>
      <c r="Z5" s="21">
        <f t="shared" si="7"/>
        <v>0</v>
      </c>
      <c r="AA5" s="21">
        <f t="shared" si="8"/>
        <v>0</v>
      </c>
    </row>
    <row r="6" ht="24" customHeight="1" spans="1:27">
      <c r="A6" s="36"/>
      <c r="B6" s="36"/>
      <c r="C6" s="37"/>
      <c r="D6" s="37"/>
      <c r="E6" s="39"/>
      <c r="F6" s="38">
        <f>IFERROR(SUMIF('船长每月数据(2022年)'!E:E,C:C,'船长每月数据(2022年)'!R:R),0)</f>
        <v>0</v>
      </c>
      <c r="G6" s="38">
        <f>IFERROR(SUMIF('船长每月数据(2022年)'!E:E,C:C,'船长每月数据(2022年)'!AA:AA),0)</f>
        <v>0</v>
      </c>
      <c r="H6" s="21">
        <f t="shared" si="0"/>
        <v>0</v>
      </c>
      <c r="I6" s="38">
        <f>IFERROR(SUMIF('船长每月数据(2022年)'!E:E,C:C,'船长每月数据(2022年)'!AA:AA)/SUMIF('船长每月数据(2022年)'!E:E,C:C,'船长每月数据(2022年)'!AD:AD),0)</f>
        <v>0</v>
      </c>
      <c r="J6" s="38">
        <f>IFERROR(SUMIF('船长每月数据(2022年)'!E:E,C:C,'船长每月数据(2022年)'!AA:AA)/SUMIF('船长每月数据(2022年)'!E:E,C:C,'船长每月数据(2022年)'!AI:AI),0)</f>
        <v>0</v>
      </c>
      <c r="K6" s="38">
        <f>IFERROR(SUMIF('船长每月数据(2022年)'!E:E,C:C,'船长每月数据(2022年)'!AA:AA)/SUMIF('船长每月数据(2022年)'!E:E,C:C,'船长每月数据(2022年)'!P:P),0)</f>
        <v>0</v>
      </c>
      <c r="L6" s="38">
        <f>IFERROR(SUMIF('船长每月数据(2022年)'!E:E,C:C,'船长每月数据(2022年)'!V:V),0)</f>
        <v>0</v>
      </c>
      <c r="M6" s="21">
        <f t="shared" si="1"/>
        <v>0</v>
      </c>
      <c r="N6" s="21">
        <f>IFERROR(SUMIF('船长每月数据(2022年)'!E:E,C:C,'船长每月数据(2022年)'!P:P)/SUMIF('船长每月数据(2022年)'!E:E,C:C,'船长每月数据(2022年)'!H:H),0)</f>
        <v>0</v>
      </c>
      <c r="O6" s="38">
        <f>SUMIF('船长每月数据(2023年)'!E:E,C:C,'船长每月数据(2023年)'!R:R)</f>
        <v>0</v>
      </c>
      <c r="P6" s="38">
        <f>SUMIF('船长每月数据(2023年)'!E:E,C:C,'船长每月数据(2023年)'!AA:AA)</f>
        <v>0</v>
      </c>
      <c r="Q6" s="21">
        <f t="shared" si="2"/>
        <v>0</v>
      </c>
      <c r="R6" s="21">
        <f t="shared" si="3"/>
        <v>0</v>
      </c>
      <c r="S6" s="38">
        <f>IFERROR(SUMIF('船长每月数据(2023年)'!E:E,C:C,'船长每月数据(2023年)'!AA:AA)/SUMIF('船长每月数据(2023年)'!E:E,C:C,'船长每月数据(2023年)'!AD:AD),0)</f>
        <v>0</v>
      </c>
      <c r="T6" s="21">
        <f t="shared" si="4"/>
        <v>0</v>
      </c>
      <c r="U6" s="38">
        <f>IFERROR(SUMIF('船长每月数据(2023年)'!E:E,C:C,'船长每月数据(2023年)'!AA:AA)/SUMIF('船长每月数据(2023年)'!E:E,C:C,'船长每月数据(2023年)'!AI:AI),0)</f>
        <v>0</v>
      </c>
      <c r="V6" s="21">
        <f t="shared" si="5"/>
        <v>0</v>
      </c>
      <c r="W6" s="38">
        <f>IFERROR(SUMIF('船长每月数据(2023年)'!E:E,C:C,'船长每月数据(2023年)'!AA:AA)/SUMIF('船长每月数据(2023年)'!E:E,C:C,'船长每月数据(2023年)'!P:P),0)</f>
        <v>0</v>
      </c>
      <c r="X6" s="21">
        <f t="shared" si="6"/>
        <v>0</v>
      </c>
      <c r="Y6" s="38">
        <f>IFERROR(SUMIF('船长每月数据(2023年)'!E:E,C:C,'船长每月数据(2023年)'!V:V),0)</f>
        <v>0</v>
      </c>
      <c r="Z6" s="21">
        <f t="shared" si="7"/>
        <v>0</v>
      </c>
      <c r="AA6" s="21">
        <f t="shared" si="8"/>
        <v>0</v>
      </c>
    </row>
    <row r="7" ht="24" customHeight="1" spans="1:27">
      <c r="A7" s="36"/>
      <c r="B7" s="36"/>
      <c r="C7" s="37"/>
      <c r="D7" s="37"/>
      <c r="E7" s="39"/>
      <c r="F7" s="38">
        <f>IFERROR(SUMIF('船长每月数据(2022年)'!E:E,C:C,'船长每月数据(2022年)'!R:R),0)</f>
        <v>0</v>
      </c>
      <c r="G7" s="38">
        <f>IFERROR(SUMIF('船长每月数据(2022年)'!E:E,C:C,'船长每月数据(2022年)'!AA:AA),0)</f>
        <v>0</v>
      </c>
      <c r="H7" s="21">
        <f t="shared" si="0"/>
        <v>0</v>
      </c>
      <c r="I7" s="38">
        <f>IFERROR(SUMIF('船长每月数据(2022年)'!E:E,C:C,'船长每月数据(2022年)'!AA:AA)/SUMIF('船长每月数据(2022年)'!E:E,C:C,'船长每月数据(2022年)'!AD:AD),0)</f>
        <v>0</v>
      </c>
      <c r="J7" s="38">
        <f>IFERROR(SUMIF('船长每月数据(2022年)'!E:E,C:C,'船长每月数据(2022年)'!AA:AA)/SUMIF('船长每月数据(2022年)'!E:E,C:C,'船长每月数据(2022年)'!AI:AI),0)</f>
        <v>0</v>
      </c>
      <c r="K7" s="38">
        <f>IFERROR(SUMIF('船长每月数据(2022年)'!E:E,C:C,'船长每月数据(2022年)'!AA:AA)/SUMIF('船长每月数据(2022年)'!E:E,C:C,'船长每月数据(2022年)'!P:P),0)</f>
        <v>0</v>
      </c>
      <c r="L7" s="38">
        <f>IFERROR(SUMIF('船长每月数据(2022年)'!E:E,C:C,'船长每月数据(2022年)'!V:V),0)</f>
        <v>0</v>
      </c>
      <c r="M7" s="21">
        <f t="shared" si="1"/>
        <v>0</v>
      </c>
      <c r="N7" s="21">
        <f>IFERROR(SUMIF('船长每月数据(2022年)'!E:E,C:C,'船长每月数据(2022年)'!P:P)/SUMIF('船长每月数据(2022年)'!E:E,C:C,'船长每月数据(2022年)'!H:H),0)</f>
        <v>0</v>
      </c>
      <c r="O7" s="38">
        <f>SUMIF('船长每月数据(2023年)'!E:E,C:C,'船长每月数据(2023年)'!R:R)</f>
        <v>0</v>
      </c>
      <c r="P7" s="38">
        <f>SUMIF('船长每月数据(2023年)'!E:E,C:C,'船长每月数据(2023年)'!AA:AA)</f>
        <v>0</v>
      </c>
      <c r="Q7" s="21">
        <f t="shared" si="2"/>
        <v>0</v>
      </c>
      <c r="R7" s="21">
        <f t="shared" si="3"/>
        <v>0</v>
      </c>
      <c r="S7" s="38">
        <f>IFERROR(SUMIF('船长每月数据(2023年)'!E:E,C:C,'船长每月数据(2023年)'!AA:AA)/SUMIF('船长每月数据(2023年)'!E:E,C:C,'船长每月数据(2023年)'!AD:AD),0)</f>
        <v>0</v>
      </c>
      <c r="T7" s="21">
        <f t="shared" si="4"/>
        <v>0</v>
      </c>
      <c r="U7" s="38">
        <f>IFERROR(SUMIF('船长每月数据(2023年)'!E:E,C:C,'船长每月数据(2023年)'!AA:AA)/SUMIF('船长每月数据(2023年)'!E:E,C:C,'船长每月数据(2023年)'!AI:AI),0)</f>
        <v>0</v>
      </c>
      <c r="V7" s="21">
        <f t="shared" si="5"/>
        <v>0</v>
      </c>
      <c r="W7" s="38">
        <f>IFERROR(SUMIF('船长每月数据(2023年)'!E:E,C:C,'船长每月数据(2023年)'!AA:AA)/SUMIF('船长每月数据(2023年)'!E:E,C:C,'船长每月数据(2023年)'!P:P),0)</f>
        <v>0</v>
      </c>
      <c r="X7" s="21">
        <f t="shared" si="6"/>
        <v>0</v>
      </c>
      <c r="Y7" s="38">
        <f>IFERROR(SUMIF('船长每月数据(2023年)'!E:E,C:C,'船长每月数据(2023年)'!V:V),0)</f>
        <v>0</v>
      </c>
      <c r="Z7" s="21">
        <f t="shared" si="7"/>
        <v>0</v>
      </c>
      <c r="AA7" s="21">
        <f t="shared" si="8"/>
        <v>0</v>
      </c>
    </row>
    <row r="8" ht="24" customHeight="1" spans="1:27">
      <c r="A8" s="36"/>
      <c r="B8" s="36"/>
      <c r="C8" s="37"/>
      <c r="D8" s="37"/>
      <c r="E8" s="36"/>
      <c r="F8" s="38">
        <f>IFERROR(SUMIF('船长每月数据(2022年)'!E:E,C:C,'船长每月数据(2022年)'!R:R),0)</f>
        <v>0</v>
      </c>
      <c r="G8" s="38">
        <f>IFERROR(SUMIF('船长每月数据(2022年)'!E:E,C:C,'船长每月数据(2022年)'!AA:AA),0)</f>
        <v>0</v>
      </c>
      <c r="H8" s="21">
        <f t="shared" si="0"/>
        <v>0</v>
      </c>
      <c r="I8" s="38">
        <f>IFERROR(SUMIF('船长每月数据(2022年)'!E:E,C:C,'船长每月数据(2022年)'!AA:AA)/SUMIF('船长每月数据(2022年)'!E:E,C:C,'船长每月数据(2022年)'!AD:AD),0)</f>
        <v>0</v>
      </c>
      <c r="J8" s="38">
        <f>IFERROR(SUMIF('船长每月数据(2022年)'!E:E,C:C,'船长每月数据(2022年)'!AA:AA)/SUMIF('船长每月数据(2022年)'!E:E,C:C,'船长每月数据(2022年)'!AI:AI),0)</f>
        <v>0</v>
      </c>
      <c r="K8" s="38">
        <f>IFERROR(SUMIF('船长每月数据(2022年)'!E:E,C:C,'船长每月数据(2022年)'!AA:AA)/SUMIF('船长每月数据(2022年)'!E:E,C:C,'船长每月数据(2022年)'!P:P),0)</f>
        <v>0</v>
      </c>
      <c r="L8" s="38">
        <f>IFERROR(SUMIF('船长每月数据(2022年)'!E:E,C:C,'船长每月数据(2022年)'!V:V),0)</f>
        <v>0</v>
      </c>
      <c r="M8" s="21">
        <f t="shared" si="1"/>
        <v>0</v>
      </c>
      <c r="N8" s="21">
        <f>IFERROR(SUMIF('船长每月数据(2022年)'!E:E,C:C,'船长每月数据(2022年)'!P:P)/SUMIF('船长每月数据(2022年)'!E:E,C:C,'船长每月数据(2022年)'!H:H),0)</f>
        <v>0</v>
      </c>
      <c r="O8" s="38">
        <f>SUMIF('船长每月数据(2023年)'!E:E,C:C,'船长每月数据(2023年)'!R:R)</f>
        <v>0</v>
      </c>
      <c r="P8" s="38">
        <f>SUMIF('船长每月数据(2023年)'!E:E,C:C,'船长每月数据(2023年)'!AA:AA)</f>
        <v>0</v>
      </c>
      <c r="Q8" s="21">
        <f t="shared" si="2"/>
        <v>0</v>
      </c>
      <c r="R8" s="21">
        <f t="shared" si="3"/>
        <v>0</v>
      </c>
      <c r="S8" s="38">
        <f>IFERROR(SUMIF('船长每月数据(2023年)'!E:E,C:C,'船长每月数据(2023年)'!AA:AA)/SUMIF('船长每月数据(2023年)'!E:E,C:C,'船长每月数据(2023年)'!AD:AD),0)</f>
        <v>0</v>
      </c>
      <c r="T8" s="21">
        <f t="shared" si="4"/>
        <v>0</v>
      </c>
      <c r="U8" s="38">
        <f>IFERROR(SUMIF('船长每月数据(2023年)'!E:E,C:C,'船长每月数据(2023年)'!AA:AA)/SUMIF('船长每月数据(2023年)'!E:E,C:C,'船长每月数据(2023年)'!AI:AI),0)</f>
        <v>0</v>
      </c>
      <c r="V8" s="21">
        <f t="shared" si="5"/>
        <v>0</v>
      </c>
      <c r="W8" s="38">
        <f>IFERROR(SUMIF('船长每月数据(2023年)'!E:E,C:C,'船长每月数据(2023年)'!AA:AA)/SUMIF('船长每月数据(2023年)'!E:E,C:C,'船长每月数据(2023年)'!P:P),0)</f>
        <v>0</v>
      </c>
      <c r="X8" s="21">
        <f t="shared" si="6"/>
        <v>0</v>
      </c>
      <c r="Y8" s="38">
        <f>IFERROR(SUMIF('船长每月数据(2023年)'!E:E,C:C,'船长每月数据(2023年)'!V:V),0)</f>
        <v>0</v>
      </c>
      <c r="Z8" s="21">
        <f t="shared" si="7"/>
        <v>0</v>
      </c>
      <c r="AA8" s="21">
        <f t="shared" si="8"/>
        <v>0</v>
      </c>
    </row>
    <row r="9" ht="24" customHeight="1" spans="1:27">
      <c r="A9" s="36"/>
      <c r="B9" s="36"/>
      <c r="C9" s="37"/>
      <c r="D9" s="37"/>
      <c r="E9" s="39"/>
      <c r="F9" s="38">
        <f>IFERROR(SUMIF('船长每月数据(2022年)'!E:E,C:C,'船长每月数据(2022年)'!R:R),0)</f>
        <v>0</v>
      </c>
      <c r="G9" s="38">
        <f>IFERROR(SUMIF('船长每月数据(2022年)'!E:E,C:C,'船长每月数据(2022年)'!AA:AA),0)</f>
        <v>0</v>
      </c>
      <c r="H9" s="21">
        <f t="shared" si="0"/>
        <v>0</v>
      </c>
      <c r="I9" s="38">
        <f>IFERROR(SUMIF('船长每月数据(2022年)'!E:E,C:C,'船长每月数据(2022年)'!AA:AA)/SUMIF('船长每月数据(2022年)'!E:E,C:C,'船长每月数据(2022年)'!AD:AD),0)</f>
        <v>0</v>
      </c>
      <c r="J9" s="38">
        <f>IFERROR(SUMIF('船长每月数据(2022年)'!E:E,C:C,'船长每月数据(2022年)'!AA:AA)/SUMIF('船长每月数据(2022年)'!E:E,C:C,'船长每月数据(2022年)'!AI:AI),0)</f>
        <v>0</v>
      </c>
      <c r="K9" s="38">
        <f>IFERROR(SUMIF('船长每月数据(2022年)'!E:E,C:C,'船长每月数据(2022年)'!AA:AA)/SUMIF('船长每月数据(2022年)'!E:E,C:C,'船长每月数据(2022年)'!P:P),0)</f>
        <v>0</v>
      </c>
      <c r="L9" s="38">
        <f>IFERROR(SUMIF('船长每月数据(2022年)'!E:E,C:C,'船长每月数据(2022年)'!V:V),0)</f>
        <v>0</v>
      </c>
      <c r="M9" s="21">
        <f t="shared" si="1"/>
        <v>0</v>
      </c>
      <c r="N9" s="21">
        <f>IFERROR(SUMIF('船长每月数据(2022年)'!E:E,C:C,'船长每月数据(2022年)'!P:P)/SUMIF('船长每月数据(2022年)'!E:E,C:C,'船长每月数据(2022年)'!H:H),0)</f>
        <v>0</v>
      </c>
      <c r="O9" s="38">
        <f>SUMIF('船长每月数据(2023年)'!E:E,C:C,'船长每月数据(2023年)'!R:R)</f>
        <v>0</v>
      </c>
      <c r="P9" s="38">
        <f>SUMIF('船长每月数据(2023年)'!E:E,C:C,'船长每月数据(2023年)'!AA:AA)</f>
        <v>0</v>
      </c>
      <c r="Q9" s="21">
        <f t="shared" si="2"/>
        <v>0</v>
      </c>
      <c r="R9" s="21">
        <f t="shared" si="3"/>
        <v>0</v>
      </c>
      <c r="S9" s="38">
        <f>IFERROR(SUMIF('船长每月数据(2023年)'!E:E,C:C,'船长每月数据(2023年)'!AA:AA)/SUMIF('船长每月数据(2023年)'!E:E,C:C,'船长每月数据(2023年)'!AD:AD),0)</f>
        <v>0</v>
      </c>
      <c r="T9" s="21">
        <f t="shared" si="4"/>
        <v>0</v>
      </c>
      <c r="U9" s="38">
        <f>IFERROR(SUMIF('船长每月数据(2023年)'!E:E,C:C,'船长每月数据(2023年)'!AA:AA)/SUMIF('船长每月数据(2023年)'!E:E,C:C,'船长每月数据(2023年)'!AI:AI),0)</f>
        <v>0</v>
      </c>
      <c r="V9" s="21">
        <f t="shared" si="5"/>
        <v>0</v>
      </c>
      <c r="W9" s="38">
        <f>IFERROR(SUMIF('船长每月数据(2023年)'!E:E,C:C,'船长每月数据(2023年)'!AA:AA)/SUMIF('船长每月数据(2023年)'!E:E,C:C,'船长每月数据(2023年)'!P:P),0)</f>
        <v>0</v>
      </c>
      <c r="X9" s="21">
        <f t="shared" si="6"/>
        <v>0</v>
      </c>
      <c r="Y9" s="38">
        <f>IFERROR(SUMIF('船长每月数据(2023年)'!E:E,C:C,'船长每月数据(2023年)'!V:V),0)</f>
        <v>0</v>
      </c>
      <c r="Z9" s="21">
        <f t="shared" si="7"/>
        <v>0</v>
      </c>
      <c r="AA9" s="21">
        <f t="shared" si="8"/>
        <v>0</v>
      </c>
    </row>
    <row r="10" ht="24" customHeight="1" spans="1:27">
      <c r="A10" s="36"/>
      <c r="B10" s="36"/>
      <c r="C10" s="37"/>
      <c r="D10" s="37"/>
      <c r="E10" s="39"/>
      <c r="F10" s="38">
        <f>IFERROR(SUMIF('船长每月数据(2022年)'!E:E,C:C,'船长每月数据(2022年)'!R:R),0)</f>
        <v>0</v>
      </c>
      <c r="G10" s="38">
        <f>IFERROR(SUMIF('船长每月数据(2022年)'!E:E,C:C,'船长每月数据(2022年)'!AA:AA),0)</f>
        <v>0</v>
      </c>
      <c r="H10" s="21">
        <f t="shared" si="0"/>
        <v>0</v>
      </c>
      <c r="I10" s="38">
        <f>IFERROR(SUMIF('船长每月数据(2022年)'!E:E,C:C,'船长每月数据(2022年)'!AA:AA)/SUMIF('船长每月数据(2022年)'!E:E,C:C,'船长每月数据(2022年)'!AD:AD),0)</f>
        <v>0</v>
      </c>
      <c r="J10" s="38">
        <f>IFERROR(SUMIF('船长每月数据(2022年)'!E:E,C:C,'船长每月数据(2022年)'!AA:AA)/SUMIF('船长每月数据(2022年)'!E:E,C:C,'船长每月数据(2022年)'!AI:AI),0)</f>
        <v>0</v>
      </c>
      <c r="K10" s="38">
        <f>IFERROR(SUMIF('船长每月数据(2022年)'!E:E,C:C,'船长每月数据(2022年)'!AA:AA)/SUMIF('船长每月数据(2022年)'!E:E,C:C,'船长每月数据(2022年)'!P:P),0)</f>
        <v>0</v>
      </c>
      <c r="L10" s="38">
        <f>IFERROR(SUMIF('船长每月数据(2022年)'!E:E,C:C,'船长每月数据(2022年)'!V:V),0)</f>
        <v>0</v>
      </c>
      <c r="M10" s="21">
        <f t="shared" si="1"/>
        <v>0</v>
      </c>
      <c r="N10" s="21">
        <f>IFERROR(SUMIF('船长每月数据(2022年)'!E:E,C:C,'船长每月数据(2022年)'!P:P)/SUMIF('船长每月数据(2022年)'!E:E,C:C,'船长每月数据(2022年)'!H:H),0)</f>
        <v>0</v>
      </c>
      <c r="O10" s="38">
        <f>SUMIF('船长每月数据(2023年)'!E:E,C:C,'船长每月数据(2023年)'!R:R)</f>
        <v>0</v>
      </c>
      <c r="P10" s="38">
        <f>SUMIF('船长每月数据(2023年)'!E:E,C:C,'船长每月数据(2023年)'!AA:AA)</f>
        <v>0</v>
      </c>
      <c r="Q10" s="21">
        <f t="shared" si="2"/>
        <v>0</v>
      </c>
      <c r="R10" s="21">
        <f t="shared" si="3"/>
        <v>0</v>
      </c>
      <c r="S10" s="38">
        <f>IFERROR(SUMIF('船长每月数据(2023年)'!E:E,C:C,'船长每月数据(2023年)'!AA:AA)/SUMIF('船长每月数据(2023年)'!E:E,C:C,'船长每月数据(2023年)'!AD:AD),0)</f>
        <v>0</v>
      </c>
      <c r="T10" s="21">
        <f t="shared" si="4"/>
        <v>0</v>
      </c>
      <c r="U10" s="38">
        <f>IFERROR(SUMIF('船长每月数据(2023年)'!E:E,C:C,'船长每月数据(2023年)'!AA:AA)/SUMIF('船长每月数据(2023年)'!E:E,C:C,'船长每月数据(2023年)'!AI:AI),0)</f>
        <v>0</v>
      </c>
      <c r="V10" s="21">
        <f t="shared" si="5"/>
        <v>0</v>
      </c>
      <c r="W10" s="38">
        <f>IFERROR(SUMIF('船长每月数据(2023年)'!E:E,C:C,'船长每月数据(2023年)'!AA:AA)/SUMIF('船长每月数据(2023年)'!E:E,C:C,'船长每月数据(2023年)'!P:P),0)</f>
        <v>0</v>
      </c>
      <c r="X10" s="21">
        <f t="shared" si="6"/>
        <v>0</v>
      </c>
      <c r="Y10" s="38">
        <f>IFERROR(SUMIF('船长每月数据(2023年)'!E:E,C:C,'船长每月数据(2023年)'!V:V),0)</f>
        <v>0</v>
      </c>
      <c r="Z10" s="21">
        <f t="shared" si="7"/>
        <v>0</v>
      </c>
      <c r="AA10" s="21">
        <f t="shared" si="8"/>
        <v>0</v>
      </c>
    </row>
    <row r="11" ht="24" customHeight="1" spans="1:27">
      <c r="A11" s="36"/>
      <c r="B11" s="36"/>
      <c r="C11" s="37"/>
      <c r="D11" s="37"/>
      <c r="E11" s="39"/>
      <c r="F11" s="38">
        <f>IFERROR(SUMIF('船长每月数据(2022年)'!E:E,C:C,'船长每月数据(2022年)'!R:R),0)</f>
        <v>0</v>
      </c>
      <c r="G11" s="38">
        <f>IFERROR(SUMIF('船长每月数据(2022年)'!E:E,C:C,'船长每月数据(2022年)'!AA:AA),0)</f>
        <v>0</v>
      </c>
      <c r="H11" s="21">
        <f t="shared" si="0"/>
        <v>0</v>
      </c>
      <c r="I11" s="38">
        <f>IFERROR(SUMIF('船长每月数据(2022年)'!E:E,C:C,'船长每月数据(2022年)'!AA:AA)/SUMIF('船长每月数据(2022年)'!E:E,C:C,'船长每月数据(2022年)'!AD:AD),0)</f>
        <v>0</v>
      </c>
      <c r="J11" s="38">
        <f>IFERROR(SUMIF('船长每月数据(2022年)'!E:E,C:C,'船长每月数据(2022年)'!AA:AA)/SUMIF('船长每月数据(2022年)'!E:E,C:C,'船长每月数据(2022年)'!AI:AI),0)</f>
        <v>0</v>
      </c>
      <c r="K11" s="38">
        <f>IFERROR(SUMIF('船长每月数据(2022年)'!E:E,C:C,'船长每月数据(2022年)'!AA:AA)/SUMIF('船长每月数据(2022年)'!E:E,C:C,'船长每月数据(2022年)'!P:P),0)</f>
        <v>0</v>
      </c>
      <c r="L11" s="38">
        <f>IFERROR(SUMIF('船长每月数据(2022年)'!E:E,C:C,'船长每月数据(2022年)'!V:V),0)</f>
        <v>0</v>
      </c>
      <c r="M11" s="21">
        <f t="shared" si="1"/>
        <v>0</v>
      </c>
      <c r="N11" s="21">
        <f>IFERROR(SUMIF('船长每月数据(2022年)'!E:E,C:C,'船长每月数据(2022年)'!P:P)/SUMIF('船长每月数据(2022年)'!E:E,C:C,'船长每月数据(2022年)'!H:H),0)</f>
        <v>0</v>
      </c>
      <c r="O11" s="38">
        <f>SUMIF('船长每月数据(2023年)'!E:E,C:C,'船长每月数据(2023年)'!R:R)</f>
        <v>0</v>
      </c>
      <c r="P11" s="38">
        <f>SUMIF('船长每月数据(2023年)'!E:E,C:C,'船长每月数据(2023年)'!AA:AA)</f>
        <v>0</v>
      </c>
      <c r="Q11" s="21">
        <f t="shared" si="2"/>
        <v>0</v>
      </c>
      <c r="R11" s="21">
        <f t="shared" si="3"/>
        <v>0</v>
      </c>
      <c r="S11" s="38">
        <f>IFERROR(SUMIF('船长每月数据(2023年)'!E:E,C:C,'船长每月数据(2023年)'!AA:AA)/SUMIF('船长每月数据(2023年)'!E:E,C:C,'船长每月数据(2023年)'!AD:AD),0)</f>
        <v>0</v>
      </c>
      <c r="T11" s="21">
        <f t="shared" si="4"/>
        <v>0</v>
      </c>
      <c r="U11" s="38">
        <f>IFERROR(SUMIF('船长每月数据(2023年)'!E:E,C:C,'船长每月数据(2023年)'!AA:AA)/SUMIF('船长每月数据(2023年)'!E:E,C:C,'船长每月数据(2023年)'!AI:AI),0)</f>
        <v>0</v>
      </c>
      <c r="V11" s="21">
        <f t="shared" si="5"/>
        <v>0</v>
      </c>
      <c r="W11" s="38">
        <f>IFERROR(SUMIF('船长每月数据(2023年)'!E:E,C:C,'船长每月数据(2023年)'!AA:AA)/SUMIF('船长每月数据(2023年)'!E:E,C:C,'船长每月数据(2023年)'!P:P),0)</f>
        <v>0</v>
      </c>
      <c r="X11" s="21">
        <f t="shared" si="6"/>
        <v>0</v>
      </c>
      <c r="Y11" s="38">
        <f>IFERROR(SUMIF('船长每月数据(2023年)'!E:E,C:C,'船长每月数据(2023年)'!V:V),0)</f>
        <v>0</v>
      </c>
      <c r="Z11" s="21">
        <f t="shared" si="7"/>
        <v>0</v>
      </c>
      <c r="AA11" s="21">
        <f t="shared" si="8"/>
        <v>0</v>
      </c>
    </row>
    <row r="12" ht="24" customHeight="1" spans="1:27">
      <c r="A12" s="36"/>
      <c r="B12" s="36"/>
      <c r="C12" s="37"/>
      <c r="D12" s="37"/>
      <c r="E12" s="36"/>
      <c r="F12" s="38">
        <f>IFERROR(SUMIF('船长每月数据(2022年)'!E:E,C:C,'船长每月数据(2022年)'!R:R),0)</f>
        <v>0</v>
      </c>
      <c r="G12" s="38">
        <f>IFERROR(SUMIF('船长每月数据(2022年)'!E:E,C:C,'船长每月数据(2022年)'!AA:AA),0)</f>
        <v>0</v>
      </c>
      <c r="H12" s="21">
        <f t="shared" si="0"/>
        <v>0</v>
      </c>
      <c r="I12" s="38">
        <f>IFERROR(SUMIF('船长每月数据(2022年)'!E:E,C:C,'船长每月数据(2022年)'!AA:AA)/SUMIF('船长每月数据(2022年)'!E:E,C:C,'船长每月数据(2022年)'!AD:AD),0)</f>
        <v>0</v>
      </c>
      <c r="J12" s="38">
        <f>IFERROR(SUMIF('船长每月数据(2022年)'!E:E,C:C,'船长每月数据(2022年)'!AA:AA)/SUMIF('船长每月数据(2022年)'!E:E,C:C,'船长每月数据(2022年)'!AI:AI),0)</f>
        <v>0</v>
      </c>
      <c r="K12" s="38">
        <f>IFERROR(SUMIF('船长每月数据(2022年)'!E:E,C:C,'船长每月数据(2022年)'!AA:AA)/SUMIF('船长每月数据(2022年)'!E:E,C:C,'船长每月数据(2022年)'!P:P),0)</f>
        <v>0</v>
      </c>
      <c r="L12" s="38">
        <f>IFERROR(SUMIF('船长每月数据(2022年)'!E:E,C:C,'船长每月数据(2022年)'!V:V),0)</f>
        <v>0</v>
      </c>
      <c r="M12" s="21">
        <f t="shared" si="1"/>
        <v>0</v>
      </c>
      <c r="N12" s="21">
        <f>IFERROR(SUMIF('船长每月数据(2022年)'!E:E,C:C,'船长每月数据(2022年)'!P:P)/SUMIF('船长每月数据(2022年)'!E:E,C:C,'船长每月数据(2022年)'!H:H),0)</f>
        <v>0</v>
      </c>
      <c r="O12" s="38">
        <f>SUMIF('船长每月数据(2023年)'!E:E,C:C,'船长每月数据(2023年)'!R:R)</f>
        <v>0</v>
      </c>
      <c r="P12" s="38">
        <f>SUMIF('船长每月数据(2023年)'!E:E,C:C,'船长每月数据(2023年)'!AA:AA)</f>
        <v>0</v>
      </c>
      <c r="Q12" s="21">
        <f t="shared" si="2"/>
        <v>0</v>
      </c>
      <c r="R12" s="21">
        <f t="shared" si="3"/>
        <v>0</v>
      </c>
      <c r="S12" s="38">
        <f>IFERROR(SUMIF('船长每月数据(2023年)'!E:E,C:C,'船长每月数据(2023年)'!AA:AA)/SUMIF('船长每月数据(2023年)'!E:E,C:C,'船长每月数据(2023年)'!AD:AD),0)</f>
        <v>0</v>
      </c>
      <c r="T12" s="21">
        <f t="shared" si="4"/>
        <v>0</v>
      </c>
      <c r="U12" s="38">
        <f>IFERROR(SUMIF('船长每月数据(2023年)'!E:E,C:C,'船长每月数据(2023年)'!AA:AA)/SUMIF('船长每月数据(2023年)'!E:E,C:C,'船长每月数据(2023年)'!AI:AI),0)</f>
        <v>0</v>
      </c>
      <c r="V12" s="21">
        <f t="shared" si="5"/>
        <v>0</v>
      </c>
      <c r="W12" s="38">
        <f>IFERROR(SUMIF('船长每月数据(2023年)'!E:E,C:C,'船长每月数据(2023年)'!AA:AA)/SUMIF('船长每月数据(2023年)'!E:E,C:C,'船长每月数据(2023年)'!P:P),0)</f>
        <v>0</v>
      </c>
      <c r="X12" s="21">
        <f t="shared" si="6"/>
        <v>0</v>
      </c>
      <c r="Y12" s="38">
        <f>IFERROR(SUMIF('船长每月数据(2023年)'!E:E,C:C,'船长每月数据(2023年)'!V:V),0)</f>
        <v>0</v>
      </c>
      <c r="Z12" s="21">
        <f t="shared" si="7"/>
        <v>0</v>
      </c>
      <c r="AA12" s="21">
        <f t="shared" si="8"/>
        <v>0</v>
      </c>
    </row>
    <row r="13" ht="24" customHeight="1" spans="1:27">
      <c r="A13" s="36"/>
      <c r="B13" s="36"/>
      <c r="C13" s="37"/>
      <c r="D13" s="37"/>
      <c r="E13" s="36"/>
      <c r="F13" s="38">
        <f>IFERROR(SUMIF('船长每月数据(2022年)'!E:E,C:C,'船长每月数据(2022年)'!R:R),0)</f>
        <v>0</v>
      </c>
      <c r="G13" s="38">
        <f>IFERROR(SUMIF('船长每月数据(2022年)'!E:E,C:C,'船长每月数据(2022年)'!AA:AA),0)</f>
        <v>0</v>
      </c>
      <c r="H13" s="21">
        <f t="shared" si="0"/>
        <v>0</v>
      </c>
      <c r="I13" s="38">
        <f>IFERROR(SUMIF('船长每月数据(2022年)'!E:E,C:C,'船长每月数据(2022年)'!AA:AA)/SUMIF('船长每月数据(2022年)'!E:E,C:C,'船长每月数据(2022年)'!AD:AD),0)</f>
        <v>0</v>
      </c>
      <c r="J13" s="38">
        <f>IFERROR(SUMIF('船长每月数据(2022年)'!E:E,C:C,'船长每月数据(2022年)'!AA:AA)/SUMIF('船长每月数据(2022年)'!E:E,C:C,'船长每月数据(2022年)'!AI:AI),0)</f>
        <v>0</v>
      </c>
      <c r="K13" s="38">
        <f>IFERROR(SUMIF('船长每月数据(2022年)'!E:E,C:C,'船长每月数据(2022年)'!AA:AA)/SUMIF('船长每月数据(2022年)'!E:E,C:C,'船长每月数据(2022年)'!P:P),0)</f>
        <v>0</v>
      </c>
      <c r="L13" s="38">
        <f>IFERROR(SUMIF('船长每月数据(2022年)'!E:E,C:C,'船长每月数据(2022年)'!V:V),0)</f>
        <v>0</v>
      </c>
      <c r="M13" s="21">
        <f t="shared" si="1"/>
        <v>0</v>
      </c>
      <c r="N13" s="21">
        <f>IFERROR(SUMIF('船长每月数据(2022年)'!E:E,C:C,'船长每月数据(2022年)'!P:P)/SUMIF('船长每月数据(2022年)'!E:E,C:C,'船长每月数据(2022年)'!H:H),0)</f>
        <v>0</v>
      </c>
      <c r="O13" s="38">
        <f>SUMIF('船长每月数据(2023年)'!E:E,C:C,'船长每月数据(2023年)'!R:R)</f>
        <v>0</v>
      </c>
      <c r="P13" s="38">
        <f>SUMIF('船长每月数据(2023年)'!E:E,C:C,'船长每月数据(2023年)'!AA:AA)</f>
        <v>0</v>
      </c>
      <c r="Q13" s="21">
        <f t="shared" si="2"/>
        <v>0</v>
      </c>
      <c r="R13" s="21">
        <f t="shared" si="3"/>
        <v>0</v>
      </c>
      <c r="S13" s="38">
        <f>IFERROR(SUMIF('船长每月数据(2023年)'!E:E,C:C,'船长每月数据(2023年)'!AA:AA)/SUMIF('船长每月数据(2023年)'!E:E,C:C,'船长每月数据(2023年)'!AD:AD),0)</f>
        <v>0</v>
      </c>
      <c r="T13" s="21">
        <f t="shared" si="4"/>
        <v>0</v>
      </c>
      <c r="U13" s="38">
        <f>IFERROR(SUMIF('船长每月数据(2023年)'!E:E,C:C,'船长每月数据(2023年)'!AA:AA)/SUMIF('船长每月数据(2023年)'!E:E,C:C,'船长每月数据(2023年)'!AI:AI),0)</f>
        <v>0</v>
      </c>
      <c r="V13" s="21">
        <f t="shared" si="5"/>
        <v>0</v>
      </c>
      <c r="W13" s="38">
        <f>IFERROR(SUMIF('船长每月数据(2023年)'!E:E,C:C,'船长每月数据(2023年)'!AA:AA)/SUMIF('船长每月数据(2023年)'!E:E,C:C,'船长每月数据(2023年)'!P:P),0)</f>
        <v>0</v>
      </c>
      <c r="X13" s="21">
        <f t="shared" si="6"/>
        <v>0</v>
      </c>
      <c r="Y13" s="38">
        <f>IFERROR(SUMIF('船长每月数据(2023年)'!E:E,C:C,'船长每月数据(2023年)'!V:V),0)</f>
        <v>0</v>
      </c>
      <c r="Z13" s="21">
        <f t="shared" si="7"/>
        <v>0</v>
      </c>
      <c r="AA13" s="21">
        <f t="shared" si="8"/>
        <v>0</v>
      </c>
    </row>
    <row r="14" ht="24" customHeight="1" spans="1:27">
      <c r="A14" s="36"/>
      <c r="B14" s="40"/>
      <c r="C14" s="41"/>
      <c r="D14" s="41"/>
      <c r="E14" s="20"/>
      <c r="F14" s="38">
        <f>IFERROR(SUMIF('船长每月数据(2022年)'!E:E,C:C,'船长每月数据(2022年)'!R:R),0)</f>
        <v>0</v>
      </c>
      <c r="G14" s="38">
        <f>IFERROR(SUMIF('船长每月数据(2022年)'!E:E,C:C,'船长每月数据(2022年)'!AA:AA),0)</f>
        <v>0</v>
      </c>
      <c r="H14" s="21">
        <f t="shared" si="0"/>
        <v>0</v>
      </c>
      <c r="I14" s="38">
        <f>IFERROR(SUMIF('船长每月数据(2022年)'!E:E,C:C,'船长每月数据(2022年)'!AA:AA)/SUMIF('船长每月数据(2022年)'!E:E,C:C,'船长每月数据(2022年)'!AD:AD),0)</f>
        <v>0</v>
      </c>
      <c r="J14" s="38">
        <f>IFERROR(SUMIF('船长每月数据(2022年)'!E:E,C:C,'船长每月数据(2022年)'!AA:AA)/SUMIF('船长每月数据(2022年)'!E:E,C:C,'船长每月数据(2022年)'!AI:AI),0)</f>
        <v>0</v>
      </c>
      <c r="K14" s="38">
        <f>IFERROR(SUMIF('船长每月数据(2022年)'!E:E,C:C,'船长每月数据(2022年)'!AA:AA)/SUMIF('船长每月数据(2022年)'!E:E,C:C,'船长每月数据(2022年)'!P:P),0)</f>
        <v>0</v>
      </c>
      <c r="L14" s="38">
        <f>IFERROR(SUMIF('船长每月数据(2022年)'!E:E,C:C,'船长每月数据(2022年)'!V:V),0)</f>
        <v>0</v>
      </c>
      <c r="M14" s="21">
        <f t="shared" si="1"/>
        <v>0</v>
      </c>
      <c r="N14" s="21">
        <f>IFERROR(SUMIF('船长每月数据(2022年)'!E:E,C:C,'船长每月数据(2022年)'!P:P)/SUMIF('船长每月数据(2022年)'!E:E,C:C,'船长每月数据(2022年)'!H:H),0)</f>
        <v>0</v>
      </c>
      <c r="O14" s="38">
        <f>SUMIF('船长每月数据(2023年)'!E:E,C:C,'船长每月数据(2023年)'!R:R)</f>
        <v>0</v>
      </c>
      <c r="P14" s="38">
        <f>SUMIF('船长每月数据(2023年)'!E:E,C:C,'船长每月数据(2023年)'!AA:AA)</f>
        <v>0</v>
      </c>
      <c r="Q14" s="21">
        <f t="shared" si="2"/>
        <v>0</v>
      </c>
      <c r="R14" s="21">
        <f t="shared" si="3"/>
        <v>0</v>
      </c>
      <c r="S14" s="38">
        <f>IFERROR(SUMIF('船长每月数据(2023年)'!E:E,C:C,'船长每月数据(2023年)'!AA:AA)/SUMIF('船长每月数据(2023年)'!E:E,C:C,'船长每月数据(2023年)'!AD:AD),0)</f>
        <v>0</v>
      </c>
      <c r="T14" s="21">
        <f t="shared" si="4"/>
        <v>0</v>
      </c>
      <c r="U14" s="38">
        <f>IFERROR(SUMIF('船长每月数据(2023年)'!E:E,C:C,'船长每月数据(2023年)'!AA:AA)/SUMIF('船长每月数据(2023年)'!E:E,C:C,'船长每月数据(2023年)'!AI:AI),0)</f>
        <v>0</v>
      </c>
      <c r="V14" s="21">
        <f t="shared" si="5"/>
        <v>0</v>
      </c>
      <c r="W14" s="38">
        <f>IFERROR(SUMIF('船长每月数据(2023年)'!E:E,C:C,'船长每月数据(2023年)'!AA:AA)/SUMIF('船长每月数据(2023年)'!E:E,C:C,'船长每月数据(2023年)'!P:P),0)</f>
        <v>0</v>
      </c>
      <c r="X14" s="21">
        <f t="shared" si="6"/>
        <v>0</v>
      </c>
      <c r="Y14" s="38">
        <f>IFERROR(SUMIF('船长每月数据(2023年)'!E:E,C:C,'船长每月数据(2023年)'!V:V),0)</f>
        <v>0</v>
      </c>
      <c r="Z14" s="21">
        <f t="shared" si="7"/>
        <v>0</v>
      </c>
      <c r="AA14" s="21">
        <f t="shared" si="8"/>
        <v>0</v>
      </c>
    </row>
    <row r="15" ht="24" customHeight="1" spans="1:27">
      <c r="A15" s="36"/>
      <c r="B15" s="40"/>
      <c r="C15" s="41"/>
      <c r="D15" s="41"/>
      <c r="E15" s="20"/>
      <c r="F15" s="38">
        <f>IFERROR(SUMIF('船长每月数据(2022年)'!E:E,C:C,'船长每月数据(2022年)'!R:R),0)</f>
        <v>0</v>
      </c>
      <c r="G15" s="38">
        <f>IFERROR(SUMIF('船长每月数据(2022年)'!E:E,C:C,'船长每月数据(2022年)'!AA:AA),0)</f>
        <v>0</v>
      </c>
      <c r="H15" s="21">
        <f t="shared" si="0"/>
        <v>0</v>
      </c>
      <c r="I15" s="38">
        <f>IFERROR(SUMIF('船长每月数据(2022年)'!E:E,C:C,'船长每月数据(2022年)'!AA:AA)/SUMIF('船长每月数据(2022年)'!E:E,C:C,'船长每月数据(2022年)'!AD:AD),0)</f>
        <v>0</v>
      </c>
      <c r="J15" s="38">
        <f>IFERROR(SUMIF('船长每月数据(2022年)'!E:E,C:C,'船长每月数据(2022年)'!AA:AA)/SUMIF('船长每月数据(2022年)'!E:E,C:C,'船长每月数据(2022年)'!AI:AI),0)</f>
        <v>0</v>
      </c>
      <c r="K15" s="38">
        <f>IFERROR(SUMIF('船长每月数据(2022年)'!E:E,C:C,'船长每月数据(2022年)'!AA:AA)/SUMIF('船长每月数据(2022年)'!E:E,C:C,'船长每月数据(2022年)'!P:P),0)</f>
        <v>0</v>
      </c>
      <c r="L15" s="38">
        <f>IFERROR(SUMIF('船长每月数据(2022年)'!E:E,C:C,'船长每月数据(2022年)'!V:V),0)</f>
        <v>0</v>
      </c>
      <c r="M15" s="21">
        <f t="shared" si="1"/>
        <v>0</v>
      </c>
      <c r="N15" s="21">
        <f>IFERROR(SUMIF('船长每月数据(2022年)'!E:E,C:C,'船长每月数据(2022年)'!P:P)/SUMIF('船长每月数据(2022年)'!E:E,C:C,'船长每月数据(2022年)'!H:H),0)</f>
        <v>0</v>
      </c>
      <c r="O15" s="38">
        <f>SUMIF('船长每月数据(2023年)'!E:E,C:C,'船长每月数据(2023年)'!R:R)</f>
        <v>0</v>
      </c>
      <c r="P15" s="38">
        <f>SUMIF('船长每月数据(2023年)'!E:E,C:C,'船长每月数据(2023年)'!AA:AA)</f>
        <v>0</v>
      </c>
      <c r="Q15" s="21">
        <f t="shared" si="2"/>
        <v>0</v>
      </c>
      <c r="R15" s="21">
        <f t="shared" si="3"/>
        <v>0</v>
      </c>
      <c r="S15" s="38">
        <f>IFERROR(SUMIF('船长每月数据(2023年)'!E:E,C:C,'船长每月数据(2023年)'!AA:AA)/SUMIF('船长每月数据(2023年)'!E:E,C:C,'船长每月数据(2023年)'!AD:AD),0)</f>
        <v>0</v>
      </c>
      <c r="T15" s="21">
        <f t="shared" si="4"/>
        <v>0</v>
      </c>
      <c r="U15" s="38">
        <f>IFERROR(SUMIF('船长每月数据(2023年)'!E:E,C:C,'船长每月数据(2023年)'!AA:AA)/SUMIF('船长每月数据(2023年)'!E:E,C:C,'船长每月数据(2023年)'!AI:AI),0)</f>
        <v>0</v>
      </c>
      <c r="V15" s="21">
        <f t="shared" si="5"/>
        <v>0</v>
      </c>
      <c r="W15" s="38">
        <f>IFERROR(SUMIF('船长每月数据(2023年)'!E:E,C:C,'船长每月数据(2023年)'!AA:AA)/SUMIF('船长每月数据(2023年)'!E:E,C:C,'船长每月数据(2023年)'!P:P),0)</f>
        <v>0</v>
      </c>
      <c r="X15" s="21">
        <f t="shared" si="6"/>
        <v>0</v>
      </c>
      <c r="Y15" s="38">
        <f>IFERROR(SUMIF('船长每月数据(2023年)'!E:E,C:C,'船长每月数据(2023年)'!V:V),0)</f>
        <v>0</v>
      </c>
      <c r="Z15" s="21">
        <f t="shared" si="7"/>
        <v>0</v>
      </c>
      <c r="AA15" s="21">
        <f t="shared" si="8"/>
        <v>0</v>
      </c>
    </row>
    <row r="16" ht="24" customHeight="1" spans="1:27">
      <c r="A16" s="36"/>
      <c r="B16" s="36"/>
      <c r="C16" s="41"/>
      <c r="D16" s="41"/>
      <c r="E16" s="20"/>
      <c r="F16" s="38">
        <f>IFERROR(SUMIF('船长每月数据(2022年)'!E:E,C:C,'船长每月数据(2022年)'!R:R),0)</f>
        <v>0</v>
      </c>
      <c r="G16" s="38">
        <f>IFERROR(SUMIF('船长每月数据(2022年)'!E:E,C:C,'船长每月数据(2022年)'!AA:AA),0)</f>
        <v>0</v>
      </c>
      <c r="H16" s="21">
        <f t="shared" si="0"/>
        <v>0</v>
      </c>
      <c r="I16" s="38">
        <f>IFERROR(SUMIF('船长每月数据(2022年)'!E:E,C:C,'船长每月数据(2022年)'!AA:AA)/SUMIF('船长每月数据(2022年)'!E:E,C:C,'船长每月数据(2022年)'!AD:AD),0)</f>
        <v>0</v>
      </c>
      <c r="J16" s="38">
        <f>IFERROR(SUMIF('船长每月数据(2022年)'!E:E,C:C,'船长每月数据(2022年)'!AA:AA)/SUMIF('船长每月数据(2022年)'!E:E,C:C,'船长每月数据(2022年)'!AI:AI),0)</f>
        <v>0</v>
      </c>
      <c r="K16" s="38">
        <f>IFERROR(SUMIF('船长每月数据(2022年)'!E:E,C:C,'船长每月数据(2022年)'!AA:AA)/SUMIF('船长每月数据(2022年)'!E:E,C:C,'船长每月数据(2022年)'!P:P),0)</f>
        <v>0</v>
      </c>
      <c r="L16" s="38">
        <f>IFERROR(SUMIF('船长每月数据(2022年)'!E:E,C:C,'船长每月数据(2022年)'!V:V),0)</f>
        <v>0</v>
      </c>
      <c r="M16" s="21">
        <f t="shared" si="1"/>
        <v>0</v>
      </c>
      <c r="N16" s="21">
        <f>IFERROR(SUMIF('船长每月数据(2022年)'!E:E,C:C,'船长每月数据(2022年)'!P:P)/SUMIF('船长每月数据(2022年)'!E:E,C:C,'船长每月数据(2022年)'!H:H),0)</f>
        <v>0</v>
      </c>
      <c r="O16" s="38">
        <f>SUMIF('船长每月数据(2023年)'!E:E,C:C,'船长每月数据(2023年)'!R:R)</f>
        <v>0</v>
      </c>
      <c r="P16" s="38">
        <f>SUMIF('船长每月数据(2023年)'!E:E,C:C,'船长每月数据(2023年)'!AA:AA)</f>
        <v>0</v>
      </c>
      <c r="Q16" s="21">
        <f t="shared" si="2"/>
        <v>0</v>
      </c>
      <c r="R16" s="21">
        <f t="shared" si="3"/>
        <v>0</v>
      </c>
      <c r="S16" s="38">
        <f>IFERROR(SUMIF('船长每月数据(2023年)'!E:E,C:C,'船长每月数据(2023年)'!AA:AA)/SUMIF('船长每月数据(2023年)'!E:E,C:C,'船长每月数据(2023年)'!AD:AD),0)</f>
        <v>0</v>
      </c>
      <c r="T16" s="21">
        <f t="shared" si="4"/>
        <v>0</v>
      </c>
      <c r="U16" s="38">
        <f>IFERROR(SUMIF('船长每月数据(2023年)'!E:E,C:C,'船长每月数据(2023年)'!AA:AA)/SUMIF('船长每月数据(2023年)'!E:E,C:C,'船长每月数据(2023年)'!AI:AI),0)</f>
        <v>0</v>
      </c>
      <c r="V16" s="21">
        <f t="shared" si="5"/>
        <v>0</v>
      </c>
      <c r="W16" s="38">
        <f>IFERROR(SUMIF('船长每月数据(2023年)'!E:E,C:C,'船长每月数据(2023年)'!AA:AA)/SUMIF('船长每月数据(2023年)'!E:E,C:C,'船长每月数据(2023年)'!P:P),0)</f>
        <v>0</v>
      </c>
      <c r="X16" s="21">
        <f t="shared" si="6"/>
        <v>0</v>
      </c>
      <c r="Y16" s="38">
        <f>IFERROR(SUMIF('船长每月数据(2023年)'!E:E,C:C,'船长每月数据(2023年)'!V:V),0)</f>
        <v>0</v>
      </c>
      <c r="Z16" s="21">
        <f t="shared" si="7"/>
        <v>0</v>
      </c>
      <c r="AA16" s="21">
        <f t="shared" si="8"/>
        <v>0</v>
      </c>
    </row>
    <row r="17" ht="24" customHeight="1" spans="1:27">
      <c r="A17" s="36"/>
      <c r="B17" s="36"/>
      <c r="C17" s="41"/>
      <c r="D17" s="41"/>
      <c r="E17" s="20"/>
      <c r="F17" s="38">
        <f>IFERROR(SUMIF('船长每月数据(2022年)'!E:E,C:C,'船长每月数据(2022年)'!R:R),0)</f>
        <v>0</v>
      </c>
      <c r="G17" s="38">
        <f>IFERROR(SUMIF('船长每月数据(2022年)'!E:E,C:C,'船长每月数据(2022年)'!AA:AA),0)</f>
        <v>0</v>
      </c>
      <c r="H17" s="21">
        <f t="shared" si="0"/>
        <v>0</v>
      </c>
      <c r="I17" s="38">
        <f>IFERROR(SUMIF('船长每月数据(2022年)'!E:E,C:C,'船长每月数据(2022年)'!AA:AA)/SUMIF('船长每月数据(2022年)'!E:E,C:C,'船长每月数据(2022年)'!AD:AD),0)</f>
        <v>0</v>
      </c>
      <c r="J17" s="38">
        <f>IFERROR(SUMIF('船长每月数据(2022年)'!E:E,C:C,'船长每月数据(2022年)'!AA:AA)/SUMIF('船长每月数据(2022年)'!E:E,C:C,'船长每月数据(2022年)'!AI:AI),0)</f>
        <v>0</v>
      </c>
      <c r="K17" s="38">
        <f>IFERROR(SUMIF('船长每月数据(2022年)'!E:E,C:C,'船长每月数据(2022年)'!AA:AA)/SUMIF('船长每月数据(2022年)'!E:E,C:C,'船长每月数据(2022年)'!P:P),0)</f>
        <v>0</v>
      </c>
      <c r="L17" s="38">
        <f>IFERROR(SUMIF('船长每月数据(2022年)'!E:E,C:C,'船长每月数据(2022年)'!V:V),0)</f>
        <v>0</v>
      </c>
      <c r="M17" s="21">
        <f t="shared" si="1"/>
        <v>0</v>
      </c>
      <c r="N17" s="21">
        <f>IFERROR(SUMIF('船长每月数据(2022年)'!E:E,C:C,'船长每月数据(2022年)'!P:P)/SUMIF('船长每月数据(2022年)'!E:E,C:C,'船长每月数据(2022年)'!H:H),0)</f>
        <v>0</v>
      </c>
      <c r="O17" s="38">
        <f>SUMIF('船长每月数据(2023年)'!E:E,C:C,'船长每月数据(2023年)'!R:R)</f>
        <v>0</v>
      </c>
      <c r="P17" s="38">
        <f>SUMIF('船长每月数据(2023年)'!E:E,C:C,'船长每月数据(2023年)'!AA:AA)</f>
        <v>0</v>
      </c>
      <c r="Q17" s="21">
        <f t="shared" si="2"/>
        <v>0</v>
      </c>
      <c r="R17" s="21">
        <f t="shared" si="3"/>
        <v>0</v>
      </c>
      <c r="S17" s="38">
        <f>IFERROR(SUMIF('船长每月数据(2023年)'!E:E,C:C,'船长每月数据(2023年)'!AA:AA)/SUMIF('船长每月数据(2023年)'!E:E,C:C,'船长每月数据(2023年)'!AD:AD),0)</f>
        <v>0</v>
      </c>
      <c r="T17" s="21">
        <f t="shared" si="4"/>
        <v>0</v>
      </c>
      <c r="U17" s="38">
        <f>IFERROR(SUMIF('船长每月数据(2023年)'!E:E,C:C,'船长每月数据(2023年)'!AA:AA)/SUMIF('船长每月数据(2023年)'!E:E,C:C,'船长每月数据(2023年)'!AI:AI),0)</f>
        <v>0</v>
      </c>
      <c r="V17" s="21">
        <f t="shared" si="5"/>
        <v>0</v>
      </c>
      <c r="W17" s="38">
        <f>IFERROR(SUMIF('船长每月数据(2023年)'!E:E,C:C,'船长每月数据(2023年)'!AA:AA)/SUMIF('船长每月数据(2023年)'!E:E,C:C,'船长每月数据(2023年)'!P:P),0)</f>
        <v>0</v>
      </c>
      <c r="X17" s="21">
        <f t="shared" si="6"/>
        <v>0</v>
      </c>
      <c r="Y17" s="38">
        <f>IFERROR(SUMIF('船长每月数据(2023年)'!E:E,C:C,'船长每月数据(2023年)'!V:V),0)</f>
        <v>0</v>
      </c>
      <c r="Z17" s="21">
        <f t="shared" si="7"/>
        <v>0</v>
      </c>
      <c r="AA17" s="21">
        <f t="shared" si="8"/>
        <v>0</v>
      </c>
    </row>
    <row r="18" ht="24" customHeight="1" spans="1:27">
      <c r="A18" s="36"/>
      <c r="B18" s="36"/>
      <c r="C18" s="41"/>
      <c r="D18" s="41"/>
      <c r="E18" s="20"/>
      <c r="F18" s="38">
        <f>IFERROR(SUMIF('船长每月数据(2022年)'!E:E,C:C,'船长每月数据(2022年)'!R:R),0)</f>
        <v>0</v>
      </c>
      <c r="G18" s="38">
        <f>IFERROR(SUMIF('船长每月数据(2022年)'!E:E,C:C,'船长每月数据(2022年)'!AA:AA),0)</f>
        <v>0</v>
      </c>
      <c r="H18" s="21">
        <f t="shared" si="0"/>
        <v>0</v>
      </c>
      <c r="I18" s="38">
        <f>IFERROR(SUMIF('船长每月数据(2022年)'!E:E,C:C,'船长每月数据(2022年)'!AA:AA)/SUMIF('船长每月数据(2022年)'!E:E,C:C,'船长每月数据(2022年)'!AD:AD),0)</f>
        <v>0</v>
      </c>
      <c r="J18" s="38">
        <f>IFERROR(SUMIF('船长每月数据(2022年)'!E:E,C:C,'船长每月数据(2022年)'!AA:AA)/SUMIF('船长每月数据(2022年)'!E:E,C:C,'船长每月数据(2022年)'!AI:AI),0)</f>
        <v>0</v>
      </c>
      <c r="K18" s="38">
        <f>IFERROR(SUMIF('船长每月数据(2022年)'!E:E,C:C,'船长每月数据(2022年)'!AA:AA)/SUMIF('船长每月数据(2022年)'!E:E,C:C,'船长每月数据(2022年)'!P:P),0)</f>
        <v>0</v>
      </c>
      <c r="L18" s="38">
        <f>IFERROR(SUMIF('船长每月数据(2022年)'!E:E,C:C,'船长每月数据(2022年)'!V:V),0)</f>
        <v>0</v>
      </c>
      <c r="M18" s="21">
        <f t="shared" si="1"/>
        <v>0</v>
      </c>
      <c r="N18" s="21">
        <f>IFERROR(SUMIF('船长每月数据(2022年)'!E:E,C:C,'船长每月数据(2022年)'!P:P)/SUMIF('船长每月数据(2022年)'!E:E,C:C,'船长每月数据(2022年)'!H:H),0)</f>
        <v>0</v>
      </c>
      <c r="O18" s="38">
        <f>SUMIF('船长每月数据(2023年)'!E:E,C:C,'船长每月数据(2023年)'!R:R)</f>
        <v>0</v>
      </c>
      <c r="P18" s="38">
        <f>SUMIF('船长每月数据(2023年)'!E:E,C:C,'船长每月数据(2023年)'!AA:AA)</f>
        <v>0</v>
      </c>
      <c r="Q18" s="21">
        <f t="shared" si="2"/>
        <v>0</v>
      </c>
      <c r="R18" s="21">
        <f t="shared" si="3"/>
        <v>0</v>
      </c>
      <c r="S18" s="38">
        <f>IFERROR(SUMIF('船长每月数据(2023年)'!E:E,C:C,'船长每月数据(2023年)'!AA:AA)/SUMIF('船长每月数据(2023年)'!E:E,C:C,'船长每月数据(2023年)'!AD:AD),0)</f>
        <v>0</v>
      </c>
      <c r="T18" s="21">
        <f t="shared" si="4"/>
        <v>0</v>
      </c>
      <c r="U18" s="38">
        <f>IFERROR(SUMIF('船长每月数据(2023年)'!E:E,C:C,'船长每月数据(2023年)'!AA:AA)/SUMIF('船长每月数据(2023年)'!E:E,C:C,'船长每月数据(2023年)'!AI:AI),0)</f>
        <v>0</v>
      </c>
      <c r="V18" s="21">
        <f t="shared" si="5"/>
        <v>0</v>
      </c>
      <c r="W18" s="38">
        <f>IFERROR(SUMIF('船长每月数据(2023年)'!E:E,C:C,'船长每月数据(2023年)'!AA:AA)/SUMIF('船长每月数据(2023年)'!E:E,C:C,'船长每月数据(2023年)'!P:P),0)</f>
        <v>0</v>
      </c>
      <c r="X18" s="21">
        <f t="shared" si="6"/>
        <v>0</v>
      </c>
      <c r="Y18" s="38">
        <f>IFERROR(SUMIF('船长每月数据(2023年)'!E:E,C:C,'船长每月数据(2023年)'!V:V),0)</f>
        <v>0</v>
      </c>
      <c r="Z18" s="21">
        <f t="shared" si="7"/>
        <v>0</v>
      </c>
      <c r="AA18" s="21">
        <f t="shared" si="8"/>
        <v>0</v>
      </c>
    </row>
    <row r="19" ht="24" customHeight="1" spans="1:27">
      <c r="A19" s="36"/>
      <c r="B19" s="36"/>
      <c r="C19" s="20"/>
      <c r="D19" s="20"/>
      <c r="E19" s="20"/>
      <c r="F19" s="38">
        <f>IFERROR(SUMIF('船长每月数据(2022年)'!E:E,C:C,'船长每月数据(2022年)'!R:R),0)</f>
        <v>0</v>
      </c>
      <c r="G19" s="38">
        <f>IFERROR(SUMIF('船长每月数据(2022年)'!E:E,C:C,'船长每月数据(2022年)'!AA:AA),0)</f>
        <v>0</v>
      </c>
      <c r="H19" s="21">
        <f t="shared" si="0"/>
        <v>0</v>
      </c>
      <c r="I19" s="38">
        <f>IFERROR(SUMIF('船长每月数据(2022年)'!E:E,C:C,'船长每月数据(2022年)'!AA:AA)/SUMIF('船长每月数据(2022年)'!E:E,C:C,'船长每月数据(2022年)'!AD:AD),0)</f>
        <v>0</v>
      </c>
      <c r="J19" s="38">
        <f>IFERROR(SUMIF('船长每月数据(2022年)'!E:E,C:C,'船长每月数据(2022年)'!AA:AA)/SUMIF('船长每月数据(2022年)'!E:E,C:C,'船长每月数据(2022年)'!AI:AI),0)</f>
        <v>0</v>
      </c>
      <c r="K19" s="38">
        <f>IFERROR(SUMIF('船长每月数据(2022年)'!E:E,C:C,'船长每月数据(2022年)'!AA:AA)/SUMIF('船长每月数据(2022年)'!E:E,C:C,'船长每月数据(2022年)'!P:P),0)</f>
        <v>0</v>
      </c>
      <c r="L19" s="38">
        <f>IFERROR(SUMIF('船长每月数据(2022年)'!E:E,C:C,'船长每月数据(2022年)'!V:V),0)</f>
        <v>0</v>
      </c>
      <c r="M19" s="21">
        <f t="shared" si="1"/>
        <v>0</v>
      </c>
      <c r="N19" s="21">
        <f>IFERROR(SUMIF('船长每月数据(2022年)'!E:E,C:C,'船长每月数据(2022年)'!P:P)/SUMIF('船长每月数据(2022年)'!E:E,C:C,'船长每月数据(2022年)'!H:H),0)</f>
        <v>0</v>
      </c>
      <c r="O19" s="38">
        <f>SUMIF('船长每月数据(2023年)'!E:E,C:C,'船长每月数据(2023年)'!R:R)</f>
        <v>0</v>
      </c>
      <c r="P19" s="38">
        <f>SUMIF('船长每月数据(2023年)'!E:E,C:C,'船长每月数据(2023年)'!AA:AA)</f>
        <v>0</v>
      </c>
      <c r="Q19" s="21">
        <f t="shared" si="2"/>
        <v>0</v>
      </c>
      <c r="R19" s="21">
        <f t="shared" si="3"/>
        <v>0</v>
      </c>
      <c r="S19" s="38">
        <f>IFERROR(SUMIF('船长每月数据(2023年)'!E:E,C:C,'船长每月数据(2023年)'!AA:AA)/SUMIF('船长每月数据(2023年)'!E:E,C:C,'船长每月数据(2023年)'!AD:AD),0)</f>
        <v>0</v>
      </c>
      <c r="T19" s="21">
        <f t="shared" si="4"/>
        <v>0</v>
      </c>
      <c r="U19" s="38">
        <f>IFERROR(SUMIF('船长每月数据(2023年)'!E:E,C:C,'船长每月数据(2023年)'!AA:AA)/SUMIF('船长每月数据(2023年)'!E:E,C:C,'船长每月数据(2023年)'!AI:AI),0)</f>
        <v>0</v>
      </c>
      <c r="V19" s="21">
        <f t="shared" si="5"/>
        <v>0</v>
      </c>
      <c r="W19" s="38">
        <f>IFERROR(SUMIF('船长每月数据(2023年)'!E:E,C:C,'船长每月数据(2023年)'!AA:AA)/SUMIF('船长每月数据(2023年)'!E:E,C:C,'船长每月数据(2023年)'!P:P),0)</f>
        <v>0</v>
      </c>
      <c r="X19" s="21">
        <f t="shared" si="6"/>
        <v>0</v>
      </c>
      <c r="Y19" s="38">
        <f>IFERROR(SUMIF('船长每月数据(2023年)'!E:E,C:C,'船长每月数据(2023年)'!V:V),0)</f>
        <v>0</v>
      </c>
      <c r="Z19" s="21">
        <f t="shared" si="7"/>
        <v>0</v>
      </c>
      <c r="AA19" s="21">
        <f t="shared" si="8"/>
        <v>0</v>
      </c>
    </row>
    <row r="20" ht="24" customHeight="1" spans="1:27">
      <c r="A20" s="36"/>
      <c r="B20" s="36"/>
      <c r="C20" s="20"/>
      <c r="D20" s="20"/>
      <c r="E20" s="20"/>
      <c r="F20" s="38">
        <f>IFERROR(SUMIF('船长每月数据(2022年)'!E:E,C:C,'船长每月数据(2022年)'!R:R),0)</f>
        <v>0</v>
      </c>
      <c r="G20" s="38">
        <f>IFERROR(SUMIF('船长每月数据(2022年)'!E:E,C:C,'船长每月数据(2022年)'!AA:AA),0)</f>
        <v>0</v>
      </c>
      <c r="H20" s="21">
        <f t="shared" si="0"/>
        <v>0</v>
      </c>
      <c r="I20" s="38">
        <f>IFERROR(SUMIF('船长每月数据(2022年)'!E:E,C:C,'船长每月数据(2022年)'!AA:AA)/SUMIF('船长每月数据(2022年)'!E:E,C:C,'船长每月数据(2022年)'!AD:AD),0)</f>
        <v>0</v>
      </c>
      <c r="J20" s="38">
        <f>IFERROR(SUMIF('船长每月数据(2022年)'!E:E,C:C,'船长每月数据(2022年)'!AA:AA)/SUMIF('船长每月数据(2022年)'!E:E,C:C,'船长每月数据(2022年)'!AI:AI),0)</f>
        <v>0</v>
      </c>
      <c r="K20" s="38">
        <f>IFERROR(SUMIF('船长每月数据(2022年)'!E:E,C:C,'船长每月数据(2022年)'!AA:AA)/SUMIF('船长每月数据(2022年)'!E:E,C:C,'船长每月数据(2022年)'!P:P),0)</f>
        <v>0</v>
      </c>
      <c r="L20" s="38">
        <f>IFERROR(SUMIF('船长每月数据(2022年)'!E:E,C:C,'船长每月数据(2022年)'!V:V),0)</f>
        <v>0</v>
      </c>
      <c r="M20" s="21">
        <f t="shared" si="1"/>
        <v>0</v>
      </c>
      <c r="N20" s="21">
        <f>IFERROR(SUMIF('船长每月数据(2022年)'!E:E,C:C,'船长每月数据(2022年)'!P:P)/SUMIF('船长每月数据(2022年)'!E:E,C:C,'船长每月数据(2022年)'!H:H),0)</f>
        <v>0</v>
      </c>
      <c r="O20" s="38">
        <f>SUMIF('船长每月数据(2023年)'!E:E,C:C,'船长每月数据(2023年)'!R:R)</f>
        <v>0</v>
      </c>
      <c r="P20" s="38">
        <f>SUMIF('船长每月数据(2023年)'!E:E,C:C,'船长每月数据(2023年)'!AA:AA)</f>
        <v>0</v>
      </c>
      <c r="Q20" s="21">
        <f t="shared" si="2"/>
        <v>0</v>
      </c>
      <c r="R20" s="21">
        <f t="shared" si="3"/>
        <v>0</v>
      </c>
      <c r="S20" s="38">
        <f>IFERROR(SUMIF('船长每月数据(2023年)'!E:E,C:C,'船长每月数据(2023年)'!AA:AA)/SUMIF('船长每月数据(2023年)'!E:E,C:C,'船长每月数据(2023年)'!AD:AD),0)</f>
        <v>0</v>
      </c>
      <c r="T20" s="21">
        <f t="shared" si="4"/>
        <v>0</v>
      </c>
      <c r="U20" s="38">
        <f>IFERROR(SUMIF('船长每月数据(2023年)'!E:E,C:C,'船长每月数据(2023年)'!AA:AA)/SUMIF('船长每月数据(2023年)'!E:E,C:C,'船长每月数据(2023年)'!AI:AI),0)</f>
        <v>0</v>
      </c>
      <c r="V20" s="21">
        <f t="shared" si="5"/>
        <v>0</v>
      </c>
      <c r="W20" s="38">
        <f>IFERROR(SUMIF('船长每月数据(2023年)'!E:E,C:C,'船长每月数据(2023年)'!AA:AA)/SUMIF('船长每月数据(2023年)'!E:E,C:C,'船长每月数据(2023年)'!P:P),0)</f>
        <v>0</v>
      </c>
      <c r="X20" s="21">
        <f t="shared" si="6"/>
        <v>0</v>
      </c>
      <c r="Y20" s="38">
        <f>IFERROR(SUMIF('船长每月数据(2023年)'!E:E,C:C,'船长每月数据(2023年)'!V:V),0)</f>
        <v>0</v>
      </c>
      <c r="Z20" s="21">
        <f t="shared" si="7"/>
        <v>0</v>
      </c>
      <c r="AA20" s="21">
        <f t="shared" si="8"/>
        <v>0</v>
      </c>
    </row>
    <row r="21" ht="24" customHeight="1" spans="1:27">
      <c r="A21" s="36"/>
      <c r="B21" s="36"/>
      <c r="C21" s="20"/>
      <c r="D21" s="20"/>
      <c r="E21" s="20"/>
      <c r="F21" s="38">
        <f>IFERROR(SUMIF('船长每月数据(2022年)'!E:E,C:C,'船长每月数据(2022年)'!R:R),0)</f>
        <v>0</v>
      </c>
      <c r="G21" s="38">
        <f>IFERROR(SUMIF('船长每月数据(2022年)'!E:E,C:C,'船长每月数据(2022年)'!AA:AA),0)</f>
        <v>0</v>
      </c>
      <c r="H21" s="21">
        <f t="shared" si="0"/>
        <v>0</v>
      </c>
      <c r="I21" s="38">
        <f>IFERROR(SUMIF('船长每月数据(2022年)'!E:E,C:C,'船长每月数据(2022年)'!AA:AA)/SUMIF('船长每月数据(2022年)'!E:E,C:C,'船长每月数据(2022年)'!AD:AD),0)</f>
        <v>0</v>
      </c>
      <c r="J21" s="38">
        <f>IFERROR(SUMIF('船长每月数据(2022年)'!E:E,C:C,'船长每月数据(2022年)'!AA:AA)/SUMIF('船长每月数据(2022年)'!E:E,C:C,'船长每月数据(2022年)'!AI:AI),0)</f>
        <v>0</v>
      </c>
      <c r="K21" s="38">
        <f>IFERROR(SUMIF('船长每月数据(2022年)'!E:E,C:C,'船长每月数据(2022年)'!AA:AA)/SUMIF('船长每月数据(2022年)'!E:E,C:C,'船长每月数据(2022年)'!P:P),0)</f>
        <v>0</v>
      </c>
      <c r="L21" s="38">
        <f>IFERROR(SUMIF('船长每月数据(2022年)'!E:E,C:C,'船长每月数据(2022年)'!V:V),0)</f>
        <v>0</v>
      </c>
      <c r="M21" s="21">
        <f t="shared" si="1"/>
        <v>0</v>
      </c>
      <c r="N21" s="21">
        <f>IFERROR(SUMIF('船长每月数据(2022年)'!E:E,C:C,'船长每月数据(2022年)'!P:P)/SUMIF('船长每月数据(2022年)'!E:E,C:C,'船长每月数据(2022年)'!H:H),0)</f>
        <v>0</v>
      </c>
      <c r="O21" s="38">
        <f>SUMIF('船长每月数据(2023年)'!E:E,C:C,'船长每月数据(2023年)'!R:R)</f>
        <v>0</v>
      </c>
      <c r="P21" s="38">
        <f>SUMIF('船长每月数据(2023年)'!E:E,C:C,'船长每月数据(2023年)'!AA:AA)</f>
        <v>0</v>
      </c>
      <c r="Q21" s="21">
        <f t="shared" si="2"/>
        <v>0</v>
      </c>
      <c r="R21" s="21">
        <f t="shared" si="3"/>
        <v>0</v>
      </c>
      <c r="S21" s="38">
        <f>IFERROR(SUMIF('船长每月数据(2023年)'!E:E,C:C,'船长每月数据(2023年)'!AA:AA)/SUMIF('船长每月数据(2023年)'!E:E,C:C,'船长每月数据(2023年)'!AD:AD),0)</f>
        <v>0</v>
      </c>
      <c r="T21" s="21">
        <f t="shared" si="4"/>
        <v>0</v>
      </c>
      <c r="U21" s="38">
        <f>IFERROR(SUMIF('船长每月数据(2023年)'!E:E,C:C,'船长每月数据(2023年)'!AA:AA)/SUMIF('船长每月数据(2023年)'!E:E,C:C,'船长每月数据(2023年)'!AI:AI),0)</f>
        <v>0</v>
      </c>
      <c r="V21" s="21">
        <f t="shared" si="5"/>
        <v>0</v>
      </c>
      <c r="W21" s="38">
        <f>IFERROR(SUMIF('船长每月数据(2023年)'!E:E,C:C,'船长每月数据(2023年)'!AA:AA)/SUMIF('船长每月数据(2023年)'!E:E,C:C,'船长每月数据(2023年)'!P:P),0)</f>
        <v>0</v>
      </c>
      <c r="X21" s="21">
        <f t="shared" si="6"/>
        <v>0</v>
      </c>
      <c r="Y21" s="38">
        <f>IFERROR(SUMIF('船长每月数据(2023年)'!E:E,C:C,'船长每月数据(2023年)'!V:V),0)</f>
        <v>0</v>
      </c>
      <c r="Z21" s="21">
        <f t="shared" si="7"/>
        <v>0</v>
      </c>
      <c r="AA21" s="21">
        <f t="shared" si="8"/>
        <v>0</v>
      </c>
    </row>
    <row r="22" ht="24" customHeight="1" spans="1:27">
      <c r="A22" s="36"/>
      <c r="B22" s="36"/>
      <c r="C22" s="20"/>
      <c r="D22" s="20"/>
      <c r="E22" s="20"/>
      <c r="F22" s="38">
        <f>IFERROR(SUMIF('船长每月数据(2022年)'!E:E,C:C,'船长每月数据(2022年)'!R:R),0)</f>
        <v>0</v>
      </c>
      <c r="G22" s="38">
        <f>IFERROR(SUMIF('船长每月数据(2022年)'!E:E,C:C,'船长每月数据(2022年)'!AA:AA),0)</f>
        <v>0</v>
      </c>
      <c r="H22" s="21">
        <f t="shared" si="0"/>
        <v>0</v>
      </c>
      <c r="I22" s="38">
        <f>IFERROR(SUMIF('船长每月数据(2022年)'!E:E,C:C,'船长每月数据(2022年)'!AA:AA)/SUMIF('船长每月数据(2022年)'!E:E,C:C,'船长每月数据(2022年)'!AD:AD),0)</f>
        <v>0</v>
      </c>
      <c r="J22" s="38">
        <f>IFERROR(SUMIF('船长每月数据(2022年)'!E:E,C:C,'船长每月数据(2022年)'!AA:AA)/SUMIF('船长每月数据(2022年)'!E:E,C:C,'船长每月数据(2022年)'!AI:AI),0)</f>
        <v>0</v>
      </c>
      <c r="K22" s="38">
        <f>IFERROR(SUMIF('船长每月数据(2022年)'!E:E,C:C,'船长每月数据(2022年)'!AA:AA)/SUMIF('船长每月数据(2022年)'!E:E,C:C,'船长每月数据(2022年)'!P:P),0)</f>
        <v>0</v>
      </c>
      <c r="L22" s="38">
        <f>IFERROR(SUMIF('船长每月数据(2022年)'!E:E,C:C,'船长每月数据(2022年)'!V:V),0)</f>
        <v>0</v>
      </c>
      <c r="M22" s="21">
        <f t="shared" si="1"/>
        <v>0</v>
      </c>
      <c r="N22" s="21">
        <f>IFERROR(SUMIF('船长每月数据(2022年)'!E:E,C:C,'船长每月数据(2022年)'!P:P)/SUMIF('船长每月数据(2022年)'!E:E,C:C,'船长每月数据(2022年)'!H:H),0)</f>
        <v>0</v>
      </c>
      <c r="O22" s="38">
        <f>SUMIF('船长每月数据(2023年)'!E:E,C:C,'船长每月数据(2023年)'!R:R)</f>
        <v>0</v>
      </c>
      <c r="P22" s="38">
        <f>SUMIF('船长每月数据(2023年)'!E:E,C:C,'船长每月数据(2023年)'!AA:AA)</f>
        <v>0</v>
      </c>
      <c r="Q22" s="21">
        <f t="shared" si="2"/>
        <v>0</v>
      </c>
      <c r="R22" s="21">
        <f t="shared" si="3"/>
        <v>0</v>
      </c>
      <c r="S22" s="38">
        <f>IFERROR(SUMIF('船长每月数据(2023年)'!E:E,C:C,'船长每月数据(2023年)'!AA:AA)/SUMIF('船长每月数据(2023年)'!E:E,C:C,'船长每月数据(2023年)'!AD:AD),0)</f>
        <v>0</v>
      </c>
      <c r="T22" s="21">
        <f t="shared" si="4"/>
        <v>0</v>
      </c>
      <c r="U22" s="38">
        <f>IFERROR(SUMIF('船长每月数据(2023年)'!E:E,C:C,'船长每月数据(2023年)'!AA:AA)/SUMIF('船长每月数据(2023年)'!E:E,C:C,'船长每月数据(2023年)'!AI:AI),0)</f>
        <v>0</v>
      </c>
      <c r="V22" s="21">
        <f t="shared" si="5"/>
        <v>0</v>
      </c>
      <c r="W22" s="38">
        <f>IFERROR(SUMIF('船长每月数据(2023年)'!E:E,C:C,'船长每月数据(2023年)'!AA:AA)/SUMIF('船长每月数据(2023年)'!E:E,C:C,'船长每月数据(2023年)'!P:P),0)</f>
        <v>0</v>
      </c>
      <c r="X22" s="21">
        <f t="shared" si="6"/>
        <v>0</v>
      </c>
      <c r="Y22" s="38">
        <f>IFERROR(SUMIF('船长每月数据(2023年)'!E:E,C:C,'船长每月数据(2023年)'!V:V),0)</f>
        <v>0</v>
      </c>
      <c r="Z22" s="21">
        <f t="shared" si="7"/>
        <v>0</v>
      </c>
      <c r="AA22" s="21">
        <f t="shared" si="8"/>
        <v>0</v>
      </c>
    </row>
    <row r="23" ht="24" customHeight="1" spans="1:27">
      <c r="A23" s="36"/>
      <c r="B23" s="36"/>
      <c r="C23" s="20"/>
      <c r="D23" s="20"/>
      <c r="E23" s="20"/>
      <c r="F23" s="38">
        <f>IFERROR(SUMIF('船长每月数据(2022年)'!E:E,C:C,'船长每月数据(2022年)'!R:R),0)</f>
        <v>0</v>
      </c>
      <c r="G23" s="38">
        <f>IFERROR(SUMIF('船长每月数据(2022年)'!E:E,C:C,'船长每月数据(2022年)'!AA:AA),0)</f>
        <v>0</v>
      </c>
      <c r="H23" s="21">
        <f t="shared" si="0"/>
        <v>0</v>
      </c>
      <c r="I23" s="38">
        <f>IFERROR(SUMIF('船长每月数据(2022年)'!E:E,C:C,'船长每月数据(2022年)'!AA:AA)/SUMIF('船长每月数据(2022年)'!E:E,C:C,'船长每月数据(2022年)'!AD:AD),0)</f>
        <v>0</v>
      </c>
      <c r="J23" s="38">
        <f>IFERROR(SUMIF('船长每月数据(2022年)'!E:E,C:C,'船长每月数据(2022年)'!AA:AA)/SUMIF('船长每月数据(2022年)'!E:E,C:C,'船长每月数据(2022年)'!AI:AI),0)</f>
        <v>0</v>
      </c>
      <c r="K23" s="38">
        <f>IFERROR(SUMIF('船长每月数据(2022年)'!E:E,C:C,'船长每月数据(2022年)'!AA:AA)/SUMIF('船长每月数据(2022年)'!E:E,C:C,'船长每月数据(2022年)'!P:P),0)</f>
        <v>0</v>
      </c>
      <c r="L23" s="38">
        <f>IFERROR(SUMIF('船长每月数据(2022年)'!E:E,C:C,'船长每月数据(2022年)'!V:V),0)</f>
        <v>0</v>
      </c>
      <c r="M23" s="21">
        <f t="shared" si="1"/>
        <v>0</v>
      </c>
      <c r="N23" s="21">
        <f>IFERROR(SUMIF('船长每月数据(2022年)'!E:E,C:C,'船长每月数据(2022年)'!P:P)/SUMIF('船长每月数据(2022年)'!E:E,C:C,'船长每月数据(2022年)'!H:H),0)</f>
        <v>0</v>
      </c>
      <c r="O23" s="38">
        <f>SUMIF('船长每月数据(2023年)'!E:E,C:C,'船长每月数据(2023年)'!R:R)</f>
        <v>0</v>
      </c>
      <c r="P23" s="38">
        <f>SUMIF('船长每月数据(2023年)'!E:E,C:C,'船长每月数据(2023年)'!AA:AA)</f>
        <v>0</v>
      </c>
      <c r="Q23" s="21">
        <f t="shared" si="2"/>
        <v>0</v>
      </c>
      <c r="R23" s="21">
        <f t="shared" si="3"/>
        <v>0</v>
      </c>
      <c r="S23" s="38">
        <f>IFERROR(SUMIF('船长每月数据(2023年)'!E:E,C:C,'船长每月数据(2023年)'!AA:AA)/SUMIF('船长每月数据(2023年)'!E:E,C:C,'船长每月数据(2023年)'!AD:AD),0)</f>
        <v>0</v>
      </c>
      <c r="T23" s="21">
        <f t="shared" si="4"/>
        <v>0</v>
      </c>
      <c r="U23" s="38">
        <f>IFERROR(SUMIF('船长每月数据(2023年)'!E:E,C:C,'船长每月数据(2023年)'!AA:AA)/SUMIF('船长每月数据(2023年)'!E:E,C:C,'船长每月数据(2023年)'!AI:AI),0)</f>
        <v>0</v>
      </c>
      <c r="V23" s="21">
        <f t="shared" si="5"/>
        <v>0</v>
      </c>
      <c r="W23" s="38">
        <f>IFERROR(SUMIF('船长每月数据(2023年)'!E:E,C:C,'船长每月数据(2023年)'!AA:AA)/SUMIF('船长每月数据(2023年)'!E:E,C:C,'船长每月数据(2023年)'!P:P),0)</f>
        <v>0</v>
      </c>
      <c r="X23" s="21">
        <f t="shared" si="6"/>
        <v>0</v>
      </c>
      <c r="Y23" s="38">
        <f>IFERROR(SUMIF('船长每月数据(2023年)'!E:E,C:C,'船长每月数据(2023年)'!V:V),0)</f>
        <v>0</v>
      </c>
      <c r="Z23" s="21">
        <f t="shared" si="7"/>
        <v>0</v>
      </c>
      <c r="AA23" s="21">
        <f t="shared" si="8"/>
        <v>0</v>
      </c>
    </row>
    <row r="24" ht="24" customHeight="1" spans="1:27">
      <c r="A24" s="36"/>
      <c r="B24" s="36"/>
      <c r="C24" s="20"/>
      <c r="D24" s="20"/>
      <c r="E24" s="20"/>
      <c r="F24" s="38">
        <f>IFERROR(SUMIF('船长每月数据(2022年)'!E:E,C:C,'船长每月数据(2022年)'!R:R),0)</f>
        <v>0</v>
      </c>
      <c r="G24" s="38">
        <f>IFERROR(SUMIF('船长每月数据(2022年)'!E:E,C:C,'船长每月数据(2022年)'!AA:AA),0)</f>
        <v>0</v>
      </c>
      <c r="H24" s="21">
        <f t="shared" si="0"/>
        <v>0</v>
      </c>
      <c r="I24" s="38">
        <f>IFERROR(SUMIF('船长每月数据(2022年)'!E:E,C:C,'船长每月数据(2022年)'!AA:AA)/SUMIF('船长每月数据(2022年)'!E:E,C:C,'船长每月数据(2022年)'!AD:AD),0)</f>
        <v>0</v>
      </c>
      <c r="J24" s="38">
        <f>IFERROR(SUMIF('船长每月数据(2022年)'!E:E,C:C,'船长每月数据(2022年)'!AA:AA)/SUMIF('船长每月数据(2022年)'!E:E,C:C,'船长每月数据(2022年)'!AI:AI),0)</f>
        <v>0</v>
      </c>
      <c r="K24" s="38">
        <f>IFERROR(SUMIF('船长每月数据(2022年)'!E:E,C:C,'船长每月数据(2022年)'!AA:AA)/SUMIF('船长每月数据(2022年)'!E:E,C:C,'船长每月数据(2022年)'!P:P),0)</f>
        <v>0</v>
      </c>
      <c r="L24" s="38">
        <f>IFERROR(SUMIF('船长每月数据(2022年)'!E:E,C:C,'船长每月数据(2022年)'!V:V),0)</f>
        <v>0</v>
      </c>
      <c r="M24" s="21">
        <f t="shared" si="1"/>
        <v>0</v>
      </c>
      <c r="N24" s="21">
        <f>IFERROR(SUMIF('船长每月数据(2022年)'!E:E,C:C,'船长每月数据(2022年)'!P:P)/SUMIF('船长每月数据(2022年)'!E:E,C:C,'船长每月数据(2022年)'!H:H),0)</f>
        <v>0</v>
      </c>
      <c r="O24" s="38">
        <f>SUMIF('船长每月数据(2023年)'!E:E,C:C,'船长每月数据(2023年)'!R:R)</f>
        <v>0</v>
      </c>
      <c r="P24" s="38">
        <f>SUMIF('船长每月数据(2023年)'!E:E,C:C,'船长每月数据(2023年)'!AA:AA)</f>
        <v>0</v>
      </c>
      <c r="Q24" s="21">
        <f t="shared" si="2"/>
        <v>0</v>
      </c>
      <c r="R24" s="21">
        <f t="shared" si="3"/>
        <v>0</v>
      </c>
      <c r="S24" s="38">
        <f>IFERROR(SUMIF('船长每月数据(2023年)'!E:E,C:C,'船长每月数据(2023年)'!AA:AA)/SUMIF('船长每月数据(2023年)'!E:E,C:C,'船长每月数据(2023年)'!AD:AD),0)</f>
        <v>0</v>
      </c>
      <c r="T24" s="21">
        <f t="shared" si="4"/>
        <v>0</v>
      </c>
      <c r="U24" s="38">
        <f>IFERROR(SUMIF('船长每月数据(2023年)'!E:E,C:C,'船长每月数据(2023年)'!AA:AA)/SUMIF('船长每月数据(2023年)'!E:E,C:C,'船长每月数据(2023年)'!AI:AI),0)</f>
        <v>0</v>
      </c>
      <c r="V24" s="21">
        <f t="shared" si="5"/>
        <v>0</v>
      </c>
      <c r="W24" s="38">
        <f>IFERROR(SUMIF('船长每月数据(2023年)'!E:E,C:C,'船长每月数据(2023年)'!AA:AA)/SUMIF('船长每月数据(2023年)'!E:E,C:C,'船长每月数据(2023年)'!P:P),0)</f>
        <v>0</v>
      </c>
      <c r="X24" s="21">
        <f t="shared" si="6"/>
        <v>0</v>
      </c>
      <c r="Y24" s="38">
        <f>IFERROR(SUMIF('船长每月数据(2023年)'!E:E,C:C,'船长每月数据(2023年)'!V:V),0)</f>
        <v>0</v>
      </c>
      <c r="Z24" s="21">
        <f t="shared" si="7"/>
        <v>0</v>
      </c>
      <c r="AA24" s="21">
        <f t="shared" si="8"/>
        <v>0</v>
      </c>
    </row>
    <row r="25" ht="24" customHeight="1" spans="1:27">
      <c r="A25" s="36"/>
      <c r="B25" s="36"/>
      <c r="C25" s="41"/>
      <c r="D25" s="41"/>
      <c r="E25" s="20"/>
      <c r="F25" s="38">
        <f>IFERROR(SUMIF('船长每月数据(2022年)'!E:E,C:C,'船长每月数据(2022年)'!R:R),0)</f>
        <v>0</v>
      </c>
      <c r="G25" s="38">
        <f>IFERROR(SUMIF('船长每月数据(2022年)'!E:E,C:C,'船长每月数据(2022年)'!AA:AA),0)</f>
        <v>0</v>
      </c>
      <c r="H25" s="21">
        <f t="shared" si="0"/>
        <v>0</v>
      </c>
      <c r="I25" s="38">
        <f>IFERROR(SUMIF('船长每月数据(2022年)'!E:E,C:C,'船长每月数据(2022年)'!AA:AA)/SUMIF('船长每月数据(2022年)'!E:E,C:C,'船长每月数据(2022年)'!AD:AD),0)</f>
        <v>0</v>
      </c>
      <c r="J25" s="38">
        <f>IFERROR(SUMIF('船长每月数据(2022年)'!E:E,C:C,'船长每月数据(2022年)'!AA:AA)/SUMIF('船长每月数据(2022年)'!E:E,C:C,'船长每月数据(2022年)'!AI:AI),0)</f>
        <v>0</v>
      </c>
      <c r="K25" s="38">
        <f>IFERROR(SUMIF('船长每月数据(2022年)'!E:E,C:C,'船长每月数据(2022年)'!AA:AA)/SUMIF('船长每月数据(2022年)'!E:E,C:C,'船长每月数据(2022年)'!P:P),0)</f>
        <v>0</v>
      </c>
      <c r="L25" s="38">
        <f>IFERROR(SUMIF('船长每月数据(2022年)'!E:E,C:C,'船长每月数据(2022年)'!V:V),0)</f>
        <v>0</v>
      </c>
      <c r="M25" s="21">
        <f t="shared" si="1"/>
        <v>0</v>
      </c>
      <c r="N25" s="21">
        <f>IFERROR(SUMIF('船长每月数据(2022年)'!E:E,C:C,'船长每月数据(2022年)'!P:P)/SUMIF('船长每月数据(2022年)'!E:E,C:C,'船长每月数据(2022年)'!H:H),0)</f>
        <v>0</v>
      </c>
      <c r="O25" s="38">
        <f>SUMIF('船长每月数据(2023年)'!E:E,C:C,'船长每月数据(2023年)'!R:R)</f>
        <v>0</v>
      </c>
      <c r="P25" s="38">
        <f>SUMIF('船长每月数据(2023年)'!E:E,C:C,'船长每月数据(2023年)'!AA:AA)</f>
        <v>0</v>
      </c>
      <c r="Q25" s="21">
        <f t="shared" si="2"/>
        <v>0</v>
      </c>
      <c r="R25" s="21">
        <f t="shared" si="3"/>
        <v>0</v>
      </c>
      <c r="S25" s="38">
        <f>IFERROR(SUMIF('船长每月数据(2023年)'!E:E,C:C,'船长每月数据(2023年)'!AA:AA)/SUMIF('船长每月数据(2023年)'!E:E,C:C,'船长每月数据(2023年)'!AD:AD),0)</f>
        <v>0</v>
      </c>
      <c r="T25" s="21">
        <f t="shared" si="4"/>
        <v>0</v>
      </c>
      <c r="U25" s="38">
        <f>IFERROR(SUMIF('船长每月数据(2023年)'!E:E,C:C,'船长每月数据(2023年)'!AA:AA)/SUMIF('船长每月数据(2023年)'!E:E,C:C,'船长每月数据(2023年)'!AI:AI),0)</f>
        <v>0</v>
      </c>
      <c r="V25" s="21">
        <f t="shared" si="5"/>
        <v>0</v>
      </c>
      <c r="W25" s="38">
        <f>IFERROR(SUMIF('船长每月数据(2023年)'!E:E,C:C,'船长每月数据(2023年)'!AA:AA)/SUMIF('船长每月数据(2023年)'!E:E,C:C,'船长每月数据(2023年)'!P:P),0)</f>
        <v>0</v>
      </c>
      <c r="X25" s="21">
        <f t="shared" si="6"/>
        <v>0</v>
      </c>
      <c r="Y25" s="38">
        <f>IFERROR(SUMIF('船长每月数据(2023年)'!E:E,C:C,'船长每月数据(2023年)'!V:V),0)</f>
        <v>0</v>
      </c>
      <c r="Z25" s="21">
        <f t="shared" si="7"/>
        <v>0</v>
      </c>
      <c r="AA25" s="21">
        <f t="shared" si="8"/>
        <v>0</v>
      </c>
    </row>
    <row r="26" ht="24" customHeight="1" spans="1:27">
      <c r="A26" s="36"/>
      <c r="B26" s="36"/>
      <c r="C26" s="41"/>
      <c r="D26" s="41"/>
      <c r="E26" s="20"/>
      <c r="F26" s="38">
        <f>IFERROR(SUMIF('船长每月数据(2022年)'!E:E,C:C,'船长每月数据(2022年)'!R:R),0)</f>
        <v>0</v>
      </c>
      <c r="G26" s="38">
        <f>IFERROR(SUMIF('船长每月数据(2022年)'!E:E,C:C,'船长每月数据(2022年)'!AA:AA),0)</f>
        <v>0</v>
      </c>
      <c r="H26" s="21">
        <f t="shared" si="0"/>
        <v>0</v>
      </c>
      <c r="I26" s="38">
        <f>IFERROR(SUMIF('船长每月数据(2022年)'!E:E,C:C,'船长每月数据(2022年)'!AA:AA)/SUMIF('船长每月数据(2022年)'!E:E,C:C,'船长每月数据(2022年)'!AD:AD),0)</f>
        <v>0</v>
      </c>
      <c r="J26" s="38">
        <f>IFERROR(SUMIF('船长每月数据(2022年)'!E:E,C:C,'船长每月数据(2022年)'!AA:AA)/SUMIF('船长每月数据(2022年)'!E:E,C:C,'船长每月数据(2022年)'!AI:AI),0)</f>
        <v>0</v>
      </c>
      <c r="K26" s="38">
        <f>IFERROR(SUMIF('船长每月数据(2022年)'!E:E,C:C,'船长每月数据(2022年)'!AA:AA)/SUMIF('船长每月数据(2022年)'!E:E,C:C,'船长每月数据(2022年)'!P:P),0)</f>
        <v>0</v>
      </c>
      <c r="L26" s="38">
        <f>IFERROR(SUMIF('船长每月数据(2022年)'!E:E,C:C,'船长每月数据(2022年)'!V:V),0)</f>
        <v>0</v>
      </c>
      <c r="M26" s="21">
        <f t="shared" si="1"/>
        <v>0</v>
      </c>
      <c r="N26" s="21">
        <f>IFERROR(SUMIF('船长每月数据(2022年)'!E:E,C:C,'船长每月数据(2022年)'!P:P)/SUMIF('船长每月数据(2022年)'!E:E,C:C,'船长每月数据(2022年)'!H:H),0)</f>
        <v>0</v>
      </c>
      <c r="O26" s="38">
        <f>IFERROR(SUMIF('船长每月数据(2022年)'!M:M,K:K,'船长每月数据(2022年)'!Z:Z),0)</f>
        <v>0</v>
      </c>
      <c r="P26" s="38">
        <f>SUMIF('船长每月数据(2023年)'!E:E,C:C,'船长每月数据(2023年)'!AA:AA)</f>
        <v>0</v>
      </c>
      <c r="Q26" s="21">
        <f t="shared" si="2"/>
        <v>0</v>
      </c>
      <c r="R26" s="21">
        <f t="shared" si="3"/>
        <v>0</v>
      </c>
      <c r="S26" s="38">
        <f>IFERROR(SUMIF('船长每月数据(2023年)'!E:E,C:C,'船长每月数据(2023年)'!AA:AA)/SUMIF('船长每月数据(2023年)'!E:E,C:C,'船长每月数据(2023年)'!AD:AD),0)</f>
        <v>0</v>
      </c>
      <c r="T26" s="21">
        <f t="shared" si="4"/>
        <v>0</v>
      </c>
      <c r="U26" s="38">
        <f>IFERROR(SUMIF('船长每月数据(2023年)'!E:E,C:C,'船长每月数据(2023年)'!AA:AA)/SUMIF('船长每月数据(2023年)'!E:E,C:C,'船长每月数据(2023年)'!AI:AI),0)</f>
        <v>0</v>
      </c>
      <c r="V26" s="21">
        <f t="shared" si="5"/>
        <v>0</v>
      </c>
      <c r="W26" s="38">
        <f>IFERROR(SUMIF('船长每月数据(2023年)'!E:E,C:C,'船长每月数据(2023年)'!AA:AA)/SUMIF('船长每月数据(2023年)'!E:E,C:C,'船长每月数据(2023年)'!P:P),0)</f>
        <v>0</v>
      </c>
      <c r="X26" s="21">
        <f t="shared" si="6"/>
        <v>0</v>
      </c>
      <c r="Y26" s="38">
        <f>IFERROR(SUMIF('船长每月数据(2022年)'!M:M,K:K,'船长每月数据(2022年)'!AD:AD),0)</f>
        <v>0</v>
      </c>
      <c r="Z26" s="21">
        <f t="shared" si="7"/>
        <v>0</v>
      </c>
      <c r="AA26" s="21">
        <f t="shared" si="8"/>
        <v>0</v>
      </c>
    </row>
    <row r="27" ht="24" customHeight="1" spans="1:27">
      <c r="A27" s="36"/>
      <c r="B27" s="36"/>
      <c r="C27" s="20"/>
      <c r="D27" s="20"/>
      <c r="E27" s="20"/>
      <c r="F27" s="38">
        <f>IFERROR(SUMIF('船长每月数据(2022年)'!E:E,C:C,'船长每月数据(2022年)'!R:R),0)</f>
        <v>0</v>
      </c>
      <c r="G27" s="38">
        <f>IFERROR(SUMIF('船长每月数据(2022年)'!E:E,C:C,'船长每月数据(2022年)'!AA:AA),0)</f>
        <v>0</v>
      </c>
      <c r="H27" s="21">
        <f t="shared" si="0"/>
        <v>0</v>
      </c>
      <c r="I27" s="38">
        <f>IFERROR(SUMIF('船长每月数据(2022年)'!E:E,C:C,'船长每月数据(2022年)'!AA:AA)/SUMIF('船长每月数据(2022年)'!E:E,C:C,'船长每月数据(2022年)'!AD:AD),0)</f>
        <v>0</v>
      </c>
      <c r="J27" s="38">
        <f>IFERROR(SUMIF('船长每月数据(2022年)'!E:E,C:C,'船长每月数据(2022年)'!AA:AA)/SUMIF('船长每月数据(2022年)'!E:E,C:C,'船长每月数据(2022年)'!AI:AI),0)</f>
        <v>0</v>
      </c>
      <c r="K27" s="38">
        <f>IFERROR(SUMIF('船长每月数据(2022年)'!E:E,C:C,'船长每月数据(2022年)'!AA:AA)/SUMIF('船长每月数据(2022年)'!E:E,C:C,'船长每月数据(2022年)'!P:P),0)</f>
        <v>0</v>
      </c>
      <c r="L27" s="38">
        <f>IFERROR(SUMIF('船长每月数据(2022年)'!E:E,C:C,'船长每月数据(2022年)'!V:V),0)</f>
        <v>0</v>
      </c>
      <c r="M27" s="21">
        <f t="shared" si="1"/>
        <v>0</v>
      </c>
      <c r="N27" s="21">
        <f>IFERROR(SUMIF('船长每月数据(2022年)'!E:E,C:C,'船长每月数据(2022年)'!P:P)/SUMIF('船长每月数据(2022年)'!E:E,C:C,'船长每月数据(2022年)'!H:H),0)</f>
        <v>0</v>
      </c>
      <c r="O27" s="38">
        <f>IFERROR(SUMIF('船长每月数据(2022年)'!M:M,K:K,'船长每月数据(2022年)'!Z:Z),0)</f>
        <v>0</v>
      </c>
      <c r="P27" s="38">
        <f>SUMIF('船长每月数据(2023年)'!E:E,C:C,'船长每月数据(2023年)'!AA:AA)</f>
        <v>0</v>
      </c>
      <c r="Q27" s="21">
        <f t="shared" si="2"/>
        <v>0</v>
      </c>
      <c r="R27" s="21">
        <f t="shared" si="3"/>
        <v>0</v>
      </c>
      <c r="S27" s="38">
        <f>IFERROR(SUMIF('船长每月数据(2023年)'!E:E,C:C,'船长每月数据(2023年)'!AA:AA)/SUMIF('船长每月数据(2023年)'!E:E,C:C,'船长每月数据(2023年)'!AD:AD),0)</f>
        <v>0</v>
      </c>
      <c r="T27" s="21">
        <f t="shared" si="4"/>
        <v>0</v>
      </c>
      <c r="U27" s="38">
        <f>IFERROR(SUMIF('船长每月数据(2023年)'!E:E,C:C,'船长每月数据(2023年)'!AA:AA)/SUMIF('船长每月数据(2023年)'!E:E,C:C,'船长每月数据(2023年)'!AI:AI),0)</f>
        <v>0</v>
      </c>
      <c r="V27" s="21">
        <f t="shared" si="5"/>
        <v>0</v>
      </c>
      <c r="W27" s="38">
        <f>IFERROR(SUMIF('船长每月数据(2023年)'!E:E,C:C,'船长每月数据(2023年)'!AA:AA)/SUMIF('船长每月数据(2023年)'!E:E,C:C,'船长每月数据(2023年)'!P:P),0)</f>
        <v>0</v>
      </c>
      <c r="X27" s="21">
        <f t="shared" si="6"/>
        <v>0</v>
      </c>
      <c r="Y27" s="38">
        <f>IFERROR(SUMIF('船长每月数据(2022年)'!M:M,K:K,'船长每月数据(2022年)'!AD:AD),0)</f>
        <v>0</v>
      </c>
      <c r="Z27" s="21">
        <f t="shared" si="7"/>
        <v>0</v>
      </c>
      <c r="AA27" s="21">
        <f t="shared" si="8"/>
        <v>0</v>
      </c>
    </row>
    <row r="28" ht="24" customHeight="1" spans="1:27">
      <c r="A28" s="36"/>
      <c r="B28" s="36"/>
      <c r="C28" s="20"/>
      <c r="D28" s="20"/>
      <c r="E28" s="20"/>
      <c r="F28" s="38">
        <f>IFERROR(SUMIF('船长每月数据(2022年)'!E:E,C:C,'船长每月数据(2022年)'!R:R),0)</f>
        <v>0</v>
      </c>
      <c r="G28" s="38">
        <f>IFERROR(SUMIF('船长每月数据(2022年)'!E:E,C:C,'船长每月数据(2022年)'!AA:AA),0)</f>
        <v>0</v>
      </c>
      <c r="H28" s="21">
        <f t="shared" si="0"/>
        <v>0</v>
      </c>
      <c r="I28" s="38">
        <f>IFERROR(SUMIF('船长每月数据(2022年)'!E:E,C:C,'船长每月数据(2022年)'!AA:AA)/SUMIF('船长每月数据(2022年)'!E:E,C:C,'船长每月数据(2022年)'!AD:AD),0)</f>
        <v>0</v>
      </c>
      <c r="J28" s="38">
        <f>IFERROR(SUMIF('船长每月数据(2022年)'!E:E,C:C,'船长每月数据(2022年)'!AA:AA)/SUMIF('船长每月数据(2022年)'!E:E,C:C,'船长每月数据(2022年)'!AI:AI),0)</f>
        <v>0</v>
      </c>
      <c r="K28" s="38">
        <f>IFERROR(SUMIF('船长每月数据(2022年)'!E:E,C:C,'船长每月数据(2022年)'!AA:AA)/SUMIF('船长每月数据(2022年)'!E:E,C:C,'船长每月数据(2022年)'!P:P),0)</f>
        <v>0</v>
      </c>
      <c r="L28" s="38">
        <f>IFERROR(SUMIF('船长每月数据(2022年)'!E:E,C:C,'船长每月数据(2022年)'!V:V),0)</f>
        <v>0</v>
      </c>
      <c r="M28" s="21">
        <f t="shared" si="1"/>
        <v>0</v>
      </c>
      <c r="N28" s="21">
        <f>IFERROR(SUMIF('船长每月数据(2022年)'!E:E,C:C,'船长每月数据(2022年)'!P:P)/SUMIF('船长每月数据(2022年)'!E:E,C:C,'船长每月数据(2022年)'!H:H),0)</f>
        <v>0</v>
      </c>
      <c r="O28" s="38">
        <f>IFERROR(SUMIF('船长每月数据(2022年)'!M:M,K:K,'船长每月数据(2022年)'!Z:Z),0)</f>
        <v>0</v>
      </c>
      <c r="P28" s="38">
        <f>SUMIF('船长每月数据(2023年)'!E:E,C:C,'船长每月数据(2023年)'!AA:AA)</f>
        <v>0</v>
      </c>
      <c r="Q28" s="21">
        <f t="shared" si="2"/>
        <v>0</v>
      </c>
      <c r="R28" s="21">
        <f t="shared" si="3"/>
        <v>0</v>
      </c>
      <c r="S28" s="38">
        <f>IFERROR(SUMIF('船长每月数据(2023年)'!E:E,C:C,'船长每月数据(2023年)'!AA:AA)/SUMIF('船长每月数据(2023年)'!E:E,C:C,'船长每月数据(2023年)'!AD:AD),0)</f>
        <v>0</v>
      </c>
      <c r="T28" s="21">
        <f t="shared" si="4"/>
        <v>0</v>
      </c>
      <c r="U28" s="38">
        <f>IFERROR(SUMIF('船长每月数据(2023年)'!E:E,C:C,'船长每月数据(2023年)'!AA:AA)/SUMIF('船长每月数据(2023年)'!E:E,C:C,'船长每月数据(2023年)'!AI:AI),0)</f>
        <v>0</v>
      </c>
      <c r="V28" s="21">
        <f t="shared" si="5"/>
        <v>0</v>
      </c>
      <c r="W28" s="38">
        <f>IFERROR(SUMIF('船长每月数据(2023年)'!E:E,C:C,'船长每月数据(2023年)'!AA:AA)/SUMIF('船长每月数据(2023年)'!E:E,C:C,'船长每月数据(2023年)'!P:P),0)</f>
        <v>0</v>
      </c>
      <c r="X28" s="21">
        <f t="shared" si="6"/>
        <v>0</v>
      </c>
      <c r="Y28" s="38">
        <f>IFERROR(SUMIF('船长每月数据(2022年)'!M:M,K:K,'船长每月数据(2022年)'!AD:AD),0)</f>
        <v>0</v>
      </c>
      <c r="Z28" s="21">
        <f t="shared" si="7"/>
        <v>0</v>
      </c>
      <c r="AA28" s="21">
        <f t="shared" si="8"/>
        <v>0</v>
      </c>
    </row>
    <row r="29" ht="24" customHeight="1" spans="1:27">
      <c r="A29" s="36"/>
      <c r="B29" s="36"/>
      <c r="C29" s="20"/>
      <c r="D29" s="20"/>
      <c r="E29" s="20"/>
      <c r="F29" s="38">
        <f>IFERROR(SUMIF('船长每月数据(2022年)'!E:E,C:C,'船长每月数据(2022年)'!R:R),0)</f>
        <v>0</v>
      </c>
      <c r="G29" s="38">
        <f>IFERROR(SUMIF('船长每月数据(2022年)'!E:E,C:C,'船长每月数据(2022年)'!AA:AA),0)</f>
        <v>0</v>
      </c>
      <c r="H29" s="21">
        <f t="shared" si="0"/>
        <v>0</v>
      </c>
      <c r="I29" s="38">
        <f>IFERROR(SUMIF('船长每月数据(2022年)'!E:E,C:C,'船长每月数据(2022年)'!AA:AA)/SUMIF('船长每月数据(2022年)'!E:E,C:C,'船长每月数据(2022年)'!AD:AD),0)</f>
        <v>0</v>
      </c>
      <c r="J29" s="38">
        <f>IFERROR(SUMIF('船长每月数据(2022年)'!E:E,C:C,'船长每月数据(2022年)'!AA:AA)/SUMIF('船长每月数据(2022年)'!E:E,C:C,'船长每月数据(2022年)'!AI:AI),0)</f>
        <v>0</v>
      </c>
      <c r="K29" s="38">
        <f>IFERROR(SUMIF('船长每月数据(2022年)'!E:E,C:C,'船长每月数据(2022年)'!AA:AA)/SUMIF('船长每月数据(2022年)'!E:E,C:C,'船长每月数据(2022年)'!P:P),0)</f>
        <v>0</v>
      </c>
      <c r="L29" s="38">
        <f>IFERROR(SUMIF('船长每月数据(2022年)'!E:E,C:C,'船长每月数据(2022年)'!V:V),0)</f>
        <v>0</v>
      </c>
      <c r="M29" s="21">
        <f t="shared" si="1"/>
        <v>0</v>
      </c>
      <c r="N29" s="21">
        <f>IFERROR(SUMIF('船长每月数据(2022年)'!E:E,C:C,'船长每月数据(2022年)'!P:P)/SUMIF('船长每月数据(2022年)'!E:E,C:C,'船长每月数据(2022年)'!H:H),0)</f>
        <v>0</v>
      </c>
      <c r="O29" s="38">
        <f>IFERROR(SUMIF('船长每月数据(2022年)'!M:M,K:K,'船长每月数据(2022年)'!Z:Z),0)</f>
        <v>0</v>
      </c>
      <c r="P29" s="38">
        <f>SUMIF('船长每月数据(2023年)'!E:E,C:C,'船长每月数据(2023年)'!AA:AA)</f>
        <v>0</v>
      </c>
      <c r="Q29" s="21">
        <f t="shared" si="2"/>
        <v>0</v>
      </c>
      <c r="R29" s="21">
        <f t="shared" si="3"/>
        <v>0</v>
      </c>
      <c r="S29" s="38">
        <f>IFERROR(SUMIF('船长每月数据(2023年)'!E:E,C:C,'船长每月数据(2023年)'!AA:AA)/SUMIF('船长每月数据(2023年)'!E:E,C:C,'船长每月数据(2023年)'!AD:AD),0)</f>
        <v>0</v>
      </c>
      <c r="T29" s="21">
        <f t="shared" si="4"/>
        <v>0</v>
      </c>
      <c r="U29" s="38">
        <f>IFERROR(SUMIF('船长每月数据(2023年)'!E:E,C:C,'船长每月数据(2023年)'!AA:AA)/SUMIF('船长每月数据(2023年)'!E:E,C:C,'船长每月数据(2023年)'!AI:AI),0)</f>
        <v>0</v>
      </c>
      <c r="V29" s="21">
        <f t="shared" si="5"/>
        <v>0</v>
      </c>
      <c r="W29" s="38">
        <f>IFERROR(SUMIF('船长每月数据(2023年)'!E:E,C:C,'船长每月数据(2023年)'!AA:AA)/SUMIF('船长每月数据(2023年)'!E:E,C:C,'船长每月数据(2023年)'!P:P),0)</f>
        <v>0</v>
      </c>
      <c r="X29" s="21">
        <f t="shared" si="6"/>
        <v>0</v>
      </c>
      <c r="Y29" s="38">
        <f>IFERROR(SUMIF('船长每月数据(2022年)'!M:M,K:K,'船长每月数据(2022年)'!AD:AD),0)</f>
        <v>0</v>
      </c>
      <c r="Z29" s="21">
        <f t="shared" si="7"/>
        <v>0</v>
      </c>
      <c r="AA29" s="21">
        <f t="shared" si="8"/>
        <v>0</v>
      </c>
    </row>
    <row r="30" ht="24" customHeight="1" spans="1:27">
      <c r="A30" s="36"/>
      <c r="B30" s="36"/>
      <c r="C30" s="41"/>
      <c r="D30" s="41"/>
      <c r="E30" s="20"/>
      <c r="F30" s="38">
        <f>IFERROR(SUMIF('船长每月数据(2022年)'!E:E,C:C,'船长每月数据(2022年)'!R:R),0)</f>
        <v>0</v>
      </c>
      <c r="G30" s="38">
        <f>IFERROR(SUMIF('船长每月数据(2022年)'!E:E,C:C,'船长每月数据(2022年)'!AA:AA),0)</f>
        <v>0</v>
      </c>
      <c r="H30" s="21">
        <f t="shared" si="0"/>
        <v>0</v>
      </c>
      <c r="I30" s="38">
        <f>IFERROR(SUMIF('船长每月数据(2022年)'!E:E,C:C,'船长每月数据(2022年)'!AA:AA)/SUMIF('船长每月数据(2022年)'!E:E,C:C,'船长每月数据(2022年)'!AD:AD),0)</f>
        <v>0</v>
      </c>
      <c r="J30" s="38">
        <f>IFERROR(SUMIF('船长每月数据(2022年)'!E:E,C:C,'船长每月数据(2022年)'!AA:AA)/SUMIF('船长每月数据(2022年)'!E:E,C:C,'船长每月数据(2022年)'!AI:AI),0)</f>
        <v>0</v>
      </c>
      <c r="K30" s="38">
        <f>IFERROR(SUMIF('船长每月数据(2022年)'!E:E,C:C,'船长每月数据(2022年)'!AA:AA)/SUMIF('船长每月数据(2022年)'!E:E,C:C,'船长每月数据(2022年)'!P:P),0)</f>
        <v>0</v>
      </c>
      <c r="L30" s="38">
        <f>IFERROR(SUMIF('船长每月数据(2022年)'!E:E,C:C,'船长每月数据(2022年)'!V:V),0)</f>
        <v>0</v>
      </c>
      <c r="M30" s="21">
        <f t="shared" si="1"/>
        <v>0</v>
      </c>
      <c r="N30" s="21">
        <f>IFERROR(SUMIF('船长每月数据(2022年)'!E:E,C:C,'船长每月数据(2022年)'!P:P)/SUMIF('船长每月数据(2022年)'!E:E,C:C,'船长每月数据(2022年)'!H:H),0)</f>
        <v>0</v>
      </c>
      <c r="O30" s="38">
        <f>IFERROR(SUMIF('船长每月数据(2022年)'!M:M,K:K,'船长每月数据(2022年)'!Z:Z),0)</f>
        <v>0</v>
      </c>
      <c r="P30" s="38">
        <f>SUMIF('船长每月数据(2023年)'!E:E,C:C,'船长每月数据(2023年)'!AA:AA)</f>
        <v>0</v>
      </c>
      <c r="Q30" s="21">
        <f t="shared" si="2"/>
        <v>0</v>
      </c>
      <c r="R30" s="21">
        <f t="shared" si="3"/>
        <v>0</v>
      </c>
      <c r="S30" s="38">
        <f>IFERROR(SUMIF('船长每月数据(2023年)'!E:E,C:C,'船长每月数据(2023年)'!AA:AA)/SUMIF('船长每月数据(2023年)'!E:E,C:C,'船长每月数据(2023年)'!AD:AD),0)</f>
        <v>0</v>
      </c>
      <c r="T30" s="21">
        <f t="shared" si="4"/>
        <v>0</v>
      </c>
      <c r="U30" s="38">
        <f>IFERROR(SUMIF('船长每月数据(2023年)'!E:E,C:C,'船长每月数据(2023年)'!AA:AA)/SUMIF('船长每月数据(2023年)'!E:E,C:C,'船长每月数据(2023年)'!AI:AI),0)</f>
        <v>0</v>
      </c>
      <c r="V30" s="21">
        <f t="shared" si="5"/>
        <v>0</v>
      </c>
      <c r="W30" s="38">
        <f>IFERROR(SUMIF('船长每月数据(2023年)'!E:E,C:C,'船长每月数据(2023年)'!AA:AA)/SUMIF('船长每月数据(2023年)'!E:E,C:C,'船长每月数据(2023年)'!P:P),0)</f>
        <v>0</v>
      </c>
      <c r="X30" s="21">
        <f t="shared" si="6"/>
        <v>0</v>
      </c>
      <c r="Y30" s="38">
        <f>IFERROR(SUMIF('船长每月数据(2022年)'!M:M,K:K,'船长每月数据(2022年)'!AD:AD),0)</f>
        <v>0</v>
      </c>
      <c r="Z30" s="21">
        <f t="shared" si="7"/>
        <v>0</v>
      </c>
      <c r="AA30" s="21">
        <f t="shared" si="8"/>
        <v>0</v>
      </c>
    </row>
    <row r="31" ht="24" customHeight="1" spans="1:27">
      <c r="A31" s="36"/>
      <c r="B31" s="36"/>
      <c r="C31" s="41"/>
      <c r="D31" s="41"/>
      <c r="E31" s="20"/>
      <c r="F31" s="38">
        <f>IFERROR(SUMIF('船长每月数据(2022年)'!E:E,C:C,'船长每月数据(2022年)'!R:R),0)</f>
        <v>0</v>
      </c>
      <c r="G31" s="38">
        <f>IFERROR(SUMIF('船长每月数据(2022年)'!E:E,C:C,'船长每月数据(2022年)'!AA:AA),0)</f>
        <v>0</v>
      </c>
      <c r="H31" s="21">
        <f t="shared" si="0"/>
        <v>0</v>
      </c>
      <c r="I31" s="38">
        <f>IFERROR(SUMIF('船长每月数据(2022年)'!E:E,C:C,'船长每月数据(2022年)'!AA:AA)/SUMIF('船长每月数据(2022年)'!E:E,C:C,'船长每月数据(2022年)'!AD:AD),0)</f>
        <v>0</v>
      </c>
      <c r="J31" s="38">
        <f>IFERROR(SUMIF('船长每月数据(2022年)'!E:E,C:C,'船长每月数据(2022年)'!AA:AA)/SUMIF('船长每月数据(2022年)'!E:E,C:C,'船长每月数据(2022年)'!AI:AI),0)</f>
        <v>0</v>
      </c>
      <c r="K31" s="38">
        <f>IFERROR(SUMIF('船长每月数据(2022年)'!E:E,C:C,'船长每月数据(2022年)'!AA:AA)/SUMIF('船长每月数据(2022年)'!E:E,C:C,'船长每月数据(2022年)'!P:P),0)</f>
        <v>0</v>
      </c>
      <c r="L31" s="38">
        <f>IFERROR(SUMIF('船长每月数据(2022年)'!E:E,C:C,'船长每月数据(2022年)'!V:V),0)</f>
        <v>0</v>
      </c>
      <c r="M31" s="21">
        <f t="shared" si="1"/>
        <v>0</v>
      </c>
      <c r="N31" s="21">
        <f>IFERROR(SUMIF('船长每月数据(2022年)'!E:E,C:C,'船长每月数据(2022年)'!P:P)/SUMIF('船长每月数据(2022年)'!E:E,C:C,'船长每月数据(2022年)'!H:H),0)</f>
        <v>0</v>
      </c>
      <c r="O31" s="38">
        <f>IFERROR(SUMIF('船长每月数据(2022年)'!M:M,K:K,'船长每月数据(2022年)'!Z:Z),0)</f>
        <v>0</v>
      </c>
      <c r="P31" s="38">
        <f>SUMIF('船长每月数据(2023年)'!E:E,C:C,'船长每月数据(2023年)'!AA:AA)</f>
        <v>0</v>
      </c>
      <c r="Q31" s="21">
        <f t="shared" si="2"/>
        <v>0</v>
      </c>
      <c r="R31" s="21">
        <f t="shared" si="3"/>
        <v>0</v>
      </c>
      <c r="S31" s="38">
        <f>IFERROR(SUMIF('船长每月数据(2023年)'!E:E,C:C,'船长每月数据(2023年)'!AA:AA)/SUMIF('船长每月数据(2023年)'!E:E,C:C,'船长每月数据(2023年)'!AD:AD),0)</f>
        <v>0</v>
      </c>
      <c r="T31" s="21">
        <f t="shared" si="4"/>
        <v>0</v>
      </c>
      <c r="U31" s="38">
        <f>IFERROR(SUMIF('船长每月数据(2023年)'!E:E,C:C,'船长每月数据(2023年)'!AA:AA)/SUMIF('船长每月数据(2023年)'!E:E,C:C,'船长每月数据(2023年)'!AI:AI),0)</f>
        <v>0</v>
      </c>
      <c r="V31" s="21">
        <f t="shared" si="5"/>
        <v>0</v>
      </c>
      <c r="W31" s="38">
        <f>IFERROR(SUMIF('船长每月数据(2023年)'!E:E,C:C,'船长每月数据(2023年)'!AA:AA)/SUMIF('船长每月数据(2023年)'!E:E,C:C,'船长每月数据(2023年)'!P:P),0)</f>
        <v>0</v>
      </c>
      <c r="X31" s="21">
        <f t="shared" si="6"/>
        <v>0</v>
      </c>
      <c r="Y31" s="38">
        <f>IFERROR(SUMIF('船长每月数据(2022年)'!M:M,K:K,'船长每月数据(2022年)'!AD:AD),0)</f>
        <v>0</v>
      </c>
      <c r="Z31" s="21">
        <f t="shared" si="7"/>
        <v>0</v>
      </c>
      <c r="AA31" s="21">
        <f t="shared" si="8"/>
        <v>0</v>
      </c>
    </row>
    <row r="32" ht="24" customHeight="1" spans="1:27">
      <c r="A32" s="36"/>
      <c r="B32" s="36"/>
      <c r="C32" s="41"/>
      <c r="D32" s="41"/>
      <c r="E32" s="20"/>
      <c r="F32" s="38">
        <f>IFERROR(SUMIF('船长每月数据(2022年)'!E:E,C:C,'船长每月数据(2022年)'!R:R),0)</f>
        <v>0</v>
      </c>
      <c r="G32" s="38">
        <f>IFERROR(SUMIF('船长每月数据(2022年)'!E:E,C:C,'船长每月数据(2022年)'!AA:AA),0)</f>
        <v>0</v>
      </c>
      <c r="H32" s="21">
        <f t="shared" si="0"/>
        <v>0</v>
      </c>
      <c r="I32" s="38">
        <f>IFERROR(SUMIF('船长每月数据(2022年)'!E:E,C:C,'船长每月数据(2022年)'!AA:AA)/SUMIF('船长每月数据(2022年)'!E:E,C:C,'船长每月数据(2022年)'!AD:AD),0)</f>
        <v>0</v>
      </c>
      <c r="J32" s="38">
        <f>IFERROR(SUMIF('船长每月数据(2022年)'!E:E,C:C,'船长每月数据(2022年)'!AA:AA)/SUMIF('船长每月数据(2022年)'!E:E,C:C,'船长每月数据(2022年)'!AI:AI),0)</f>
        <v>0</v>
      </c>
      <c r="K32" s="38">
        <f>IFERROR(SUMIF('船长每月数据(2022年)'!E:E,C:C,'船长每月数据(2022年)'!AA:AA)/SUMIF('船长每月数据(2022年)'!E:E,C:C,'船长每月数据(2022年)'!P:P),0)</f>
        <v>0</v>
      </c>
      <c r="L32" s="38">
        <f>IFERROR(SUMIF('船长每月数据(2022年)'!E:E,C:C,'船长每月数据(2022年)'!V:V),0)</f>
        <v>0</v>
      </c>
      <c r="M32" s="21">
        <f t="shared" si="1"/>
        <v>0</v>
      </c>
      <c r="N32" s="21">
        <f>IFERROR(SUMIF('船长每月数据(2022年)'!E:E,C:C,'船长每月数据(2022年)'!P:P)/SUMIF('船长每月数据(2022年)'!E:E,C:C,'船长每月数据(2022年)'!H:H),0)</f>
        <v>0</v>
      </c>
      <c r="O32" s="38">
        <f>IFERROR(SUMIF('船长每月数据(2022年)'!M:M,K:K,'船长每月数据(2022年)'!Z:Z),0)</f>
        <v>0</v>
      </c>
      <c r="P32" s="38">
        <f>SUMIF('船长每月数据(2023年)'!E:E,C:C,'船长每月数据(2023年)'!AA:AA)</f>
        <v>0</v>
      </c>
      <c r="Q32" s="21">
        <f t="shared" si="2"/>
        <v>0</v>
      </c>
      <c r="R32" s="21">
        <f t="shared" si="3"/>
        <v>0</v>
      </c>
      <c r="S32" s="38">
        <f>IFERROR(SUMIF('船长每月数据(2023年)'!E:E,C:C,'船长每月数据(2023年)'!AA:AA)/SUMIF('船长每月数据(2023年)'!E:E,C:C,'船长每月数据(2023年)'!AD:AD),0)</f>
        <v>0</v>
      </c>
      <c r="T32" s="21">
        <f t="shared" si="4"/>
        <v>0</v>
      </c>
      <c r="U32" s="38">
        <f>IFERROR(SUMIF('船长每月数据(2023年)'!E:E,C:C,'船长每月数据(2023年)'!AA:AA)/SUMIF('船长每月数据(2023年)'!E:E,C:C,'船长每月数据(2023年)'!AI:AI),0)</f>
        <v>0</v>
      </c>
      <c r="V32" s="21">
        <f t="shared" si="5"/>
        <v>0</v>
      </c>
      <c r="W32" s="38">
        <f>IFERROR(SUMIF('船长每月数据(2023年)'!E:E,C:C,'船长每月数据(2023年)'!AA:AA)/SUMIF('船长每月数据(2023年)'!E:E,C:C,'船长每月数据(2023年)'!P:P),0)</f>
        <v>0</v>
      </c>
      <c r="X32" s="21">
        <f t="shared" si="6"/>
        <v>0</v>
      </c>
      <c r="Y32" s="38">
        <f>IFERROR(SUMIF('船长每月数据(2022年)'!M:M,K:K,'船长每月数据(2022年)'!AD:AD),0)</f>
        <v>0</v>
      </c>
      <c r="Z32" s="21">
        <f t="shared" si="7"/>
        <v>0</v>
      </c>
      <c r="AA32" s="21">
        <f t="shared" si="8"/>
        <v>0</v>
      </c>
    </row>
    <row r="33" ht="24" customHeight="1" spans="1:27">
      <c r="A33" s="36"/>
      <c r="B33" s="36"/>
      <c r="C33" s="41"/>
      <c r="D33" s="41"/>
      <c r="E33" s="20"/>
      <c r="F33" s="38">
        <f>IFERROR(SUMIF('船长每月数据(2022年)'!E:E,C:C,'船长每月数据(2022年)'!R:R),0)</f>
        <v>0</v>
      </c>
      <c r="G33" s="38">
        <f>IFERROR(SUMIF('船长每月数据(2022年)'!E:E,C:C,'船长每月数据(2022年)'!AA:AA),0)</f>
        <v>0</v>
      </c>
      <c r="H33" s="21">
        <f t="shared" si="0"/>
        <v>0</v>
      </c>
      <c r="I33" s="38">
        <f>IFERROR(SUMIF('船长每月数据(2022年)'!E:E,C:C,'船长每月数据(2022年)'!AA:AA)/SUMIF('船长每月数据(2022年)'!E:E,C:C,'船长每月数据(2022年)'!AD:AD),0)</f>
        <v>0</v>
      </c>
      <c r="J33" s="38">
        <f>IFERROR(SUMIF('船长每月数据(2022年)'!E:E,C:C,'船长每月数据(2022年)'!AA:AA)/SUMIF('船长每月数据(2022年)'!E:E,C:C,'船长每月数据(2022年)'!AI:AI),0)</f>
        <v>0</v>
      </c>
      <c r="K33" s="38">
        <f>IFERROR(SUMIF('船长每月数据(2022年)'!E:E,C:C,'船长每月数据(2022年)'!AA:AA)/SUMIF('船长每月数据(2022年)'!E:E,C:C,'船长每月数据(2022年)'!P:P),0)</f>
        <v>0</v>
      </c>
      <c r="L33" s="38">
        <f>IFERROR(SUMIF('船长每月数据(2022年)'!E:E,C:C,'船长每月数据(2022年)'!V:V),0)</f>
        <v>0</v>
      </c>
      <c r="M33" s="21">
        <f t="shared" si="1"/>
        <v>0</v>
      </c>
      <c r="N33" s="21">
        <f>IFERROR(SUMIF('船长每月数据(2022年)'!E:E,C:C,'船长每月数据(2022年)'!P:P)/SUMIF('船长每月数据(2022年)'!E:E,C:C,'船长每月数据(2022年)'!H:H),0)</f>
        <v>0</v>
      </c>
      <c r="O33" s="38">
        <f>IFERROR(SUMIF('船长每月数据(2022年)'!M:M,K:K,'船长每月数据(2022年)'!Z:Z),0)</f>
        <v>0</v>
      </c>
      <c r="P33" s="38">
        <f>SUMIF('船长每月数据(2023年)'!E:E,C:C,'船长每月数据(2023年)'!AA:AA)</f>
        <v>0</v>
      </c>
      <c r="Q33" s="21">
        <f t="shared" si="2"/>
        <v>0</v>
      </c>
      <c r="R33" s="21">
        <f t="shared" si="3"/>
        <v>0</v>
      </c>
      <c r="S33" s="38">
        <f>IFERROR(SUMIF('船长每月数据(2023年)'!E:E,C:C,'船长每月数据(2023年)'!AA:AA)/SUMIF('船长每月数据(2023年)'!E:E,C:C,'船长每月数据(2023年)'!AD:AD),0)</f>
        <v>0</v>
      </c>
      <c r="T33" s="21">
        <f t="shared" si="4"/>
        <v>0</v>
      </c>
      <c r="U33" s="38">
        <f>IFERROR(SUMIF('船长每月数据(2023年)'!E:E,C:C,'船长每月数据(2023年)'!AA:AA)/SUMIF('船长每月数据(2023年)'!E:E,C:C,'船长每月数据(2023年)'!AI:AI),0)</f>
        <v>0</v>
      </c>
      <c r="V33" s="21">
        <f t="shared" si="5"/>
        <v>0</v>
      </c>
      <c r="W33" s="38">
        <f>IFERROR(SUMIF('船长每月数据(2023年)'!E:E,C:C,'船长每月数据(2023年)'!AA:AA)/SUMIF('船长每月数据(2023年)'!E:E,C:C,'船长每月数据(2023年)'!P:P),0)</f>
        <v>0</v>
      </c>
      <c r="X33" s="21">
        <f t="shared" si="6"/>
        <v>0</v>
      </c>
      <c r="Y33" s="38">
        <f>IFERROR(SUMIF('船长每月数据(2022年)'!M:M,K:K,'船长每月数据(2022年)'!AD:AD),0)</f>
        <v>0</v>
      </c>
      <c r="Z33" s="21">
        <f t="shared" si="7"/>
        <v>0</v>
      </c>
      <c r="AA33" s="21">
        <f t="shared" si="8"/>
        <v>0</v>
      </c>
    </row>
    <row r="34" ht="24" customHeight="1" spans="1:27">
      <c r="A34" s="40"/>
      <c r="B34" s="36"/>
      <c r="C34" s="41"/>
      <c r="D34" s="41"/>
      <c r="E34" s="20"/>
      <c r="F34" s="38">
        <f>IFERROR(SUMIF('船长每月数据(2022年)'!E:E,C:C,'船长每月数据(2022年)'!R:R),0)</f>
        <v>0</v>
      </c>
      <c r="G34" s="38">
        <f>IFERROR(SUMIF('船长每月数据(2022年)'!E:E,C:C,'船长每月数据(2022年)'!AA:AA),0)</f>
        <v>0</v>
      </c>
      <c r="H34" s="21">
        <f t="shared" si="0"/>
        <v>0</v>
      </c>
      <c r="I34" s="38">
        <f>IFERROR(SUMIF('船长每月数据(2022年)'!E:E,C:C,'船长每月数据(2022年)'!AA:AA)/SUMIF('船长每月数据(2022年)'!E:E,C:C,'船长每月数据(2022年)'!AD:AD),0)</f>
        <v>0</v>
      </c>
      <c r="J34" s="38">
        <f>IFERROR(SUMIF('船长每月数据(2022年)'!E:E,C:C,'船长每月数据(2022年)'!AA:AA)/SUMIF('船长每月数据(2022年)'!E:E,C:C,'船长每月数据(2022年)'!AI:AI),0)</f>
        <v>0</v>
      </c>
      <c r="K34" s="38">
        <f>IFERROR(SUMIF('船长每月数据(2022年)'!E:E,C:C,'船长每月数据(2022年)'!AA:AA)/SUMIF('船长每月数据(2022年)'!E:E,C:C,'船长每月数据(2022年)'!P:P),0)</f>
        <v>0</v>
      </c>
      <c r="L34" s="38">
        <f>IFERROR(SUMIF('船长每月数据(2022年)'!E:E,C:C,'船长每月数据(2022年)'!V:V),0)</f>
        <v>0</v>
      </c>
      <c r="M34" s="21">
        <f t="shared" si="1"/>
        <v>0</v>
      </c>
      <c r="N34" s="21">
        <f>IFERROR(SUMIF('船长每月数据(2022年)'!E:E,C:C,'船长每月数据(2022年)'!P:P)/SUMIF('船长每月数据(2022年)'!E:E,C:C,'船长每月数据(2022年)'!H:H),0)</f>
        <v>0</v>
      </c>
      <c r="O34" s="38">
        <f>IFERROR(SUMIF('船长每月数据(2022年)'!M:M,K:K,'船长每月数据(2022年)'!Z:Z),0)</f>
        <v>0</v>
      </c>
      <c r="P34" s="38">
        <f>SUMIF('船长每月数据(2023年)'!E:E,C:C,'船长每月数据(2023年)'!AA:AA)</f>
        <v>0</v>
      </c>
      <c r="Q34" s="21">
        <f t="shared" si="2"/>
        <v>0</v>
      </c>
      <c r="R34" s="21">
        <f t="shared" si="3"/>
        <v>0</v>
      </c>
      <c r="S34" s="38">
        <f>IFERROR(SUMIF('船长每月数据(2023年)'!E:E,C:C,'船长每月数据(2023年)'!AA:AA)/SUMIF('船长每月数据(2023年)'!E:E,C:C,'船长每月数据(2023年)'!AD:AD),0)</f>
        <v>0</v>
      </c>
      <c r="T34" s="21">
        <f t="shared" si="4"/>
        <v>0</v>
      </c>
      <c r="U34" s="38">
        <f>IFERROR(SUMIF('船长每月数据(2023年)'!E:E,C:C,'船长每月数据(2023年)'!AA:AA)/SUMIF('船长每月数据(2023年)'!E:E,C:C,'船长每月数据(2023年)'!AI:AI),0)</f>
        <v>0</v>
      </c>
      <c r="V34" s="21">
        <f t="shared" si="5"/>
        <v>0</v>
      </c>
      <c r="W34" s="38">
        <f>IFERROR(SUMIF('船长每月数据(2023年)'!E:E,C:C,'船长每月数据(2023年)'!AA:AA)/SUMIF('船长每月数据(2023年)'!E:E,C:C,'船长每月数据(2023年)'!P:P),0)</f>
        <v>0</v>
      </c>
      <c r="X34" s="21">
        <f t="shared" si="6"/>
        <v>0</v>
      </c>
      <c r="Y34" s="38">
        <f>IFERROR(SUMIF('船长每月数据(2022年)'!M:M,K:K,'船长每月数据(2022年)'!AD:AD),0)</f>
        <v>0</v>
      </c>
      <c r="Z34" s="21">
        <f t="shared" si="7"/>
        <v>0</v>
      </c>
      <c r="AA34" s="21">
        <f t="shared" si="8"/>
        <v>0</v>
      </c>
    </row>
    <row r="35" ht="24" customHeight="1" spans="1:27">
      <c r="A35" s="36"/>
      <c r="B35" s="36"/>
      <c r="C35" s="20"/>
      <c r="D35" s="20"/>
      <c r="E35" s="20"/>
      <c r="F35" s="38">
        <f>IFERROR(SUMIF('船长每月数据(2022年)'!E:E,C:C,'船长每月数据(2022年)'!R:R),0)</f>
        <v>0</v>
      </c>
      <c r="G35" s="38">
        <f>IFERROR(SUMIF('船长每月数据(2022年)'!E:E,C:C,'船长每月数据(2022年)'!AA:AA),0)</f>
        <v>0</v>
      </c>
      <c r="H35" s="21">
        <f t="shared" si="0"/>
        <v>0</v>
      </c>
      <c r="I35" s="38">
        <f>IFERROR(SUMIF('船长每月数据(2022年)'!E:E,C:C,'船长每月数据(2022年)'!AA:AA)/SUMIF('船长每月数据(2022年)'!E:E,C:C,'船长每月数据(2022年)'!AD:AD),0)</f>
        <v>0</v>
      </c>
      <c r="J35" s="38">
        <f>IFERROR(SUMIF('船长每月数据(2022年)'!E:E,C:C,'船长每月数据(2022年)'!AA:AA)/SUMIF('船长每月数据(2022年)'!E:E,C:C,'船长每月数据(2022年)'!AI:AI),0)</f>
        <v>0</v>
      </c>
      <c r="K35" s="38">
        <f>IFERROR(SUMIF('船长每月数据(2022年)'!E:E,C:C,'船长每月数据(2022年)'!AA:AA)/SUMIF('船长每月数据(2022年)'!E:E,C:C,'船长每月数据(2022年)'!P:P),0)</f>
        <v>0</v>
      </c>
      <c r="L35" s="38">
        <f>IFERROR(SUMIF('船长每月数据(2022年)'!E:E,C:C,'船长每月数据(2022年)'!V:V),0)</f>
        <v>0</v>
      </c>
      <c r="M35" s="21">
        <f t="shared" si="1"/>
        <v>0</v>
      </c>
      <c r="N35" s="21">
        <f>IFERROR(SUMIF('船长每月数据(2022年)'!E:E,C:C,'船长每月数据(2022年)'!P:P)/SUMIF('船长每月数据(2022年)'!E:E,C:C,'船长每月数据(2022年)'!H:H),0)</f>
        <v>0</v>
      </c>
      <c r="O35" s="38">
        <f>IFERROR(SUMIF('船长每月数据(2022年)'!M:M,K:K,'船长每月数据(2022年)'!Z:Z),0)</f>
        <v>0</v>
      </c>
      <c r="P35" s="38">
        <f>SUMIF('船长每月数据(2023年)'!E:E,C:C,'船长每月数据(2023年)'!AA:AA)</f>
        <v>0</v>
      </c>
      <c r="Q35" s="21">
        <f t="shared" si="2"/>
        <v>0</v>
      </c>
      <c r="R35" s="21">
        <f t="shared" si="3"/>
        <v>0</v>
      </c>
      <c r="S35" s="38">
        <f>IFERROR(SUMIF('船长每月数据(2023年)'!E:E,C:C,'船长每月数据(2023年)'!AA:AA)/SUMIF('船长每月数据(2023年)'!E:E,C:C,'船长每月数据(2023年)'!AD:AD),0)</f>
        <v>0</v>
      </c>
      <c r="T35" s="21">
        <f t="shared" si="4"/>
        <v>0</v>
      </c>
      <c r="U35" s="38">
        <f>IFERROR(SUMIF('船长每月数据(2023年)'!E:E,C:C,'船长每月数据(2023年)'!AA:AA)/SUMIF('船长每月数据(2023年)'!E:E,C:C,'船长每月数据(2023年)'!AI:AI),0)</f>
        <v>0</v>
      </c>
      <c r="V35" s="21">
        <f t="shared" si="5"/>
        <v>0</v>
      </c>
      <c r="W35" s="38">
        <f>IFERROR(SUMIF('船长每月数据(2023年)'!E:E,C:C,'船长每月数据(2023年)'!AA:AA)/SUMIF('船长每月数据(2023年)'!E:E,C:C,'船长每月数据(2023年)'!P:P),0)</f>
        <v>0</v>
      </c>
      <c r="X35" s="21">
        <f t="shared" si="6"/>
        <v>0</v>
      </c>
      <c r="Y35" s="38">
        <f>IFERROR(SUMIF('船长每月数据(2022年)'!M:M,K:K,'船长每月数据(2022年)'!AD:AD),0)</f>
        <v>0</v>
      </c>
      <c r="Z35" s="21">
        <f t="shared" si="7"/>
        <v>0</v>
      </c>
      <c r="AA35" s="21">
        <f t="shared" si="8"/>
        <v>0</v>
      </c>
    </row>
    <row r="36" ht="24" customHeight="1" spans="1:27">
      <c r="A36" s="36"/>
      <c r="B36" s="36"/>
      <c r="C36" s="20"/>
      <c r="D36" s="20"/>
      <c r="E36" s="20"/>
      <c r="F36" s="38">
        <f>IFERROR(SUMIF('船长每月数据(2022年)'!E:E,C:C,'船长每月数据(2022年)'!R:R),0)</f>
        <v>0</v>
      </c>
      <c r="G36" s="38">
        <f>IFERROR(SUMIF('船长每月数据(2022年)'!E:E,C:C,'船长每月数据(2022年)'!AA:AA),0)</f>
        <v>0</v>
      </c>
      <c r="H36" s="21">
        <f t="shared" si="0"/>
        <v>0</v>
      </c>
      <c r="I36" s="38">
        <f>IFERROR(SUMIF('船长每月数据(2022年)'!E:E,C:C,'船长每月数据(2022年)'!AA:AA)/SUMIF('船长每月数据(2022年)'!E:E,C:C,'船长每月数据(2022年)'!AD:AD),0)</f>
        <v>0</v>
      </c>
      <c r="J36" s="38">
        <f>IFERROR(SUMIF('船长每月数据(2022年)'!E:E,C:C,'船长每月数据(2022年)'!AA:AA)/SUMIF('船长每月数据(2022年)'!E:E,C:C,'船长每月数据(2022年)'!AI:AI),0)</f>
        <v>0</v>
      </c>
      <c r="K36" s="38">
        <f>IFERROR(SUMIF('船长每月数据(2022年)'!E:E,C:C,'船长每月数据(2022年)'!AA:AA)/SUMIF('船长每月数据(2022年)'!E:E,C:C,'船长每月数据(2022年)'!P:P),0)</f>
        <v>0</v>
      </c>
      <c r="L36" s="38">
        <f>IFERROR(SUMIF('船长每月数据(2022年)'!E:E,C:C,'船长每月数据(2022年)'!V:V),0)</f>
        <v>0</v>
      </c>
      <c r="M36" s="21">
        <f t="shared" si="1"/>
        <v>0</v>
      </c>
      <c r="N36" s="21">
        <f>IFERROR(SUMIF('船长每月数据(2022年)'!E:E,C:C,'船长每月数据(2022年)'!P:P)/SUMIF('船长每月数据(2022年)'!E:E,C:C,'船长每月数据(2022年)'!H:H),0)</f>
        <v>0</v>
      </c>
      <c r="O36" s="38">
        <f>IFERROR(SUMIF('船长每月数据(2022年)'!M:M,K:K,'船长每月数据(2022年)'!Z:Z),0)</f>
        <v>0</v>
      </c>
      <c r="P36" s="38">
        <f>SUMIF('船长每月数据(2023年)'!E:E,C:C,'船长每月数据(2023年)'!AA:AA)</f>
        <v>0</v>
      </c>
      <c r="Q36" s="21">
        <f t="shared" si="2"/>
        <v>0</v>
      </c>
      <c r="R36" s="21">
        <f t="shared" si="3"/>
        <v>0</v>
      </c>
      <c r="S36" s="38">
        <f>IFERROR(SUMIF('船长每月数据(2023年)'!E:E,C:C,'船长每月数据(2023年)'!AA:AA)/SUMIF('船长每月数据(2023年)'!E:E,C:C,'船长每月数据(2023年)'!AD:AD),0)</f>
        <v>0</v>
      </c>
      <c r="T36" s="21">
        <f t="shared" si="4"/>
        <v>0</v>
      </c>
      <c r="U36" s="38">
        <f>IFERROR(SUMIF('船长每月数据(2023年)'!E:E,C:C,'船长每月数据(2023年)'!AA:AA)/SUMIF('船长每月数据(2023年)'!E:E,C:C,'船长每月数据(2023年)'!AI:AI),0)</f>
        <v>0</v>
      </c>
      <c r="V36" s="21">
        <f t="shared" si="5"/>
        <v>0</v>
      </c>
      <c r="W36" s="38">
        <f>IFERROR(SUMIF('船长每月数据(2023年)'!E:E,C:C,'船长每月数据(2023年)'!AA:AA)/SUMIF('船长每月数据(2023年)'!E:E,C:C,'船长每月数据(2023年)'!P:P),0)</f>
        <v>0</v>
      </c>
      <c r="X36" s="21">
        <f t="shared" si="6"/>
        <v>0</v>
      </c>
      <c r="Y36" s="38">
        <f>IFERROR(SUMIF('船长每月数据(2022年)'!M:M,K:K,'船长每月数据(2022年)'!AD:AD),0)</f>
        <v>0</v>
      </c>
      <c r="Z36" s="21">
        <f t="shared" si="7"/>
        <v>0</v>
      </c>
      <c r="AA36" s="21">
        <f t="shared" si="8"/>
        <v>0</v>
      </c>
    </row>
    <row r="37" spans="1:20">
      <c r="A37" s="42" t="s">
        <v>48</v>
      </c>
      <c r="I37" s="27" t="e">
        <f>SUMIF('船长每月数据(2022年)'!C:C,"BBQ",'船长每月数据(2022年)'!AA:AA)/SUMIF('船长每月数据(2022年)'!C:C,"BBQ",'船长每月数据(2022年)'!AD:AD)</f>
        <v>#DIV/0!</v>
      </c>
      <c r="S37" s="27" t="e">
        <f>SUMIF('船长每月数据(2023年)'!C:C,"BBQ",'船长每月数据(2023年)'!AA:AA)/SUMIF('船长每月数据(2023年)'!C:C,"BBQ",'船长每月数据(2023年)'!AD:AD)</f>
        <v>#DIV/0!</v>
      </c>
      <c r="T37" s="28">
        <f t="shared" si="4"/>
        <v>0</v>
      </c>
    </row>
  </sheetData>
  <mergeCells count="7">
    <mergeCell ref="F1:N1"/>
    <mergeCell ref="O1:AA1"/>
    <mergeCell ref="A1:A2"/>
    <mergeCell ref="B1:B2"/>
    <mergeCell ref="C1:C2"/>
    <mergeCell ref="D1:D2"/>
    <mergeCell ref="E1:E2"/>
  </mergeCells>
  <pageMargins left="0.75" right="0.75" top="1" bottom="1" header="0.5" footer="0.5"/>
  <pageSetup paperSize="9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5"/>
  <sheetViews>
    <sheetView workbookViewId="0">
      <pane ySplit="1" topLeftCell="A2" activePane="bottomLeft" state="frozen"/>
      <selection/>
      <selection pane="bottomLeft" activeCell="I18" sqref="I18"/>
    </sheetView>
  </sheetViews>
  <sheetFormatPr defaultColWidth="9" defaultRowHeight="13.5"/>
  <cols>
    <col min="1" max="1" width="15.25" style="1" customWidth="1"/>
    <col min="2" max="2" width="7.88333333333333" customWidth="1"/>
    <col min="3" max="3" width="12.1333333333333" customWidth="1"/>
    <col min="4" max="4" width="11.6333333333333" customWidth="1"/>
    <col min="5" max="5" width="7" style="2" customWidth="1"/>
    <col min="6" max="6" width="15.6333333333333" customWidth="1"/>
    <col min="7" max="7" width="14.75" customWidth="1"/>
    <col min="8" max="8" width="13.75" customWidth="1"/>
    <col min="9" max="9" width="12.8833333333333" customWidth="1"/>
    <col min="10" max="10" width="11.1333333333333" customWidth="1"/>
    <col min="11" max="11" width="12.8833333333333" customWidth="1"/>
    <col min="12" max="12" width="11.6333333333333" customWidth="1"/>
    <col min="13" max="13" width="9.13333333333333" customWidth="1"/>
    <col min="14" max="14" width="11.1333333333333" customWidth="1"/>
    <col min="15" max="15" width="8.88333333333333" customWidth="1"/>
    <col min="16" max="16" width="13.75" customWidth="1"/>
    <col min="17" max="17" width="8.13333333333333" customWidth="1"/>
    <col min="18" max="18" width="11.1333333333333" customWidth="1"/>
    <col min="19" max="19" width="8.88333333333333" customWidth="1"/>
    <col min="20" max="20" width="10" customWidth="1"/>
    <col min="21" max="21" width="14.6333333333333" customWidth="1"/>
    <col min="22" max="22" width="11.6333333333333" customWidth="1"/>
    <col min="23" max="23" width="7" customWidth="1"/>
    <col min="24" max="24" width="10.8833333333333" customWidth="1"/>
  </cols>
  <sheetData>
    <row r="1" ht="23" customHeight="1" spans="1:24">
      <c r="A1" s="3" t="s">
        <v>292</v>
      </c>
      <c r="B1" s="3" t="s">
        <v>293</v>
      </c>
      <c r="C1" s="3" t="s">
        <v>294</v>
      </c>
      <c r="D1" s="3" t="s">
        <v>295</v>
      </c>
      <c r="E1" s="4" t="s">
        <v>232</v>
      </c>
      <c r="F1" s="3" t="s">
        <v>296</v>
      </c>
      <c r="G1" s="3" t="s">
        <v>297</v>
      </c>
      <c r="H1" s="3" t="s">
        <v>298</v>
      </c>
      <c r="I1" s="3" t="s">
        <v>299</v>
      </c>
      <c r="J1" s="3" t="s">
        <v>300</v>
      </c>
      <c r="K1" s="3" t="s">
        <v>301</v>
      </c>
      <c r="L1" s="3" t="s">
        <v>302</v>
      </c>
      <c r="M1" s="3" t="s">
        <v>303</v>
      </c>
      <c r="N1" s="3" t="s">
        <v>304</v>
      </c>
      <c r="O1" s="3" t="s">
        <v>305</v>
      </c>
      <c r="P1" s="3" t="s">
        <v>306</v>
      </c>
      <c r="Q1" s="3" t="s">
        <v>307</v>
      </c>
      <c r="R1" s="3" t="s">
        <v>308</v>
      </c>
      <c r="S1" s="3" t="s">
        <v>309</v>
      </c>
      <c r="T1" s="3" t="s">
        <v>310</v>
      </c>
      <c r="U1" s="3" t="s">
        <v>311</v>
      </c>
      <c r="V1" s="3" t="s">
        <v>312</v>
      </c>
      <c r="W1" s="3" t="s">
        <v>313</v>
      </c>
      <c r="X1" s="3" t="s">
        <v>314</v>
      </c>
    </row>
    <row r="2" ht="14.25" spans="1:24">
      <c r="A2" s="5"/>
      <c r="B2" s="6"/>
      <c r="C2" s="7"/>
      <c r="D2" s="8"/>
      <c r="E2" s="9"/>
      <c r="F2" s="10"/>
      <c r="G2" s="11"/>
      <c r="H2" s="10"/>
      <c r="I2" s="11"/>
      <c r="J2" s="10"/>
      <c r="K2" s="11"/>
      <c r="L2" s="10"/>
      <c r="M2" s="11"/>
      <c r="N2" s="10"/>
      <c r="O2" s="11"/>
      <c r="P2" s="13"/>
      <c r="Q2" s="11"/>
      <c r="R2" s="10"/>
      <c r="S2" s="11"/>
      <c r="T2" s="10"/>
      <c r="U2" s="14"/>
      <c r="V2" s="10"/>
      <c r="W2" s="10"/>
      <c r="X2" s="10"/>
    </row>
    <row r="3" ht="14.25" spans="1:24">
      <c r="A3" s="5"/>
      <c r="B3" s="6"/>
      <c r="C3" s="7"/>
      <c r="D3" s="8"/>
      <c r="E3" s="9"/>
      <c r="F3" s="10"/>
      <c r="G3" s="11"/>
      <c r="H3" s="10"/>
      <c r="I3" s="11"/>
      <c r="J3" s="10"/>
      <c r="K3" s="11"/>
      <c r="L3" s="10"/>
      <c r="M3" s="11"/>
      <c r="N3" s="10"/>
      <c r="O3" s="11"/>
      <c r="P3" s="13"/>
      <c r="Q3" s="11"/>
      <c r="R3" s="10"/>
      <c r="S3" s="11"/>
      <c r="T3" s="10"/>
      <c r="U3" s="14"/>
      <c r="V3" s="10"/>
      <c r="W3" s="10"/>
      <c r="X3" s="10"/>
    </row>
    <row r="4" ht="14.25" spans="1:24">
      <c r="A4" s="5"/>
      <c r="B4" s="6"/>
      <c r="C4" s="7"/>
      <c r="D4" s="8"/>
      <c r="E4" s="9"/>
      <c r="F4" s="10"/>
      <c r="G4" s="11"/>
      <c r="H4" s="10"/>
      <c r="I4" s="11"/>
      <c r="J4" s="10"/>
      <c r="K4" s="11"/>
      <c r="L4" s="10"/>
      <c r="M4" s="11"/>
      <c r="N4" s="10"/>
      <c r="O4" s="11"/>
      <c r="P4" s="13"/>
      <c r="Q4" s="11"/>
      <c r="R4" s="10"/>
      <c r="S4" s="11"/>
      <c r="T4" s="10"/>
      <c r="U4" s="14"/>
      <c r="V4" s="10"/>
      <c r="W4" s="10"/>
      <c r="X4" s="10"/>
    </row>
    <row r="5" ht="14.25" spans="1:24">
      <c r="A5" s="5"/>
      <c r="B5" s="6"/>
      <c r="C5" s="7"/>
      <c r="D5" s="8"/>
      <c r="E5" s="9"/>
      <c r="F5" s="10"/>
      <c r="G5" s="11"/>
      <c r="H5" s="10"/>
      <c r="I5" s="11"/>
      <c r="J5" s="10"/>
      <c r="K5" s="11"/>
      <c r="L5" s="10"/>
      <c r="M5" s="11"/>
      <c r="N5" s="10"/>
      <c r="O5" s="11"/>
      <c r="P5" s="13"/>
      <c r="Q5" s="11"/>
      <c r="R5" s="10"/>
      <c r="S5" s="11"/>
      <c r="T5" s="10"/>
      <c r="U5" s="14"/>
      <c r="V5" s="10"/>
      <c r="W5" s="10"/>
      <c r="X5" s="10"/>
    </row>
    <row r="6" ht="14.25" spans="1:24">
      <c r="A6" s="5"/>
      <c r="B6" s="6"/>
      <c r="C6" s="7"/>
      <c r="D6" s="8"/>
      <c r="E6" s="9"/>
      <c r="F6" s="10"/>
      <c r="G6" s="11"/>
      <c r="H6" s="10"/>
      <c r="I6" s="11"/>
      <c r="J6" s="10"/>
      <c r="K6" s="11"/>
      <c r="L6" s="10"/>
      <c r="M6" s="11"/>
      <c r="N6" s="10"/>
      <c r="O6" s="11"/>
      <c r="P6" s="13"/>
      <c r="Q6" s="11"/>
      <c r="R6" s="10"/>
      <c r="S6" s="11"/>
      <c r="T6" s="10"/>
      <c r="U6" s="14"/>
      <c r="V6" s="10"/>
      <c r="W6" s="10"/>
      <c r="X6" s="10"/>
    </row>
    <row r="7" ht="14.25" spans="1:24">
      <c r="A7" s="5"/>
      <c r="B7" s="6"/>
      <c r="C7" s="7"/>
      <c r="D7" s="8"/>
      <c r="E7" s="9"/>
      <c r="F7" s="10"/>
      <c r="G7" s="11"/>
      <c r="H7" s="10"/>
      <c r="I7" s="11"/>
      <c r="J7" s="10"/>
      <c r="K7" s="11"/>
      <c r="L7" s="10"/>
      <c r="M7" s="11"/>
      <c r="N7" s="10"/>
      <c r="O7" s="11"/>
      <c r="P7" s="13"/>
      <c r="Q7" s="11"/>
      <c r="R7" s="10"/>
      <c r="S7" s="11"/>
      <c r="T7" s="10"/>
      <c r="U7" s="14"/>
      <c r="V7" s="10"/>
      <c r="W7" s="10"/>
      <c r="X7" s="10"/>
    </row>
    <row r="8" ht="14.25" spans="1:24">
      <c r="A8" s="5"/>
      <c r="B8" s="6"/>
      <c r="C8" s="7"/>
      <c r="D8" s="8"/>
      <c r="E8" s="9"/>
      <c r="F8" s="10"/>
      <c r="G8" s="11"/>
      <c r="H8" s="10"/>
      <c r="I8" s="11"/>
      <c r="J8" s="10"/>
      <c r="K8" s="11"/>
      <c r="L8" s="10"/>
      <c r="M8" s="11"/>
      <c r="N8" s="10"/>
      <c r="O8" s="11"/>
      <c r="P8" s="13"/>
      <c r="Q8" s="11"/>
      <c r="R8" s="10"/>
      <c r="S8" s="11"/>
      <c r="T8" s="10"/>
      <c r="U8" s="14"/>
      <c r="V8" s="10"/>
      <c r="W8" s="10"/>
      <c r="X8" s="10"/>
    </row>
    <row r="9" ht="14.25" spans="1:24">
      <c r="A9" s="5"/>
      <c r="B9" s="6"/>
      <c r="C9" s="7"/>
      <c r="D9" s="8"/>
      <c r="E9" s="9"/>
      <c r="F9" s="10"/>
      <c r="G9" s="11"/>
      <c r="H9" s="10"/>
      <c r="I9" s="11"/>
      <c r="J9" s="10"/>
      <c r="K9" s="11"/>
      <c r="L9" s="10"/>
      <c r="M9" s="11"/>
      <c r="N9" s="10"/>
      <c r="O9" s="11"/>
      <c r="P9" s="13"/>
      <c r="Q9" s="11"/>
      <c r="R9" s="10"/>
      <c r="S9" s="11"/>
      <c r="T9" s="10"/>
      <c r="U9" s="14"/>
      <c r="V9" s="10"/>
      <c r="W9" s="10"/>
      <c r="X9" s="10"/>
    </row>
    <row r="10" ht="14.25" spans="1:24">
      <c r="A10" s="5"/>
      <c r="B10" s="6"/>
      <c r="C10" s="7"/>
      <c r="D10" s="8"/>
      <c r="E10" s="9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3"/>
      <c r="Q10" s="11"/>
      <c r="R10" s="10"/>
      <c r="S10" s="11"/>
      <c r="T10" s="10"/>
      <c r="U10" s="14"/>
      <c r="V10" s="10"/>
      <c r="W10" s="10"/>
      <c r="X10" s="10"/>
    </row>
    <row r="11" ht="14.25" spans="1:24">
      <c r="A11" s="5"/>
      <c r="B11" s="6"/>
      <c r="C11" s="7"/>
      <c r="D11" s="8"/>
      <c r="E11" s="9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3"/>
      <c r="Q11" s="11"/>
      <c r="R11" s="10"/>
      <c r="S11" s="11"/>
      <c r="T11" s="10"/>
      <c r="U11" s="14"/>
      <c r="V11" s="10"/>
      <c r="W11" s="10"/>
      <c r="X11" s="10"/>
    </row>
    <row r="12" ht="14.25" spans="1:24">
      <c r="A12" s="5"/>
      <c r="B12" s="5"/>
      <c r="C12" s="7"/>
      <c r="D12" s="8"/>
      <c r="E12" s="9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3"/>
      <c r="Q12" s="11"/>
      <c r="R12" s="10"/>
      <c r="S12" s="11"/>
      <c r="T12" s="10"/>
      <c r="U12" s="14"/>
      <c r="V12" s="10"/>
      <c r="W12" s="10"/>
      <c r="X12" s="10"/>
    </row>
    <row r="13" ht="14.25" spans="1:24">
      <c r="A13" s="5"/>
      <c r="B13" s="6"/>
      <c r="C13" s="7"/>
      <c r="D13" s="8"/>
      <c r="E13" s="9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3"/>
      <c r="Q13" s="11"/>
      <c r="R13" s="10"/>
      <c r="S13" s="11"/>
      <c r="T13" s="10"/>
      <c r="U13" s="14"/>
      <c r="V13" s="10"/>
      <c r="W13" s="10"/>
      <c r="X13" s="10"/>
    </row>
    <row r="14" ht="14.25" spans="1:24">
      <c r="A14" s="5"/>
      <c r="B14" s="6"/>
      <c r="C14" s="7"/>
      <c r="D14" s="8"/>
      <c r="E14" s="9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3"/>
      <c r="Q14" s="11"/>
      <c r="R14" s="10"/>
      <c r="S14" s="11"/>
      <c r="T14" s="10"/>
      <c r="U14" s="14"/>
      <c r="V14" s="10"/>
      <c r="W14" s="10"/>
      <c r="X14" s="10"/>
    </row>
    <row r="15" ht="14.25" spans="1:24">
      <c r="A15" s="5"/>
      <c r="B15" s="6"/>
      <c r="C15" s="7"/>
      <c r="D15" s="8"/>
      <c r="E15" s="9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3"/>
      <c r="Q15" s="11"/>
      <c r="R15" s="10"/>
      <c r="S15" s="11"/>
      <c r="T15" s="10"/>
      <c r="U15" s="14"/>
      <c r="V15" s="10"/>
      <c r="W15" s="10"/>
      <c r="X15" s="10"/>
    </row>
    <row r="16" ht="14.25" spans="1:24">
      <c r="A16" s="5"/>
      <c r="B16" s="6"/>
      <c r="C16" s="7"/>
      <c r="D16" s="8"/>
      <c r="E16" s="9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3"/>
      <c r="Q16" s="11"/>
      <c r="R16" s="10"/>
      <c r="S16" s="11"/>
      <c r="T16" s="10"/>
      <c r="U16" s="14"/>
      <c r="V16" s="10"/>
      <c r="W16" s="10"/>
      <c r="X16" s="10"/>
    </row>
    <row r="17" ht="14.25" spans="1:24">
      <c r="A17" s="5"/>
      <c r="B17" s="5"/>
      <c r="C17" s="7"/>
      <c r="D17" s="8"/>
      <c r="E17" s="9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3"/>
      <c r="Q17" s="11"/>
      <c r="R17" s="10"/>
      <c r="S17" s="11"/>
      <c r="T17" s="10"/>
      <c r="U17" s="14"/>
      <c r="V17" s="10"/>
      <c r="W17" s="10"/>
      <c r="X17" s="10"/>
    </row>
    <row r="18" ht="14.25" spans="1:24">
      <c r="A18" s="5"/>
      <c r="B18" s="5"/>
      <c r="C18" s="7"/>
      <c r="D18" s="8"/>
      <c r="E18" s="9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3"/>
      <c r="Q18" s="11"/>
      <c r="R18" s="10"/>
      <c r="S18" s="11"/>
      <c r="T18" s="10"/>
      <c r="U18" s="14"/>
      <c r="V18" s="10"/>
      <c r="W18" s="10"/>
      <c r="X18" s="10"/>
    </row>
    <row r="19" ht="14.25" spans="1:24">
      <c r="A19" s="5"/>
      <c r="B19" s="5"/>
      <c r="C19" s="7"/>
      <c r="D19" s="8"/>
      <c r="E19" s="9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3"/>
      <c r="Q19" s="11"/>
      <c r="R19" s="10"/>
      <c r="S19" s="11"/>
      <c r="T19" s="10"/>
      <c r="U19" s="14"/>
      <c r="V19" s="10"/>
      <c r="W19" s="10"/>
      <c r="X19" s="10"/>
    </row>
    <row r="20" ht="14.25" spans="1:24">
      <c r="A20" s="5"/>
      <c r="B20" s="5"/>
      <c r="C20" s="7"/>
      <c r="D20" s="8"/>
      <c r="E20" s="9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3"/>
      <c r="Q20" s="11"/>
      <c r="R20" s="10"/>
      <c r="S20" s="11"/>
      <c r="T20" s="10"/>
      <c r="U20" s="14"/>
      <c r="V20" s="10"/>
      <c r="W20" s="10"/>
      <c r="X20" s="10"/>
    </row>
    <row r="21" ht="14.25" spans="1:24">
      <c r="A21" s="5"/>
      <c r="B21" s="6"/>
      <c r="C21" s="7"/>
      <c r="D21" s="8"/>
      <c r="E21" s="9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3"/>
      <c r="Q21" s="11"/>
      <c r="R21" s="10"/>
      <c r="S21" s="11"/>
      <c r="T21" s="10"/>
      <c r="U21" s="14"/>
      <c r="V21" s="10"/>
      <c r="W21" s="10"/>
      <c r="X21" s="10"/>
    </row>
    <row r="22" ht="14.25" spans="1:24">
      <c r="A22" s="5"/>
      <c r="B22" s="5"/>
      <c r="C22" s="7"/>
      <c r="D22" s="8"/>
      <c r="E22" s="9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3"/>
      <c r="Q22" s="11"/>
      <c r="R22" s="10"/>
      <c r="S22" s="11"/>
      <c r="T22" s="10"/>
      <c r="U22" s="14"/>
      <c r="V22" s="10"/>
      <c r="W22" s="10"/>
      <c r="X22" s="10"/>
    </row>
    <row r="23" ht="14.25" spans="1:24">
      <c r="A23" s="5"/>
      <c r="B23" s="6"/>
      <c r="C23" s="7"/>
      <c r="D23" s="8"/>
      <c r="E23" s="9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3"/>
      <c r="Q23" s="11"/>
      <c r="R23" s="10"/>
      <c r="S23" s="11"/>
      <c r="T23" s="10"/>
      <c r="U23" s="14"/>
      <c r="V23" s="10"/>
      <c r="W23" s="10"/>
      <c r="X23" s="10"/>
    </row>
    <row r="24" ht="14.25" spans="1:24">
      <c r="A24" s="5"/>
      <c r="B24" s="5"/>
      <c r="C24" s="7"/>
      <c r="D24" s="8"/>
      <c r="E24" s="9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3"/>
      <c r="Q24" s="11"/>
      <c r="R24" s="10"/>
      <c r="S24" s="11"/>
      <c r="T24" s="10"/>
      <c r="U24" s="14"/>
      <c r="V24" s="10"/>
      <c r="W24" s="10"/>
      <c r="X24" s="10"/>
    </row>
    <row r="25" ht="14.25" spans="1:24">
      <c r="A25" s="5"/>
      <c r="B25" s="5"/>
      <c r="C25" s="7"/>
      <c r="D25" s="8"/>
      <c r="E25" s="9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3"/>
      <c r="Q25" s="11"/>
      <c r="R25" s="10"/>
      <c r="S25" s="11"/>
      <c r="T25" s="10"/>
      <c r="U25" s="14"/>
      <c r="V25" s="10"/>
      <c r="W25" s="10"/>
      <c r="X25" s="10"/>
    </row>
    <row r="26" ht="14.25" spans="1:24">
      <c r="A26" s="5"/>
      <c r="B26" s="5"/>
      <c r="C26" s="7"/>
      <c r="D26" s="8"/>
      <c r="E26" s="9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3"/>
      <c r="Q26" s="11"/>
      <c r="R26" s="10"/>
      <c r="S26" s="11"/>
      <c r="T26" s="10"/>
      <c r="U26" s="14"/>
      <c r="V26" s="10"/>
      <c r="W26" s="10"/>
      <c r="X26" s="10"/>
    </row>
    <row r="27" ht="14.25" spans="1:24">
      <c r="A27" s="5"/>
      <c r="B27" s="5"/>
      <c r="C27" s="7"/>
      <c r="D27" s="8"/>
      <c r="E27" s="9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3"/>
      <c r="Q27" s="11"/>
      <c r="R27" s="10"/>
      <c r="S27" s="11"/>
      <c r="T27" s="10"/>
      <c r="U27" s="14"/>
      <c r="V27" s="10"/>
      <c r="W27" s="10"/>
      <c r="X27" s="10"/>
    </row>
    <row r="28" ht="14.25" spans="1:24">
      <c r="A28" s="5"/>
      <c r="B28" s="5"/>
      <c r="C28" s="7"/>
      <c r="D28" s="8"/>
      <c r="E28" s="9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3"/>
      <c r="Q28" s="11"/>
      <c r="R28" s="10"/>
      <c r="S28" s="11"/>
      <c r="T28" s="10"/>
      <c r="U28" s="14"/>
      <c r="V28" s="10"/>
      <c r="W28" s="10"/>
      <c r="X28" s="10"/>
    </row>
    <row r="29" ht="14.25" spans="1:24">
      <c r="A29" s="5"/>
      <c r="B29" s="5"/>
      <c r="C29" s="7"/>
      <c r="D29" s="8"/>
      <c r="E29" s="9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3"/>
      <c r="Q29" s="11"/>
      <c r="R29" s="10"/>
      <c r="S29" s="11"/>
      <c r="T29" s="10"/>
      <c r="U29" s="14"/>
      <c r="V29" s="10"/>
      <c r="W29" s="10"/>
      <c r="X29" s="10"/>
    </row>
    <row r="30" ht="14.25" spans="1:24">
      <c r="A30" s="5"/>
      <c r="B30" s="5"/>
      <c r="C30" s="7"/>
      <c r="D30" s="8"/>
      <c r="E30" s="9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3"/>
      <c r="Q30" s="11"/>
      <c r="R30" s="10"/>
      <c r="S30" s="11"/>
      <c r="T30" s="10"/>
      <c r="U30" s="14"/>
      <c r="V30" s="10"/>
      <c r="W30" s="10"/>
      <c r="X30" s="10"/>
    </row>
    <row r="31" ht="14.25" spans="1:24">
      <c r="A31" s="5"/>
      <c r="B31" s="5"/>
      <c r="C31" s="12"/>
      <c r="D31" s="8"/>
      <c r="E31" s="9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3"/>
      <c r="Q31" s="11"/>
      <c r="R31" s="10"/>
      <c r="S31" s="11"/>
      <c r="T31" s="10"/>
      <c r="U31" s="14"/>
      <c r="V31" s="10"/>
      <c r="W31" s="10"/>
      <c r="X31" s="10"/>
    </row>
    <row r="32" ht="14.25" spans="1:24">
      <c r="A32" s="5"/>
      <c r="B32" s="5"/>
      <c r="C32" s="7"/>
      <c r="D32" s="8"/>
      <c r="E32" s="9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3"/>
      <c r="Q32" s="11"/>
      <c r="R32" s="10"/>
      <c r="S32" s="11"/>
      <c r="T32" s="10"/>
      <c r="U32" s="14"/>
      <c r="V32" s="10"/>
      <c r="W32" s="10"/>
      <c r="X32" s="10"/>
    </row>
    <row r="33" ht="14.25" spans="1:24">
      <c r="A33" s="5"/>
      <c r="B33" s="5"/>
      <c r="C33" s="7"/>
      <c r="D33" s="8"/>
      <c r="E33" s="9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3"/>
      <c r="Q33" s="11"/>
      <c r="R33" s="10"/>
      <c r="S33" s="11"/>
      <c r="T33" s="10"/>
      <c r="U33" s="14"/>
      <c r="V33" s="10"/>
      <c r="W33" s="10"/>
      <c r="X33" s="10"/>
    </row>
    <row r="34" ht="14.25" spans="1:24">
      <c r="A34" s="5"/>
      <c r="B34" s="5"/>
      <c r="C34" s="7"/>
      <c r="D34" s="8"/>
      <c r="E34" s="9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3"/>
      <c r="Q34" s="11"/>
      <c r="R34" s="10"/>
      <c r="S34" s="11"/>
      <c r="T34" s="10"/>
      <c r="U34" s="14"/>
      <c r="V34" s="10"/>
      <c r="W34" s="10"/>
      <c r="X34" s="10"/>
    </row>
    <row r="35" ht="14.25" spans="1:24">
      <c r="A35" s="5"/>
      <c r="B35" s="5"/>
      <c r="C35" s="7"/>
      <c r="D35" s="8"/>
      <c r="E35" s="9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3"/>
      <c r="Q35" s="11"/>
      <c r="R35" s="10"/>
      <c r="S35" s="11"/>
      <c r="T35" s="10"/>
      <c r="U35" s="14"/>
      <c r="V35" s="10"/>
      <c r="W35" s="10"/>
      <c r="X35" s="10"/>
    </row>
    <row r="36" ht="14.25" spans="1:24">
      <c r="A36" s="5"/>
      <c r="B36" s="5"/>
      <c r="C36" s="7"/>
      <c r="D36" s="8"/>
      <c r="E36" s="9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3"/>
      <c r="Q36" s="11"/>
      <c r="R36" s="10"/>
      <c r="S36" s="11"/>
      <c r="T36" s="10"/>
      <c r="U36" s="14"/>
      <c r="V36" s="10"/>
      <c r="W36" s="10"/>
      <c r="X36" s="10"/>
    </row>
    <row r="37" ht="14.25" spans="1:24">
      <c r="A37" s="5"/>
      <c r="B37" s="5"/>
      <c r="C37" s="7"/>
      <c r="D37" s="8"/>
      <c r="E37" s="9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3"/>
      <c r="Q37" s="11"/>
      <c r="R37" s="10"/>
      <c r="S37" s="11"/>
      <c r="T37" s="10"/>
      <c r="U37" s="14"/>
      <c r="V37" s="10"/>
      <c r="W37" s="10"/>
      <c r="X37" s="10"/>
    </row>
    <row r="38" ht="14.25" spans="1:24">
      <c r="A38" s="5"/>
      <c r="B38" s="5"/>
      <c r="C38" s="7"/>
      <c r="D38" s="8"/>
      <c r="E38" s="9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3"/>
      <c r="Q38" s="11"/>
      <c r="R38" s="10"/>
      <c r="S38" s="11"/>
      <c r="T38" s="10"/>
      <c r="U38" s="14"/>
      <c r="V38" s="10"/>
      <c r="W38" s="10"/>
      <c r="X38" s="10"/>
    </row>
    <row r="39" ht="14.25" spans="1:24">
      <c r="A39" s="5"/>
      <c r="B39" s="5"/>
      <c r="C39" s="7"/>
      <c r="D39" s="8"/>
      <c r="E39" s="9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3"/>
      <c r="Q39" s="11"/>
      <c r="R39" s="10"/>
      <c r="S39" s="11"/>
      <c r="T39" s="10"/>
      <c r="U39" s="14"/>
      <c r="V39" s="10"/>
      <c r="W39" s="10"/>
      <c r="X39" s="10"/>
    </row>
    <row r="40" ht="14.25" spans="1:24">
      <c r="A40" s="5"/>
      <c r="B40" s="5"/>
      <c r="C40" s="7"/>
      <c r="D40" s="8"/>
      <c r="E40" s="9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3"/>
      <c r="Q40" s="11"/>
      <c r="R40" s="10"/>
      <c r="S40" s="11"/>
      <c r="T40" s="10"/>
      <c r="U40" s="14"/>
      <c r="V40" s="10"/>
      <c r="W40" s="10"/>
      <c r="X40" s="10"/>
    </row>
    <row r="41" ht="23" customHeight="1" spans="1:24">
      <c r="A41" s="5"/>
      <c r="B41" s="5"/>
      <c r="C41" s="7"/>
      <c r="D41" s="8"/>
      <c r="E41" s="9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3"/>
      <c r="Q41" s="11"/>
      <c r="R41" s="10"/>
      <c r="S41" s="11"/>
      <c r="T41" s="10"/>
      <c r="U41" s="14"/>
      <c r="V41" s="10"/>
      <c r="W41" s="10"/>
      <c r="X41" s="10"/>
    </row>
    <row r="42" ht="14.25" spans="1:24">
      <c r="A42" s="5"/>
      <c r="B42" s="5"/>
      <c r="C42" s="12"/>
      <c r="D42" s="8"/>
      <c r="E42" s="9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3"/>
      <c r="Q42" s="11"/>
      <c r="R42" s="10"/>
      <c r="S42" s="11"/>
      <c r="T42" s="10"/>
      <c r="U42" s="14"/>
      <c r="V42" s="10"/>
      <c r="W42" s="10"/>
      <c r="X42" s="10"/>
    </row>
    <row r="43" ht="14.25" spans="1:24">
      <c r="A43" s="5"/>
      <c r="B43" s="5"/>
      <c r="C43" s="12"/>
      <c r="D43" s="8"/>
      <c r="E43" s="9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3"/>
      <c r="Q43" s="11"/>
      <c r="R43" s="10"/>
      <c r="S43" s="11"/>
      <c r="T43" s="10"/>
      <c r="U43" s="14"/>
      <c r="V43" s="10"/>
      <c r="W43" s="10"/>
      <c r="X43" s="10"/>
    </row>
    <row r="44" ht="14.25" spans="1:24">
      <c r="A44" s="5"/>
      <c r="B44" s="5"/>
      <c r="C44" s="12"/>
      <c r="D44" s="8"/>
      <c r="E44" s="9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3"/>
      <c r="Q44" s="11"/>
      <c r="R44" s="10"/>
      <c r="S44" s="11"/>
      <c r="T44" s="10"/>
      <c r="U44" s="14"/>
      <c r="V44" s="10"/>
      <c r="W44" s="10"/>
      <c r="X44" s="10"/>
    </row>
    <row r="45" ht="14.25" spans="1:24">
      <c r="A45" s="5"/>
      <c r="B45" s="5"/>
      <c r="C45" s="7"/>
      <c r="D45" s="8"/>
      <c r="E45" s="9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3"/>
      <c r="Q45" s="11"/>
      <c r="R45" s="10"/>
      <c r="S45" s="11"/>
      <c r="T45" s="10"/>
      <c r="U45" s="14"/>
      <c r="V45" s="10"/>
      <c r="W45" s="10"/>
      <c r="X45" s="10"/>
    </row>
    <row r="46" ht="14.25" spans="1:24">
      <c r="A46" s="5"/>
      <c r="B46" s="5"/>
      <c r="C46" s="12"/>
      <c r="D46" s="8"/>
      <c r="E46" s="9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3"/>
      <c r="Q46" s="11"/>
      <c r="R46" s="10"/>
      <c r="S46" s="11"/>
      <c r="T46" s="10"/>
      <c r="U46" s="14"/>
      <c r="V46" s="10"/>
      <c r="W46" s="10"/>
      <c r="X46" s="10"/>
    </row>
    <row r="47" ht="14.25" spans="1:24">
      <c r="A47" s="5"/>
      <c r="B47" s="5"/>
      <c r="C47" s="12"/>
      <c r="D47" s="8"/>
      <c r="E47" s="9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3"/>
      <c r="Q47" s="11"/>
      <c r="R47" s="10"/>
      <c r="S47" s="11"/>
      <c r="T47" s="10"/>
      <c r="U47" s="14"/>
      <c r="V47" s="10"/>
      <c r="W47" s="10"/>
      <c r="X47" s="10"/>
    </row>
    <row r="48" ht="14.25" spans="1:24">
      <c r="A48" s="5"/>
      <c r="B48" s="5"/>
      <c r="C48" s="12"/>
      <c r="D48" s="8"/>
      <c r="E48" s="9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3"/>
      <c r="Q48" s="11"/>
      <c r="R48" s="10"/>
      <c r="S48" s="11"/>
      <c r="T48" s="10"/>
      <c r="U48" s="14"/>
      <c r="V48" s="10"/>
      <c r="W48" s="10"/>
      <c r="X48" s="10"/>
    </row>
    <row r="49" ht="14.25" spans="1:24">
      <c r="A49" s="5"/>
      <c r="B49" s="5"/>
      <c r="C49" s="12"/>
      <c r="D49" s="8"/>
      <c r="E49" s="9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3"/>
      <c r="Q49" s="11"/>
      <c r="R49" s="10"/>
      <c r="S49" s="11"/>
      <c r="T49" s="10"/>
      <c r="U49" s="14"/>
      <c r="V49" s="10"/>
      <c r="W49" s="10"/>
      <c r="X49" s="10"/>
    </row>
    <row r="50" ht="14.25" spans="1:24">
      <c r="A50" s="5"/>
      <c r="B50" s="5"/>
      <c r="C50" s="12"/>
      <c r="D50" s="8"/>
      <c r="E50" s="9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3"/>
      <c r="Q50" s="11"/>
      <c r="R50" s="10"/>
      <c r="S50" s="11"/>
      <c r="T50" s="10"/>
      <c r="U50" s="14"/>
      <c r="V50" s="10"/>
      <c r="W50" s="10"/>
      <c r="X50" s="10"/>
    </row>
    <row r="51" ht="14.25" spans="1:24">
      <c r="A51" s="5"/>
      <c r="B51" s="5"/>
      <c r="C51" s="12"/>
      <c r="D51" s="8"/>
      <c r="E51" s="9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3"/>
      <c r="Q51" s="11"/>
      <c r="R51" s="10"/>
      <c r="S51" s="11"/>
      <c r="T51" s="10"/>
      <c r="U51" s="14"/>
      <c r="V51" s="10"/>
      <c r="W51" s="10"/>
      <c r="X51" s="10"/>
    </row>
    <row r="52" ht="14.25" spans="1:24">
      <c r="A52" s="5"/>
      <c r="B52" s="5"/>
      <c r="C52" s="12"/>
      <c r="D52" s="8"/>
      <c r="E52" s="9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3"/>
      <c r="Q52" s="11"/>
      <c r="R52" s="10"/>
      <c r="S52" s="11"/>
      <c r="T52" s="10"/>
      <c r="U52" s="14"/>
      <c r="V52" s="10"/>
      <c r="W52" s="10"/>
      <c r="X52" s="10"/>
    </row>
    <row r="53" ht="14.25" spans="1:24">
      <c r="A53" s="5"/>
      <c r="B53" s="5"/>
      <c r="C53" s="12"/>
      <c r="D53" s="8"/>
      <c r="E53" s="9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3"/>
      <c r="Q53" s="11"/>
      <c r="R53" s="10"/>
      <c r="S53" s="11"/>
      <c r="T53" s="10"/>
      <c r="U53" s="14"/>
      <c r="V53" s="10"/>
      <c r="W53" s="10"/>
      <c r="X53" s="10"/>
    </row>
    <row r="54" ht="14.25" spans="1:24">
      <c r="A54" s="5"/>
      <c r="B54" s="5"/>
      <c r="C54" s="12"/>
      <c r="D54" s="8"/>
      <c r="E54" s="9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3"/>
      <c r="Q54" s="11"/>
      <c r="R54" s="10"/>
      <c r="S54" s="11"/>
      <c r="T54" s="10"/>
      <c r="U54" s="14"/>
      <c r="V54" s="10"/>
      <c r="W54" s="10"/>
      <c r="X54" s="10"/>
    </row>
    <row r="55" ht="14.25" spans="1:24">
      <c r="A55" s="5"/>
      <c r="B55" s="5"/>
      <c r="C55" s="12"/>
      <c r="D55" s="8"/>
      <c r="E55" s="9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3"/>
      <c r="Q55" s="11"/>
      <c r="R55" s="10"/>
      <c r="S55" s="11"/>
      <c r="T55" s="10"/>
      <c r="U55" s="14"/>
      <c r="V55" s="10"/>
      <c r="W55" s="10"/>
      <c r="X55" s="10"/>
    </row>
    <row r="56" ht="14.25" spans="1:24">
      <c r="A56" s="5"/>
      <c r="B56" s="5"/>
      <c r="C56" s="12"/>
      <c r="D56" s="8"/>
      <c r="E56" s="9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3"/>
      <c r="Q56" s="11"/>
      <c r="R56" s="10"/>
      <c r="S56" s="11"/>
      <c r="T56" s="10"/>
      <c r="U56" s="14"/>
      <c r="V56" s="10"/>
      <c r="W56" s="10"/>
      <c r="X56" s="10"/>
    </row>
    <row r="57" ht="14.25" spans="1:24">
      <c r="A57" s="5"/>
      <c r="B57" s="5"/>
      <c r="C57" s="12"/>
      <c r="D57" s="8"/>
      <c r="E57" s="9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3"/>
      <c r="Q57" s="11"/>
      <c r="R57" s="10"/>
      <c r="S57" s="11"/>
      <c r="T57" s="10"/>
      <c r="U57" s="14"/>
      <c r="V57" s="10"/>
      <c r="W57" s="10"/>
      <c r="X57" s="10"/>
    </row>
    <row r="58" ht="14.25" spans="1:24">
      <c r="A58" s="5"/>
      <c r="B58" s="5"/>
      <c r="C58" s="12"/>
      <c r="D58" s="8"/>
      <c r="E58" s="9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3"/>
      <c r="Q58" s="11"/>
      <c r="R58" s="10"/>
      <c r="S58" s="11"/>
      <c r="T58" s="10"/>
      <c r="U58" s="14"/>
      <c r="V58" s="10"/>
      <c r="W58" s="10"/>
      <c r="X58" s="10"/>
    </row>
    <row r="59" ht="14.25" spans="1:24">
      <c r="A59" s="5"/>
      <c r="B59" s="5"/>
      <c r="C59" s="12"/>
      <c r="D59" s="8"/>
      <c r="E59" s="9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3"/>
      <c r="Q59" s="11"/>
      <c r="R59" s="10"/>
      <c r="S59" s="11"/>
      <c r="T59" s="10"/>
      <c r="U59" s="14"/>
      <c r="V59" s="10"/>
      <c r="W59" s="10"/>
      <c r="X59" s="10"/>
    </row>
    <row r="60" ht="14.25" spans="1:24">
      <c r="A60" s="5"/>
      <c r="B60" s="5"/>
      <c r="C60" s="12"/>
      <c r="D60" s="8"/>
      <c r="E60" s="9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3"/>
      <c r="Q60" s="11"/>
      <c r="R60" s="10"/>
      <c r="S60" s="11"/>
      <c r="T60" s="10"/>
      <c r="U60" s="14"/>
      <c r="V60" s="10"/>
      <c r="W60" s="10"/>
      <c r="X60" s="10"/>
    </row>
    <row r="61" ht="14.25" spans="1:24">
      <c r="A61" s="5"/>
      <c r="B61" s="5"/>
      <c r="C61" s="12"/>
      <c r="D61" s="8"/>
      <c r="E61" s="9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3"/>
      <c r="Q61" s="11"/>
      <c r="R61" s="10"/>
      <c r="S61" s="11"/>
      <c r="T61" s="10"/>
      <c r="U61" s="14"/>
      <c r="V61" s="10"/>
      <c r="W61" s="10"/>
      <c r="X61" s="10"/>
    </row>
    <row r="62" ht="14.25" spans="1:24">
      <c r="A62" s="5"/>
      <c r="B62" s="5"/>
      <c r="C62" s="12"/>
      <c r="D62" s="8"/>
      <c r="E62" s="9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3"/>
      <c r="Q62" s="11"/>
      <c r="R62" s="10"/>
      <c r="S62" s="11"/>
      <c r="T62" s="10"/>
      <c r="U62" s="14"/>
      <c r="V62" s="10"/>
      <c r="W62" s="10"/>
      <c r="X62" s="10"/>
    </row>
    <row r="63" ht="14.25" spans="1:24">
      <c r="A63" s="5"/>
      <c r="B63" s="5"/>
      <c r="C63" s="12"/>
      <c r="D63" s="8"/>
      <c r="E63" s="9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3"/>
      <c r="Q63" s="11"/>
      <c r="R63" s="10"/>
      <c r="S63" s="11"/>
      <c r="T63" s="10"/>
      <c r="U63" s="14"/>
      <c r="V63" s="10"/>
      <c r="W63" s="10"/>
      <c r="X63" s="10"/>
    </row>
    <row r="64" ht="14.25" spans="1:24">
      <c r="A64" s="5"/>
      <c r="B64" s="5"/>
      <c r="C64" s="12"/>
      <c r="D64" s="8"/>
      <c r="E64" s="9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3"/>
      <c r="Q64" s="11"/>
      <c r="R64" s="10"/>
      <c r="S64" s="11"/>
      <c r="T64" s="10"/>
      <c r="U64" s="14"/>
      <c r="V64" s="10"/>
      <c r="W64" s="10"/>
      <c r="X64" s="10"/>
    </row>
    <row r="65" ht="14.25" spans="1:24">
      <c r="A65" s="5"/>
      <c r="B65" s="5"/>
      <c r="C65" s="12"/>
      <c r="D65" s="8"/>
      <c r="E65" s="9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3"/>
      <c r="Q65" s="11"/>
      <c r="R65" s="10"/>
      <c r="S65" s="11"/>
      <c r="T65" s="10"/>
      <c r="U65" s="14"/>
      <c r="V65" s="10"/>
      <c r="W65" s="10"/>
      <c r="X65" s="10"/>
    </row>
    <row r="66" ht="14.25" spans="1:24">
      <c r="A66" s="5"/>
      <c r="B66" s="5"/>
      <c r="C66" s="12"/>
      <c r="D66" s="8"/>
      <c r="E66" s="9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3"/>
      <c r="Q66" s="11"/>
      <c r="R66" s="10"/>
      <c r="S66" s="11"/>
      <c r="T66" s="10"/>
      <c r="U66" s="14"/>
      <c r="V66" s="10"/>
      <c r="W66" s="10"/>
      <c r="X66" s="10"/>
    </row>
    <row r="67" ht="14.25" spans="1:24">
      <c r="A67" s="5"/>
      <c r="B67" s="5"/>
      <c r="C67" s="12"/>
      <c r="D67" s="8"/>
      <c r="E67" s="9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3"/>
      <c r="Q67" s="11"/>
      <c r="R67" s="10"/>
      <c r="S67" s="11"/>
      <c r="T67" s="10"/>
      <c r="U67" s="14"/>
      <c r="V67" s="10"/>
      <c r="W67" s="10"/>
      <c r="X67" s="10"/>
    </row>
    <row r="68" ht="14.25" spans="1:24">
      <c r="A68" s="5"/>
      <c r="B68" s="5"/>
      <c r="C68" s="12"/>
      <c r="D68" s="8"/>
      <c r="E68" s="9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3"/>
      <c r="Q68" s="11"/>
      <c r="R68" s="10"/>
      <c r="S68" s="11"/>
      <c r="T68" s="10"/>
      <c r="U68" s="14"/>
      <c r="V68" s="10"/>
      <c r="W68" s="10"/>
      <c r="X68" s="10"/>
    </row>
    <row r="69" ht="14.25" spans="1:24">
      <c r="A69" s="5"/>
      <c r="B69" s="5"/>
      <c r="C69" s="12"/>
      <c r="D69" s="8"/>
      <c r="E69" s="9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3"/>
      <c r="Q69" s="11"/>
      <c r="R69" s="10"/>
      <c r="S69" s="11"/>
      <c r="T69" s="10"/>
      <c r="U69" s="14"/>
      <c r="V69" s="10"/>
      <c r="W69" s="10"/>
      <c r="X69" s="10"/>
    </row>
    <row r="70" ht="14.25" spans="1:24">
      <c r="A70" s="5"/>
      <c r="B70" s="5"/>
      <c r="C70" s="12"/>
      <c r="D70" s="8"/>
      <c r="E70" s="9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3"/>
      <c r="Q70" s="11"/>
      <c r="R70" s="10"/>
      <c r="S70" s="11"/>
      <c r="T70" s="10"/>
      <c r="U70" s="14"/>
      <c r="V70" s="10"/>
      <c r="W70" s="10"/>
      <c r="X70" s="10"/>
    </row>
    <row r="71" ht="14.25" spans="1:24">
      <c r="A71" s="5"/>
      <c r="B71" s="5"/>
      <c r="C71" s="12"/>
      <c r="D71" s="8"/>
      <c r="E71" s="9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3"/>
      <c r="Q71" s="11"/>
      <c r="R71" s="10"/>
      <c r="S71" s="11"/>
      <c r="T71" s="10"/>
      <c r="U71" s="14"/>
      <c r="V71" s="10"/>
      <c r="W71" s="10"/>
      <c r="X71" s="10"/>
    </row>
    <row r="72" ht="14.25" spans="1:24">
      <c r="A72" s="5"/>
      <c r="B72" s="5"/>
      <c r="C72" s="12"/>
      <c r="D72" s="8"/>
      <c r="E72" s="9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3"/>
      <c r="Q72" s="11"/>
      <c r="R72" s="10"/>
      <c r="S72" s="11"/>
      <c r="T72" s="10"/>
      <c r="U72" s="14"/>
      <c r="V72" s="10"/>
      <c r="W72" s="10"/>
      <c r="X72" s="10"/>
    </row>
    <row r="73" ht="14.25" spans="1:24">
      <c r="A73" s="5"/>
      <c r="B73" s="5"/>
      <c r="C73" s="12"/>
      <c r="D73" s="8"/>
      <c r="E73" s="9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3"/>
      <c r="Q73" s="11"/>
      <c r="R73" s="10"/>
      <c r="S73" s="11"/>
      <c r="T73" s="10"/>
      <c r="U73" s="14"/>
      <c r="V73" s="10"/>
      <c r="W73" s="10"/>
      <c r="X73" s="10"/>
    </row>
    <row r="74" ht="14.25" spans="1:24">
      <c r="A74" s="5"/>
      <c r="B74" s="5"/>
      <c r="C74" s="12"/>
      <c r="D74" s="8"/>
      <c r="E74" s="9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3"/>
      <c r="Q74" s="11"/>
      <c r="R74" s="10"/>
      <c r="S74" s="11"/>
      <c r="T74" s="10"/>
      <c r="U74" s="14"/>
      <c r="V74" s="10"/>
      <c r="W74" s="10"/>
      <c r="X74" s="10"/>
    </row>
    <row r="75" ht="14.25" spans="1:24">
      <c r="A75" s="5"/>
      <c r="B75" s="5"/>
      <c r="C75" s="12"/>
      <c r="D75" s="8"/>
      <c r="E75" s="9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3"/>
      <c r="Q75" s="11"/>
      <c r="R75" s="10"/>
      <c r="S75" s="11"/>
      <c r="T75" s="10"/>
      <c r="U75" s="14"/>
      <c r="V75" s="10"/>
      <c r="W75" s="10"/>
      <c r="X75" s="10"/>
    </row>
    <row r="76" ht="14.25" spans="1:24">
      <c r="A76" s="5"/>
      <c r="B76" s="5"/>
      <c r="C76" s="12"/>
      <c r="D76" s="8"/>
      <c r="E76" s="9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3"/>
      <c r="Q76" s="11"/>
      <c r="R76" s="10"/>
      <c r="S76" s="11"/>
      <c r="T76" s="10"/>
      <c r="U76" s="14"/>
      <c r="V76" s="10"/>
      <c r="W76" s="10"/>
      <c r="X76" s="10"/>
    </row>
    <row r="77" ht="14.25" spans="1:24">
      <c r="A77" s="5"/>
      <c r="B77" s="5"/>
      <c r="C77" s="12"/>
      <c r="D77" s="8"/>
      <c r="E77" s="9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3"/>
      <c r="Q77" s="11"/>
      <c r="R77" s="10"/>
      <c r="S77" s="11"/>
      <c r="T77" s="10"/>
      <c r="U77" s="14"/>
      <c r="V77" s="10"/>
      <c r="W77" s="10"/>
      <c r="X77" s="10"/>
    </row>
    <row r="78" ht="14.25" spans="1:24">
      <c r="A78" s="5"/>
      <c r="B78" s="5"/>
      <c r="C78" s="12"/>
      <c r="D78" s="8"/>
      <c r="E78" s="9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3"/>
      <c r="Q78" s="11"/>
      <c r="R78" s="10"/>
      <c r="S78" s="11"/>
      <c r="T78" s="10"/>
      <c r="U78" s="14"/>
      <c r="V78" s="10"/>
      <c r="W78" s="10"/>
      <c r="X78" s="10"/>
    </row>
    <row r="79" ht="14.25" spans="1:24">
      <c r="A79" s="5"/>
      <c r="B79" s="5"/>
      <c r="C79" s="12"/>
      <c r="D79" s="8"/>
      <c r="E79" s="9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3"/>
      <c r="Q79" s="11"/>
      <c r="R79" s="10"/>
      <c r="S79" s="11"/>
      <c r="T79" s="10"/>
      <c r="U79" s="14"/>
      <c r="V79" s="10"/>
      <c r="W79" s="10"/>
      <c r="X79" s="10"/>
    </row>
    <row r="80" ht="14.25" spans="1:24">
      <c r="A80" s="5"/>
      <c r="B80" s="5"/>
      <c r="C80" s="12"/>
      <c r="D80" s="8"/>
      <c r="E80" s="9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3"/>
      <c r="Q80" s="11"/>
      <c r="R80" s="10"/>
      <c r="S80" s="11"/>
      <c r="T80" s="10"/>
      <c r="U80" s="14"/>
      <c r="V80" s="10"/>
      <c r="W80" s="10"/>
      <c r="X80" s="10"/>
    </row>
    <row r="81" ht="14.25" spans="1:24">
      <c r="A81" s="5"/>
      <c r="B81" s="5"/>
      <c r="C81" s="12"/>
      <c r="D81" s="8"/>
      <c r="E81" s="9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3"/>
      <c r="Q81" s="11"/>
      <c r="R81" s="10"/>
      <c r="S81" s="11"/>
      <c r="T81" s="10"/>
      <c r="U81" s="14"/>
      <c r="V81" s="10"/>
      <c r="W81" s="10"/>
      <c r="X81" s="10"/>
    </row>
    <row r="82" ht="14.25" spans="1:24">
      <c r="A82" s="5"/>
      <c r="B82" s="5"/>
      <c r="C82" s="12"/>
      <c r="D82" s="8"/>
      <c r="E82" s="9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3"/>
      <c r="Q82" s="11"/>
      <c r="R82" s="10"/>
      <c r="S82" s="11"/>
      <c r="T82" s="10"/>
      <c r="U82" s="14"/>
      <c r="V82" s="10"/>
      <c r="W82" s="10"/>
      <c r="X82" s="10"/>
    </row>
    <row r="83" ht="14.25" spans="1:24">
      <c r="A83" s="5"/>
      <c r="B83" s="5"/>
      <c r="C83" s="12"/>
      <c r="D83" s="8"/>
      <c r="E83" s="9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3"/>
      <c r="Q83" s="11"/>
      <c r="R83" s="10"/>
      <c r="S83" s="11"/>
      <c r="T83" s="10"/>
      <c r="U83" s="14"/>
      <c r="V83" s="10"/>
      <c r="W83" s="10"/>
      <c r="X83" s="10"/>
    </row>
    <row r="84" ht="14.25" spans="1:24">
      <c r="A84" s="5"/>
      <c r="B84" s="5"/>
      <c r="C84" s="12"/>
      <c r="D84" s="8"/>
      <c r="E84" s="9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3"/>
      <c r="Q84" s="11"/>
      <c r="R84" s="10"/>
      <c r="S84" s="11"/>
      <c r="T84" s="10"/>
      <c r="U84" s="14"/>
      <c r="V84" s="10"/>
      <c r="W84" s="10"/>
      <c r="X84" s="10"/>
    </row>
    <row r="85" ht="14.25" spans="1:24">
      <c r="A85" s="5"/>
      <c r="B85" s="5"/>
      <c r="C85" s="12"/>
      <c r="D85" s="8"/>
      <c r="E85" s="9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3"/>
      <c r="Q85" s="11"/>
      <c r="R85" s="10"/>
      <c r="S85" s="11"/>
      <c r="T85" s="10"/>
      <c r="U85" s="14"/>
      <c r="V85" s="10"/>
      <c r="W85" s="10"/>
      <c r="X85" s="10"/>
    </row>
    <row r="86" ht="14.25" spans="1:24">
      <c r="A86" s="5"/>
      <c r="B86" s="5"/>
      <c r="C86" s="12"/>
      <c r="D86" s="8"/>
      <c r="E86" s="9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3"/>
      <c r="Q86" s="11"/>
      <c r="R86" s="10"/>
      <c r="S86" s="11"/>
      <c r="T86" s="10"/>
      <c r="U86" s="14"/>
      <c r="V86" s="10"/>
      <c r="W86" s="10"/>
      <c r="X86" s="10"/>
    </row>
    <row r="87" ht="14.25" spans="1:24">
      <c r="A87" s="5"/>
      <c r="B87" s="5"/>
      <c r="C87" s="12"/>
      <c r="D87" s="8"/>
      <c r="E87" s="9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3"/>
      <c r="Q87" s="11"/>
      <c r="R87" s="10"/>
      <c r="S87" s="11"/>
      <c r="T87" s="10"/>
      <c r="U87" s="14"/>
      <c r="V87" s="10"/>
      <c r="W87" s="10"/>
      <c r="X87" s="10"/>
    </row>
    <row r="88" ht="14.25" spans="1:24">
      <c r="A88" s="5"/>
      <c r="B88" s="5"/>
      <c r="C88" s="12"/>
      <c r="D88" s="8"/>
      <c r="E88" s="9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3"/>
      <c r="Q88" s="11"/>
      <c r="R88" s="10"/>
      <c r="S88" s="11"/>
      <c r="T88" s="10"/>
      <c r="U88" s="14"/>
      <c r="V88" s="10"/>
      <c r="W88" s="10"/>
      <c r="X88" s="10"/>
    </row>
    <row r="89" ht="14.25" spans="1:24">
      <c r="A89" s="5"/>
      <c r="B89" s="5"/>
      <c r="C89" s="12"/>
      <c r="D89" s="8"/>
      <c r="E89" s="9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3"/>
      <c r="Q89" s="11"/>
      <c r="R89" s="10"/>
      <c r="S89" s="11"/>
      <c r="T89" s="10"/>
      <c r="U89" s="14"/>
      <c r="V89" s="10"/>
      <c r="W89" s="10"/>
      <c r="X89" s="10"/>
    </row>
    <row r="90" ht="14.25" spans="1:24">
      <c r="A90" s="5"/>
      <c r="B90" s="5"/>
      <c r="C90" s="12"/>
      <c r="D90" s="8"/>
      <c r="E90" s="9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3"/>
      <c r="Q90" s="11"/>
      <c r="R90" s="10"/>
      <c r="S90" s="11"/>
      <c r="T90" s="10"/>
      <c r="U90" s="14"/>
      <c r="V90" s="10"/>
      <c r="W90" s="10"/>
      <c r="X90" s="10"/>
    </row>
    <row r="91" ht="14.25" spans="1:24">
      <c r="A91" s="5"/>
      <c r="B91" s="5"/>
      <c r="C91" s="12"/>
      <c r="D91" s="8"/>
      <c r="E91" s="9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3"/>
      <c r="Q91" s="11"/>
      <c r="R91" s="10"/>
      <c r="S91" s="11"/>
      <c r="T91" s="10"/>
      <c r="U91" s="14"/>
      <c r="V91" s="10"/>
      <c r="W91" s="10"/>
      <c r="X91" s="10"/>
    </row>
    <row r="92" ht="14.25" spans="1:24">
      <c r="A92" s="5"/>
      <c r="B92" s="5"/>
      <c r="C92" s="12"/>
      <c r="D92" s="8"/>
      <c r="E92" s="9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3"/>
      <c r="Q92" s="11"/>
      <c r="R92" s="10"/>
      <c r="S92" s="11"/>
      <c r="T92" s="10"/>
      <c r="U92" s="14"/>
      <c r="V92" s="10"/>
      <c r="W92" s="10"/>
      <c r="X92" s="10"/>
    </row>
    <row r="93" ht="14.25" spans="1:24">
      <c r="A93" s="5"/>
      <c r="B93" s="5"/>
      <c r="C93" s="12"/>
      <c r="D93" s="8"/>
      <c r="E93" s="9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3"/>
      <c r="Q93" s="11"/>
      <c r="R93" s="10"/>
      <c r="S93" s="11"/>
      <c r="T93" s="10"/>
      <c r="U93" s="14"/>
      <c r="V93" s="10"/>
      <c r="W93" s="10"/>
      <c r="X93" s="10"/>
    </row>
    <row r="94" ht="14.25" spans="1:24">
      <c r="A94" s="5"/>
      <c r="B94" s="5"/>
      <c r="C94" s="12"/>
      <c r="D94" s="8"/>
      <c r="E94" s="9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3"/>
      <c r="Q94" s="11"/>
      <c r="R94" s="10"/>
      <c r="S94" s="11"/>
      <c r="T94" s="10"/>
      <c r="U94" s="14"/>
      <c r="V94" s="10"/>
      <c r="W94" s="10"/>
      <c r="X94" s="10"/>
    </row>
    <row r="95" ht="14.25" spans="1:24">
      <c r="A95" s="5"/>
      <c r="B95" s="5"/>
      <c r="C95" s="12"/>
      <c r="D95" s="8"/>
      <c r="E95" s="9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3"/>
      <c r="Q95" s="11"/>
      <c r="R95" s="10"/>
      <c r="S95" s="11"/>
      <c r="T95" s="10"/>
      <c r="U95" s="14"/>
      <c r="V95" s="10"/>
      <c r="W95" s="10"/>
      <c r="X95" s="10"/>
    </row>
    <row r="96" ht="14.25" spans="1:24">
      <c r="A96" s="5"/>
      <c r="B96" s="5"/>
      <c r="C96" s="12"/>
      <c r="D96" s="8"/>
      <c r="E96" s="9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3"/>
      <c r="Q96" s="11"/>
      <c r="R96" s="10"/>
      <c r="S96" s="11"/>
      <c r="T96" s="10"/>
      <c r="U96" s="14"/>
      <c r="V96" s="10"/>
      <c r="W96" s="10"/>
      <c r="X96" s="10"/>
    </row>
    <row r="97" ht="14.25" spans="1:24">
      <c r="A97" s="5"/>
      <c r="B97" s="5"/>
      <c r="C97" s="12"/>
      <c r="D97" s="8"/>
      <c r="E97" s="9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3"/>
      <c r="Q97" s="11"/>
      <c r="R97" s="10"/>
      <c r="S97" s="11"/>
      <c r="T97" s="10"/>
      <c r="U97" s="14"/>
      <c r="V97" s="10"/>
      <c r="W97" s="10"/>
      <c r="X97" s="10"/>
    </row>
    <row r="98" ht="14.25" spans="1:24">
      <c r="A98" s="5"/>
      <c r="B98" s="5"/>
      <c r="C98" s="12"/>
      <c r="D98" s="8"/>
      <c r="E98" s="9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3"/>
      <c r="Q98" s="11"/>
      <c r="R98" s="10"/>
      <c r="S98" s="11"/>
      <c r="T98" s="10"/>
      <c r="U98" s="14"/>
      <c r="V98" s="10"/>
      <c r="W98" s="10"/>
      <c r="X98" s="10"/>
    </row>
    <row r="99" ht="14.25" spans="1:24">
      <c r="A99" s="5"/>
      <c r="B99" s="5"/>
      <c r="C99" s="12"/>
      <c r="D99" s="8"/>
      <c r="E99" s="9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3"/>
      <c r="Q99" s="11"/>
      <c r="R99" s="10"/>
      <c r="S99" s="11"/>
      <c r="T99" s="10"/>
      <c r="U99" s="14"/>
      <c r="V99" s="10"/>
      <c r="W99" s="10"/>
      <c r="X99" s="10"/>
    </row>
    <row r="100" ht="14.25" spans="1:24">
      <c r="A100" s="5"/>
      <c r="B100" s="5"/>
      <c r="C100" s="12"/>
      <c r="D100" s="8"/>
      <c r="E100" s="9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3"/>
      <c r="Q100" s="11"/>
      <c r="R100" s="10"/>
      <c r="S100" s="11"/>
      <c r="T100" s="10"/>
      <c r="U100" s="14"/>
      <c r="V100" s="10"/>
      <c r="W100" s="10"/>
      <c r="X100" s="10"/>
    </row>
    <row r="101" ht="14.25" spans="1:24">
      <c r="A101" s="5"/>
      <c r="B101" s="5"/>
      <c r="C101" s="12"/>
      <c r="D101" s="8"/>
      <c r="E101" s="9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3"/>
      <c r="Q101" s="11"/>
      <c r="R101" s="10"/>
      <c r="S101" s="11"/>
      <c r="T101" s="10"/>
      <c r="U101" s="14"/>
      <c r="V101" s="10"/>
      <c r="W101" s="10"/>
      <c r="X101" s="10"/>
    </row>
    <row r="102" ht="14.25" spans="1:24">
      <c r="A102" s="5"/>
      <c r="B102" s="5"/>
      <c r="C102" s="12"/>
      <c r="D102" s="8"/>
      <c r="E102" s="9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3"/>
      <c r="Q102" s="11"/>
      <c r="R102" s="10"/>
      <c r="S102" s="11"/>
      <c r="T102" s="10"/>
      <c r="U102" s="14"/>
      <c r="V102" s="10"/>
      <c r="W102" s="10"/>
      <c r="X102" s="10"/>
    </row>
    <row r="103" ht="14.25" spans="1:24">
      <c r="A103" s="5"/>
      <c r="B103" s="5"/>
      <c r="C103" s="12"/>
      <c r="D103" s="8"/>
      <c r="E103" s="9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3"/>
      <c r="Q103" s="11"/>
      <c r="R103" s="10"/>
      <c r="S103" s="11"/>
      <c r="T103" s="10"/>
      <c r="U103" s="14"/>
      <c r="V103" s="10"/>
      <c r="W103" s="10"/>
      <c r="X103" s="10"/>
    </row>
    <row r="104" ht="14.25" spans="1:24">
      <c r="A104" s="5"/>
      <c r="B104" s="5"/>
      <c r="C104" s="12"/>
      <c r="D104" s="8"/>
      <c r="E104" s="9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3"/>
      <c r="Q104" s="11"/>
      <c r="R104" s="10"/>
      <c r="S104" s="11"/>
      <c r="T104" s="10"/>
      <c r="U104" s="14"/>
      <c r="V104" s="10"/>
      <c r="W104" s="10"/>
      <c r="X104" s="10"/>
    </row>
    <row r="105" ht="14.25" spans="1:24">
      <c r="A105" s="5"/>
      <c r="B105" s="5"/>
      <c r="C105" s="12"/>
      <c r="D105" s="8"/>
      <c r="E105" s="9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3"/>
      <c r="Q105" s="11"/>
      <c r="R105" s="10"/>
      <c r="S105" s="11"/>
      <c r="T105" s="10"/>
      <c r="U105" s="14"/>
      <c r="V105" s="10"/>
      <c r="W105" s="10"/>
      <c r="X105" s="10"/>
    </row>
    <row r="106" ht="14.25" spans="1:24">
      <c r="A106" s="5"/>
      <c r="B106" s="5"/>
      <c r="C106" s="12"/>
      <c r="D106" s="8"/>
      <c r="E106" s="9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3"/>
      <c r="Q106" s="11"/>
      <c r="R106" s="10"/>
      <c r="S106" s="11"/>
      <c r="T106" s="10"/>
      <c r="U106" s="14"/>
      <c r="V106" s="10"/>
      <c r="W106" s="10"/>
      <c r="X106" s="10"/>
    </row>
    <row r="107" ht="14.25" spans="1:24">
      <c r="A107" s="5"/>
      <c r="B107" s="5"/>
      <c r="C107" s="12"/>
      <c r="D107" s="8"/>
      <c r="E107" s="9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3"/>
      <c r="Q107" s="11"/>
      <c r="R107" s="10"/>
      <c r="S107" s="11"/>
      <c r="T107" s="10"/>
      <c r="U107" s="14"/>
      <c r="V107" s="10"/>
      <c r="W107" s="10"/>
      <c r="X107" s="10"/>
    </row>
    <row r="108" ht="14.25" spans="1:24">
      <c r="A108" s="5"/>
      <c r="B108" s="5"/>
      <c r="C108" s="12"/>
      <c r="D108" s="8"/>
      <c r="E108" s="9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3"/>
      <c r="Q108" s="11"/>
      <c r="R108" s="10"/>
      <c r="S108" s="11"/>
      <c r="T108" s="10"/>
      <c r="U108" s="14"/>
      <c r="V108" s="10"/>
      <c r="W108" s="10"/>
      <c r="X108" s="10"/>
    </row>
    <row r="109" ht="14.25" spans="1:24">
      <c r="A109" s="5"/>
      <c r="B109" s="5"/>
      <c r="C109" s="12"/>
      <c r="D109" s="8"/>
      <c r="E109" s="9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3"/>
      <c r="Q109" s="11"/>
      <c r="R109" s="10"/>
      <c r="S109" s="11"/>
      <c r="T109" s="10"/>
      <c r="U109" s="14"/>
      <c r="V109" s="10"/>
      <c r="W109" s="10"/>
      <c r="X109" s="10"/>
    </row>
    <row r="110" ht="14.25" spans="1:24">
      <c r="A110" s="5"/>
      <c r="B110" s="5"/>
      <c r="C110" s="12"/>
      <c r="D110" s="8"/>
      <c r="E110" s="9"/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3"/>
      <c r="Q110" s="11"/>
      <c r="R110" s="10"/>
      <c r="S110" s="11"/>
      <c r="T110" s="10"/>
      <c r="U110" s="14"/>
      <c r="V110" s="10"/>
      <c r="W110" s="10"/>
      <c r="X110" s="10"/>
    </row>
    <row r="111" ht="14.25" spans="1:24">
      <c r="A111" s="5"/>
      <c r="B111" s="5"/>
      <c r="C111" s="12"/>
      <c r="D111" s="8"/>
      <c r="E111" s="9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3"/>
      <c r="Q111" s="11"/>
      <c r="R111" s="10"/>
      <c r="S111" s="11"/>
      <c r="T111" s="10"/>
      <c r="U111" s="14"/>
      <c r="V111" s="10"/>
      <c r="W111" s="10"/>
      <c r="X111" s="10"/>
    </row>
    <row r="112" ht="14.25" spans="1:24">
      <c r="A112" s="5"/>
      <c r="B112" s="5"/>
      <c r="C112" s="12"/>
      <c r="D112" s="8"/>
      <c r="E112" s="9"/>
      <c r="F112" s="10"/>
      <c r="G112" s="11"/>
      <c r="H112" s="10"/>
      <c r="I112" s="11"/>
      <c r="J112" s="10"/>
      <c r="K112" s="11"/>
      <c r="L112" s="10"/>
      <c r="M112" s="11"/>
      <c r="N112" s="10"/>
      <c r="O112" s="11"/>
      <c r="P112" s="13"/>
      <c r="Q112" s="11"/>
      <c r="R112" s="10"/>
      <c r="S112" s="11"/>
      <c r="T112" s="10"/>
      <c r="U112" s="14"/>
      <c r="V112" s="10"/>
      <c r="W112" s="10"/>
      <c r="X112" s="10"/>
    </row>
    <row r="113" ht="14.25" spans="1:24">
      <c r="A113" s="5"/>
      <c r="B113" s="5"/>
      <c r="C113" s="12"/>
      <c r="D113" s="8"/>
      <c r="E113" s="9"/>
      <c r="F113" s="10"/>
      <c r="G113" s="11"/>
      <c r="H113" s="10"/>
      <c r="I113" s="11"/>
      <c r="J113" s="10"/>
      <c r="K113" s="11"/>
      <c r="L113" s="10"/>
      <c r="M113" s="11"/>
      <c r="N113" s="10"/>
      <c r="O113" s="11"/>
      <c r="P113" s="13"/>
      <c r="Q113" s="11"/>
      <c r="R113" s="10"/>
      <c r="S113" s="11"/>
      <c r="T113" s="10"/>
      <c r="U113" s="14"/>
      <c r="V113" s="10"/>
      <c r="W113" s="10"/>
      <c r="X113" s="10"/>
    </row>
    <row r="114" ht="14.25" spans="1:24">
      <c r="A114" s="5"/>
      <c r="B114" s="5"/>
      <c r="C114" s="12"/>
      <c r="D114" s="8"/>
      <c r="E114" s="9"/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3"/>
      <c r="Q114" s="11"/>
      <c r="R114" s="10"/>
      <c r="S114" s="11"/>
      <c r="T114" s="10"/>
      <c r="U114" s="14"/>
      <c r="V114" s="10"/>
      <c r="W114" s="10"/>
      <c r="X114" s="10"/>
    </row>
    <row r="115" ht="14.25" spans="1:24">
      <c r="A115" s="5"/>
      <c r="B115" s="5"/>
      <c r="C115" s="12"/>
      <c r="D115" s="8"/>
      <c r="E115" s="9"/>
      <c r="F115" s="10"/>
      <c r="G115" s="11"/>
      <c r="H115" s="10"/>
      <c r="I115" s="11"/>
      <c r="J115" s="10"/>
      <c r="K115" s="11"/>
      <c r="L115" s="10"/>
      <c r="M115" s="11"/>
      <c r="N115" s="10"/>
      <c r="O115" s="11"/>
      <c r="P115" s="13"/>
      <c r="Q115" s="11"/>
      <c r="R115" s="10"/>
      <c r="S115" s="11"/>
      <c r="T115" s="10"/>
      <c r="U115" s="14"/>
      <c r="V115" s="10"/>
      <c r="W115" s="10"/>
      <c r="X115" s="10"/>
    </row>
    <row r="116" ht="14.25" spans="1:24">
      <c r="A116" s="5"/>
      <c r="B116" s="5"/>
      <c r="C116" s="12"/>
      <c r="D116" s="8"/>
      <c r="E116" s="9"/>
      <c r="F116" s="10"/>
      <c r="G116" s="11"/>
      <c r="H116" s="10"/>
      <c r="I116" s="11"/>
      <c r="J116" s="10"/>
      <c r="K116" s="11"/>
      <c r="L116" s="10"/>
      <c r="M116" s="11"/>
      <c r="N116" s="10"/>
      <c r="O116" s="11"/>
      <c r="P116" s="13"/>
      <c r="Q116" s="11"/>
      <c r="R116" s="10"/>
      <c r="S116" s="11"/>
      <c r="T116" s="10"/>
      <c r="U116" s="14"/>
      <c r="V116" s="10"/>
      <c r="W116" s="10"/>
      <c r="X116" s="10"/>
    </row>
    <row r="117" ht="14.25" spans="1:24">
      <c r="A117" s="5"/>
      <c r="B117" s="5"/>
      <c r="C117" s="12"/>
      <c r="D117" s="8"/>
      <c r="E117" s="9"/>
      <c r="F117" s="10"/>
      <c r="G117" s="11"/>
      <c r="H117" s="10"/>
      <c r="I117" s="11"/>
      <c r="J117" s="10"/>
      <c r="K117" s="11"/>
      <c r="L117" s="10"/>
      <c r="M117" s="11"/>
      <c r="N117" s="10"/>
      <c r="O117" s="11"/>
      <c r="P117" s="13"/>
      <c r="Q117" s="11"/>
      <c r="R117" s="10"/>
      <c r="S117" s="11"/>
      <c r="T117" s="10"/>
      <c r="U117" s="14"/>
      <c r="V117" s="10"/>
      <c r="W117" s="10"/>
      <c r="X117" s="10"/>
    </row>
    <row r="118" ht="14.25" spans="1:24">
      <c r="A118" s="5"/>
      <c r="B118" s="5"/>
      <c r="C118" s="12"/>
      <c r="D118" s="8"/>
      <c r="E118" s="9"/>
      <c r="F118" s="10"/>
      <c r="G118" s="11"/>
      <c r="H118" s="10"/>
      <c r="I118" s="11"/>
      <c r="J118" s="10"/>
      <c r="K118" s="11"/>
      <c r="L118" s="10"/>
      <c r="M118" s="11"/>
      <c r="N118" s="10"/>
      <c r="O118" s="11"/>
      <c r="P118" s="13"/>
      <c r="Q118" s="11"/>
      <c r="R118" s="10"/>
      <c r="S118" s="11"/>
      <c r="T118" s="10"/>
      <c r="U118" s="14"/>
      <c r="V118" s="10"/>
      <c r="W118" s="10"/>
      <c r="X118" s="10"/>
    </row>
    <row r="119" ht="14.25" spans="1:24">
      <c r="A119" s="5"/>
      <c r="B119" s="5"/>
      <c r="C119" s="12"/>
      <c r="D119" s="8"/>
      <c r="E119" s="9"/>
      <c r="F119" s="10"/>
      <c r="G119" s="11"/>
      <c r="H119" s="10"/>
      <c r="I119" s="11"/>
      <c r="J119" s="10"/>
      <c r="K119" s="11"/>
      <c r="L119" s="10"/>
      <c r="M119" s="11"/>
      <c r="N119" s="10"/>
      <c r="O119" s="11"/>
      <c r="P119" s="13"/>
      <c r="Q119" s="11"/>
      <c r="R119" s="10"/>
      <c r="S119" s="11"/>
      <c r="T119" s="10"/>
      <c r="U119" s="14"/>
      <c r="V119" s="10"/>
      <c r="W119" s="10"/>
      <c r="X119" s="10"/>
    </row>
    <row r="120" ht="14.25" spans="1:24">
      <c r="A120" s="5"/>
      <c r="B120" s="5"/>
      <c r="C120" s="12"/>
      <c r="D120" s="8"/>
      <c r="E120" s="9"/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3"/>
      <c r="Q120" s="11"/>
      <c r="R120" s="10"/>
      <c r="S120" s="11"/>
      <c r="T120" s="10"/>
      <c r="U120" s="14"/>
      <c r="V120" s="10"/>
      <c r="W120" s="10"/>
      <c r="X120" s="10"/>
    </row>
    <row r="121" ht="14.25" spans="1:24">
      <c r="A121" s="5"/>
      <c r="B121" s="5"/>
      <c r="C121" s="12"/>
      <c r="D121" s="8"/>
      <c r="E121" s="9"/>
      <c r="F121" s="10"/>
      <c r="G121" s="11"/>
      <c r="H121" s="10"/>
      <c r="I121" s="11"/>
      <c r="J121" s="10"/>
      <c r="K121" s="11"/>
      <c r="L121" s="10"/>
      <c r="M121" s="11"/>
      <c r="N121" s="10"/>
      <c r="O121" s="11"/>
      <c r="P121" s="13"/>
      <c r="Q121" s="11"/>
      <c r="R121" s="10"/>
      <c r="S121" s="11"/>
      <c r="T121" s="10"/>
      <c r="U121" s="14"/>
      <c r="V121" s="10"/>
      <c r="W121" s="10"/>
      <c r="X121" s="10"/>
    </row>
    <row r="122" ht="14.25" spans="1:24">
      <c r="A122" s="5"/>
      <c r="B122" s="5"/>
      <c r="C122" s="12"/>
      <c r="D122" s="8"/>
      <c r="E122" s="9"/>
      <c r="F122" s="10"/>
      <c r="G122" s="11"/>
      <c r="H122" s="10"/>
      <c r="I122" s="11"/>
      <c r="J122" s="10"/>
      <c r="K122" s="11"/>
      <c r="L122" s="10"/>
      <c r="M122" s="11"/>
      <c r="N122" s="10"/>
      <c r="O122" s="11"/>
      <c r="P122" s="13"/>
      <c r="Q122" s="11"/>
      <c r="R122" s="10"/>
      <c r="S122" s="11"/>
      <c r="T122" s="10"/>
      <c r="U122" s="14"/>
      <c r="V122" s="10"/>
      <c r="W122" s="10"/>
      <c r="X122" s="10"/>
    </row>
    <row r="123" ht="14.25" spans="1:24">
      <c r="A123" s="5"/>
      <c r="B123" s="5"/>
      <c r="C123" s="12"/>
      <c r="D123" s="8"/>
      <c r="E123" s="9"/>
      <c r="F123" s="10"/>
      <c r="G123" s="11"/>
      <c r="H123" s="10"/>
      <c r="I123" s="11"/>
      <c r="J123" s="10"/>
      <c r="K123" s="11"/>
      <c r="L123" s="10"/>
      <c r="M123" s="11"/>
      <c r="N123" s="10"/>
      <c r="O123" s="11"/>
      <c r="P123" s="13"/>
      <c r="Q123" s="11"/>
      <c r="R123" s="10"/>
      <c r="S123" s="11"/>
      <c r="T123" s="10"/>
      <c r="U123" s="14"/>
      <c r="V123" s="10"/>
      <c r="W123" s="10"/>
      <c r="X123" s="10"/>
    </row>
    <row r="124" ht="14.25" spans="1:24">
      <c r="A124" s="5"/>
      <c r="B124" s="5"/>
      <c r="C124" s="12"/>
      <c r="D124" s="8"/>
      <c r="E124" s="9"/>
      <c r="F124" s="10"/>
      <c r="G124" s="11"/>
      <c r="H124" s="10"/>
      <c r="I124" s="11"/>
      <c r="J124" s="10"/>
      <c r="K124" s="11"/>
      <c r="L124" s="10"/>
      <c r="M124" s="11"/>
      <c r="N124" s="10"/>
      <c r="O124" s="11"/>
      <c r="P124" s="13"/>
      <c r="Q124" s="11"/>
      <c r="R124" s="10"/>
      <c r="S124" s="11"/>
      <c r="T124" s="10"/>
      <c r="U124" s="14"/>
      <c r="V124" s="10"/>
      <c r="W124" s="10"/>
      <c r="X124" s="10"/>
    </row>
    <row r="125" ht="14.25" spans="1:24">
      <c r="A125" s="5"/>
      <c r="B125" s="5"/>
      <c r="C125" s="7"/>
      <c r="D125" s="8"/>
      <c r="E125" s="9"/>
      <c r="F125" s="10"/>
      <c r="G125" s="11"/>
      <c r="H125" s="10"/>
      <c r="I125" s="11"/>
      <c r="J125" s="10"/>
      <c r="K125" s="11"/>
      <c r="L125" s="10"/>
      <c r="M125" s="11"/>
      <c r="N125" s="10"/>
      <c r="O125" s="11"/>
      <c r="P125" s="13"/>
      <c r="Q125" s="11"/>
      <c r="R125" s="10"/>
      <c r="S125" s="11"/>
      <c r="T125" s="10"/>
      <c r="U125" s="14"/>
      <c r="V125" s="10"/>
      <c r="W125" s="10"/>
      <c r="X125" s="10"/>
    </row>
    <row r="126" ht="14.25" spans="1:24">
      <c r="A126" s="5"/>
      <c r="B126" s="5"/>
      <c r="C126" s="7"/>
      <c r="D126" s="8"/>
      <c r="E126" s="9"/>
      <c r="F126" s="10"/>
      <c r="G126" s="11"/>
      <c r="H126" s="10"/>
      <c r="I126" s="11"/>
      <c r="J126" s="10"/>
      <c r="K126" s="11"/>
      <c r="L126" s="10"/>
      <c r="M126" s="11"/>
      <c r="N126" s="10"/>
      <c r="O126" s="11"/>
      <c r="P126" s="13"/>
      <c r="Q126" s="11"/>
      <c r="R126" s="10"/>
      <c r="S126" s="11"/>
      <c r="T126" s="10"/>
      <c r="U126" s="14"/>
      <c r="V126" s="10"/>
      <c r="W126" s="10"/>
      <c r="X126" s="10"/>
    </row>
    <row r="127" ht="14.25" spans="1:24">
      <c r="A127" s="5"/>
      <c r="B127" s="5"/>
      <c r="C127" s="12"/>
      <c r="D127" s="8"/>
      <c r="E127" s="9"/>
      <c r="F127" s="10"/>
      <c r="G127" s="11"/>
      <c r="H127" s="10"/>
      <c r="I127" s="11"/>
      <c r="J127" s="10"/>
      <c r="K127" s="11"/>
      <c r="L127" s="10"/>
      <c r="M127" s="11"/>
      <c r="N127" s="10"/>
      <c r="O127" s="11"/>
      <c r="P127" s="13"/>
      <c r="Q127" s="11"/>
      <c r="R127" s="10"/>
      <c r="S127" s="11"/>
      <c r="T127" s="10"/>
      <c r="U127" s="14"/>
      <c r="V127" s="10"/>
      <c r="W127" s="10"/>
      <c r="X127" s="10"/>
    </row>
    <row r="128" ht="14.25" spans="1:24">
      <c r="A128" s="5"/>
      <c r="B128" s="5"/>
      <c r="C128" s="12"/>
      <c r="D128" s="8"/>
      <c r="E128" s="9"/>
      <c r="F128" s="10"/>
      <c r="G128" s="11"/>
      <c r="H128" s="10"/>
      <c r="I128" s="11"/>
      <c r="J128" s="10"/>
      <c r="K128" s="11"/>
      <c r="L128" s="10"/>
      <c r="M128" s="11"/>
      <c r="N128" s="10"/>
      <c r="O128" s="11"/>
      <c r="P128" s="13"/>
      <c r="Q128" s="11"/>
      <c r="R128" s="10"/>
      <c r="S128" s="11"/>
      <c r="T128" s="10"/>
      <c r="U128" s="14"/>
      <c r="V128" s="10"/>
      <c r="W128" s="10"/>
      <c r="X128" s="10"/>
    </row>
    <row r="129" ht="14.25" spans="1:24">
      <c r="A129" s="5"/>
      <c r="B129" s="5"/>
      <c r="C129" s="12"/>
      <c r="D129" s="8"/>
      <c r="E129" s="9"/>
      <c r="F129" s="10"/>
      <c r="G129" s="11"/>
      <c r="H129" s="10"/>
      <c r="I129" s="11"/>
      <c r="J129" s="10"/>
      <c r="K129" s="11"/>
      <c r="L129" s="10"/>
      <c r="M129" s="11"/>
      <c r="N129" s="10"/>
      <c r="O129" s="11"/>
      <c r="P129" s="13"/>
      <c r="Q129" s="11"/>
      <c r="R129" s="10"/>
      <c r="S129" s="11"/>
      <c r="T129" s="10"/>
      <c r="U129" s="14"/>
      <c r="V129" s="10"/>
      <c r="W129" s="10"/>
      <c r="X129" s="10"/>
    </row>
    <row r="130" ht="14.25" spans="1:24">
      <c r="A130" s="5"/>
      <c r="B130" s="6"/>
      <c r="C130" s="7"/>
      <c r="D130" s="8"/>
      <c r="E130" s="9"/>
      <c r="F130" s="10"/>
      <c r="G130" s="11"/>
      <c r="H130" s="10"/>
      <c r="I130" s="11"/>
      <c r="J130" s="10"/>
      <c r="K130" s="11"/>
      <c r="L130" s="10"/>
      <c r="M130" s="11"/>
      <c r="N130" s="10"/>
      <c r="O130" s="11"/>
      <c r="P130" s="13"/>
      <c r="Q130" s="11"/>
      <c r="R130" s="10"/>
      <c r="S130" s="11"/>
      <c r="T130" s="10"/>
      <c r="U130" s="14"/>
      <c r="V130" s="10"/>
      <c r="W130" s="10"/>
      <c r="X130" s="10"/>
    </row>
    <row r="131" ht="14.25" spans="1:24">
      <c r="A131" s="5"/>
      <c r="B131" s="5"/>
      <c r="C131" s="12"/>
      <c r="D131" s="8"/>
      <c r="E131" s="9"/>
      <c r="F131" s="10"/>
      <c r="G131" s="11"/>
      <c r="H131" s="10"/>
      <c r="I131" s="11"/>
      <c r="J131" s="10"/>
      <c r="K131" s="11"/>
      <c r="L131" s="10"/>
      <c r="M131" s="11"/>
      <c r="N131" s="10"/>
      <c r="O131" s="11"/>
      <c r="P131" s="13"/>
      <c r="Q131" s="11"/>
      <c r="R131" s="10"/>
      <c r="S131" s="11"/>
      <c r="T131" s="10"/>
      <c r="U131" s="14"/>
      <c r="V131" s="10"/>
      <c r="W131" s="10"/>
      <c r="X131" s="10"/>
    </row>
    <row r="132" ht="14.25" spans="1:24">
      <c r="A132" s="5"/>
      <c r="B132" s="5"/>
      <c r="C132" s="12"/>
      <c r="D132" s="8"/>
      <c r="E132" s="9"/>
      <c r="F132" s="10"/>
      <c r="G132" s="11"/>
      <c r="H132" s="10"/>
      <c r="I132" s="11"/>
      <c r="J132" s="10"/>
      <c r="K132" s="11"/>
      <c r="L132" s="10"/>
      <c r="M132" s="11"/>
      <c r="N132" s="10"/>
      <c r="O132" s="11"/>
      <c r="P132" s="13"/>
      <c r="Q132" s="11"/>
      <c r="R132" s="10"/>
      <c r="S132" s="11"/>
      <c r="T132" s="10"/>
      <c r="U132" s="14"/>
      <c r="V132" s="10"/>
      <c r="W132" s="10"/>
      <c r="X132" s="10"/>
    </row>
    <row r="133" ht="14.25" spans="1:24">
      <c r="A133" s="5"/>
      <c r="B133" s="5"/>
      <c r="C133" s="12"/>
      <c r="D133" s="8"/>
      <c r="E133" s="9"/>
      <c r="F133" s="10"/>
      <c r="G133" s="11"/>
      <c r="H133" s="10"/>
      <c r="I133" s="11"/>
      <c r="J133" s="10"/>
      <c r="K133" s="11"/>
      <c r="L133" s="10"/>
      <c r="M133" s="11"/>
      <c r="N133" s="10"/>
      <c r="O133" s="11"/>
      <c r="P133" s="13"/>
      <c r="Q133" s="11"/>
      <c r="R133" s="10"/>
      <c r="S133" s="11"/>
      <c r="T133" s="10"/>
      <c r="U133" s="14"/>
      <c r="V133" s="10"/>
      <c r="W133" s="10"/>
      <c r="X133" s="10"/>
    </row>
    <row r="134" ht="14.25" spans="1:24">
      <c r="A134" s="5"/>
      <c r="B134" s="5"/>
      <c r="C134" s="12"/>
      <c r="D134" s="8"/>
      <c r="E134" s="9"/>
      <c r="F134" s="10"/>
      <c r="G134" s="11"/>
      <c r="H134" s="10"/>
      <c r="I134" s="11"/>
      <c r="J134" s="10"/>
      <c r="K134" s="11"/>
      <c r="L134" s="10"/>
      <c r="M134" s="11"/>
      <c r="N134" s="10"/>
      <c r="O134" s="11"/>
      <c r="P134" s="13"/>
      <c r="Q134" s="11"/>
      <c r="R134" s="10"/>
      <c r="S134" s="11"/>
      <c r="T134" s="10"/>
      <c r="U134" s="14"/>
      <c r="V134" s="10"/>
      <c r="W134" s="10"/>
      <c r="X134" s="10"/>
    </row>
    <row r="135" ht="14.25" spans="1:24">
      <c r="A135" s="5"/>
      <c r="B135" s="5"/>
      <c r="C135" s="12"/>
      <c r="D135" s="8"/>
      <c r="E135" s="9"/>
      <c r="F135" s="10"/>
      <c r="G135" s="11"/>
      <c r="H135" s="10"/>
      <c r="I135" s="11"/>
      <c r="J135" s="10"/>
      <c r="K135" s="11"/>
      <c r="L135" s="10"/>
      <c r="M135" s="11"/>
      <c r="N135" s="10"/>
      <c r="O135" s="11"/>
      <c r="P135" s="13"/>
      <c r="Q135" s="11"/>
      <c r="R135" s="10"/>
      <c r="S135" s="11"/>
      <c r="T135" s="10"/>
      <c r="U135" s="14"/>
      <c r="V135" s="10"/>
      <c r="W135" s="10"/>
      <c r="X135" s="10"/>
    </row>
    <row r="136" ht="14.25" spans="1:24">
      <c r="A136" s="5"/>
      <c r="B136" s="6"/>
      <c r="C136" s="7"/>
      <c r="D136" s="8"/>
      <c r="E136" s="9"/>
      <c r="F136" s="10"/>
      <c r="G136" s="11"/>
      <c r="H136" s="10"/>
      <c r="I136" s="11"/>
      <c r="J136" s="10"/>
      <c r="K136" s="11"/>
      <c r="L136" s="10"/>
      <c r="M136" s="11"/>
      <c r="N136" s="10"/>
      <c r="O136" s="11"/>
      <c r="P136" s="13"/>
      <c r="Q136" s="11"/>
      <c r="R136" s="10"/>
      <c r="S136" s="11"/>
      <c r="T136" s="10"/>
      <c r="U136" s="14"/>
      <c r="V136" s="10"/>
      <c r="W136" s="10"/>
      <c r="X136" s="10"/>
    </row>
    <row r="137" ht="14.25" spans="1:24">
      <c r="A137" s="5"/>
      <c r="B137" s="5"/>
      <c r="C137" s="12"/>
      <c r="D137" s="8"/>
      <c r="E137" s="9"/>
      <c r="F137" s="10"/>
      <c r="G137" s="11"/>
      <c r="H137" s="10"/>
      <c r="I137" s="11"/>
      <c r="J137" s="10"/>
      <c r="K137" s="11"/>
      <c r="L137" s="10"/>
      <c r="M137" s="11"/>
      <c r="N137" s="10"/>
      <c r="O137" s="11"/>
      <c r="P137" s="13"/>
      <c r="Q137" s="11"/>
      <c r="R137" s="10"/>
      <c r="S137" s="11"/>
      <c r="T137" s="10"/>
      <c r="U137" s="14"/>
      <c r="V137" s="10"/>
      <c r="W137" s="10"/>
      <c r="X137" s="10"/>
    </row>
    <row r="138" ht="14.25" spans="1:24">
      <c r="A138" s="5"/>
      <c r="B138" s="5"/>
      <c r="C138" s="7"/>
      <c r="D138" s="8"/>
      <c r="E138" s="9"/>
      <c r="F138" s="10"/>
      <c r="G138" s="11"/>
      <c r="H138" s="10"/>
      <c r="I138" s="11"/>
      <c r="J138" s="10"/>
      <c r="K138" s="11"/>
      <c r="L138" s="10"/>
      <c r="M138" s="11"/>
      <c r="N138" s="10"/>
      <c r="O138" s="11"/>
      <c r="P138" s="13"/>
      <c r="Q138" s="11"/>
      <c r="R138" s="10"/>
      <c r="S138" s="11"/>
      <c r="T138" s="10"/>
      <c r="U138" s="14"/>
      <c r="V138" s="10"/>
      <c r="W138" s="10"/>
      <c r="X138" s="10"/>
    </row>
    <row r="139" ht="14.25" spans="1:24">
      <c r="A139" s="5"/>
      <c r="B139" s="5"/>
      <c r="C139" s="7"/>
      <c r="D139" s="8"/>
      <c r="E139" s="9"/>
      <c r="F139" s="10"/>
      <c r="G139" s="11"/>
      <c r="H139" s="10"/>
      <c r="I139" s="11"/>
      <c r="J139" s="10"/>
      <c r="K139" s="11"/>
      <c r="L139" s="10"/>
      <c r="M139" s="11"/>
      <c r="N139" s="10"/>
      <c r="O139" s="11"/>
      <c r="P139" s="13"/>
      <c r="Q139" s="11"/>
      <c r="R139" s="10"/>
      <c r="S139" s="11"/>
      <c r="T139" s="10"/>
      <c r="U139" s="14"/>
      <c r="V139" s="10"/>
      <c r="W139" s="10"/>
      <c r="X139" s="10"/>
    </row>
    <row r="140" ht="14.25" spans="1:24">
      <c r="A140" s="5"/>
      <c r="B140" s="5"/>
      <c r="C140" s="12"/>
      <c r="D140" s="8"/>
      <c r="E140" s="9"/>
      <c r="F140" s="10"/>
      <c r="G140" s="11"/>
      <c r="H140" s="10"/>
      <c r="I140" s="11"/>
      <c r="J140" s="10"/>
      <c r="K140" s="11"/>
      <c r="L140" s="10"/>
      <c r="M140" s="11"/>
      <c r="N140" s="10"/>
      <c r="O140" s="11"/>
      <c r="P140" s="13"/>
      <c r="Q140" s="11"/>
      <c r="R140" s="10"/>
      <c r="S140" s="11"/>
      <c r="T140" s="10"/>
      <c r="U140" s="14"/>
      <c r="V140" s="10"/>
      <c r="W140" s="10"/>
      <c r="X140" s="10"/>
    </row>
    <row r="141" ht="14.25" spans="1:24">
      <c r="A141" s="5"/>
      <c r="B141" s="5"/>
      <c r="C141" s="7"/>
      <c r="D141" s="8"/>
      <c r="E141" s="9"/>
      <c r="F141" s="10"/>
      <c r="G141" s="11"/>
      <c r="H141" s="10"/>
      <c r="I141" s="11"/>
      <c r="J141" s="10"/>
      <c r="K141" s="11"/>
      <c r="L141" s="10"/>
      <c r="M141" s="11"/>
      <c r="N141" s="10"/>
      <c r="O141" s="11"/>
      <c r="P141" s="13"/>
      <c r="Q141" s="11"/>
      <c r="R141" s="10"/>
      <c r="S141" s="11"/>
      <c r="T141" s="10"/>
      <c r="U141" s="14"/>
      <c r="V141" s="10"/>
      <c r="W141" s="10"/>
      <c r="X141" s="10"/>
    </row>
    <row r="142" ht="14.25" spans="1:24">
      <c r="A142" s="5"/>
      <c r="B142" s="5"/>
      <c r="C142" s="7"/>
      <c r="D142" s="8"/>
      <c r="E142" s="9"/>
      <c r="F142" s="10"/>
      <c r="G142" s="11"/>
      <c r="H142" s="10"/>
      <c r="I142" s="11"/>
      <c r="J142" s="10"/>
      <c r="K142" s="11"/>
      <c r="L142" s="10"/>
      <c r="M142" s="11"/>
      <c r="N142" s="10"/>
      <c r="O142" s="11"/>
      <c r="P142" s="13"/>
      <c r="Q142" s="11"/>
      <c r="R142" s="10"/>
      <c r="S142" s="11"/>
      <c r="T142" s="10"/>
      <c r="U142" s="14"/>
      <c r="V142" s="10"/>
      <c r="W142" s="10"/>
      <c r="X142" s="10"/>
    </row>
    <row r="143" ht="14.25" spans="1:24">
      <c r="A143" s="5"/>
      <c r="B143" s="5"/>
      <c r="C143" s="7"/>
      <c r="D143" s="8"/>
      <c r="E143" s="9"/>
      <c r="F143" s="10"/>
      <c r="G143" s="11"/>
      <c r="H143" s="10"/>
      <c r="I143" s="11"/>
      <c r="J143" s="10"/>
      <c r="K143" s="11"/>
      <c r="L143" s="10"/>
      <c r="M143" s="11"/>
      <c r="N143" s="10"/>
      <c r="O143" s="11"/>
      <c r="P143" s="13"/>
      <c r="Q143" s="11"/>
      <c r="R143" s="10"/>
      <c r="S143" s="11"/>
      <c r="T143" s="10"/>
      <c r="U143" s="14"/>
      <c r="V143" s="10"/>
      <c r="W143" s="10"/>
      <c r="X143" s="10"/>
    </row>
    <row r="144" ht="14.25" spans="1:24">
      <c r="A144" s="5"/>
      <c r="B144" s="5"/>
      <c r="C144" s="7"/>
      <c r="D144" s="8"/>
      <c r="E144" s="9"/>
      <c r="F144" s="10"/>
      <c r="G144" s="11"/>
      <c r="H144" s="10"/>
      <c r="I144" s="11"/>
      <c r="J144" s="10"/>
      <c r="K144" s="11"/>
      <c r="L144" s="10"/>
      <c r="M144" s="11"/>
      <c r="N144" s="10"/>
      <c r="O144" s="11"/>
      <c r="P144" s="13"/>
      <c r="Q144" s="11"/>
      <c r="R144" s="10"/>
      <c r="S144" s="11"/>
      <c r="T144" s="10"/>
      <c r="U144" s="14"/>
      <c r="V144" s="10"/>
      <c r="W144" s="10"/>
      <c r="X144" s="10"/>
    </row>
    <row r="145" ht="14.25" spans="1:24">
      <c r="A145" s="5"/>
      <c r="B145" s="5"/>
      <c r="C145" s="7"/>
      <c r="D145" s="8"/>
      <c r="E145" s="9"/>
      <c r="F145" s="10"/>
      <c r="G145" s="11"/>
      <c r="H145" s="10"/>
      <c r="I145" s="11"/>
      <c r="J145" s="10"/>
      <c r="K145" s="11"/>
      <c r="L145" s="10"/>
      <c r="M145" s="11"/>
      <c r="N145" s="10"/>
      <c r="O145" s="11"/>
      <c r="P145" s="13"/>
      <c r="Q145" s="11"/>
      <c r="R145" s="10"/>
      <c r="S145" s="11"/>
      <c r="T145" s="10"/>
      <c r="U145" s="14"/>
      <c r="V145" s="10"/>
      <c r="W145" s="10"/>
      <c r="X145" s="10"/>
    </row>
    <row r="146" ht="14.25" spans="1:24">
      <c r="A146" s="5"/>
      <c r="B146" s="5"/>
      <c r="C146" s="7"/>
      <c r="D146" s="8"/>
      <c r="E146" s="9"/>
      <c r="F146" s="10"/>
      <c r="G146" s="11"/>
      <c r="H146" s="10"/>
      <c r="I146" s="11"/>
      <c r="J146" s="10"/>
      <c r="K146" s="11"/>
      <c r="L146" s="10"/>
      <c r="M146" s="11"/>
      <c r="N146" s="10"/>
      <c r="O146" s="11"/>
      <c r="P146" s="13"/>
      <c r="Q146" s="11"/>
      <c r="R146" s="10"/>
      <c r="S146" s="11"/>
      <c r="T146" s="10"/>
      <c r="U146" s="14"/>
      <c r="V146" s="10"/>
      <c r="W146" s="10"/>
      <c r="X146" s="10"/>
    </row>
    <row r="147" ht="14.25" spans="1:24">
      <c r="A147" s="5"/>
      <c r="B147" s="6"/>
      <c r="C147" s="7"/>
      <c r="D147" s="8"/>
      <c r="E147" s="9"/>
      <c r="F147" s="10"/>
      <c r="G147" s="11"/>
      <c r="H147" s="10"/>
      <c r="I147" s="11"/>
      <c r="J147" s="10"/>
      <c r="K147" s="11"/>
      <c r="L147" s="10"/>
      <c r="M147" s="11"/>
      <c r="N147" s="10"/>
      <c r="O147" s="11"/>
      <c r="P147" s="13"/>
      <c r="Q147" s="11"/>
      <c r="R147" s="10"/>
      <c r="S147" s="11"/>
      <c r="T147" s="10"/>
      <c r="U147" s="14"/>
      <c r="V147" s="10"/>
      <c r="W147" s="10"/>
      <c r="X147" s="10"/>
    </row>
    <row r="148" ht="14.25" spans="1:24">
      <c r="A148" s="5"/>
      <c r="B148" s="5"/>
      <c r="C148" s="7"/>
      <c r="D148" s="8"/>
      <c r="E148" s="9"/>
      <c r="F148" s="10"/>
      <c r="G148" s="11"/>
      <c r="H148" s="10"/>
      <c r="I148" s="11"/>
      <c r="J148" s="10"/>
      <c r="K148" s="11"/>
      <c r="L148" s="10"/>
      <c r="M148" s="11"/>
      <c r="N148" s="10"/>
      <c r="O148" s="11"/>
      <c r="P148" s="13"/>
      <c r="Q148" s="11"/>
      <c r="R148" s="10"/>
      <c r="S148" s="11"/>
      <c r="T148" s="10"/>
      <c r="U148" s="14"/>
      <c r="V148" s="10"/>
      <c r="W148" s="10"/>
      <c r="X148" s="10"/>
    </row>
    <row r="149" ht="14.25" spans="1:24">
      <c r="A149" s="5"/>
      <c r="B149" s="6"/>
      <c r="C149" s="7"/>
      <c r="D149" s="8"/>
      <c r="E149" s="9"/>
      <c r="F149" s="10"/>
      <c r="G149" s="11"/>
      <c r="H149" s="10"/>
      <c r="I149" s="11"/>
      <c r="J149" s="10"/>
      <c r="K149" s="11"/>
      <c r="L149" s="10"/>
      <c r="M149" s="11"/>
      <c r="N149" s="10"/>
      <c r="O149" s="11"/>
      <c r="P149" s="13"/>
      <c r="Q149" s="11"/>
      <c r="R149" s="10"/>
      <c r="S149" s="11"/>
      <c r="T149" s="10"/>
      <c r="U149" s="14"/>
      <c r="V149" s="10"/>
      <c r="W149" s="10"/>
      <c r="X149" s="10"/>
    </row>
    <row r="150" ht="14.25" spans="1:24">
      <c r="A150" s="5"/>
      <c r="B150" s="5"/>
      <c r="C150" s="7"/>
      <c r="D150" s="8"/>
      <c r="E150" s="9"/>
      <c r="F150" s="10"/>
      <c r="G150" s="11"/>
      <c r="H150" s="10"/>
      <c r="I150" s="11"/>
      <c r="J150" s="10"/>
      <c r="K150" s="11"/>
      <c r="L150" s="10"/>
      <c r="M150" s="11"/>
      <c r="N150" s="10"/>
      <c r="O150" s="11"/>
      <c r="P150" s="13"/>
      <c r="Q150" s="11"/>
      <c r="R150" s="10"/>
      <c r="S150" s="11"/>
      <c r="T150" s="10"/>
      <c r="U150" s="14"/>
      <c r="V150" s="10"/>
      <c r="W150" s="10"/>
      <c r="X150" s="10"/>
    </row>
    <row r="151" ht="14.25" spans="1:24">
      <c r="A151" s="5"/>
      <c r="B151" s="5"/>
      <c r="C151" s="7"/>
      <c r="D151" s="8"/>
      <c r="E151" s="9"/>
      <c r="F151" s="10"/>
      <c r="G151" s="11"/>
      <c r="H151" s="10"/>
      <c r="I151" s="11"/>
      <c r="J151" s="10"/>
      <c r="K151" s="11"/>
      <c r="L151" s="10"/>
      <c r="M151" s="11"/>
      <c r="N151" s="10"/>
      <c r="O151" s="11"/>
      <c r="P151" s="13"/>
      <c r="Q151" s="11"/>
      <c r="R151" s="10"/>
      <c r="S151" s="11"/>
      <c r="T151" s="10"/>
      <c r="U151" s="14"/>
      <c r="V151" s="10"/>
      <c r="W151" s="10"/>
      <c r="X151" s="10"/>
    </row>
    <row r="152" ht="14.25" spans="1:24">
      <c r="A152" s="5"/>
      <c r="B152" s="5"/>
      <c r="C152" s="7"/>
      <c r="D152" s="8"/>
      <c r="E152" s="9"/>
      <c r="F152" s="10"/>
      <c r="G152" s="11"/>
      <c r="H152" s="10"/>
      <c r="I152" s="11"/>
      <c r="J152" s="10"/>
      <c r="K152" s="11"/>
      <c r="L152" s="10"/>
      <c r="M152" s="11"/>
      <c r="N152" s="10"/>
      <c r="O152" s="11"/>
      <c r="P152" s="13"/>
      <c r="Q152" s="11"/>
      <c r="R152" s="10"/>
      <c r="S152" s="11"/>
      <c r="T152" s="10"/>
      <c r="U152" s="14"/>
      <c r="V152" s="10"/>
      <c r="W152" s="10"/>
      <c r="X152" s="10"/>
    </row>
    <row r="153" ht="14.25" spans="1:24">
      <c r="A153" s="5"/>
      <c r="B153" s="6"/>
      <c r="C153" s="7"/>
      <c r="D153" s="8"/>
      <c r="E153" s="9"/>
      <c r="F153" s="10"/>
      <c r="G153" s="11"/>
      <c r="H153" s="10"/>
      <c r="I153" s="11"/>
      <c r="J153" s="10"/>
      <c r="K153" s="11"/>
      <c r="L153" s="10"/>
      <c r="M153" s="11"/>
      <c r="N153" s="10"/>
      <c r="O153" s="11"/>
      <c r="P153" s="13"/>
      <c r="Q153" s="11"/>
      <c r="R153" s="10"/>
      <c r="S153" s="11"/>
      <c r="T153" s="10"/>
      <c r="U153" s="14"/>
      <c r="V153" s="10"/>
      <c r="W153" s="10"/>
      <c r="X153" s="10"/>
    </row>
    <row r="154" ht="19" customHeight="1" spans="1:24">
      <c r="A154" s="5"/>
      <c r="B154" s="6"/>
      <c r="C154" s="7"/>
      <c r="D154" s="8"/>
      <c r="E154" s="9"/>
      <c r="F154" s="10"/>
      <c r="G154" s="11"/>
      <c r="H154" s="10"/>
      <c r="I154" s="11"/>
      <c r="J154" s="10"/>
      <c r="K154" s="11"/>
      <c r="L154" s="10"/>
      <c r="M154" s="11"/>
      <c r="N154" s="10"/>
      <c r="O154" s="11"/>
      <c r="P154" s="13"/>
      <c r="Q154" s="11"/>
      <c r="R154" s="10"/>
      <c r="S154" s="11"/>
      <c r="T154" s="10"/>
      <c r="U154" s="14"/>
      <c r="V154" s="10"/>
      <c r="W154" s="10"/>
      <c r="X154" s="10"/>
    </row>
    <row r="155" ht="14.25" spans="1:24">
      <c r="A155" s="5"/>
      <c r="B155" s="5"/>
      <c r="C155" s="12"/>
      <c r="D155" s="8"/>
      <c r="E155" s="9"/>
      <c r="F155" s="10"/>
      <c r="G155" s="11"/>
      <c r="H155" s="10"/>
      <c r="I155" s="11"/>
      <c r="J155" s="10"/>
      <c r="K155" s="11"/>
      <c r="L155" s="10"/>
      <c r="M155" s="11"/>
      <c r="N155" s="10"/>
      <c r="O155" s="11"/>
      <c r="P155" s="13"/>
      <c r="Q155" s="11"/>
      <c r="R155" s="10"/>
      <c r="S155" s="11"/>
      <c r="T155" s="10"/>
      <c r="U155" s="14"/>
      <c r="V155" s="10"/>
      <c r="W155" s="10"/>
      <c r="X155" s="10"/>
    </row>
    <row r="156" ht="14.25" spans="1:24">
      <c r="A156" s="5"/>
      <c r="B156" s="5"/>
      <c r="C156" s="12"/>
      <c r="D156" s="8"/>
      <c r="E156" s="9"/>
      <c r="F156" s="10"/>
      <c r="G156" s="11"/>
      <c r="H156" s="10"/>
      <c r="I156" s="11"/>
      <c r="J156" s="10"/>
      <c r="K156" s="11"/>
      <c r="L156" s="10"/>
      <c r="M156" s="11"/>
      <c r="N156" s="10"/>
      <c r="O156" s="11"/>
      <c r="P156" s="13"/>
      <c r="Q156" s="11"/>
      <c r="R156" s="10"/>
      <c r="S156" s="11"/>
      <c r="T156" s="10"/>
      <c r="U156" s="14"/>
      <c r="V156" s="10"/>
      <c r="W156" s="10"/>
      <c r="X156" s="10"/>
    </row>
    <row r="157" ht="14.25" spans="1:24">
      <c r="A157" s="5"/>
      <c r="B157" s="5"/>
      <c r="C157" s="12"/>
      <c r="D157" s="8"/>
      <c r="E157" s="9"/>
      <c r="F157" s="10"/>
      <c r="G157" s="11"/>
      <c r="H157" s="10"/>
      <c r="I157" s="11"/>
      <c r="J157" s="10"/>
      <c r="K157" s="11"/>
      <c r="L157" s="10"/>
      <c r="M157" s="11"/>
      <c r="N157" s="10"/>
      <c r="O157" s="11"/>
      <c r="P157" s="13"/>
      <c r="Q157" s="11"/>
      <c r="R157" s="10"/>
      <c r="S157" s="11"/>
      <c r="T157" s="10"/>
      <c r="U157" s="14"/>
      <c r="V157" s="10"/>
      <c r="W157" s="10"/>
      <c r="X157" s="10"/>
    </row>
    <row r="158" ht="14.25" spans="1:24">
      <c r="A158" s="5"/>
      <c r="B158" s="5"/>
      <c r="C158" s="12"/>
      <c r="D158" s="8"/>
      <c r="E158" s="9"/>
      <c r="F158" s="10"/>
      <c r="G158" s="11"/>
      <c r="H158" s="10"/>
      <c r="I158" s="11"/>
      <c r="J158" s="10"/>
      <c r="K158" s="11"/>
      <c r="L158" s="10"/>
      <c r="M158" s="11"/>
      <c r="N158" s="10"/>
      <c r="O158" s="11"/>
      <c r="P158" s="13"/>
      <c r="Q158" s="11"/>
      <c r="R158" s="10"/>
      <c r="S158" s="11"/>
      <c r="T158" s="10"/>
      <c r="U158" s="14"/>
      <c r="V158" s="10"/>
      <c r="W158" s="10"/>
      <c r="X158" s="10"/>
    </row>
    <row r="159" ht="14.25" spans="1:24">
      <c r="A159" s="5"/>
      <c r="B159" s="5"/>
      <c r="C159" s="12"/>
      <c r="D159" s="8"/>
      <c r="E159" s="9"/>
      <c r="F159" s="10"/>
      <c r="G159" s="11"/>
      <c r="H159" s="10"/>
      <c r="I159" s="11"/>
      <c r="J159" s="10"/>
      <c r="K159" s="11"/>
      <c r="L159" s="10"/>
      <c r="M159" s="11"/>
      <c r="N159" s="10"/>
      <c r="O159" s="11"/>
      <c r="P159" s="13"/>
      <c r="Q159" s="11"/>
      <c r="R159" s="10"/>
      <c r="S159" s="11"/>
      <c r="T159" s="10"/>
      <c r="U159" s="14"/>
      <c r="V159" s="10"/>
      <c r="W159" s="10"/>
      <c r="X159" s="10"/>
    </row>
    <row r="160" ht="14.25" spans="1:24">
      <c r="A160" s="5"/>
      <c r="B160" s="5"/>
      <c r="C160" s="12"/>
      <c r="D160" s="8"/>
      <c r="E160" s="9"/>
      <c r="F160" s="10"/>
      <c r="G160" s="11"/>
      <c r="H160" s="10"/>
      <c r="I160" s="11"/>
      <c r="J160" s="10"/>
      <c r="K160" s="11"/>
      <c r="L160" s="10"/>
      <c r="M160" s="11"/>
      <c r="N160" s="10"/>
      <c r="O160" s="11"/>
      <c r="P160" s="13"/>
      <c r="Q160" s="11"/>
      <c r="R160" s="10"/>
      <c r="S160" s="11"/>
      <c r="T160" s="10"/>
      <c r="U160" s="14"/>
      <c r="V160" s="10"/>
      <c r="W160" s="10"/>
      <c r="X160" s="10"/>
    </row>
    <row r="161" ht="14.25" spans="1:24">
      <c r="A161" s="5"/>
      <c r="B161" s="5"/>
      <c r="C161" s="12"/>
      <c r="D161" s="8"/>
      <c r="E161" s="9"/>
      <c r="F161" s="10"/>
      <c r="G161" s="11"/>
      <c r="H161" s="10"/>
      <c r="I161" s="11"/>
      <c r="J161" s="10"/>
      <c r="K161" s="11"/>
      <c r="L161" s="10"/>
      <c r="M161" s="11"/>
      <c r="N161" s="10"/>
      <c r="O161" s="11"/>
      <c r="P161" s="13"/>
      <c r="Q161" s="11"/>
      <c r="R161" s="10"/>
      <c r="S161" s="11"/>
      <c r="T161" s="10"/>
      <c r="U161" s="14"/>
      <c r="V161" s="10"/>
      <c r="W161" s="10"/>
      <c r="X161" s="10"/>
    </row>
    <row r="162" ht="14.25" spans="1:24">
      <c r="A162" s="5"/>
      <c r="B162" s="5"/>
      <c r="C162" s="12"/>
      <c r="D162" s="8"/>
      <c r="E162" s="9"/>
      <c r="F162" s="10"/>
      <c r="G162" s="11"/>
      <c r="H162" s="10"/>
      <c r="I162" s="11"/>
      <c r="J162" s="10"/>
      <c r="K162" s="11"/>
      <c r="L162" s="10"/>
      <c r="M162" s="11"/>
      <c r="N162" s="10"/>
      <c r="O162" s="11"/>
      <c r="P162" s="13"/>
      <c r="Q162" s="11"/>
      <c r="R162" s="10"/>
      <c r="S162" s="11"/>
      <c r="T162" s="10"/>
      <c r="U162" s="14"/>
      <c r="V162" s="10"/>
      <c r="W162" s="10"/>
      <c r="X162" s="10"/>
    </row>
    <row r="163" ht="14.25" spans="1:24">
      <c r="A163" s="5"/>
      <c r="B163" s="5"/>
      <c r="C163" s="12"/>
      <c r="D163" s="8"/>
      <c r="E163" s="9"/>
      <c r="F163" s="10"/>
      <c r="G163" s="11"/>
      <c r="H163" s="10"/>
      <c r="I163" s="11"/>
      <c r="J163" s="10"/>
      <c r="K163" s="11"/>
      <c r="L163" s="10"/>
      <c r="M163" s="11"/>
      <c r="N163" s="10"/>
      <c r="O163" s="11"/>
      <c r="P163" s="13"/>
      <c r="Q163" s="11"/>
      <c r="R163" s="10"/>
      <c r="S163" s="11"/>
      <c r="T163" s="10"/>
      <c r="U163" s="14"/>
      <c r="V163" s="10"/>
      <c r="W163" s="10"/>
      <c r="X163" s="10"/>
    </row>
    <row r="164" ht="15.75" customHeight="1" spans="1:24">
      <c r="A164" s="15"/>
      <c r="B164" s="15"/>
      <c r="C164" s="15"/>
      <c r="D164" s="16"/>
      <c r="E164" s="17"/>
      <c r="F164" s="18"/>
      <c r="G164" s="19"/>
      <c r="H164" s="18"/>
      <c r="I164" s="19"/>
      <c r="J164" s="18"/>
      <c r="K164" s="19"/>
      <c r="L164" s="18"/>
      <c r="M164" s="19"/>
      <c r="N164" s="18"/>
      <c r="O164" s="19"/>
      <c r="P164" s="24"/>
      <c r="Q164" s="19"/>
      <c r="R164" s="18"/>
      <c r="S164" s="19"/>
      <c r="T164" s="18"/>
      <c r="U164" s="25"/>
      <c r="V164" s="18"/>
      <c r="W164" s="18"/>
      <c r="X164" s="18"/>
    </row>
    <row r="165" ht="14.25" spans="1:24">
      <c r="A165" s="20"/>
      <c r="B165" s="20"/>
      <c r="C165" s="20"/>
      <c r="D165" s="20"/>
      <c r="E165" s="21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 ht="14.25" spans="1:24">
      <c r="A166" s="20"/>
      <c r="B166" s="20"/>
      <c r="C166" s="20"/>
      <c r="D166" s="20"/>
      <c r="E166" s="21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 ht="14.25" spans="1:24">
      <c r="A167" s="20"/>
      <c r="B167" s="20"/>
      <c r="C167" s="20"/>
      <c r="D167" s="20"/>
      <c r="E167" s="21"/>
      <c r="F167" s="20"/>
      <c r="G167" s="21"/>
      <c r="H167" s="22"/>
      <c r="I167" s="21"/>
      <c r="J167" s="22"/>
      <c r="K167" s="21"/>
      <c r="L167" s="22"/>
      <c r="M167" s="21"/>
      <c r="N167" s="22"/>
      <c r="O167" s="21"/>
      <c r="P167" s="20"/>
      <c r="Q167" s="21"/>
      <c r="R167" s="22"/>
      <c r="S167" s="21"/>
      <c r="T167" s="22"/>
      <c r="U167" s="21"/>
      <c r="V167" s="22"/>
      <c r="W167" s="20"/>
      <c r="X167" s="22"/>
    </row>
    <row r="168" ht="14.25" spans="1:24">
      <c r="A168" s="20"/>
      <c r="B168" s="20"/>
      <c r="C168" s="20"/>
      <c r="D168" s="20"/>
      <c r="E168" s="21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 ht="14.25" spans="1:24">
      <c r="A169" s="20"/>
      <c r="B169" s="20"/>
      <c r="C169" s="20"/>
      <c r="D169" s="20"/>
      <c r="E169" s="21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 ht="14.25" spans="1:24">
      <c r="A170" s="20"/>
      <c r="B170" s="20"/>
      <c r="C170" s="20"/>
      <c r="D170" s="20"/>
      <c r="E170" s="21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 ht="14.25" spans="1:24">
      <c r="A171" s="20"/>
      <c r="B171" s="20"/>
      <c r="C171" s="20"/>
      <c r="D171" s="20"/>
      <c r="E171" s="21"/>
      <c r="F171" s="20"/>
      <c r="G171" s="21"/>
      <c r="H171" s="22"/>
      <c r="I171" s="21"/>
      <c r="J171" s="20"/>
      <c r="K171" s="21"/>
      <c r="L171" s="20"/>
      <c r="M171" s="21"/>
      <c r="N171" s="20"/>
      <c r="O171" s="21"/>
      <c r="P171" s="20"/>
      <c r="Q171" s="21"/>
      <c r="R171" s="22"/>
      <c r="S171" s="21"/>
      <c r="T171" s="20"/>
      <c r="U171" s="21"/>
      <c r="V171" s="20"/>
      <c r="W171" s="20"/>
      <c r="X171" s="22"/>
    </row>
    <row r="172" ht="14.25" spans="1:24">
      <c r="A172" s="20"/>
      <c r="B172" s="20"/>
      <c r="C172" s="20"/>
      <c r="D172" s="20"/>
      <c r="E172" s="21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 ht="14.25" spans="1:24">
      <c r="A173" s="20"/>
      <c r="B173" s="20"/>
      <c r="C173" s="20"/>
      <c r="D173" s="20"/>
      <c r="E173" s="21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 ht="14.25" spans="1:24">
      <c r="A174" s="20"/>
      <c r="B174" s="20"/>
      <c r="C174" s="20"/>
      <c r="D174" s="20"/>
      <c r="E174" s="21"/>
      <c r="F174" s="20"/>
      <c r="G174" s="21"/>
      <c r="H174" s="22"/>
      <c r="I174" s="21"/>
      <c r="J174" s="22"/>
      <c r="K174" s="21"/>
      <c r="L174" s="20"/>
      <c r="M174" s="21"/>
      <c r="N174" s="22"/>
      <c r="O174" s="21"/>
      <c r="P174" s="20"/>
      <c r="Q174" s="21"/>
      <c r="R174" s="22"/>
      <c r="S174" s="21"/>
      <c r="T174" s="22"/>
      <c r="U174" s="21"/>
      <c r="V174" s="22"/>
      <c r="W174" s="20"/>
      <c r="X174" s="22"/>
    </row>
    <row r="175" ht="14.25" spans="1:24">
      <c r="A175" s="20"/>
      <c r="B175" s="20"/>
      <c r="C175" s="20"/>
      <c r="D175" s="20"/>
      <c r="E175" s="21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 ht="14.25" spans="1:24">
      <c r="A176" s="20"/>
      <c r="B176" s="20"/>
      <c r="C176" s="20"/>
      <c r="D176" s="20"/>
      <c r="E176" s="21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 ht="14.25" spans="1:24">
      <c r="A177" s="20"/>
      <c r="B177" s="20"/>
      <c r="C177" s="20"/>
      <c r="D177" s="23"/>
      <c r="E177" s="21"/>
      <c r="F177" s="22"/>
      <c r="G177" s="21"/>
      <c r="H177" s="22"/>
      <c r="I177" s="21"/>
      <c r="J177" s="22"/>
      <c r="K177" s="21"/>
      <c r="L177" s="22"/>
      <c r="M177" s="21"/>
      <c r="N177" s="22"/>
      <c r="O177" s="21"/>
      <c r="P177" s="20"/>
      <c r="Q177" s="21"/>
      <c r="R177" s="22"/>
      <c r="S177" s="21"/>
      <c r="T177" s="22"/>
      <c r="U177" s="21"/>
      <c r="V177" s="22"/>
      <c r="W177" s="22"/>
      <c r="X177" s="22"/>
    </row>
    <row r="178" ht="14.25" spans="1:24">
      <c r="A178" s="20"/>
      <c r="B178" s="20"/>
      <c r="C178" s="20"/>
      <c r="D178" s="20"/>
      <c r="E178" s="21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 ht="14.25" spans="1:24">
      <c r="A179" s="20"/>
      <c r="B179" s="20"/>
      <c r="C179" s="20"/>
      <c r="D179" s="20"/>
      <c r="E179" s="21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 ht="14.25" spans="1:24">
      <c r="A180" s="20"/>
      <c r="B180" s="20"/>
      <c r="C180" s="20"/>
      <c r="D180" s="20"/>
      <c r="E180" s="21"/>
      <c r="F180" s="20"/>
      <c r="G180" s="21"/>
      <c r="H180" s="20"/>
      <c r="I180" s="21"/>
      <c r="J180" s="20"/>
      <c r="K180" s="21"/>
      <c r="L180" s="20"/>
      <c r="M180" s="21"/>
      <c r="N180" s="20"/>
      <c r="O180" s="21"/>
      <c r="P180" s="20"/>
      <c r="Q180" s="21"/>
      <c r="R180" s="20"/>
      <c r="S180" s="21"/>
      <c r="T180" s="20"/>
      <c r="U180" s="21"/>
      <c r="V180" s="20"/>
      <c r="W180" s="20"/>
      <c r="X180" s="20"/>
    </row>
    <row r="181" ht="14.25" spans="1:24">
      <c r="A181" s="20"/>
      <c r="B181" s="20"/>
      <c r="C181" s="20"/>
      <c r="D181" s="20"/>
      <c r="E181" s="21"/>
      <c r="F181" s="20"/>
      <c r="G181" s="21"/>
      <c r="H181" s="20"/>
      <c r="I181" s="21"/>
      <c r="J181" s="20"/>
      <c r="K181" s="21"/>
      <c r="L181" s="20"/>
      <c r="M181" s="21"/>
      <c r="N181" s="22"/>
      <c r="O181" s="21"/>
      <c r="P181" s="20"/>
      <c r="Q181" s="21"/>
      <c r="R181" s="22"/>
      <c r="S181" s="21"/>
      <c r="T181" s="20"/>
      <c r="U181" s="21"/>
      <c r="V181" s="20"/>
      <c r="W181" s="20"/>
      <c r="X181" s="22"/>
    </row>
    <row r="182" ht="14.25" spans="1:24">
      <c r="A182" s="20"/>
      <c r="B182" s="20"/>
      <c r="C182" s="20"/>
      <c r="D182" s="20"/>
      <c r="E182" s="21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 ht="14.25" spans="1:24">
      <c r="A183" s="20"/>
      <c r="B183" s="20"/>
      <c r="C183" s="20"/>
      <c r="D183" s="20"/>
      <c r="E183" s="21"/>
      <c r="F183" s="22"/>
      <c r="G183" s="21"/>
      <c r="H183" s="22"/>
      <c r="I183" s="21"/>
      <c r="J183" s="22"/>
      <c r="K183" s="21"/>
      <c r="L183" s="20"/>
      <c r="M183" s="21"/>
      <c r="N183" s="22"/>
      <c r="O183" s="21"/>
      <c r="P183" s="20"/>
      <c r="Q183" s="21"/>
      <c r="R183" s="22"/>
      <c r="S183" s="21"/>
      <c r="T183" s="22"/>
      <c r="U183" s="21"/>
      <c r="V183" s="20"/>
      <c r="W183" s="20"/>
      <c r="X183" s="22"/>
    </row>
    <row r="184" ht="14.25" spans="1:24">
      <c r="A184" s="20"/>
      <c r="B184" s="20"/>
      <c r="C184" s="20"/>
      <c r="D184" s="20"/>
      <c r="E184" s="21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 ht="14.25" spans="1:24">
      <c r="A185" s="20"/>
      <c r="B185" s="20"/>
      <c r="C185" s="20"/>
      <c r="D185" s="23"/>
      <c r="E185" s="21"/>
      <c r="F185" s="20"/>
      <c r="G185" s="21"/>
      <c r="H185" s="22"/>
      <c r="I185" s="21"/>
      <c r="J185" s="22"/>
      <c r="K185" s="21"/>
      <c r="L185" s="20"/>
      <c r="M185" s="21"/>
      <c r="N185" s="22"/>
      <c r="O185" s="21"/>
      <c r="P185" s="20"/>
      <c r="Q185" s="21"/>
      <c r="R185" s="22"/>
      <c r="S185" s="21"/>
      <c r="T185" s="22"/>
      <c r="U185" s="21"/>
      <c r="V185" s="20"/>
      <c r="W185" s="20"/>
      <c r="X185" s="22"/>
    </row>
    <row r="186" ht="14.25" spans="1:24">
      <c r="A186" s="20"/>
      <c r="B186" s="20"/>
      <c r="C186" s="20"/>
      <c r="D186" s="20"/>
      <c r="E186" s="21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 ht="14.25" spans="1:24">
      <c r="A187" s="20"/>
      <c r="B187" s="20"/>
      <c r="C187" s="20"/>
      <c r="D187" s="20"/>
      <c r="E187" s="21"/>
      <c r="F187" s="20"/>
      <c r="G187" s="21"/>
      <c r="H187" s="22"/>
      <c r="I187" s="21"/>
      <c r="J187" s="22"/>
      <c r="K187" s="21"/>
      <c r="L187" s="20"/>
      <c r="M187" s="21"/>
      <c r="N187" s="22"/>
      <c r="O187" s="21"/>
      <c r="P187" s="20"/>
      <c r="Q187" s="21"/>
      <c r="R187" s="22"/>
      <c r="S187" s="21"/>
      <c r="T187" s="22"/>
      <c r="U187" s="21"/>
      <c r="V187" s="20"/>
      <c r="W187" s="22"/>
      <c r="X187" s="22"/>
    </row>
    <row r="188" ht="14.25" spans="1:24">
      <c r="A188" s="20"/>
      <c r="B188" s="20"/>
      <c r="C188" s="20"/>
      <c r="D188" s="20"/>
      <c r="E188" s="21"/>
      <c r="F188" s="22"/>
      <c r="G188" s="21"/>
      <c r="H188" s="22"/>
      <c r="I188" s="21"/>
      <c r="J188" s="22"/>
      <c r="K188" s="21"/>
      <c r="L188" s="22"/>
      <c r="M188" s="21"/>
      <c r="N188" s="22"/>
      <c r="O188" s="21"/>
      <c r="P188" s="20"/>
      <c r="Q188" s="21"/>
      <c r="R188" s="22"/>
      <c r="S188" s="21"/>
      <c r="T188" s="22"/>
      <c r="U188" s="21"/>
      <c r="V188" s="20"/>
      <c r="W188" s="22"/>
      <c r="X188" s="22"/>
    </row>
    <row r="189" ht="14.25" spans="1:24">
      <c r="A189" s="20"/>
      <c r="B189" s="20"/>
      <c r="C189" s="20"/>
      <c r="D189" s="20"/>
      <c r="E189" s="21"/>
      <c r="F189" s="20"/>
      <c r="G189" s="21"/>
      <c r="H189" s="22"/>
      <c r="I189" s="21"/>
      <c r="J189" s="22"/>
      <c r="K189" s="21"/>
      <c r="L189" s="20"/>
      <c r="M189" s="21"/>
      <c r="N189" s="22"/>
      <c r="O189" s="21"/>
      <c r="P189" s="20"/>
      <c r="Q189" s="21"/>
      <c r="R189" s="22"/>
      <c r="S189" s="21"/>
      <c r="T189" s="22"/>
      <c r="U189" s="21"/>
      <c r="V189" s="20"/>
      <c r="W189" s="20"/>
      <c r="X189" s="22"/>
    </row>
    <row r="190" ht="14.25" spans="1:24">
      <c r="A190" s="20"/>
      <c r="B190" s="20"/>
      <c r="C190" s="20"/>
      <c r="D190" s="20"/>
      <c r="E190" s="21"/>
      <c r="F190" s="20"/>
      <c r="G190" s="21"/>
      <c r="H190" s="22"/>
      <c r="I190" s="21"/>
      <c r="J190" s="22"/>
      <c r="K190" s="21"/>
      <c r="L190" s="20"/>
      <c r="M190" s="21"/>
      <c r="N190" s="22"/>
      <c r="O190" s="21"/>
      <c r="P190" s="20"/>
      <c r="Q190" s="21"/>
      <c r="R190" s="22"/>
      <c r="S190" s="21"/>
      <c r="T190" s="22"/>
      <c r="U190" s="21"/>
      <c r="V190" s="22"/>
      <c r="W190" s="20"/>
      <c r="X190" s="22"/>
    </row>
    <row r="191" ht="14.25" spans="1:24">
      <c r="A191" s="20"/>
      <c r="B191" s="20"/>
      <c r="C191" s="20"/>
      <c r="D191" s="20"/>
      <c r="E191" s="21"/>
      <c r="F191" s="20"/>
      <c r="G191" s="20"/>
      <c r="H191" s="20"/>
      <c r="I191" s="21"/>
      <c r="J191" s="20"/>
      <c r="K191" s="21"/>
      <c r="L191" s="20"/>
      <c r="M191" s="21"/>
      <c r="N191" s="20"/>
      <c r="O191" s="21"/>
      <c r="P191" s="20"/>
      <c r="Q191" s="21"/>
      <c r="R191" s="20"/>
      <c r="S191" s="21"/>
      <c r="T191" s="20"/>
      <c r="U191" s="21"/>
      <c r="V191" s="20"/>
      <c r="W191" s="20"/>
      <c r="X191" s="20"/>
    </row>
    <row r="192" ht="14.25" spans="1:24">
      <c r="A192" s="20"/>
      <c r="B192" s="20"/>
      <c r="C192" s="20"/>
      <c r="D192" s="20"/>
      <c r="E192" s="21"/>
      <c r="F192" s="20"/>
      <c r="G192" s="21"/>
      <c r="H192" s="20"/>
      <c r="I192" s="21"/>
      <c r="J192" s="20"/>
      <c r="K192" s="21"/>
      <c r="L192" s="20"/>
      <c r="M192" s="21"/>
      <c r="N192" s="22"/>
      <c r="O192" s="21"/>
      <c r="P192" s="20"/>
      <c r="Q192" s="21"/>
      <c r="R192" s="20"/>
      <c r="S192" s="21"/>
      <c r="T192" s="20"/>
      <c r="U192" s="21"/>
      <c r="V192" s="20"/>
      <c r="W192" s="20"/>
      <c r="X192" s="22"/>
    </row>
    <row r="193" ht="14.25" spans="1:24">
      <c r="A193" s="20"/>
      <c r="B193" s="20"/>
      <c r="C193" s="20"/>
      <c r="D193" s="20"/>
      <c r="E193" s="21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 ht="14.25" spans="1:24">
      <c r="A194" s="20"/>
      <c r="B194" s="20"/>
      <c r="C194" s="20"/>
      <c r="D194" s="23"/>
      <c r="E194" s="21"/>
      <c r="F194" s="20"/>
      <c r="G194" s="21"/>
      <c r="H194" s="22"/>
      <c r="I194" s="21"/>
      <c r="J194" s="22"/>
      <c r="K194" s="21"/>
      <c r="L194" s="22"/>
      <c r="M194" s="21"/>
      <c r="N194" s="22"/>
      <c r="O194" s="21"/>
      <c r="P194" s="20"/>
      <c r="Q194" s="21"/>
      <c r="R194" s="22"/>
      <c r="S194" s="21"/>
      <c r="T194" s="22"/>
      <c r="U194" s="21"/>
      <c r="V194" s="22"/>
      <c r="W194" s="22"/>
      <c r="X194" s="22"/>
    </row>
    <row r="195" ht="14.25" spans="1:24">
      <c r="A195" s="20"/>
      <c r="B195" s="20"/>
      <c r="C195" s="20"/>
      <c r="D195" s="23"/>
      <c r="E195" s="21"/>
      <c r="F195" s="22"/>
      <c r="G195" s="21"/>
      <c r="H195" s="22"/>
      <c r="I195" s="21"/>
      <c r="J195" s="22"/>
      <c r="K195" s="21"/>
      <c r="L195" s="22"/>
      <c r="M195" s="21"/>
      <c r="N195" s="22"/>
      <c r="O195" s="21"/>
      <c r="P195" s="20"/>
      <c r="Q195" s="21"/>
      <c r="R195" s="22"/>
      <c r="S195" s="21"/>
      <c r="T195" s="22"/>
      <c r="U195" s="21"/>
      <c r="V195" s="22"/>
      <c r="W195" s="22"/>
      <c r="X195" s="2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表格说明</vt:lpstr>
      <vt:lpstr>年目标</vt:lpstr>
      <vt:lpstr>2023年利润预测</vt:lpstr>
      <vt:lpstr>市场概况</vt:lpstr>
      <vt:lpstr>市场预估</vt:lpstr>
      <vt:lpstr>单品目标年销量</vt:lpstr>
      <vt:lpstr>每月目标分解</vt:lpstr>
      <vt:lpstr>2024年销售情况</vt:lpstr>
      <vt:lpstr>单品每月销售额占比</vt:lpstr>
      <vt:lpstr>2021年销量数据</vt:lpstr>
      <vt:lpstr>船长每月数据(2022年)</vt:lpstr>
      <vt:lpstr>船长每月数据(2023年)</vt:lpstr>
      <vt:lpstr>每月市场趋势</vt:lpstr>
      <vt:lpstr>类目品牌市占率</vt:lpstr>
      <vt:lpstr>2021&amp;2022营销成本概况</vt:lpstr>
      <vt:lpstr>2022年全年财务报表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Ravi</cp:lastModifiedBy>
  <dcterms:created xsi:type="dcterms:W3CDTF">2023-01-04T03:43:00Z</dcterms:created>
  <dcterms:modified xsi:type="dcterms:W3CDTF">2025-01-08T03:51:49Z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FB76673CB2774BF4B7745FA780D40007_13</vt:lpwstr>
  </property>
  <property fmtid="{D5CDD505-2E9C-101B-9397-08002B2CF9AE}" pid="3" name="KSOProductBuildVer">
    <vt:lpwstr>2052-12.1.0.19302</vt:lpwstr>
  </property>
</Properties>
</file>