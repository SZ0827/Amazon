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C:\Users\ruiqi\Desktop\跨境电商公司不同规模的公司组织架构，运营规划，运营细则要求和绩效提成(1)\"/>
    </mc:Choice>
  </mc:AlternateContent>
  <xr:revisionPtr revIDLastSave="0" documentId="13_ncr:1_{D5472008-AC6C-4612-A8EE-D6072D92A576}" xr6:coauthVersionLast="47" xr6:coauthVersionMax="47" xr10:uidLastSave="{00000000-0000-0000-0000-000000000000}"/>
  <bookViews>
    <workbookView xWindow="-120" yWindow="-120" windowWidth="29040" windowHeight="15840" tabRatio="850" activeTab="6" xr2:uid="{00000000-000D-0000-FFFF-FFFF00000000}"/>
  </bookViews>
  <sheets>
    <sheet name="总经办" sheetId="29" r:id="rId1"/>
    <sheet name="销售部" sheetId="30" r:id="rId2"/>
    <sheet name="网站运营部" sheetId="31" r:id="rId3"/>
    <sheet name="财务部" sheetId="28" r:id="rId4"/>
    <sheet name="美工部" sheetId="27" r:id="rId5"/>
    <sheet name="OA部" sheetId="26" r:id="rId6"/>
    <sheet name="采购部" sheetId="25" r:id="rId7"/>
    <sheet name="物流部" sheetId="24" r:id="rId8"/>
    <sheet name="技术部" sheetId="23" r:id="rId9"/>
    <sheet name="客服部" sheetId="22" r:id="rId10"/>
    <sheet name="人力资源部" sheetId="21" r:id="rId1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21" l="1"/>
  <c r="H23" i="21"/>
  <c r="G23" i="21"/>
  <c r="E23" i="21"/>
  <c r="D23" i="21"/>
  <c r="C23" i="21" s="1"/>
  <c r="J22" i="21"/>
  <c r="I22" i="21"/>
  <c r="H22" i="21"/>
  <c r="G22" i="21"/>
  <c r="E22" i="21"/>
  <c r="D22" i="21"/>
  <c r="C22" i="21" s="1"/>
  <c r="J21" i="21"/>
  <c r="I21" i="21"/>
  <c r="H21" i="21"/>
  <c r="G21" i="21"/>
  <c r="E21" i="21"/>
  <c r="D21" i="21"/>
  <c r="C21" i="21" s="1"/>
  <c r="J20" i="21"/>
  <c r="I20" i="21"/>
  <c r="H20" i="21"/>
  <c r="G20" i="21"/>
  <c r="E20" i="21"/>
  <c r="D20" i="21"/>
  <c r="C20" i="21"/>
  <c r="J19" i="21"/>
  <c r="I19" i="21"/>
  <c r="H19" i="21"/>
  <c r="G19" i="21"/>
  <c r="E19" i="21"/>
  <c r="C19" i="21" s="1"/>
  <c r="D19" i="21"/>
  <c r="J18" i="21"/>
  <c r="I18" i="21"/>
  <c r="H18" i="21"/>
  <c r="G18" i="21"/>
  <c r="E18" i="21"/>
  <c r="D18" i="21"/>
  <c r="C18" i="21" s="1"/>
  <c r="J17" i="21"/>
  <c r="I17" i="21"/>
  <c r="H17" i="21"/>
  <c r="G17" i="21"/>
  <c r="E17" i="21"/>
  <c r="D17" i="21"/>
  <c r="C17" i="21" s="1"/>
  <c r="J16" i="21"/>
  <c r="I16" i="21"/>
  <c r="H16" i="21"/>
  <c r="G16" i="21"/>
  <c r="E16" i="21"/>
  <c r="D16" i="21"/>
  <c r="C16" i="21"/>
  <c r="J15" i="21"/>
  <c r="I15" i="21"/>
  <c r="H15" i="21"/>
  <c r="G15" i="21"/>
  <c r="E15" i="21"/>
  <c r="D15" i="21"/>
  <c r="C15" i="21" s="1"/>
  <c r="J14" i="21"/>
  <c r="I14" i="21"/>
  <c r="H14" i="21"/>
  <c r="G14" i="21"/>
  <c r="E14" i="21"/>
  <c r="D14" i="21"/>
  <c r="C14" i="21" s="1"/>
  <c r="J13" i="21"/>
  <c r="I13" i="21"/>
  <c r="H13" i="21"/>
  <c r="G13" i="21"/>
  <c r="E13" i="21"/>
  <c r="D13" i="21"/>
  <c r="C13" i="21" s="1"/>
  <c r="J12" i="21"/>
  <c r="I12" i="21"/>
  <c r="H12" i="21"/>
  <c r="G12" i="21"/>
  <c r="E12" i="21"/>
  <c r="D12" i="21"/>
  <c r="C12" i="21"/>
  <c r="J11" i="21"/>
  <c r="I11" i="21"/>
  <c r="H11" i="21"/>
  <c r="G11" i="21"/>
  <c r="E11" i="21"/>
  <c r="D11" i="21"/>
  <c r="C11" i="21" s="1"/>
  <c r="J10" i="21"/>
  <c r="I10" i="21"/>
  <c r="H10" i="21"/>
  <c r="G10" i="21"/>
  <c r="E10" i="21"/>
  <c r="D10" i="21"/>
  <c r="C10" i="21" s="1"/>
  <c r="J9" i="21"/>
  <c r="I9" i="21"/>
  <c r="H9" i="21"/>
  <c r="G9" i="21"/>
  <c r="E9" i="21"/>
  <c r="D9" i="21"/>
  <c r="C9" i="21" s="1"/>
  <c r="J8" i="21"/>
  <c r="I8" i="21"/>
  <c r="H8" i="21"/>
  <c r="G8" i="21"/>
  <c r="E8" i="21"/>
  <c r="D8" i="21"/>
  <c r="C8" i="21"/>
  <c r="J7" i="21"/>
  <c r="I7" i="21"/>
  <c r="H7" i="21"/>
  <c r="G7" i="21"/>
  <c r="E7" i="21"/>
  <c r="D7" i="21"/>
  <c r="C7" i="21" s="1"/>
  <c r="J6" i="21"/>
  <c r="I6" i="21"/>
  <c r="H6" i="21"/>
  <c r="G6" i="21"/>
  <c r="E6" i="21"/>
  <c r="D6" i="21"/>
  <c r="C6" i="21" s="1"/>
  <c r="J5" i="21"/>
  <c r="I5" i="21"/>
  <c r="H5" i="21"/>
  <c r="G5" i="21"/>
  <c r="E5" i="21"/>
  <c r="D5" i="21"/>
  <c r="C5" i="21" s="1"/>
  <c r="J4" i="21"/>
  <c r="I4" i="21"/>
  <c r="H4" i="21"/>
  <c r="G4" i="21"/>
  <c r="E4" i="21"/>
  <c r="E27" i="21" s="1"/>
  <c r="D4" i="21"/>
  <c r="C4" i="21"/>
  <c r="J28" i="22"/>
  <c r="I28" i="22"/>
  <c r="H28" i="22"/>
  <c r="G28" i="22"/>
  <c r="E28" i="22"/>
  <c r="D28" i="22"/>
  <c r="C28" i="22" s="1"/>
  <c r="J27" i="22"/>
  <c r="I27" i="22"/>
  <c r="H27" i="22"/>
  <c r="G27" i="22"/>
  <c r="E27" i="22"/>
  <c r="D27" i="22"/>
  <c r="C27" i="22" s="1"/>
  <c r="J26" i="22"/>
  <c r="I26" i="22"/>
  <c r="H26" i="22"/>
  <c r="G26" i="22"/>
  <c r="E26" i="22"/>
  <c r="D26" i="22"/>
  <c r="C26" i="22"/>
  <c r="J25" i="22"/>
  <c r="I25" i="22"/>
  <c r="H25" i="22"/>
  <c r="G25" i="22"/>
  <c r="E25" i="22"/>
  <c r="D25" i="22"/>
  <c r="C25" i="22" s="1"/>
  <c r="J24" i="22"/>
  <c r="I24" i="22"/>
  <c r="H24" i="22"/>
  <c r="G24" i="22"/>
  <c r="E24" i="22"/>
  <c r="C24" i="22" s="1"/>
  <c r="D24" i="22"/>
  <c r="J23" i="22"/>
  <c r="I23" i="22"/>
  <c r="H23" i="22"/>
  <c r="G23" i="22"/>
  <c r="E23" i="22"/>
  <c r="D23" i="22"/>
  <c r="C23" i="22" s="1"/>
  <c r="J22" i="22"/>
  <c r="I22" i="22"/>
  <c r="H22" i="22"/>
  <c r="G22" i="22"/>
  <c r="E22" i="22"/>
  <c r="D22" i="22"/>
  <c r="C22" i="22"/>
  <c r="J21" i="22"/>
  <c r="I21" i="22"/>
  <c r="H21" i="22"/>
  <c r="G21" i="22"/>
  <c r="E21" i="22"/>
  <c r="D21" i="22"/>
  <c r="C21" i="22" s="1"/>
  <c r="J20" i="22"/>
  <c r="I20" i="22"/>
  <c r="H20" i="22"/>
  <c r="G20" i="22"/>
  <c r="E20" i="22"/>
  <c r="C20" i="22" s="1"/>
  <c r="D20" i="22"/>
  <c r="J19" i="22"/>
  <c r="I19" i="22"/>
  <c r="H19" i="22"/>
  <c r="G19" i="22"/>
  <c r="E19" i="22"/>
  <c r="D19" i="22"/>
  <c r="C19" i="22" s="1"/>
  <c r="J18" i="22"/>
  <c r="I18" i="22"/>
  <c r="H18" i="22"/>
  <c r="G18" i="22"/>
  <c r="E18" i="22"/>
  <c r="D18" i="22"/>
  <c r="C18" i="22"/>
  <c r="J17" i="22"/>
  <c r="I17" i="22"/>
  <c r="H17" i="22"/>
  <c r="G17" i="22"/>
  <c r="E17" i="22"/>
  <c r="D17" i="22"/>
  <c r="C17" i="22" s="1"/>
  <c r="J16" i="22"/>
  <c r="I16" i="22"/>
  <c r="H16" i="22"/>
  <c r="G16" i="22"/>
  <c r="E16" i="22"/>
  <c r="C16" i="22" s="1"/>
  <c r="D16" i="22"/>
  <c r="J15" i="22"/>
  <c r="I15" i="22"/>
  <c r="H15" i="22"/>
  <c r="G15" i="22"/>
  <c r="E15" i="22"/>
  <c r="D15" i="22"/>
  <c r="C15" i="22" s="1"/>
  <c r="J14" i="22"/>
  <c r="I14" i="22"/>
  <c r="H14" i="22"/>
  <c r="G14" i="22"/>
  <c r="E14" i="22"/>
  <c r="D14" i="22"/>
  <c r="C14" i="22"/>
  <c r="J13" i="22"/>
  <c r="I13" i="22"/>
  <c r="H13" i="22"/>
  <c r="G13" i="22"/>
  <c r="E13" i="22"/>
  <c r="D13" i="22"/>
  <c r="C13" i="22" s="1"/>
  <c r="J12" i="22"/>
  <c r="I12" i="22"/>
  <c r="H12" i="22"/>
  <c r="G12" i="22"/>
  <c r="E12" i="22"/>
  <c r="C12" i="22" s="1"/>
  <c r="D12" i="22"/>
  <c r="J11" i="22"/>
  <c r="I11" i="22"/>
  <c r="H11" i="22"/>
  <c r="G11" i="22"/>
  <c r="E11" i="22"/>
  <c r="D11" i="22"/>
  <c r="C11" i="22" s="1"/>
  <c r="J10" i="22"/>
  <c r="I10" i="22"/>
  <c r="H10" i="22"/>
  <c r="G10" i="22"/>
  <c r="E10" i="22"/>
  <c r="D10" i="22"/>
  <c r="C10" i="22"/>
  <c r="J9" i="22"/>
  <c r="I9" i="22"/>
  <c r="H9" i="22"/>
  <c r="G9" i="22"/>
  <c r="E9" i="22"/>
  <c r="D9" i="22"/>
  <c r="C9" i="22" s="1"/>
  <c r="J8" i="22"/>
  <c r="I8" i="22"/>
  <c r="H8" i="22"/>
  <c r="G8" i="22"/>
  <c r="E8" i="22"/>
  <c r="C8" i="22" s="1"/>
  <c r="D8" i="22"/>
  <c r="J7" i="22"/>
  <c r="I7" i="22"/>
  <c r="H7" i="22"/>
  <c r="G7" i="22"/>
  <c r="E7" i="22"/>
  <c r="D7" i="22"/>
  <c r="C7" i="22" s="1"/>
  <c r="J6" i="22"/>
  <c r="I6" i="22"/>
  <c r="H6" i="22"/>
  <c r="G6" i="22"/>
  <c r="E6" i="22"/>
  <c r="D6" i="22"/>
  <c r="C6" i="22"/>
  <c r="J5" i="22"/>
  <c r="I5" i="22"/>
  <c r="H5" i="22"/>
  <c r="G5" i="22"/>
  <c r="E5" i="22"/>
  <c r="D5" i="22"/>
  <c r="C5" i="22" s="1"/>
  <c r="J4" i="22"/>
  <c r="I4" i="22"/>
  <c r="H4" i="22"/>
  <c r="G4" i="22"/>
  <c r="E4" i="22"/>
  <c r="C4" i="22" s="1"/>
  <c r="D4" i="22"/>
  <c r="I23" i="23"/>
  <c r="H23" i="23"/>
  <c r="G23" i="23"/>
  <c r="E23" i="23"/>
  <c r="D23" i="23"/>
  <c r="C23" i="23"/>
  <c r="J22" i="23"/>
  <c r="I22" i="23"/>
  <c r="H22" i="23"/>
  <c r="G22" i="23"/>
  <c r="E22" i="23"/>
  <c r="C22" i="23" s="1"/>
  <c r="D22" i="23"/>
  <c r="J21" i="23"/>
  <c r="I21" i="23"/>
  <c r="H21" i="23"/>
  <c r="G21" i="23"/>
  <c r="E21" i="23"/>
  <c r="D21" i="23"/>
  <c r="C21" i="23" s="1"/>
  <c r="J20" i="23"/>
  <c r="I20" i="23"/>
  <c r="H20" i="23"/>
  <c r="G20" i="23"/>
  <c r="E20" i="23"/>
  <c r="D20" i="23"/>
  <c r="C20" i="23" s="1"/>
  <c r="J19" i="23"/>
  <c r="I19" i="23"/>
  <c r="H19" i="23"/>
  <c r="G19" i="23"/>
  <c r="E19" i="23"/>
  <c r="D19" i="23"/>
  <c r="C19" i="23"/>
  <c r="J18" i="23"/>
  <c r="I18" i="23"/>
  <c r="H18" i="23"/>
  <c r="G18" i="23"/>
  <c r="E18" i="23"/>
  <c r="D18" i="23"/>
  <c r="C18" i="23"/>
  <c r="J17" i="23"/>
  <c r="I17" i="23"/>
  <c r="H17" i="23"/>
  <c r="G17" i="23"/>
  <c r="E17" i="23"/>
  <c r="C17" i="23" s="1"/>
  <c r="D17" i="23"/>
  <c r="J16" i="23"/>
  <c r="I16" i="23"/>
  <c r="H16" i="23"/>
  <c r="G16" i="23"/>
  <c r="E16" i="23"/>
  <c r="D16" i="23"/>
  <c r="C16" i="23" s="1"/>
  <c r="J15" i="23"/>
  <c r="I15" i="23"/>
  <c r="H15" i="23"/>
  <c r="G15" i="23"/>
  <c r="E15" i="23"/>
  <c r="D15" i="23"/>
  <c r="C15" i="23"/>
  <c r="J14" i="23"/>
  <c r="I14" i="23"/>
  <c r="H14" i="23"/>
  <c r="G14" i="23"/>
  <c r="E14" i="23"/>
  <c r="D14" i="23"/>
  <c r="C14" i="23"/>
  <c r="J13" i="23"/>
  <c r="I13" i="23"/>
  <c r="H13" i="23"/>
  <c r="G13" i="23"/>
  <c r="E13" i="23"/>
  <c r="D13" i="23"/>
  <c r="C13" i="23"/>
  <c r="J12" i="23"/>
  <c r="I12" i="23"/>
  <c r="H12" i="23"/>
  <c r="G12" i="23"/>
  <c r="E12" i="23"/>
  <c r="D12" i="23"/>
  <c r="C12" i="23" s="1"/>
  <c r="J11" i="23"/>
  <c r="I11" i="23"/>
  <c r="H11" i="23"/>
  <c r="G11" i="23"/>
  <c r="E11" i="23"/>
  <c r="D11" i="23"/>
  <c r="C11" i="23"/>
  <c r="J10" i="23"/>
  <c r="I10" i="23"/>
  <c r="H10" i="23"/>
  <c r="G10" i="23"/>
  <c r="E10" i="23"/>
  <c r="D10" i="23"/>
  <c r="C10" i="23" s="1"/>
  <c r="J9" i="23"/>
  <c r="I9" i="23"/>
  <c r="H9" i="23"/>
  <c r="G9" i="23"/>
  <c r="E9" i="23"/>
  <c r="D9" i="23"/>
  <c r="C9" i="23"/>
  <c r="J8" i="23"/>
  <c r="I8" i="23"/>
  <c r="H8" i="23"/>
  <c r="G8" i="23"/>
  <c r="E8" i="23"/>
  <c r="D8" i="23"/>
  <c r="C8" i="23" s="1"/>
  <c r="J7" i="23"/>
  <c r="I7" i="23"/>
  <c r="H7" i="23"/>
  <c r="G7" i="23"/>
  <c r="E7" i="23"/>
  <c r="D7" i="23"/>
  <c r="C7" i="23"/>
  <c r="J6" i="23"/>
  <c r="I6" i="23"/>
  <c r="H6" i="23"/>
  <c r="G6" i="23"/>
  <c r="E6" i="23"/>
  <c r="D6" i="23"/>
  <c r="C6" i="23" s="1"/>
  <c r="J5" i="23"/>
  <c r="I5" i="23"/>
  <c r="H5" i="23"/>
  <c r="G5" i="23"/>
  <c r="E5" i="23"/>
  <c r="C5" i="23" s="1"/>
  <c r="D5" i="23"/>
  <c r="J4" i="23"/>
  <c r="I4" i="23"/>
  <c r="H4" i="23"/>
  <c r="G4" i="23"/>
  <c r="E4" i="23"/>
  <c r="D4" i="23"/>
  <c r="C4" i="23"/>
  <c r="I38" i="24"/>
  <c r="H38" i="24"/>
  <c r="G38" i="24"/>
  <c r="E38" i="24"/>
  <c r="D38" i="24"/>
  <c r="C38" i="24" s="1"/>
  <c r="J37" i="24"/>
  <c r="I37" i="24"/>
  <c r="H37" i="24"/>
  <c r="G37" i="24"/>
  <c r="E37" i="24"/>
  <c r="D37" i="24"/>
  <c r="C37" i="24"/>
  <c r="J36" i="24"/>
  <c r="I36" i="24"/>
  <c r="H36" i="24"/>
  <c r="G36" i="24"/>
  <c r="E36" i="24"/>
  <c r="D36" i="24"/>
  <c r="C36" i="24" s="1"/>
  <c r="J35" i="24"/>
  <c r="I35" i="24"/>
  <c r="H35" i="24"/>
  <c r="G35" i="24"/>
  <c r="E35" i="24"/>
  <c r="D35" i="24"/>
  <c r="C35" i="24" s="1"/>
  <c r="J34" i="24"/>
  <c r="I34" i="24"/>
  <c r="H34" i="24"/>
  <c r="G34" i="24"/>
  <c r="E34" i="24"/>
  <c r="D34" i="24"/>
  <c r="C34" i="24" s="1"/>
  <c r="J33" i="24"/>
  <c r="I33" i="24"/>
  <c r="H33" i="24"/>
  <c r="G33" i="24"/>
  <c r="E33" i="24"/>
  <c r="D33" i="24"/>
  <c r="C33" i="24"/>
  <c r="J32" i="24"/>
  <c r="I32" i="24"/>
  <c r="H32" i="24"/>
  <c r="G32" i="24"/>
  <c r="E32" i="24"/>
  <c r="D32" i="24"/>
  <c r="C32" i="24"/>
  <c r="J31" i="24"/>
  <c r="I31" i="24"/>
  <c r="H31" i="24"/>
  <c r="G31" i="24"/>
  <c r="E31" i="24"/>
  <c r="C31" i="24" s="1"/>
  <c r="D31" i="24"/>
  <c r="J30" i="24"/>
  <c r="I30" i="24"/>
  <c r="H30" i="24"/>
  <c r="G30" i="24"/>
  <c r="E30" i="24"/>
  <c r="D30" i="24"/>
  <c r="C30" i="24" s="1"/>
  <c r="J29" i="24"/>
  <c r="I29" i="24"/>
  <c r="H29" i="24"/>
  <c r="G29" i="24"/>
  <c r="E29" i="24"/>
  <c r="D29" i="24"/>
  <c r="C29" i="24"/>
  <c r="J28" i="24"/>
  <c r="I28" i="24"/>
  <c r="H28" i="24"/>
  <c r="G28" i="24"/>
  <c r="E28" i="24"/>
  <c r="D28" i="24"/>
  <c r="C28" i="24" s="1"/>
  <c r="J27" i="24"/>
  <c r="I27" i="24"/>
  <c r="H27" i="24"/>
  <c r="G27" i="24"/>
  <c r="E27" i="24"/>
  <c r="D27" i="24"/>
  <c r="C27" i="24"/>
  <c r="J26" i="24"/>
  <c r="I26" i="24"/>
  <c r="H26" i="24"/>
  <c r="G26" i="24"/>
  <c r="E26" i="24"/>
  <c r="D26" i="24"/>
  <c r="C26" i="24" s="1"/>
  <c r="J23" i="24"/>
  <c r="I23" i="24"/>
  <c r="H23" i="24"/>
  <c r="G23" i="24"/>
  <c r="E23" i="24"/>
  <c r="C23" i="24" s="1"/>
  <c r="D23" i="24"/>
  <c r="J22" i="24"/>
  <c r="I22" i="24"/>
  <c r="H22" i="24"/>
  <c r="G22" i="24"/>
  <c r="E22" i="24"/>
  <c r="D22" i="24"/>
  <c r="C22" i="24" s="1"/>
  <c r="J21" i="24"/>
  <c r="I21" i="24"/>
  <c r="H21" i="24"/>
  <c r="G21" i="24"/>
  <c r="E21" i="24"/>
  <c r="D21" i="24"/>
  <c r="C21" i="24"/>
  <c r="J20" i="24"/>
  <c r="I20" i="24"/>
  <c r="H20" i="24"/>
  <c r="G20" i="24"/>
  <c r="E20" i="24"/>
  <c r="D20" i="24"/>
  <c r="C20" i="24"/>
  <c r="J19" i="24"/>
  <c r="I19" i="24"/>
  <c r="H19" i="24"/>
  <c r="G19" i="24"/>
  <c r="E19" i="24"/>
  <c r="C19" i="24" s="1"/>
  <c r="D19" i="24"/>
  <c r="J18" i="24"/>
  <c r="I18" i="24"/>
  <c r="H18" i="24"/>
  <c r="G18" i="24"/>
  <c r="E18" i="24"/>
  <c r="D18" i="24"/>
  <c r="C18" i="24" s="1"/>
  <c r="J17" i="24"/>
  <c r="I17" i="24"/>
  <c r="H17" i="24"/>
  <c r="G17" i="24"/>
  <c r="E17" i="24"/>
  <c r="D17" i="24"/>
  <c r="C17" i="24"/>
  <c r="J16" i="24"/>
  <c r="I16" i="24"/>
  <c r="H16" i="24"/>
  <c r="G16" i="24"/>
  <c r="E16" i="24"/>
  <c r="D16" i="24"/>
  <c r="C16" i="24"/>
  <c r="J15" i="24"/>
  <c r="I15" i="24"/>
  <c r="H15" i="24"/>
  <c r="G15" i="24"/>
  <c r="E15" i="24"/>
  <c r="C15" i="24" s="1"/>
  <c r="D15" i="24"/>
  <c r="J14" i="24"/>
  <c r="I14" i="24"/>
  <c r="H14" i="24"/>
  <c r="G14" i="24"/>
  <c r="E14" i="24"/>
  <c r="D14" i="24"/>
  <c r="C14" i="24" s="1"/>
  <c r="J13" i="24"/>
  <c r="I13" i="24"/>
  <c r="H13" i="24"/>
  <c r="G13" i="24"/>
  <c r="E13" i="24"/>
  <c r="D13" i="24"/>
  <c r="C13" i="24"/>
  <c r="J12" i="24"/>
  <c r="I12" i="24"/>
  <c r="H12" i="24"/>
  <c r="G12" i="24"/>
  <c r="E12" i="24"/>
  <c r="D12" i="24"/>
  <c r="C12" i="24" s="1"/>
  <c r="J11" i="24"/>
  <c r="I11" i="24"/>
  <c r="H11" i="24"/>
  <c r="G11" i="24"/>
  <c r="E11" i="24"/>
  <c r="C11" i="24" s="1"/>
  <c r="D11" i="24"/>
  <c r="J10" i="24"/>
  <c r="I10" i="24"/>
  <c r="H10" i="24"/>
  <c r="G10" i="24"/>
  <c r="E10" i="24"/>
  <c r="D10" i="24"/>
  <c r="C10" i="24" s="1"/>
  <c r="J9" i="24"/>
  <c r="I9" i="24"/>
  <c r="H9" i="24"/>
  <c r="G9" i="24"/>
  <c r="E9" i="24"/>
  <c r="D9" i="24"/>
  <c r="C9" i="24" s="1"/>
  <c r="J8" i="24"/>
  <c r="I8" i="24"/>
  <c r="H8" i="24"/>
  <c r="G8" i="24"/>
  <c r="E8" i="24"/>
  <c r="D8" i="24"/>
  <c r="C8" i="24" s="1"/>
  <c r="J7" i="24"/>
  <c r="I7" i="24"/>
  <c r="H7" i="24"/>
  <c r="G7" i="24"/>
  <c r="E7" i="24"/>
  <c r="D7" i="24"/>
  <c r="C7" i="24"/>
  <c r="J6" i="24"/>
  <c r="I6" i="24"/>
  <c r="H6" i="24"/>
  <c r="G6" i="24"/>
  <c r="E6" i="24"/>
  <c r="D6" i="24"/>
  <c r="C6" i="24" s="1"/>
  <c r="J5" i="24"/>
  <c r="I5" i="24"/>
  <c r="H5" i="24"/>
  <c r="G5" i="24"/>
  <c r="E5" i="24"/>
  <c r="D5" i="24"/>
  <c r="C5" i="24" s="1"/>
  <c r="J4" i="24"/>
  <c r="I4" i="24"/>
  <c r="H4" i="24"/>
  <c r="G4" i="24"/>
  <c r="E4" i="24"/>
  <c r="D4" i="24"/>
  <c r="C4" i="24" s="1"/>
  <c r="I25" i="25"/>
  <c r="H25" i="25"/>
  <c r="G25" i="25"/>
  <c r="E25" i="25"/>
  <c r="D25" i="25"/>
  <c r="C25" i="25" s="1"/>
  <c r="I24" i="25"/>
  <c r="H24" i="25"/>
  <c r="G24" i="25"/>
  <c r="E24" i="25"/>
  <c r="D24" i="25"/>
  <c r="C24" i="25" s="1"/>
  <c r="I23" i="25"/>
  <c r="H23" i="25"/>
  <c r="G23" i="25"/>
  <c r="E23" i="25"/>
  <c r="D23" i="25"/>
  <c r="C23" i="25" s="1"/>
  <c r="J22" i="25"/>
  <c r="I22" i="25"/>
  <c r="H22" i="25"/>
  <c r="G22" i="25"/>
  <c r="E22" i="25"/>
  <c r="D22" i="25"/>
  <c r="C22" i="25"/>
  <c r="J21" i="25"/>
  <c r="I21" i="25"/>
  <c r="H21" i="25"/>
  <c r="G21" i="25"/>
  <c r="E21" i="25"/>
  <c r="D21" i="25"/>
  <c r="C21" i="25" s="1"/>
  <c r="J20" i="25"/>
  <c r="I20" i="25"/>
  <c r="H20" i="25"/>
  <c r="G20" i="25"/>
  <c r="E20" i="25"/>
  <c r="C20" i="25" s="1"/>
  <c r="D20" i="25"/>
  <c r="J19" i="25"/>
  <c r="I19" i="25"/>
  <c r="H19" i="25"/>
  <c r="G19" i="25"/>
  <c r="E19" i="25"/>
  <c r="D19" i="25"/>
  <c r="C19" i="25" s="1"/>
  <c r="J18" i="25"/>
  <c r="I18" i="25"/>
  <c r="H18" i="25"/>
  <c r="G18" i="25"/>
  <c r="E18" i="25"/>
  <c r="D18" i="25"/>
  <c r="C18" i="25" s="1"/>
  <c r="J17" i="25"/>
  <c r="I17" i="25"/>
  <c r="H17" i="25"/>
  <c r="G17" i="25"/>
  <c r="E17" i="25"/>
  <c r="D17" i="25"/>
  <c r="C17" i="25" s="1"/>
  <c r="J16" i="25"/>
  <c r="I16" i="25"/>
  <c r="H16" i="25"/>
  <c r="G16" i="25"/>
  <c r="E16" i="25"/>
  <c r="D16" i="25"/>
  <c r="C16" i="25"/>
  <c r="J15" i="25"/>
  <c r="I15" i="25"/>
  <c r="H15" i="25"/>
  <c r="G15" i="25"/>
  <c r="E15" i="25"/>
  <c r="D15" i="25"/>
  <c r="C15" i="25" s="1"/>
  <c r="J14" i="25"/>
  <c r="I14" i="25"/>
  <c r="H14" i="25"/>
  <c r="G14" i="25"/>
  <c r="E14" i="25"/>
  <c r="D14" i="25"/>
  <c r="C14" i="25" s="1"/>
  <c r="J13" i="25"/>
  <c r="I13" i="25"/>
  <c r="H13" i="25"/>
  <c r="G13" i="25"/>
  <c r="E13" i="25"/>
  <c r="D13" i="25"/>
  <c r="C13" i="25" s="1"/>
  <c r="J12" i="25"/>
  <c r="I12" i="25"/>
  <c r="H12" i="25"/>
  <c r="G12" i="25"/>
  <c r="E12" i="25"/>
  <c r="D12" i="25"/>
  <c r="C12" i="25"/>
  <c r="J11" i="25"/>
  <c r="I11" i="25"/>
  <c r="H11" i="25"/>
  <c r="G11" i="25"/>
  <c r="E11" i="25"/>
  <c r="D11" i="25"/>
  <c r="C11" i="25" s="1"/>
  <c r="J10" i="25"/>
  <c r="I10" i="25"/>
  <c r="H10" i="25"/>
  <c r="G10" i="25"/>
  <c r="E10" i="25"/>
  <c r="D10" i="25"/>
  <c r="C10" i="25" s="1"/>
  <c r="J9" i="25"/>
  <c r="I9" i="25"/>
  <c r="H9" i="25"/>
  <c r="G9" i="25"/>
  <c r="E9" i="25"/>
  <c r="D9" i="25"/>
  <c r="C9" i="25" s="1"/>
  <c r="J8" i="25"/>
  <c r="I8" i="25"/>
  <c r="H8" i="25"/>
  <c r="G8" i="25"/>
  <c r="E8" i="25"/>
  <c r="D8" i="25"/>
  <c r="C8" i="25"/>
  <c r="J7" i="25"/>
  <c r="I7" i="25"/>
  <c r="H7" i="25"/>
  <c r="G7" i="25"/>
  <c r="E7" i="25"/>
  <c r="D7" i="25"/>
  <c r="C7" i="25" s="1"/>
  <c r="J6" i="25"/>
  <c r="I6" i="25"/>
  <c r="H6" i="25"/>
  <c r="G6" i="25"/>
  <c r="E6" i="25"/>
  <c r="D6" i="25"/>
  <c r="C6" i="25" s="1"/>
  <c r="J5" i="25"/>
  <c r="I5" i="25"/>
  <c r="H5" i="25"/>
  <c r="G5" i="25"/>
  <c r="E5" i="25"/>
  <c r="D5" i="25"/>
  <c r="C5" i="25" s="1"/>
  <c r="J4" i="25"/>
  <c r="I4" i="25"/>
  <c r="H4" i="25"/>
  <c r="G4" i="25"/>
  <c r="E4" i="25"/>
  <c r="D4" i="25"/>
  <c r="C4" i="25"/>
  <c r="I23" i="26"/>
  <c r="H23" i="26"/>
  <c r="G23" i="26"/>
  <c r="E23" i="26"/>
  <c r="D23" i="26"/>
  <c r="C23" i="26" s="1"/>
  <c r="J22" i="26"/>
  <c r="I22" i="26"/>
  <c r="H22" i="26"/>
  <c r="G22" i="26"/>
  <c r="E22" i="26"/>
  <c r="D22" i="26"/>
  <c r="C22" i="26"/>
  <c r="J21" i="26"/>
  <c r="I21" i="26"/>
  <c r="H21" i="26"/>
  <c r="G21" i="26"/>
  <c r="E21" i="26"/>
  <c r="D21" i="26"/>
  <c r="C21" i="26" s="1"/>
  <c r="J20" i="26"/>
  <c r="I20" i="26"/>
  <c r="H20" i="26"/>
  <c r="G20" i="26"/>
  <c r="E20" i="26"/>
  <c r="D20" i="26"/>
  <c r="C20" i="26" s="1"/>
  <c r="J19" i="26"/>
  <c r="I19" i="26"/>
  <c r="H19" i="26"/>
  <c r="G19" i="26"/>
  <c r="E19" i="26"/>
  <c r="D19" i="26"/>
  <c r="C19" i="26"/>
  <c r="J18" i="26"/>
  <c r="I18" i="26"/>
  <c r="H18" i="26"/>
  <c r="G18" i="26"/>
  <c r="E18" i="26"/>
  <c r="D18" i="26"/>
  <c r="C18" i="26"/>
  <c r="J17" i="26"/>
  <c r="I17" i="26"/>
  <c r="H17" i="26"/>
  <c r="G17" i="26"/>
  <c r="E17" i="26"/>
  <c r="D17" i="26"/>
  <c r="C17" i="26" s="1"/>
  <c r="J16" i="26"/>
  <c r="I16" i="26"/>
  <c r="H16" i="26"/>
  <c r="G16" i="26"/>
  <c r="E16" i="26"/>
  <c r="D16" i="26"/>
  <c r="C16" i="26" s="1"/>
  <c r="J15" i="26"/>
  <c r="I15" i="26"/>
  <c r="H15" i="26"/>
  <c r="G15" i="26"/>
  <c r="E15" i="26"/>
  <c r="D15" i="26"/>
  <c r="C15" i="26"/>
  <c r="J14" i="26"/>
  <c r="I14" i="26"/>
  <c r="H14" i="26"/>
  <c r="G14" i="26"/>
  <c r="E14" i="26"/>
  <c r="D14" i="26"/>
  <c r="C14" i="26" s="1"/>
  <c r="J13" i="26"/>
  <c r="I13" i="26"/>
  <c r="H13" i="26"/>
  <c r="G13" i="26"/>
  <c r="E13" i="26"/>
  <c r="C13" i="26" s="1"/>
  <c r="D13" i="26"/>
  <c r="J12" i="26"/>
  <c r="I12" i="26"/>
  <c r="H12" i="26"/>
  <c r="G12" i="26"/>
  <c r="E12" i="26"/>
  <c r="D12" i="26"/>
  <c r="C12" i="26" s="1"/>
  <c r="J11" i="26"/>
  <c r="I11" i="26"/>
  <c r="H11" i="26"/>
  <c r="G11" i="26"/>
  <c r="E11" i="26"/>
  <c r="D11" i="26"/>
  <c r="C11" i="26"/>
  <c r="J10" i="26"/>
  <c r="I10" i="26"/>
  <c r="H10" i="26"/>
  <c r="G10" i="26"/>
  <c r="E10" i="26"/>
  <c r="D10" i="26"/>
  <c r="C10" i="26" s="1"/>
  <c r="J9" i="26"/>
  <c r="I9" i="26"/>
  <c r="H9" i="26"/>
  <c r="G9" i="26"/>
  <c r="E9" i="26"/>
  <c r="C9" i="26" s="1"/>
  <c r="D9" i="26"/>
  <c r="J8" i="26"/>
  <c r="I8" i="26"/>
  <c r="H8" i="26"/>
  <c r="G8" i="26"/>
  <c r="E8" i="26"/>
  <c r="D8" i="26"/>
  <c r="C8" i="26" s="1"/>
  <c r="J7" i="26"/>
  <c r="I7" i="26"/>
  <c r="H7" i="26"/>
  <c r="G7" i="26"/>
  <c r="E7" i="26"/>
  <c r="D7" i="26"/>
  <c r="C7" i="26"/>
  <c r="J6" i="26"/>
  <c r="I6" i="26"/>
  <c r="H6" i="26"/>
  <c r="G6" i="26"/>
  <c r="E6" i="26"/>
  <c r="D6" i="26"/>
  <c r="C6" i="26" s="1"/>
  <c r="J5" i="26"/>
  <c r="I5" i="26"/>
  <c r="H5" i="26"/>
  <c r="G5" i="26"/>
  <c r="E5" i="26"/>
  <c r="C5" i="26" s="1"/>
  <c r="D5" i="26"/>
  <c r="J4" i="26"/>
  <c r="I4" i="26"/>
  <c r="H4" i="26"/>
  <c r="G4" i="26"/>
  <c r="E4" i="26"/>
  <c r="D4" i="26"/>
  <c r="C4" i="26" s="1"/>
  <c r="I26" i="27"/>
  <c r="H26" i="27"/>
  <c r="G26" i="27"/>
  <c r="E26" i="27"/>
  <c r="D26" i="27"/>
  <c r="C26" i="27"/>
  <c r="J25" i="27"/>
  <c r="I25" i="27"/>
  <c r="H25" i="27"/>
  <c r="G25" i="27"/>
  <c r="E25" i="27"/>
  <c r="D25" i="27"/>
  <c r="C25" i="27"/>
  <c r="J24" i="27"/>
  <c r="I24" i="27"/>
  <c r="H24" i="27"/>
  <c r="G24" i="27"/>
  <c r="E24" i="27"/>
  <c r="D24" i="27"/>
  <c r="C24" i="27" s="1"/>
  <c r="I23" i="27"/>
  <c r="H23" i="27"/>
  <c r="G23" i="27"/>
  <c r="E23" i="27"/>
  <c r="D23" i="27"/>
  <c r="C23" i="27"/>
  <c r="J22" i="27"/>
  <c r="I22" i="27"/>
  <c r="H22" i="27"/>
  <c r="G22" i="27"/>
  <c r="E22" i="27"/>
  <c r="D22" i="27"/>
  <c r="C22" i="27"/>
  <c r="J21" i="27"/>
  <c r="I21" i="27"/>
  <c r="H21" i="27"/>
  <c r="G21" i="27"/>
  <c r="E21" i="27"/>
  <c r="D21" i="27"/>
  <c r="C21" i="27" s="1"/>
  <c r="J20" i="27"/>
  <c r="I20" i="27"/>
  <c r="H20" i="27"/>
  <c r="G20" i="27"/>
  <c r="E20" i="27"/>
  <c r="D20" i="27"/>
  <c r="C20" i="27" s="1"/>
  <c r="J19" i="27"/>
  <c r="I19" i="27"/>
  <c r="H19" i="27"/>
  <c r="G19" i="27"/>
  <c r="E19" i="27"/>
  <c r="D19" i="27"/>
  <c r="C19" i="27" s="1"/>
  <c r="J18" i="27"/>
  <c r="I18" i="27"/>
  <c r="H18" i="27"/>
  <c r="G18" i="27"/>
  <c r="E18" i="27"/>
  <c r="D18" i="27"/>
  <c r="C18" i="27"/>
  <c r="J17" i="27"/>
  <c r="I17" i="27"/>
  <c r="H17" i="27"/>
  <c r="G17" i="27"/>
  <c r="E17" i="27"/>
  <c r="D17" i="27"/>
  <c r="C17" i="27" s="1"/>
  <c r="J16" i="27"/>
  <c r="I16" i="27"/>
  <c r="H16" i="27"/>
  <c r="G16" i="27"/>
  <c r="E16" i="27"/>
  <c r="D16" i="27"/>
  <c r="C16" i="27" s="1"/>
  <c r="J15" i="27"/>
  <c r="I15" i="27"/>
  <c r="H15" i="27"/>
  <c r="G15" i="27"/>
  <c r="E15" i="27"/>
  <c r="D15" i="27"/>
  <c r="C15" i="27" s="1"/>
  <c r="J14" i="27"/>
  <c r="I14" i="27"/>
  <c r="H14" i="27"/>
  <c r="G14" i="27"/>
  <c r="E14" i="27"/>
  <c r="D14" i="27"/>
  <c r="C14" i="27"/>
  <c r="J13" i="27"/>
  <c r="I13" i="27"/>
  <c r="H13" i="27"/>
  <c r="G13" i="27"/>
  <c r="E13" i="27"/>
  <c r="D13" i="27"/>
  <c r="C13" i="27" s="1"/>
  <c r="J12" i="27"/>
  <c r="I12" i="27"/>
  <c r="H12" i="27"/>
  <c r="G12" i="27"/>
  <c r="E12" i="27"/>
  <c r="D12" i="27"/>
  <c r="C12" i="27" s="1"/>
  <c r="J11" i="27"/>
  <c r="I11" i="27"/>
  <c r="H11" i="27"/>
  <c r="G11" i="27"/>
  <c r="E11" i="27"/>
  <c r="D11" i="27"/>
  <c r="C11" i="27" s="1"/>
  <c r="J10" i="27"/>
  <c r="I10" i="27"/>
  <c r="H10" i="27"/>
  <c r="G10" i="27"/>
  <c r="E10" i="27"/>
  <c r="D10" i="27"/>
  <c r="C10" i="27"/>
  <c r="J9" i="27"/>
  <c r="I9" i="27"/>
  <c r="H9" i="27"/>
  <c r="G9" i="27"/>
  <c r="E9" i="27"/>
  <c r="D9" i="27"/>
  <c r="C9" i="27" s="1"/>
  <c r="J8" i="27"/>
  <c r="I8" i="27"/>
  <c r="H8" i="27"/>
  <c r="G8" i="27"/>
  <c r="E8" i="27"/>
  <c r="D8" i="27"/>
  <c r="C8" i="27" s="1"/>
  <c r="J7" i="27"/>
  <c r="I7" i="27"/>
  <c r="H7" i="27"/>
  <c r="G7" i="27"/>
  <c r="E7" i="27"/>
  <c r="D7" i="27"/>
  <c r="C7" i="27" s="1"/>
  <c r="J6" i="27"/>
  <c r="I6" i="27"/>
  <c r="H6" i="27"/>
  <c r="G6" i="27"/>
  <c r="E6" i="27"/>
  <c r="D6" i="27"/>
  <c r="C6" i="27"/>
  <c r="J5" i="27"/>
  <c r="I5" i="27"/>
  <c r="H5" i="27"/>
  <c r="G5" i="27"/>
  <c r="E5" i="27"/>
  <c r="D5" i="27"/>
  <c r="C5" i="27" s="1"/>
  <c r="J4" i="27"/>
  <c r="I4" i="27"/>
  <c r="H4" i="27"/>
  <c r="G4" i="27"/>
  <c r="E4" i="27"/>
  <c r="D4" i="27"/>
  <c r="C4" i="27" s="1"/>
  <c r="I23" i="28"/>
  <c r="H23" i="28"/>
  <c r="G23" i="28"/>
  <c r="E23" i="28"/>
  <c r="D23" i="28"/>
  <c r="C23" i="28" s="1"/>
  <c r="J22" i="28"/>
  <c r="I22" i="28"/>
  <c r="H22" i="28"/>
  <c r="G22" i="28"/>
  <c r="E22" i="28"/>
  <c r="D22" i="28"/>
  <c r="C22" i="28"/>
  <c r="J21" i="28"/>
  <c r="I21" i="28"/>
  <c r="H21" i="28"/>
  <c r="G21" i="28"/>
  <c r="E21" i="28"/>
  <c r="D21" i="28"/>
  <c r="C21" i="28" s="1"/>
  <c r="J20" i="28"/>
  <c r="I20" i="28"/>
  <c r="H20" i="28"/>
  <c r="G20" i="28"/>
  <c r="E20" i="28"/>
  <c r="D20" i="28"/>
  <c r="C20" i="28" s="1"/>
  <c r="J19" i="28"/>
  <c r="I19" i="28"/>
  <c r="H19" i="28"/>
  <c r="G19" i="28"/>
  <c r="E19" i="28"/>
  <c r="D19" i="28"/>
  <c r="C19" i="28"/>
  <c r="J18" i="28"/>
  <c r="I18" i="28"/>
  <c r="H18" i="28"/>
  <c r="G18" i="28"/>
  <c r="E18" i="28"/>
  <c r="D18" i="28"/>
  <c r="C18" i="28"/>
  <c r="J17" i="28"/>
  <c r="I17" i="28"/>
  <c r="H17" i="28"/>
  <c r="G17" i="28"/>
  <c r="E17" i="28"/>
  <c r="C17" i="28" s="1"/>
  <c r="D17" i="28"/>
  <c r="J16" i="28"/>
  <c r="I16" i="28"/>
  <c r="H16" i="28"/>
  <c r="G16" i="28"/>
  <c r="E16" i="28"/>
  <c r="D16" i="28"/>
  <c r="C16" i="28" s="1"/>
  <c r="J15" i="28"/>
  <c r="I15" i="28"/>
  <c r="H15" i="28"/>
  <c r="G15" i="28"/>
  <c r="E15" i="28"/>
  <c r="D15" i="28"/>
  <c r="C15" i="28"/>
  <c r="J14" i="28"/>
  <c r="I14" i="28"/>
  <c r="H14" i="28"/>
  <c r="G14" i="28"/>
  <c r="E14" i="28"/>
  <c r="D14" i="28"/>
  <c r="C14" i="28"/>
  <c r="J13" i="28"/>
  <c r="I13" i="28"/>
  <c r="H13" i="28"/>
  <c r="G13" i="28"/>
  <c r="E13" i="28"/>
  <c r="C13" i="28" s="1"/>
  <c r="D13" i="28"/>
  <c r="J12" i="28"/>
  <c r="I12" i="28"/>
  <c r="H12" i="28"/>
  <c r="G12" i="28"/>
  <c r="E12" i="28"/>
  <c r="D12" i="28"/>
  <c r="C12" i="28" s="1"/>
  <c r="J11" i="28"/>
  <c r="I11" i="28"/>
  <c r="H11" i="28"/>
  <c r="G11" i="28"/>
  <c r="E11" i="28"/>
  <c r="D11" i="28"/>
  <c r="C11" i="28"/>
  <c r="J10" i="28"/>
  <c r="I10" i="28"/>
  <c r="H10" i="28"/>
  <c r="G10" i="28"/>
  <c r="E10" i="28"/>
  <c r="D10" i="28"/>
  <c r="C10" i="28"/>
  <c r="J9" i="28"/>
  <c r="I9" i="28"/>
  <c r="H9" i="28"/>
  <c r="G9" i="28"/>
  <c r="E9" i="28"/>
  <c r="C9" i="28" s="1"/>
  <c r="D9" i="28"/>
  <c r="J8" i="28"/>
  <c r="I8" i="28"/>
  <c r="H8" i="28"/>
  <c r="G8" i="28"/>
  <c r="E8" i="28"/>
  <c r="D8" i="28"/>
  <c r="C8" i="28" s="1"/>
  <c r="J7" i="28"/>
  <c r="I7" i="28"/>
  <c r="H7" i="28"/>
  <c r="G7" i="28"/>
  <c r="E7" i="28"/>
  <c r="D7" i="28"/>
  <c r="C7" i="28"/>
  <c r="J6" i="28"/>
  <c r="I6" i="28"/>
  <c r="H6" i="28"/>
  <c r="G6" i="28"/>
  <c r="E6" i="28"/>
  <c r="D6" i="28"/>
  <c r="C6" i="28"/>
  <c r="J5" i="28"/>
  <c r="I5" i="28"/>
  <c r="H5" i="28"/>
  <c r="G5" i="28"/>
  <c r="E5" i="28"/>
  <c r="C5" i="28" s="1"/>
  <c r="D5" i="28"/>
  <c r="J4" i="28"/>
  <c r="I4" i="28"/>
  <c r="H4" i="28"/>
  <c r="G4" i="28"/>
  <c r="E4" i="28"/>
  <c r="D4" i="28"/>
  <c r="C4" i="28" s="1"/>
  <c r="I26" i="31"/>
  <c r="H26" i="31"/>
  <c r="G26" i="31"/>
  <c r="E26" i="31"/>
  <c r="D26" i="31"/>
  <c r="C26" i="31"/>
  <c r="J25" i="31"/>
  <c r="I25" i="31"/>
  <c r="H25" i="31"/>
  <c r="G25" i="31"/>
  <c r="E25" i="31"/>
  <c r="C25" i="31" s="1"/>
  <c r="D25" i="31"/>
  <c r="J24" i="31"/>
  <c r="I24" i="31"/>
  <c r="H24" i="31"/>
  <c r="G24" i="31"/>
  <c r="E24" i="31"/>
  <c r="D24" i="31"/>
  <c r="C24" i="31" s="1"/>
  <c r="I23" i="31"/>
  <c r="H23" i="31"/>
  <c r="G23" i="31"/>
  <c r="E23" i="31"/>
  <c r="D23" i="31"/>
  <c r="C23" i="31"/>
  <c r="J22" i="31"/>
  <c r="I22" i="31"/>
  <c r="H22" i="31"/>
  <c r="G22" i="31"/>
  <c r="E22" i="31"/>
  <c r="C22" i="31" s="1"/>
  <c r="D22" i="31"/>
  <c r="J21" i="31"/>
  <c r="I21" i="31"/>
  <c r="H21" i="31"/>
  <c r="G21" i="31"/>
  <c r="E21" i="31"/>
  <c r="D21" i="31"/>
  <c r="C21" i="31" s="1"/>
  <c r="J20" i="31"/>
  <c r="I20" i="31"/>
  <c r="H20" i="31"/>
  <c r="G20" i="31"/>
  <c r="E20" i="31"/>
  <c r="D20" i="31"/>
  <c r="C20" i="31" s="1"/>
  <c r="J19" i="31"/>
  <c r="I19" i="31"/>
  <c r="H19" i="31"/>
  <c r="G19" i="31"/>
  <c r="E19" i="31"/>
  <c r="D19" i="31"/>
  <c r="C19" i="31"/>
  <c r="J18" i="31"/>
  <c r="I18" i="31"/>
  <c r="H18" i="31"/>
  <c r="G18" i="31"/>
  <c r="E18" i="31"/>
  <c r="C18" i="31" s="1"/>
  <c r="D18" i="31"/>
  <c r="J17" i="31"/>
  <c r="I17" i="31"/>
  <c r="H17" i="31"/>
  <c r="G17" i="31"/>
  <c r="E17" i="31"/>
  <c r="D17" i="31"/>
  <c r="C17" i="31" s="1"/>
  <c r="J16" i="31"/>
  <c r="I16" i="31"/>
  <c r="H16" i="31"/>
  <c r="G16" i="31"/>
  <c r="E16" i="31"/>
  <c r="D16" i="31"/>
  <c r="C16" i="31" s="1"/>
  <c r="J15" i="31"/>
  <c r="I15" i="31"/>
  <c r="H15" i="31"/>
  <c r="G15" i="31"/>
  <c r="E15" i="31"/>
  <c r="D15" i="31"/>
  <c r="C15" i="31"/>
  <c r="J14" i="31"/>
  <c r="I14" i="31"/>
  <c r="H14" i="31"/>
  <c r="G14" i="31"/>
  <c r="E14" i="31"/>
  <c r="C14" i="31" s="1"/>
  <c r="D14" i="31"/>
  <c r="J13" i="31"/>
  <c r="I13" i="31"/>
  <c r="H13" i="31"/>
  <c r="G13" i="31"/>
  <c r="E13" i="31"/>
  <c r="D13" i="31"/>
  <c r="C13" i="31" s="1"/>
  <c r="J12" i="31"/>
  <c r="I12" i="31"/>
  <c r="H12" i="31"/>
  <c r="G12" i="31"/>
  <c r="E12" i="31"/>
  <c r="D12" i="31"/>
  <c r="C12" i="31" s="1"/>
  <c r="J11" i="31"/>
  <c r="I11" i="31"/>
  <c r="H11" i="31"/>
  <c r="G11" i="31"/>
  <c r="E11" i="31"/>
  <c r="D11" i="31"/>
  <c r="C11" i="31"/>
  <c r="J10" i="31"/>
  <c r="I10" i="31"/>
  <c r="H10" i="31"/>
  <c r="G10" i="31"/>
  <c r="E10" i="31"/>
  <c r="C10" i="31" s="1"/>
  <c r="D10" i="31"/>
  <c r="J9" i="31"/>
  <c r="I9" i="31"/>
  <c r="H9" i="31"/>
  <c r="G9" i="31"/>
  <c r="E9" i="31"/>
  <c r="D9" i="31"/>
  <c r="C9" i="31" s="1"/>
  <c r="J8" i="31"/>
  <c r="I8" i="31"/>
  <c r="H8" i="31"/>
  <c r="G8" i="31"/>
  <c r="E8" i="31"/>
  <c r="D8" i="31"/>
  <c r="C8" i="31" s="1"/>
  <c r="J7" i="31"/>
  <c r="I7" i="31"/>
  <c r="H7" i="31"/>
  <c r="G7" i="31"/>
  <c r="E7" i="31"/>
  <c r="D7" i="31"/>
  <c r="C7" i="31"/>
  <c r="J6" i="31"/>
  <c r="I6" i="31"/>
  <c r="H6" i="31"/>
  <c r="G6" i="31"/>
  <c r="E6" i="31"/>
  <c r="C6" i="31" s="1"/>
  <c r="D6" i="31"/>
  <c r="J5" i="31"/>
  <c r="I5" i="31"/>
  <c r="H5" i="31"/>
  <c r="G5" i="31"/>
  <c r="E5" i="31"/>
  <c r="D5" i="31"/>
  <c r="C5" i="31" s="1"/>
  <c r="J4" i="31"/>
  <c r="I4" i="31"/>
  <c r="H4" i="31"/>
  <c r="G4" i="31"/>
  <c r="E4" i="31"/>
  <c r="D4" i="31"/>
  <c r="C4" i="31" s="1"/>
  <c r="I27" i="30"/>
  <c r="H27" i="30"/>
  <c r="G27" i="30"/>
  <c r="E27" i="30"/>
  <c r="D27" i="30"/>
  <c r="C27" i="30"/>
  <c r="J26" i="30"/>
  <c r="I26" i="30"/>
  <c r="H26" i="30"/>
  <c r="G26" i="30"/>
  <c r="E26" i="30"/>
  <c r="C26" i="30" s="1"/>
  <c r="D26" i="30"/>
  <c r="J25" i="30"/>
  <c r="I25" i="30"/>
  <c r="H25" i="30"/>
  <c r="G25" i="30"/>
  <c r="E25" i="30"/>
  <c r="D25" i="30"/>
  <c r="C25" i="30" s="1"/>
  <c r="I24" i="30"/>
  <c r="H24" i="30"/>
  <c r="G24" i="30"/>
  <c r="E24" i="30"/>
  <c r="D24" i="30"/>
  <c r="C24" i="30"/>
  <c r="J23" i="30"/>
  <c r="I23" i="30"/>
  <c r="H23" i="30"/>
  <c r="G23" i="30"/>
  <c r="E23" i="30"/>
  <c r="C23" i="30" s="1"/>
  <c r="D23" i="30"/>
  <c r="J22" i="30"/>
  <c r="I22" i="30"/>
  <c r="H22" i="30"/>
  <c r="G22" i="30"/>
  <c r="E22" i="30"/>
  <c r="D22" i="30"/>
  <c r="C22" i="30" s="1"/>
  <c r="J21" i="30"/>
  <c r="I21" i="30"/>
  <c r="H21" i="30"/>
  <c r="G21" i="30"/>
  <c r="E21" i="30"/>
  <c r="D21" i="30"/>
  <c r="C21" i="30"/>
  <c r="J20" i="30"/>
  <c r="I20" i="30"/>
  <c r="H20" i="30"/>
  <c r="G20" i="30"/>
  <c r="E20" i="30"/>
  <c r="D20" i="30"/>
  <c r="C20" i="30"/>
  <c r="I19" i="30"/>
  <c r="H19" i="30"/>
  <c r="G19" i="30"/>
  <c r="E19" i="30"/>
  <c r="D19" i="30"/>
  <c r="C19" i="30" s="1"/>
  <c r="J18" i="30"/>
  <c r="I18" i="30"/>
  <c r="H18" i="30"/>
  <c r="G18" i="30"/>
  <c r="E18" i="30"/>
  <c r="D18" i="30"/>
  <c r="C18" i="30"/>
  <c r="J17" i="30"/>
  <c r="I17" i="30"/>
  <c r="H17" i="30"/>
  <c r="G17" i="30"/>
  <c r="E17" i="30"/>
  <c r="D17" i="30"/>
  <c r="C17" i="30"/>
  <c r="J16" i="30"/>
  <c r="I16" i="30"/>
  <c r="H16" i="30"/>
  <c r="G16" i="30"/>
  <c r="E16" i="30"/>
  <c r="D16" i="30"/>
  <c r="C16" i="30" s="1"/>
  <c r="J15" i="30"/>
  <c r="I15" i="30"/>
  <c r="H15" i="30"/>
  <c r="G15" i="30"/>
  <c r="E15" i="30"/>
  <c r="D15" i="30"/>
  <c r="C15" i="30" s="1"/>
  <c r="J14" i="30"/>
  <c r="I14" i="30"/>
  <c r="H14" i="30"/>
  <c r="G14" i="30"/>
  <c r="E14" i="30"/>
  <c r="D14" i="30"/>
  <c r="C14" i="30"/>
  <c r="J13" i="30"/>
  <c r="I13" i="30"/>
  <c r="H13" i="30"/>
  <c r="G13" i="30"/>
  <c r="E13" i="30"/>
  <c r="D13" i="30"/>
  <c r="C13" i="30"/>
  <c r="J12" i="30"/>
  <c r="I12" i="30"/>
  <c r="H12" i="30"/>
  <c r="G12" i="30"/>
  <c r="E12" i="30"/>
  <c r="D12" i="30"/>
  <c r="C12" i="30" s="1"/>
  <c r="J11" i="30"/>
  <c r="I11" i="30"/>
  <c r="H11" i="30"/>
  <c r="G11" i="30"/>
  <c r="E11" i="30"/>
  <c r="D11" i="30"/>
  <c r="C11" i="30" s="1"/>
  <c r="J10" i="30"/>
  <c r="I10" i="30"/>
  <c r="H10" i="30"/>
  <c r="G10" i="30"/>
  <c r="E10" i="30"/>
  <c r="D10" i="30"/>
  <c r="C10" i="30" s="1"/>
  <c r="J9" i="30"/>
  <c r="I9" i="30"/>
  <c r="H9" i="30"/>
  <c r="G9" i="30"/>
  <c r="E9" i="30"/>
  <c r="D9" i="30"/>
  <c r="C9" i="30"/>
  <c r="J8" i="30"/>
  <c r="I8" i="30"/>
  <c r="H8" i="30"/>
  <c r="G8" i="30"/>
  <c r="E8" i="30"/>
  <c r="D8" i="30"/>
  <c r="C8" i="30" s="1"/>
  <c r="J7" i="30"/>
  <c r="I7" i="30"/>
  <c r="H7" i="30"/>
  <c r="G7" i="30"/>
  <c r="E7" i="30"/>
  <c r="D7" i="30"/>
  <c r="C7" i="30" s="1"/>
  <c r="J6" i="30"/>
  <c r="I6" i="30"/>
  <c r="H6" i="30"/>
  <c r="G6" i="30"/>
  <c r="E6" i="30"/>
  <c r="D6" i="30"/>
  <c r="C6" i="30" s="1"/>
  <c r="J5" i="30"/>
  <c r="I5" i="30"/>
  <c r="H5" i="30"/>
  <c r="G5" i="30"/>
  <c r="E5" i="30"/>
  <c r="D5" i="30"/>
  <c r="C5" i="30"/>
  <c r="J4" i="30"/>
  <c r="I4" i="30"/>
  <c r="H4" i="30"/>
  <c r="G4" i="30"/>
  <c r="E4" i="30"/>
  <c r="D4" i="30"/>
  <c r="C4" i="30" s="1"/>
  <c r="I13" i="29"/>
  <c r="H13" i="29"/>
  <c r="G13" i="29"/>
  <c r="E13" i="29"/>
  <c r="D13" i="29"/>
  <c r="C13" i="29"/>
  <c r="J12" i="29"/>
  <c r="I12" i="29"/>
  <c r="H12" i="29"/>
  <c r="G12" i="29"/>
  <c r="E12" i="29"/>
  <c r="D12" i="29"/>
  <c r="C12" i="29"/>
  <c r="J11" i="29"/>
  <c r="I11" i="29"/>
  <c r="H11" i="29"/>
  <c r="G11" i="29"/>
  <c r="E11" i="29"/>
  <c r="D11" i="29"/>
  <c r="C11" i="29" s="1"/>
  <c r="J10" i="29"/>
  <c r="I10" i="29"/>
  <c r="H10" i="29"/>
  <c r="G10" i="29"/>
  <c r="E10" i="29"/>
  <c r="D10" i="29"/>
  <c r="C10" i="29" s="1"/>
  <c r="J9" i="29"/>
  <c r="I9" i="29"/>
  <c r="H9" i="29"/>
  <c r="G9" i="29"/>
  <c r="E9" i="29"/>
  <c r="D9" i="29"/>
  <c r="C9" i="29"/>
  <c r="J8" i="29"/>
  <c r="I8" i="29"/>
  <c r="H8" i="29"/>
  <c r="G8" i="29"/>
  <c r="E8" i="29"/>
  <c r="D8" i="29"/>
  <c r="C8" i="29"/>
  <c r="J7" i="29"/>
  <c r="I7" i="29"/>
  <c r="H7" i="29"/>
  <c r="G7" i="29"/>
  <c r="E7" i="29"/>
  <c r="D7" i="29"/>
  <c r="C7" i="29" s="1"/>
  <c r="J6" i="29"/>
  <c r="I6" i="29"/>
  <c r="H6" i="29"/>
  <c r="G6" i="29"/>
  <c r="E6" i="29"/>
  <c r="D6" i="29"/>
  <c r="C6" i="29" s="1"/>
  <c r="J5" i="29"/>
  <c r="I5" i="29"/>
  <c r="H5" i="29"/>
  <c r="G5" i="29"/>
  <c r="E5" i="29"/>
  <c r="D5" i="29"/>
  <c r="C5" i="29"/>
  <c r="J4" i="29"/>
  <c r="I4" i="29"/>
  <c r="H4" i="29"/>
  <c r="G4" i="29"/>
  <c r="E4" i="29"/>
  <c r="D4" i="29"/>
  <c r="C4" i="29"/>
  <c r="F27" i="21" l="1"/>
</calcChain>
</file>

<file path=xl/sharedStrings.xml><?xml version="1.0" encoding="utf-8"?>
<sst xmlns="http://schemas.openxmlformats.org/spreadsheetml/2006/main" count="686" uniqueCount="95">
  <si>
    <t>薪酬方案</t>
  </si>
  <si>
    <t>职位</t>
  </si>
  <si>
    <t>职级</t>
  </si>
  <si>
    <t>年薪总额</t>
  </si>
  <si>
    <t>年终奖金</t>
  </si>
  <si>
    <t>基本年薪</t>
  </si>
  <si>
    <t>基本月薪</t>
  </si>
  <si>
    <t>基本工资</t>
  </si>
  <si>
    <t>岗位工资</t>
  </si>
  <si>
    <t>绩效工资</t>
  </si>
  <si>
    <t>薪酬上
浮倍数</t>
  </si>
  <si>
    <t>审批权限</t>
  </si>
  <si>
    <t>年终奖金（约）</t>
  </si>
  <si>
    <t>基本月薪分布</t>
  </si>
  <si>
    <t>社保购买标准</t>
  </si>
  <si>
    <t>住房公积金标准</t>
  </si>
  <si>
    <t>结婚礼金标准</t>
  </si>
  <si>
    <t>白喜事慰问标准</t>
  </si>
  <si>
    <t>燃油费补贴</t>
  </si>
  <si>
    <t>副总经理
以上职位</t>
  </si>
  <si>
    <r>
      <rPr>
        <sz val="10"/>
        <rFont val="宋体"/>
        <charset val="134"/>
      </rPr>
      <t>明星级（A</t>
    </r>
    <r>
      <rPr>
        <sz val="10"/>
        <rFont val="宋体"/>
        <charset val="134"/>
      </rPr>
      <t>+</t>
    </r>
    <r>
      <rPr>
        <sz val="10"/>
        <rFont val="宋体"/>
        <charset val="134"/>
      </rPr>
      <t>）</t>
    </r>
  </si>
  <si>
    <t>总经理</t>
  </si>
  <si>
    <t>基本月薪1.8倍</t>
  </si>
  <si>
    <t>五险一金
综合医疗</t>
  </si>
  <si>
    <r>
      <rPr>
        <b/>
        <sz val="12"/>
        <rFont val="宋体"/>
        <charset val="134"/>
      </rPr>
      <t>3000*8%</t>
    </r>
  </si>
  <si>
    <t>优秀级(A2)</t>
  </si>
  <si>
    <r>
      <rPr>
        <sz val="10"/>
        <rFont val="宋体"/>
        <charset val="134"/>
      </rPr>
      <t>合格级(</t>
    </r>
    <r>
      <rPr>
        <sz val="10"/>
        <rFont val="宋体"/>
        <charset val="134"/>
      </rPr>
      <t>A1)</t>
    </r>
  </si>
  <si>
    <r>
      <rPr>
        <sz val="10"/>
        <rFont val="宋体"/>
        <charset val="134"/>
      </rPr>
      <t>基本胜任(</t>
    </r>
    <r>
      <rPr>
        <sz val="10"/>
        <rFont val="宋体"/>
        <charset val="134"/>
      </rPr>
      <t>A)</t>
    </r>
  </si>
  <si>
    <r>
      <rPr>
        <sz val="10"/>
        <rFont val="宋体"/>
        <charset val="134"/>
      </rPr>
      <t>试用期(</t>
    </r>
    <r>
      <rPr>
        <sz val="10"/>
        <rFont val="宋体"/>
        <charset val="134"/>
      </rPr>
      <t>A-)</t>
    </r>
  </si>
  <si>
    <t>总经理助理</t>
  </si>
  <si>
    <t>基本月薪1.5倍</t>
  </si>
  <si>
    <r>
      <rPr>
        <b/>
        <sz val="12"/>
        <rFont val="宋体"/>
        <charset val="134"/>
      </rPr>
      <t>2500*7%</t>
    </r>
  </si>
  <si>
    <t>销售总监</t>
  </si>
  <si>
    <t>销售经理</t>
  </si>
  <si>
    <t>销售主管
产品开发主管</t>
  </si>
  <si>
    <t>部门负责人</t>
  </si>
  <si>
    <t>基本月薪1.2倍</t>
  </si>
  <si>
    <t>五险一金
住院医疗</t>
  </si>
  <si>
    <r>
      <rPr>
        <b/>
        <sz val="12"/>
        <rFont val="宋体"/>
        <charset val="134"/>
      </rPr>
      <t>2000*6%</t>
    </r>
  </si>
  <si>
    <t>无</t>
  </si>
  <si>
    <t xml:space="preserve">销售专员
产品开发专员
</t>
  </si>
  <si>
    <t>卓越级</t>
  </si>
  <si>
    <t>销售二部</t>
  </si>
  <si>
    <t>明星级（A+）</t>
  </si>
  <si>
    <t>基本月薪1倍</t>
  </si>
  <si>
    <t>1500*5%</t>
  </si>
  <si>
    <t>合格级(A1)</t>
  </si>
  <si>
    <t>基本胜任(A)</t>
  </si>
  <si>
    <t>试用期(A-)</t>
  </si>
  <si>
    <t>销售助理</t>
  </si>
  <si>
    <t>运营总监</t>
  </si>
  <si>
    <t>运营经理
SEO经理
高级PHP程序员</t>
  </si>
  <si>
    <t>运营主管
SEO主管
中级PHP程序员</t>
  </si>
  <si>
    <t>运营专员
SEO专员
初级PHP程序员</t>
  </si>
  <si>
    <t>SEO助理</t>
  </si>
  <si>
    <t>财务总监</t>
  </si>
  <si>
    <t>财务经理/
高级会计</t>
  </si>
  <si>
    <t>财务主管/
中级会计</t>
  </si>
  <si>
    <t>出纳/
初级会计</t>
  </si>
  <si>
    <t>设计总监</t>
  </si>
  <si>
    <t>美工组长
UI设计师</t>
  </si>
  <si>
    <t>网页设计师
平面设计师
前端设计师</t>
  </si>
  <si>
    <t>摄影师</t>
  </si>
  <si>
    <t>修图师</t>
  </si>
  <si>
    <t>质检总监</t>
  </si>
  <si>
    <t>质检经理</t>
  </si>
  <si>
    <t>质检工程师</t>
  </si>
  <si>
    <t>质检员</t>
  </si>
  <si>
    <t>采购总监</t>
  </si>
  <si>
    <t>高级采购</t>
  </si>
  <si>
    <t>中级采购</t>
  </si>
  <si>
    <t>初级采购</t>
  </si>
  <si>
    <t>采购助理</t>
  </si>
  <si>
    <t>物流总监</t>
  </si>
  <si>
    <t>物流经理</t>
  </si>
  <si>
    <t>物流主管</t>
  </si>
  <si>
    <t>物流专员</t>
  </si>
  <si>
    <t>仓库主管</t>
  </si>
  <si>
    <r>
      <rPr>
        <b/>
        <sz val="12"/>
        <rFont val="宋体"/>
        <charset val="134"/>
      </rPr>
      <t>2</t>
    </r>
    <r>
      <rPr>
        <b/>
        <sz val="12"/>
        <rFont val="宋体"/>
        <charset val="134"/>
      </rPr>
      <t>000*5%</t>
    </r>
  </si>
  <si>
    <t>仓库管理员</t>
  </si>
  <si>
    <r>
      <rPr>
        <b/>
        <sz val="12"/>
        <rFont val="宋体"/>
        <charset val="134"/>
      </rPr>
      <t>1</t>
    </r>
    <r>
      <rPr>
        <b/>
        <sz val="12"/>
        <rFont val="宋体"/>
        <charset val="134"/>
      </rPr>
      <t>500*5%</t>
    </r>
  </si>
  <si>
    <t>仓库包装工</t>
  </si>
  <si>
    <t>技术总监</t>
  </si>
  <si>
    <t>高级工程师</t>
  </si>
  <si>
    <t>中级工程师</t>
  </si>
  <si>
    <t>初级工程师</t>
  </si>
  <si>
    <t>客服总监</t>
  </si>
  <si>
    <t>客服经理</t>
  </si>
  <si>
    <t>高级客服专员</t>
  </si>
  <si>
    <t xml:space="preserve">客服专员
</t>
  </si>
  <si>
    <t>订单专员</t>
  </si>
  <si>
    <t>人力资源总监</t>
  </si>
  <si>
    <t>人力资源经理</t>
  </si>
  <si>
    <t>人力资源主管</t>
  </si>
  <si>
    <r>
      <rPr>
        <sz val="10"/>
        <rFont val="宋体"/>
        <charset val="134"/>
      </rPr>
      <t xml:space="preserve">人事专员 </t>
    </r>
    <r>
      <rPr>
        <sz val="10"/>
        <rFont val="宋体"/>
        <charset val="134"/>
      </rPr>
      <t xml:space="preserve">    行政助理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</si>
</sst>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_ "/>
    <numFmt numFmtId="179" formatCode="0.00_);[Red]\(0.00\)"/>
  </numFmts>
  <fonts count="10" x14ac:knownFonts="1">
    <font>
      <sz val="12"/>
      <name val="宋体"/>
      <charset val="134"/>
    </font>
    <font>
      <sz val="16"/>
      <name val="黑体"/>
      <charset val="134"/>
    </font>
    <font>
      <b/>
      <sz val="12"/>
      <color indexed="9"/>
      <name val="黑体"/>
      <charset val="134"/>
    </font>
    <font>
      <b/>
      <sz val="10"/>
      <color indexed="9"/>
      <name val="黑体"/>
      <charset val="134"/>
    </font>
    <font>
      <sz val="10"/>
      <name val="宋体"/>
      <charset val="134"/>
    </font>
    <font>
      <sz val="9"/>
      <name val="Arial"/>
      <family val="2"/>
    </font>
    <font>
      <sz val="10"/>
      <name val="Arial"/>
      <family val="2"/>
    </font>
    <font>
      <b/>
      <sz val="10"/>
      <name val="宋体"/>
      <charset val="134"/>
    </font>
    <font>
      <b/>
      <sz val="12"/>
      <name val="宋体"/>
      <charset val="134"/>
    </font>
    <font>
      <sz val="9"/>
      <name val="宋体"/>
      <charset val="134"/>
    </font>
  </fonts>
  <fills count="1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24E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7">
    <xf numFmtId="0" fontId="0" fillId="0" borderId="0" xfId="0">
      <alignment vertical="center"/>
    </xf>
    <xf numFmtId="17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38" fontId="5" fillId="3" borderId="2" xfId="0" applyNumberFormat="1" applyFont="1" applyFill="1" applyBorder="1" applyAlignment="1">
      <alignment horizontal="center" vertical="center"/>
    </xf>
    <xf numFmtId="38" fontId="6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38" fontId="5" fillId="4" borderId="2" xfId="0" applyNumberFormat="1" applyFont="1" applyFill="1" applyBorder="1" applyAlignment="1">
      <alignment horizontal="center" vertical="center"/>
    </xf>
    <xf numFmtId="38" fontId="6" fillId="4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38" fontId="5" fillId="5" borderId="2" xfId="0" applyNumberFormat="1" applyFont="1" applyFill="1" applyBorder="1" applyAlignment="1">
      <alignment horizontal="center" vertical="center"/>
    </xf>
    <xf numFmtId="38" fontId="6" fillId="5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38" fontId="5" fillId="6" borderId="2" xfId="0" applyNumberFormat="1" applyFont="1" applyFill="1" applyBorder="1" applyAlignment="1">
      <alignment horizontal="center" vertical="center"/>
    </xf>
    <xf numFmtId="38" fontId="6" fillId="6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178" fontId="5" fillId="7" borderId="2" xfId="0" applyNumberFormat="1" applyFont="1" applyFill="1" applyBorder="1" applyAlignment="1">
      <alignment horizontal="center" vertical="center"/>
    </xf>
    <xf numFmtId="9" fontId="7" fillId="9" borderId="2" xfId="0" applyNumberFormat="1" applyFont="1" applyFill="1" applyBorder="1" applyAlignment="1">
      <alignment horizontal="center" vertical="center"/>
    </xf>
    <xf numFmtId="9" fontId="8" fillId="10" borderId="4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0" fontId="0" fillId="12" borderId="0" xfId="0" applyFill="1">
      <alignment vertical="center"/>
    </xf>
    <xf numFmtId="0" fontId="4" fillId="13" borderId="2" xfId="0" applyFont="1" applyFill="1" applyBorder="1" applyAlignment="1">
      <alignment horizontal="center" vertical="center"/>
    </xf>
    <xf numFmtId="38" fontId="5" fillId="13" borderId="2" xfId="0" applyNumberFormat="1" applyFont="1" applyFill="1" applyBorder="1" applyAlignment="1">
      <alignment horizontal="center" vertical="center"/>
    </xf>
    <xf numFmtId="38" fontId="6" fillId="13" borderId="2" xfId="0" applyNumberFormat="1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38" fontId="5" fillId="14" borderId="2" xfId="0" applyNumberFormat="1" applyFont="1" applyFill="1" applyBorder="1" applyAlignment="1">
      <alignment horizontal="center" vertical="center"/>
    </xf>
    <xf numFmtId="38" fontId="6" fillId="14" borderId="2" xfId="0" applyNumberFormat="1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38" fontId="5" fillId="15" borderId="2" xfId="0" applyNumberFormat="1" applyFont="1" applyFill="1" applyBorder="1" applyAlignment="1">
      <alignment horizontal="center" vertical="center"/>
    </xf>
    <xf numFmtId="38" fontId="6" fillId="15" borderId="2" xfId="0" applyNumberFormat="1" applyFont="1" applyFill="1" applyBorder="1" applyAlignment="1">
      <alignment horizontal="center" vertical="center"/>
    </xf>
    <xf numFmtId="178" fontId="9" fillId="7" borderId="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78" fontId="3" fillId="2" borderId="2" xfId="0" applyNumberFormat="1" applyFont="1" applyFill="1" applyBorder="1" applyAlignment="1">
      <alignment horizontal="center" vertical="center" wrapText="1"/>
    </xf>
    <xf numFmtId="178" fontId="3" fillId="2" borderId="2" xfId="0" applyNumberFormat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9" fontId="7" fillId="9" borderId="2" xfId="0" applyNumberFormat="1" applyFont="1" applyFill="1" applyBorder="1" applyAlignment="1">
      <alignment horizontal="center" vertical="center"/>
    </xf>
    <xf numFmtId="9" fontId="8" fillId="10" borderId="3" xfId="0" applyNumberFormat="1" applyFont="1" applyFill="1" applyBorder="1" applyAlignment="1">
      <alignment horizontal="center" vertical="center"/>
    </xf>
    <xf numFmtId="9" fontId="8" fillId="10" borderId="5" xfId="0" applyNumberFormat="1" applyFont="1" applyFill="1" applyBorder="1" applyAlignment="1">
      <alignment horizontal="center" vertical="center"/>
    </xf>
    <xf numFmtId="9" fontId="8" fillId="10" borderId="4" xfId="0" applyNumberFormat="1" applyFont="1" applyFill="1" applyBorder="1" applyAlignment="1">
      <alignment horizontal="center" vertical="center"/>
    </xf>
    <xf numFmtId="9" fontId="8" fillId="10" borderId="3" xfId="0" applyNumberFormat="1" applyFont="1" applyFill="1" applyBorder="1" applyAlignment="1">
      <alignment horizontal="center" vertical="center" wrapText="1"/>
    </xf>
    <xf numFmtId="9" fontId="8" fillId="10" borderId="5" xfId="0" applyNumberFormat="1" applyFont="1" applyFill="1" applyBorder="1" applyAlignment="1">
      <alignment horizontal="center" vertical="center" wrapText="1"/>
    </xf>
    <xf numFmtId="9" fontId="8" fillId="10" borderId="4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179" fontId="3" fillId="2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9" fontId="8" fillId="10" borderId="2" xfId="0" applyNumberFormat="1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11" borderId="9" xfId="0" applyFont="1" applyFill="1" applyBorder="1" applyAlignment="1">
      <alignment horizontal="center" vertical="center" wrapText="1"/>
    </xf>
    <xf numFmtId="0" fontId="7" fillId="11" borderId="11" xfId="0" applyFont="1" applyFill="1" applyBorder="1" applyAlignment="1">
      <alignment horizontal="center" vertical="center" wrapText="1"/>
    </xf>
    <xf numFmtId="9" fontId="7" fillId="9" borderId="10" xfId="0" applyNumberFormat="1" applyFont="1" applyFill="1" applyBorder="1" applyAlignment="1">
      <alignment horizontal="center" vertical="center"/>
    </xf>
    <xf numFmtId="9" fontId="7" fillId="9" borderId="0" xfId="0" applyNumberFormat="1" applyFont="1" applyFill="1" applyBorder="1" applyAlignment="1">
      <alignment horizontal="center" vertical="center"/>
    </xf>
    <xf numFmtId="9" fontId="8" fillId="10" borderId="2" xfId="0" applyNumberFormat="1" applyFont="1" applyFill="1" applyBorder="1" applyAlignment="1">
      <alignment horizontal="center" vertical="center" wrapText="1"/>
    </xf>
    <xf numFmtId="49" fontId="8" fillId="3" borderId="12" xfId="0" applyNumberFormat="1" applyFont="1" applyFill="1" applyBorder="1" applyAlignment="1">
      <alignment horizontal="center" vertical="center"/>
    </xf>
    <xf numFmtId="49" fontId="8" fillId="3" borderId="13" xfId="0" applyNumberFormat="1" applyFont="1" applyFill="1" applyBorder="1" applyAlignment="1">
      <alignment horizontal="center" vertical="center"/>
    </xf>
    <xf numFmtId="49" fontId="8" fillId="3" borderId="14" xfId="0" applyNumberFormat="1" applyFont="1" applyFill="1" applyBorder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center" vertical="center" wrapText="1"/>
    </xf>
    <xf numFmtId="9" fontId="7" fillId="9" borderId="3" xfId="0" applyNumberFormat="1" applyFont="1" applyFill="1" applyBorder="1" applyAlignment="1">
      <alignment horizontal="center" vertical="center"/>
    </xf>
    <xf numFmtId="9" fontId="7" fillId="9" borderId="5" xfId="0" applyNumberFormat="1" applyFont="1" applyFill="1" applyBorder="1" applyAlignment="1">
      <alignment horizontal="center" vertical="center"/>
    </xf>
    <xf numFmtId="9" fontId="7" fillId="9" borderId="4" xfId="0" applyNumberFormat="1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12" borderId="11" xfId="0" applyFont="1" applyFill="1" applyBorder="1" applyAlignment="1">
      <alignment horizontal="center" vertical="center" wrapText="1"/>
    </xf>
    <xf numFmtId="0" fontId="6" fillId="12" borderId="0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824E62"/>
      <color rgb="FFB21E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workbookViewId="0">
      <selection activeCell="F19" sqref="F19"/>
    </sheetView>
  </sheetViews>
  <sheetFormatPr defaultColWidth="9" defaultRowHeight="14.25" x14ac:dyDescent="0.15"/>
  <cols>
    <col min="1" max="1" width="11.125" customWidth="1"/>
    <col min="2" max="2" width="10.75" customWidth="1"/>
    <col min="11" max="11" width="7.5" customWidth="1"/>
    <col min="12" max="12" width="14.75" customWidth="1"/>
  </cols>
  <sheetData>
    <row r="1" spans="1:20" ht="20.25" x14ac:dyDescent="0.1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0" x14ac:dyDescent="0.15">
      <c r="A2" s="37" t="s">
        <v>1</v>
      </c>
      <c r="B2" s="44" t="s">
        <v>2</v>
      </c>
      <c r="C2" s="44" t="s">
        <v>3</v>
      </c>
      <c r="D2" s="45" t="s">
        <v>4</v>
      </c>
      <c r="E2" s="44" t="s">
        <v>5</v>
      </c>
      <c r="F2" s="44" t="s">
        <v>6</v>
      </c>
      <c r="G2" s="44" t="s">
        <v>7</v>
      </c>
      <c r="H2" s="44" t="s">
        <v>8</v>
      </c>
      <c r="I2" s="47" t="s">
        <v>9</v>
      </c>
      <c r="J2" s="48" t="s">
        <v>10</v>
      </c>
      <c r="K2" s="44" t="s">
        <v>11</v>
      </c>
      <c r="L2" s="45" t="s">
        <v>12</v>
      </c>
      <c r="M2" s="34" t="s">
        <v>13</v>
      </c>
      <c r="N2" s="35"/>
      <c r="O2" s="36"/>
      <c r="P2" s="44" t="s">
        <v>14</v>
      </c>
      <c r="Q2" s="60" t="s">
        <v>15</v>
      </c>
      <c r="R2" s="64" t="s">
        <v>16</v>
      </c>
      <c r="S2" s="64" t="s">
        <v>17</v>
      </c>
      <c r="T2" s="64" t="s">
        <v>18</v>
      </c>
    </row>
    <row r="3" spans="1:20" x14ac:dyDescent="0.15">
      <c r="A3" s="37"/>
      <c r="B3" s="44"/>
      <c r="C3" s="44"/>
      <c r="D3" s="46"/>
      <c r="E3" s="44"/>
      <c r="F3" s="44"/>
      <c r="G3" s="44"/>
      <c r="H3" s="44"/>
      <c r="I3" s="44"/>
      <c r="J3" s="49"/>
      <c r="K3" s="44"/>
      <c r="L3" s="46"/>
      <c r="M3" s="16" t="s">
        <v>7</v>
      </c>
      <c r="N3" s="16" t="s">
        <v>8</v>
      </c>
      <c r="O3" s="3" t="s">
        <v>9</v>
      </c>
      <c r="P3" s="44"/>
      <c r="Q3" s="60"/>
      <c r="R3" s="64"/>
      <c r="S3" s="64"/>
      <c r="T3" s="64"/>
    </row>
    <row r="4" spans="1:20" x14ac:dyDescent="0.15">
      <c r="A4" s="38" t="s">
        <v>19</v>
      </c>
      <c r="B4" s="4" t="s">
        <v>20</v>
      </c>
      <c r="C4" s="5">
        <f t="shared" ref="C4:C13" si="0">D4+E4</f>
        <v>828000</v>
      </c>
      <c r="D4" s="5">
        <f t="shared" ref="D4:D8" si="1">F4*1.8</f>
        <v>108000</v>
      </c>
      <c r="E4" s="5">
        <f t="shared" ref="E4:E13" si="2">F4*12</f>
        <v>720000</v>
      </c>
      <c r="F4" s="6">
        <v>60000</v>
      </c>
      <c r="G4" s="5">
        <f t="shared" ref="G4:G13" si="3">F4*0.6</f>
        <v>36000</v>
      </c>
      <c r="H4" s="5">
        <f t="shared" ref="H4:H8" si="4">F4*0.15</f>
        <v>9000</v>
      </c>
      <c r="I4" s="5">
        <f t="shared" ref="I4:I8" si="5">F4*0.25</f>
        <v>15000</v>
      </c>
      <c r="J4" s="17">
        <f t="shared" ref="J4:J12" si="6">F4/F5</f>
        <v>1.2</v>
      </c>
      <c r="K4" s="50" t="s">
        <v>21</v>
      </c>
      <c r="L4" s="53" t="s">
        <v>22</v>
      </c>
      <c r="M4" s="54">
        <v>0.6</v>
      </c>
      <c r="N4" s="54">
        <v>0.15</v>
      </c>
      <c r="O4" s="54">
        <v>0.25</v>
      </c>
      <c r="P4" s="57" t="s">
        <v>23</v>
      </c>
      <c r="Q4" s="61" t="s">
        <v>24</v>
      </c>
      <c r="R4" s="65">
        <v>3000</v>
      </c>
      <c r="S4" s="65">
        <v>1500</v>
      </c>
      <c r="T4" s="65">
        <v>2000</v>
      </c>
    </row>
    <row r="5" spans="1:20" x14ac:dyDescent="0.15">
      <c r="A5" s="39"/>
      <c r="B5" s="4" t="s">
        <v>25</v>
      </c>
      <c r="C5" s="5">
        <f t="shared" si="0"/>
        <v>690000</v>
      </c>
      <c r="D5" s="5">
        <f t="shared" si="1"/>
        <v>90000</v>
      </c>
      <c r="E5" s="5">
        <f t="shared" si="2"/>
        <v>600000</v>
      </c>
      <c r="F5" s="6">
        <v>50000</v>
      </c>
      <c r="G5" s="5">
        <f t="shared" si="3"/>
        <v>30000</v>
      </c>
      <c r="H5" s="5">
        <f t="shared" si="4"/>
        <v>7500</v>
      </c>
      <c r="I5" s="5">
        <f t="shared" si="5"/>
        <v>12500</v>
      </c>
      <c r="J5" s="17">
        <f t="shared" si="6"/>
        <v>1.25</v>
      </c>
      <c r="K5" s="51"/>
      <c r="L5" s="53"/>
      <c r="M5" s="55"/>
      <c r="N5" s="55"/>
      <c r="O5" s="55"/>
      <c r="P5" s="58"/>
      <c r="Q5" s="62"/>
      <c r="R5" s="65"/>
      <c r="S5" s="65"/>
      <c r="T5" s="65"/>
    </row>
    <row r="6" spans="1:20" x14ac:dyDescent="0.15">
      <c r="A6" s="39"/>
      <c r="B6" s="4" t="s">
        <v>26</v>
      </c>
      <c r="C6" s="5">
        <f t="shared" si="0"/>
        <v>552000</v>
      </c>
      <c r="D6" s="5">
        <f t="shared" si="1"/>
        <v>72000</v>
      </c>
      <c r="E6" s="5">
        <f t="shared" si="2"/>
        <v>480000</v>
      </c>
      <c r="F6" s="6">
        <v>40000</v>
      </c>
      <c r="G6" s="5">
        <f t="shared" si="3"/>
        <v>24000</v>
      </c>
      <c r="H6" s="5">
        <f t="shared" si="4"/>
        <v>6000</v>
      </c>
      <c r="I6" s="5">
        <f t="shared" si="5"/>
        <v>10000</v>
      </c>
      <c r="J6" s="17">
        <f t="shared" si="6"/>
        <v>1.3333333333333333</v>
      </c>
      <c r="K6" s="51"/>
      <c r="L6" s="53"/>
      <c r="M6" s="55"/>
      <c r="N6" s="55"/>
      <c r="O6" s="55"/>
      <c r="P6" s="58"/>
      <c r="Q6" s="62"/>
      <c r="R6" s="65"/>
      <c r="S6" s="65"/>
      <c r="T6" s="65"/>
    </row>
    <row r="7" spans="1:20" x14ac:dyDescent="0.15">
      <c r="A7" s="39"/>
      <c r="B7" s="4" t="s">
        <v>27</v>
      </c>
      <c r="C7" s="5">
        <f t="shared" si="0"/>
        <v>414000</v>
      </c>
      <c r="D7" s="5">
        <f t="shared" si="1"/>
        <v>54000</v>
      </c>
      <c r="E7" s="5">
        <f t="shared" si="2"/>
        <v>360000</v>
      </c>
      <c r="F7" s="6">
        <v>30000</v>
      </c>
      <c r="G7" s="5">
        <f t="shared" si="3"/>
        <v>18000</v>
      </c>
      <c r="H7" s="5">
        <f t="shared" si="4"/>
        <v>4500</v>
      </c>
      <c r="I7" s="5">
        <f t="shared" si="5"/>
        <v>7500</v>
      </c>
      <c r="J7" s="17">
        <f t="shared" si="6"/>
        <v>1.5</v>
      </c>
      <c r="K7" s="51"/>
      <c r="L7" s="53"/>
      <c r="M7" s="55"/>
      <c r="N7" s="55"/>
      <c r="O7" s="55"/>
      <c r="P7" s="58"/>
      <c r="Q7" s="62"/>
      <c r="R7" s="65"/>
      <c r="S7" s="65"/>
      <c r="T7" s="65"/>
    </row>
    <row r="8" spans="1:20" x14ac:dyDescent="0.15">
      <c r="A8" s="40"/>
      <c r="B8" s="4" t="s">
        <v>28</v>
      </c>
      <c r="C8" s="5">
        <f t="shared" si="0"/>
        <v>276000</v>
      </c>
      <c r="D8" s="5">
        <f t="shared" si="1"/>
        <v>36000</v>
      </c>
      <c r="E8" s="5">
        <f t="shared" si="2"/>
        <v>240000</v>
      </c>
      <c r="F8" s="6">
        <v>20000</v>
      </c>
      <c r="G8" s="5">
        <f t="shared" si="3"/>
        <v>12000</v>
      </c>
      <c r="H8" s="5">
        <f t="shared" si="4"/>
        <v>3000</v>
      </c>
      <c r="I8" s="5">
        <f t="shared" si="5"/>
        <v>5000</v>
      </c>
      <c r="J8" s="17">
        <f t="shared" si="6"/>
        <v>1.5384615384615385</v>
      </c>
      <c r="K8" s="51"/>
      <c r="L8" s="53"/>
      <c r="M8" s="56"/>
      <c r="N8" s="56"/>
      <c r="O8" s="56"/>
      <c r="P8" s="58"/>
      <c r="Q8" s="63"/>
      <c r="R8" s="65"/>
      <c r="S8" s="65"/>
      <c r="T8" s="65"/>
    </row>
    <row r="9" spans="1:20" x14ac:dyDescent="0.15">
      <c r="A9" s="41" t="s">
        <v>29</v>
      </c>
      <c r="B9" s="7" t="s">
        <v>20</v>
      </c>
      <c r="C9" s="8">
        <f t="shared" si="0"/>
        <v>175500</v>
      </c>
      <c r="D9" s="8">
        <f t="shared" ref="D9:D13" si="7">F9*1.5</f>
        <v>19500</v>
      </c>
      <c r="E9" s="8">
        <f t="shared" si="2"/>
        <v>156000</v>
      </c>
      <c r="F9" s="9">
        <v>13000</v>
      </c>
      <c r="G9" s="8">
        <f t="shared" si="3"/>
        <v>7800</v>
      </c>
      <c r="H9" s="8">
        <f t="shared" ref="H9:H13" si="8">F9*0.2</f>
        <v>2600</v>
      </c>
      <c r="I9" s="8">
        <f>F9*0.2</f>
        <v>2600</v>
      </c>
      <c r="J9" s="17">
        <f t="shared" si="6"/>
        <v>1.2380952380952381</v>
      </c>
      <c r="K9" s="51"/>
      <c r="L9" s="53" t="s">
        <v>30</v>
      </c>
      <c r="M9" s="54">
        <v>0.6</v>
      </c>
      <c r="N9" s="54">
        <v>0.2</v>
      </c>
      <c r="O9" s="54">
        <v>0.2</v>
      </c>
      <c r="P9" s="58"/>
      <c r="Q9" s="61" t="s">
        <v>31</v>
      </c>
      <c r="R9" s="65">
        <v>2000</v>
      </c>
      <c r="S9" s="65">
        <v>1000</v>
      </c>
      <c r="T9" s="65">
        <v>1000</v>
      </c>
    </row>
    <row r="10" spans="1:20" x14ac:dyDescent="0.15">
      <c r="A10" s="42"/>
      <c r="B10" s="7" t="s">
        <v>25</v>
      </c>
      <c r="C10" s="8">
        <f t="shared" si="0"/>
        <v>141750</v>
      </c>
      <c r="D10" s="8">
        <f t="shared" si="7"/>
        <v>15750</v>
      </c>
      <c r="E10" s="8">
        <f t="shared" si="2"/>
        <v>126000</v>
      </c>
      <c r="F10" s="9">
        <v>10500</v>
      </c>
      <c r="G10" s="8">
        <f t="shared" si="3"/>
        <v>6300</v>
      </c>
      <c r="H10" s="8">
        <f t="shared" si="8"/>
        <v>2100</v>
      </c>
      <c r="I10" s="8">
        <f t="shared" ref="I10:I13" si="9">F10*0.2</f>
        <v>2100</v>
      </c>
      <c r="J10" s="17">
        <f t="shared" si="6"/>
        <v>1.1666666666666667</v>
      </c>
      <c r="K10" s="51"/>
      <c r="L10" s="53"/>
      <c r="M10" s="55"/>
      <c r="N10" s="55"/>
      <c r="O10" s="55"/>
      <c r="P10" s="58"/>
      <c r="Q10" s="62"/>
      <c r="R10" s="65"/>
      <c r="S10" s="65"/>
      <c r="T10" s="65"/>
    </row>
    <row r="11" spans="1:20" x14ac:dyDescent="0.15">
      <c r="A11" s="42"/>
      <c r="B11" s="7" t="s">
        <v>26</v>
      </c>
      <c r="C11" s="8">
        <f t="shared" si="0"/>
        <v>121500</v>
      </c>
      <c r="D11" s="8">
        <f t="shared" si="7"/>
        <v>13500</v>
      </c>
      <c r="E11" s="8">
        <f t="shared" si="2"/>
        <v>108000</v>
      </c>
      <c r="F11" s="9">
        <v>9000</v>
      </c>
      <c r="G11" s="8">
        <f t="shared" si="3"/>
        <v>5400</v>
      </c>
      <c r="H11" s="8">
        <f t="shared" si="8"/>
        <v>1800</v>
      </c>
      <c r="I11" s="8">
        <f t="shared" si="9"/>
        <v>1800</v>
      </c>
      <c r="J11" s="17">
        <f t="shared" si="6"/>
        <v>1.2</v>
      </c>
      <c r="K11" s="51"/>
      <c r="L11" s="53"/>
      <c r="M11" s="55"/>
      <c r="N11" s="55"/>
      <c r="O11" s="55"/>
      <c r="P11" s="58"/>
      <c r="Q11" s="62"/>
      <c r="R11" s="65"/>
      <c r="S11" s="65"/>
      <c r="T11" s="65"/>
    </row>
    <row r="12" spans="1:20" x14ac:dyDescent="0.15">
      <c r="A12" s="42"/>
      <c r="B12" s="7" t="s">
        <v>27</v>
      </c>
      <c r="C12" s="8">
        <f t="shared" si="0"/>
        <v>101250</v>
      </c>
      <c r="D12" s="8">
        <f t="shared" si="7"/>
        <v>11250</v>
      </c>
      <c r="E12" s="8">
        <f t="shared" si="2"/>
        <v>90000</v>
      </c>
      <c r="F12" s="9">
        <v>7500</v>
      </c>
      <c r="G12" s="8">
        <f t="shared" si="3"/>
        <v>4500</v>
      </c>
      <c r="H12" s="8">
        <f t="shared" si="8"/>
        <v>1500</v>
      </c>
      <c r="I12" s="8">
        <f t="shared" si="9"/>
        <v>1500</v>
      </c>
      <c r="J12" s="17">
        <f t="shared" si="6"/>
        <v>1.25</v>
      </c>
      <c r="K12" s="51"/>
      <c r="L12" s="53"/>
      <c r="M12" s="55"/>
      <c r="N12" s="55"/>
      <c r="O12" s="55"/>
      <c r="P12" s="58"/>
      <c r="Q12" s="62"/>
      <c r="R12" s="65"/>
      <c r="S12" s="65"/>
      <c r="T12" s="65"/>
    </row>
    <row r="13" spans="1:20" x14ac:dyDescent="0.15">
      <c r="A13" s="43"/>
      <c r="B13" s="7" t="s">
        <v>28</v>
      </c>
      <c r="C13" s="8">
        <f t="shared" si="0"/>
        <v>81000</v>
      </c>
      <c r="D13" s="8">
        <f t="shared" si="7"/>
        <v>9000</v>
      </c>
      <c r="E13" s="8">
        <f t="shared" si="2"/>
        <v>72000</v>
      </c>
      <c r="F13" s="9">
        <v>6000</v>
      </c>
      <c r="G13" s="8">
        <f t="shared" si="3"/>
        <v>3600</v>
      </c>
      <c r="H13" s="8">
        <f t="shared" si="8"/>
        <v>1200</v>
      </c>
      <c r="I13" s="8">
        <f t="shared" si="9"/>
        <v>1200</v>
      </c>
      <c r="J13" s="17"/>
      <c r="K13" s="52"/>
      <c r="L13" s="53"/>
      <c r="M13" s="56"/>
      <c r="N13" s="56"/>
      <c r="O13" s="56"/>
      <c r="P13" s="59"/>
      <c r="Q13" s="63"/>
      <c r="R13" s="65"/>
      <c r="S13" s="65"/>
      <c r="T13" s="65"/>
    </row>
  </sheetData>
  <mergeCells count="39">
    <mergeCell ref="S2:S3"/>
    <mergeCell ref="S4:S8"/>
    <mergeCell ref="S9:S13"/>
    <mergeCell ref="T2:T3"/>
    <mergeCell ref="T4:T8"/>
    <mergeCell ref="T9:T13"/>
    <mergeCell ref="Q2:Q3"/>
    <mergeCell ref="Q4:Q8"/>
    <mergeCell ref="Q9:Q13"/>
    <mergeCell ref="R2:R3"/>
    <mergeCell ref="R4:R8"/>
    <mergeCell ref="R9:R13"/>
    <mergeCell ref="N4:N8"/>
    <mergeCell ref="N9:N13"/>
    <mergeCell ref="O4:O8"/>
    <mergeCell ref="O9:O13"/>
    <mergeCell ref="P2:P3"/>
    <mergeCell ref="P4:P13"/>
    <mergeCell ref="L2:L3"/>
    <mergeCell ref="L4:L8"/>
    <mergeCell ref="L9:L13"/>
    <mergeCell ref="M4:M8"/>
    <mergeCell ref="M9:M13"/>
    <mergeCell ref="A1:T1"/>
    <mergeCell ref="M2:O2"/>
    <mergeCell ref="A2:A3"/>
    <mergeCell ref="A4:A8"/>
    <mergeCell ref="A9:A1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K4:K13"/>
  </mergeCells>
  <phoneticPr fontId="9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topLeftCell="H1" zoomScale="130" zoomScaleNormal="130" workbookViewId="0">
      <selection activeCell="F2" sqref="F1:F1048576"/>
    </sheetView>
  </sheetViews>
  <sheetFormatPr defaultColWidth="9" defaultRowHeight="14.25" x14ac:dyDescent="0.15"/>
  <cols>
    <col min="1" max="1" width="13.625" customWidth="1"/>
    <col min="2" max="2" width="10.75" customWidth="1"/>
    <col min="12" max="12" width="14.75" customWidth="1"/>
    <col min="16" max="16" width="12.875" customWidth="1"/>
  </cols>
  <sheetData>
    <row r="1" spans="1:20" ht="20.25" x14ac:dyDescent="0.1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0" x14ac:dyDescent="0.15">
      <c r="A2" s="37" t="s">
        <v>1</v>
      </c>
      <c r="B2" s="44" t="s">
        <v>2</v>
      </c>
      <c r="C2" s="44" t="s">
        <v>3</v>
      </c>
      <c r="D2" s="45" t="s">
        <v>4</v>
      </c>
      <c r="E2" s="44" t="s">
        <v>5</v>
      </c>
      <c r="F2" s="44" t="s">
        <v>6</v>
      </c>
      <c r="G2" s="44" t="s">
        <v>7</v>
      </c>
      <c r="H2" s="44" t="s">
        <v>8</v>
      </c>
      <c r="I2" s="47" t="s">
        <v>9</v>
      </c>
      <c r="J2" s="48" t="s">
        <v>10</v>
      </c>
      <c r="K2" s="44" t="s">
        <v>11</v>
      </c>
      <c r="L2" s="45" t="s">
        <v>12</v>
      </c>
      <c r="M2" s="34" t="s">
        <v>13</v>
      </c>
      <c r="N2" s="35"/>
      <c r="O2" s="36"/>
      <c r="P2" s="44" t="s">
        <v>14</v>
      </c>
      <c r="Q2" s="60" t="s">
        <v>15</v>
      </c>
      <c r="R2" s="64" t="s">
        <v>16</v>
      </c>
      <c r="S2" s="64" t="s">
        <v>17</v>
      </c>
      <c r="T2" s="64" t="s">
        <v>18</v>
      </c>
    </row>
    <row r="3" spans="1:20" x14ac:dyDescent="0.15">
      <c r="A3" s="37"/>
      <c r="B3" s="44"/>
      <c r="C3" s="44"/>
      <c r="D3" s="46"/>
      <c r="E3" s="44"/>
      <c r="F3" s="44"/>
      <c r="G3" s="44"/>
      <c r="H3" s="44"/>
      <c r="I3" s="44"/>
      <c r="J3" s="49"/>
      <c r="K3" s="44"/>
      <c r="L3" s="46"/>
      <c r="M3" s="16" t="s">
        <v>7</v>
      </c>
      <c r="N3" s="16" t="s">
        <v>8</v>
      </c>
      <c r="O3" s="3" t="s">
        <v>9</v>
      </c>
      <c r="P3" s="44"/>
      <c r="Q3" s="60"/>
      <c r="R3" s="64"/>
      <c r="S3" s="64"/>
      <c r="T3" s="64"/>
    </row>
    <row r="4" spans="1:20" x14ac:dyDescent="0.15">
      <c r="A4" s="66" t="s">
        <v>32</v>
      </c>
      <c r="B4" s="4" t="s">
        <v>20</v>
      </c>
      <c r="C4" s="5">
        <f t="shared" ref="C4:C20" si="0">D4+E4</f>
        <v>386400</v>
      </c>
      <c r="D4" s="5">
        <f t="shared" ref="D4:D8" si="1">F4*1.8</f>
        <v>50400</v>
      </c>
      <c r="E4" s="5">
        <f t="shared" ref="E4:E20" si="2">F4*12</f>
        <v>336000</v>
      </c>
      <c r="F4" s="6">
        <v>28000</v>
      </c>
      <c r="G4" s="5">
        <f t="shared" ref="G4:G8" si="3">F4*0.5</f>
        <v>14000</v>
      </c>
      <c r="H4" s="5">
        <f t="shared" ref="H4:H8" si="4">F4*0.1</f>
        <v>2800</v>
      </c>
      <c r="I4" s="5">
        <f t="shared" ref="I4:I8" si="5">F4*0.4</f>
        <v>11200</v>
      </c>
      <c r="J4" s="17">
        <f t="shared" ref="J4:J23" si="6">F4/F5</f>
        <v>1.2173913043478262</v>
      </c>
      <c r="K4" s="50" t="s">
        <v>21</v>
      </c>
      <c r="L4" s="53" t="s">
        <v>22</v>
      </c>
      <c r="M4" s="54">
        <v>0.5</v>
      </c>
      <c r="N4" s="54">
        <v>0.1</v>
      </c>
      <c r="O4" s="54">
        <v>0.4</v>
      </c>
      <c r="P4" s="57" t="s">
        <v>23</v>
      </c>
      <c r="Q4" s="61" t="s">
        <v>24</v>
      </c>
      <c r="R4" s="65">
        <v>3000</v>
      </c>
      <c r="S4" s="65">
        <v>1500</v>
      </c>
      <c r="T4" s="65">
        <v>2000</v>
      </c>
    </row>
    <row r="5" spans="1:20" x14ac:dyDescent="0.15">
      <c r="A5" s="39"/>
      <c r="B5" s="4" t="s">
        <v>25</v>
      </c>
      <c r="C5" s="5">
        <f t="shared" si="0"/>
        <v>317400</v>
      </c>
      <c r="D5" s="5">
        <f t="shared" si="1"/>
        <v>41400</v>
      </c>
      <c r="E5" s="5">
        <f t="shared" si="2"/>
        <v>276000</v>
      </c>
      <c r="F5" s="6">
        <v>23000</v>
      </c>
      <c r="G5" s="5">
        <f t="shared" si="3"/>
        <v>11500</v>
      </c>
      <c r="H5" s="5">
        <f t="shared" si="4"/>
        <v>2300</v>
      </c>
      <c r="I5" s="5">
        <f t="shared" si="5"/>
        <v>9200</v>
      </c>
      <c r="J5" s="17">
        <f t="shared" si="6"/>
        <v>1.1499999999999999</v>
      </c>
      <c r="K5" s="51"/>
      <c r="L5" s="53"/>
      <c r="M5" s="55"/>
      <c r="N5" s="55"/>
      <c r="O5" s="55"/>
      <c r="P5" s="58"/>
      <c r="Q5" s="62"/>
      <c r="R5" s="65"/>
      <c r="S5" s="65"/>
      <c r="T5" s="65"/>
    </row>
    <row r="6" spans="1:20" x14ac:dyDescent="0.15">
      <c r="A6" s="39"/>
      <c r="B6" s="4" t="s">
        <v>26</v>
      </c>
      <c r="C6" s="5">
        <f t="shared" si="0"/>
        <v>276000</v>
      </c>
      <c r="D6" s="5">
        <f t="shared" si="1"/>
        <v>36000</v>
      </c>
      <c r="E6" s="5">
        <f t="shared" si="2"/>
        <v>240000</v>
      </c>
      <c r="F6" s="6">
        <v>20000</v>
      </c>
      <c r="G6" s="5">
        <f t="shared" si="3"/>
        <v>10000</v>
      </c>
      <c r="H6" s="5">
        <f t="shared" si="4"/>
        <v>2000</v>
      </c>
      <c r="I6" s="5">
        <f t="shared" si="5"/>
        <v>8000</v>
      </c>
      <c r="J6" s="17">
        <f t="shared" si="6"/>
        <v>1.1111111111111112</v>
      </c>
      <c r="K6" s="51"/>
      <c r="L6" s="53"/>
      <c r="M6" s="55"/>
      <c r="N6" s="55"/>
      <c r="O6" s="55"/>
      <c r="P6" s="58"/>
      <c r="Q6" s="62"/>
      <c r="R6" s="65"/>
      <c r="S6" s="65"/>
      <c r="T6" s="65"/>
    </row>
    <row r="7" spans="1:20" x14ac:dyDescent="0.15">
      <c r="A7" s="39"/>
      <c r="B7" s="4" t="s">
        <v>27</v>
      </c>
      <c r="C7" s="5">
        <f t="shared" si="0"/>
        <v>248400</v>
      </c>
      <c r="D7" s="5">
        <f t="shared" si="1"/>
        <v>32400</v>
      </c>
      <c r="E7" s="5">
        <f t="shared" si="2"/>
        <v>216000</v>
      </c>
      <c r="F7" s="6">
        <v>18000</v>
      </c>
      <c r="G7" s="5">
        <f t="shared" si="3"/>
        <v>9000</v>
      </c>
      <c r="H7" s="5">
        <f t="shared" si="4"/>
        <v>1800</v>
      </c>
      <c r="I7" s="5">
        <f t="shared" si="5"/>
        <v>7200</v>
      </c>
      <c r="J7" s="17">
        <f t="shared" si="6"/>
        <v>1.2</v>
      </c>
      <c r="K7" s="51"/>
      <c r="L7" s="53"/>
      <c r="M7" s="55"/>
      <c r="N7" s="55"/>
      <c r="O7" s="55"/>
      <c r="P7" s="58"/>
      <c r="Q7" s="62"/>
      <c r="R7" s="65"/>
      <c r="S7" s="65"/>
      <c r="T7" s="65"/>
    </row>
    <row r="8" spans="1:20" x14ac:dyDescent="0.15">
      <c r="A8" s="40"/>
      <c r="B8" s="4" t="s">
        <v>28</v>
      </c>
      <c r="C8" s="5">
        <f t="shared" si="0"/>
        <v>207000</v>
      </c>
      <c r="D8" s="5">
        <f t="shared" si="1"/>
        <v>27000</v>
      </c>
      <c r="E8" s="5">
        <f t="shared" si="2"/>
        <v>180000</v>
      </c>
      <c r="F8" s="6">
        <v>15000</v>
      </c>
      <c r="G8" s="5">
        <f t="shared" si="3"/>
        <v>7500</v>
      </c>
      <c r="H8" s="5">
        <f t="shared" si="4"/>
        <v>1500</v>
      </c>
      <c r="I8" s="5">
        <f t="shared" si="5"/>
        <v>6000</v>
      </c>
      <c r="J8" s="17">
        <f t="shared" si="6"/>
        <v>1</v>
      </c>
      <c r="K8" s="51"/>
      <c r="L8" s="53"/>
      <c r="M8" s="56"/>
      <c r="N8" s="56"/>
      <c r="O8" s="56"/>
      <c r="P8" s="58"/>
      <c r="Q8" s="63"/>
      <c r="R8" s="65"/>
      <c r="S8" s="65"/>
      <c r="T8" s="65"/>
    </row>
    <row r="9" spans="1:20" x14ac:dyDescent="0.15">
      <c r="A9" s="41" t="s">
        <v>33</v>
      </c>
      <c r="B9" s="7" t="s">
        <v>20</v>
      </c>
      <c r="C9" s="8">
        <f t="shared" si="0"/>
        <v>202500</v>
      </c>
      <c r="D9" s="8">
        <f t="shared" ref="D9:D13" si="7">F9*1.5</f>
        <v>22500</v>
      </c>
      <c r="E9" s="8">
        <f t="shared" si="2"/>
        <v>180000</v>
      </c>
      <c r="F9" s="9">
        <v>15000</v>
      </c>
      <c r="G9" s="8">
        <f t="shared" ref="G9:G13" si="8">F9*0.5</f>
        <v>7500</v>
      </c>
      <c r="H9" s="8">
        <f t="shared" ref="H9:H13" si="9">F9*0.15</f>
        <v>2250</v>
      </c>
      <c r="I9" s="8">
        <f t="shared" ref="I9:I13" si="10">F9*0.35</f>
        <v>5250</v>
      </c>
      <c r="J9" s="17">
        <f t="shared" si="6"/>
        <v>1.1111111111111112</v>
      </c>
      <c r="K9" s="51"/>
      <c r="L9" s="53" t="s">
        <v>30</v>
      </c>
      <c r="M9" s="54">
        <v>0.5</v>
      </c>
      <c r="N9" s="54">
        <v>0.15</v>
      </c>
      <c r="O9" s="54">
        <v>0.35</v>
      </c>
      <c r="P9" s="58"/>
      <c r="Q9" s="61" t="s">
        <v>31</v>
      </c>
      <c r="R9" s="65">
        <v>2000</v>
      </c>
      <c r="S9" s="65">
        <v>1000</v>
      </c>
      <c r="T9" s="65">
        <v>1000</v>
      </c>
    </row>
    <row r="10" spans="1:20" x14ac:dyDescent="0.15">
      <c r="A10" s="42"/>
      <c r="B10" s="7" t="s">
        <v>25</v>
      </c>
      <c r="C10" s="8">
        <f t="shared" si="0"/>
        <v>182250</v>
      </c>
      <c r="D10" s="8">
        <f t="shared" si="7"/>
        <v>20250</v>
      </c>
      <c r="E10" s="8">
        <f t="shared" si="2"/>
        <v>162000</v>
      </c>
      <c r="F10" s="9">
        <v>13500</v>
      </c>
      <c r="G10" s="8">
        <f t="shared" si="8"/>
        <v>6750</v>
      </c>
      <c r="H10" s="8">
        <f t="shared" si="9"/>
        <v>2025</v>
      </c>
      <c r="I10" s="8">
        <f t="shared" si="10"/>
        <v>4725</v>
      </c>
      <c r="J10" s="17">
        <f t="shared" si="6"/>
        <v>1.125</v>
      </c>
      <c r="K10" s="51"/>
      <c r="L10" s="53"/>
      <c r="M10" s="55"/>
      <c r="N10" s="55"/>
      <c r="O10" s="55"/>
      <c r="P10" s="58"/>
      <c r="Q10" s="62"/>
      <c r="R10" s="65"/>
      <c r="S10" s="65"/>
      <c r="T10" s="65"/>
    </row>
    <row r="11" spans="1:20" x14ac:dyDescent="0.15">
      <c r="A11" s="42"/>
      <c r="B11" s="7" t="s">
        <v>26</v>
      </c>
      <c r="C11" s="8">
        <f t="shared" si="0"/>
        <v>162000</v>
      </c>
      <c r="D11" s="8">
        <f t="shared" si="7"/>
        <v>18000</v>
      </c>
      <c r="E11" s="8">
        <f t="shared" si="2"/>
        <v>144000</v>
      </c>
      <c r="F11" s="9">
        <v>12000</v>
      </c>
      <c r="G11" s="8">
        <f t="shared" si="8"/>
        <v>6000</v>
      </c>
      <c r="H11" s="8">
        <f t="shared" si="9"/>
        <v>1800</v>
      </c>
      <c r="I11" s="8">
        <f t="shared" si="10"/>
        <v>4200</v>
      </c>
      <c r="J11" s="17">
        <f t="shared" si="6"/>
        <v>1.1428571428571428</v>
      </c>
      <c r="K11" s="51"/>
      <c r="L11" s="53"/>
      <c r="M11" s="55"/>
      <c r="N11" s="55"/>
      <c r="O11" s="55"/>
      <c r="P11" s="58"/>
      <c r="Q11" s="62"/>
      <c r="R11" s="65"/>
      <c r="S11" s="65"/>
      <c r="T11" s="65"/>
    </row>
    <row r="12" spans="1:20" x14ac:dyDescent="0.15">
      <c r="A12" s="42"/>
      <c r="B12" s="7" t="s">
        <v>27</v>
      </c>
      <c r="C12" s="8">
        <f t="shared" si="0"/>
        <v>141750</v>
      </c>
      <c r="D12" s="8">
        <f t="shared" si="7"/>
        <v>15750</v>
      </c>
      <c r="E12" s="8">
        <f t="shared" si="2"/>
        <v>126000</v>
      </c>
      <c r="F12" s="9">
        <v>10500</v>
      </c>
      <c r="G12" s="8">
        <f t="shared" si="8"/>
        <v>5250</v>
      </c>
      <c r="H12" s="8">
        <f t="shared" si="9"/>
        <v>1575</v>
      </c>
      <c r="I12" s="8">
        <f t="shared" si="10"/>
        <v>3674.9999999999995</v>
      </c>
      <c r="J12" s="17">
        <f t="shared" si="6"/>
        <v>1.1052631578947369</v>
      </c>
      <c r="K12" s="51"/>
      <c r="L12" s="53"/>
      <c r="M12" s="55"/>
      <c r="N12" s="55"/>
      <c r="O12" s="55"/>
      <c r="P12" s="58"/>
      <c r="Q12" s="62"/>
      <c r="R12" s="65"/>
      <c r="S12" s="65"/>
      <c r="T12" s="65"/>
    </row>
    <row r="13" spans="1:20" x14ac:dyDescent="0.15">
      <c r="A13" s="43"/>
      <c r="B13" s="7" t="s">
        <v>28</v>
      </c>
      <c r="C13" s="8">
        <f t="shared" si="0"/>
        <v>128250</v>
      </c>
      <c r="D13" s="8">
        <f t="shared" si="7"/>
        <v>14250</v>
      </c>
      <c r="E13" s="8">
        <f t="shared" si="2"/>
        <v>114000</v>
      </c>
      <c r="F13" s="9">
        <v>9500</v>
      </c>
      <c r="G13" s="8">
        <f t="shared" si="8"/>
        <v>4750</v>
      </c>
      <c r="H13" s="8">
        <f t="shared" si="9"/>
        <v>1425</v>
      </c>
      <c r="I13" s="8">
        <f t="shared" si="10"/>
        <v>3325</v>
      </c>
      <c r="J13" s="17">
        <f t="shared" si="6"/>
        <v>1</v>
      </c>
      <c r="K13" s="52"/>
      <c r="L13" s="53"/>
      <c r="M13" s="56"/>
      <c r="N13" s="56"/>
      <c r="O13" s="56"/>
      <c r="P13" s="59"/>
      <c r="Q13" s="63"/>
      <c r="R13" s="65"/>
      <c r="S13" s="65"/>
      <c r="T13" s="65"/>
    </row>
    <row r="14" spans="1:20" x14ac:dyDescent="0.15">
      <c r="A14" s="67" t="s">
        <v>34</v>
      </c>
      <c r="B14" s="10" t="s">
        <v>20</v>
      </c>
      <c r="C14" s="11">
        <f t="shared" si="0"/>
        <v>125400</v>
      </c>
      <c r="D14" s="11">
        <f t="shared" ref="D14:D19" si="11">F14*1.2</f>
        <v>11400</v>
      </c>
      <c r="E14" s="11">
        <f t="shared" si="2"/>
        <v>114000</v>
      </c>
      <c r="F14" s="12">
        <v>9500</v>
      </c>
      <c r="G14" s="11">
        <f t="shared" ref="G14:G19" si="12">F14*0.5</f>
        <v>4750</v>
      </c>
      <c r="H14" s="11">
        <f t="shared" ref="H14:H18" si="13">F14*0.2</f>
        <v>1900</v>
      </c>
      <c r="I14" s="11">
        <f t="shared" ref="I14:I18" si="14">F14*0.3</f>
        <v>2850</v>
      </c>
      <c r="J14" s="17">
        <f t="shared" si="6"/>
        <v>1.1445783132530121</v>
      </c>
      <c r="K14" s="75" t="s">
        <v>35</v>
      </c>
      <c r="L14" s="53" t="s">
        <v>36</v>
      </c>
      <c r="M14" s="54">
        <v>0.5</v>
      </c>
      <c r="N14" s="54">
        <v>0.2</v>
      </c>
      <c r="O14" s="54">
        <v>0.3</v>
      </c>
      <c r="P14" s="57" t="s">
        <v>37</v>
      </c>
      <c r="Q14" s="61" t="s">
        <v>38</v>
      </c>
      <c r="R14" s="65">
        <v>1000</v>
      </c>
      <c r="S14" s="65">
        <v>500</v>
      </c>
      <c r="T14" s="78" t="s">
        <v>39</v>
      </c>
    </row>
    <row r="15" spans="1:20" x14ac:dyDescent="0.15">
      <c r="A15" s="68"/>
      <c r="B15" s="10" t="s">
        <v>25</v>
      </c>
      <c r="C15" s="11">
        <f t="shared" si="0"/>
        <v>109560</v>
      </c>
      <c r="D15" s="11">
        <f t="shared" si="11"/>
        <v>9960</v>
      </c>
      <c r="E15" s="11">
        <f t="shared" si="2"/>
        <v>99600</v>
      </c>
      <c r="F15" s="12">
        <v>8300</v>
      </c>
      <c r="G15" s="11">
        <f t="shared" si="12"/>
        <v>4150</v>
      </c>
      <c r="H15" s="11">
        <f t="shared" si="13"/>
        <v>1660</v>
      </c>
      <c r="I15" s="11">
        <f t="shared" si="14"/>
        <v>2490</v>
      </c>
      <c r="J15" s="17">
        <f t="shared" si="6"/>
        <v>1.1066666666666667</v>
      </c>
      <c r="K15" s="75"/>
      <c r="L15" s="53"/>
      <c r="M15" s="55"/>
      <c r="N15" s="55"/>
      <c r="O15" s="55"/>
      <c r="P15" s="55"/>
      <c r="Q15" s="62"/>
      <c r="R15" s="65"/>
      <c r="S15" s="65"/>
      <c r="T15" s="65"/>
    </row>
    <row r="16" spans="1:20" x14ac:dyDescent="0.15">
      <c r="A16" s="68"/>
      <c r="B16" s="10" t="s">
        <v>26</v>
      </c>
      <c r="C16" s="11">
        <f t="shared" si="0"/>
        <v>99000</v>
      </c>
      <c r="D16" s="11">
        <f t="shared" si="11"/>
        <v>9000</v>
      </c>
      <c r="E16" s="11">
        <f t="shared" si="2"/>
        <v>90000</v>
      </c>
      <c r="F16" s="12">
        <v>7500</v>
      </c>
      <c r="G16" s="11">
        <f t="shared" si="12"/>
        <v>3750</v>
      </c>
      <c r="H16" s="11">
        <f t="shared" si="13"/>
        <v>1500</v>
      </c>
      <c r="I16" s="11">
        <f t="shared" si="14"/>
        <v>2250</v>
      </c>
      <c r="J16" s="17">
        <f t="shared" si="6"/>
        <v>1.1538461538461537</v>
      </c>
      <c r="K16" s="75"/>
      <c r="L16" s="53"/>
      <c r="M16" s="55"/>
      <c r="N16" s="55"/>
      <c r="O16" s="55"/>
      <c r="P16" s="55"/>
      <c r="Q16" s="62"/>
      <c r="R16" s="65"/>
      <c r="S16" s="65"/>
      <c r="T16" s="65"/>
    </row>
    <row r="17" spans="1:20" x14ac:dyDescent="0.15">
      <c r="A17" s="68"/>
      <c r="B17" s="10" t="s">
        <v>27</v>
      </c>
      <c r="C17" s="11">
        <f t="shared" si="0"/>
        <v>85800</v>
      </c>
      <c r="D17" s="11">
        <f t="shared" si="11"/>
        <v>7800</v>
      </c>
      <c r="E17" s="11">
        <f t="shared" si="2"/>
        <v>78000</v>
      </c>
      <c r="F17" s="12">
        <v>6500</v>
      </c>
      <c r="G17" s="11">
        <f t="shared" si="12"/>
        <v>3250</v>
      </c>
      <c r="H17" s="11">
        <f t="shared" si="13"/>
        <v>1300</v>
      </c>
      <c r="I17" s="11">
        <f t="shared" si="14"/>
        <v>1950</v>
      </c>
      <c r="J17" s="17">
        <f t="shared" si="6"/>
        <v>1.1206896551724137</v>
      </c>
      <c r="K17" s="75"/>
      <c r="L17" s="53"/>
      <c r="M17" s="55"/>
      <c r="N17" s="55"/>
      <c r="O17" s="55"/>
      <c r="P17" s="55"/>
      <c r="Q17" s="62"/>
      <c r="R17" s="65"/>
      <c r="S17" s="65"/>
      <c r="T17" s="65"/>
    </row>
    <row r="18" spans="1:20" x14ac:dyDescent="0.15">
      <c r="A18" s="69"/>
      <c r="B18" s="10" t="s">
        <v>28</v>
      </c>
      <c r="C18" s="11">
        <f t="shared" si="0"/>
        <v>76560</v>
      </c>
      <c r="D18" s="11">
        <f t="shared" si="11"/>
        <v>6960</v>
      </c>
      <c r="E18" s="11">
        <f t="shared" si="2"/>
        <v>69600</v>
      </c>
      <c r="F18" s="12">
        <v>5800</v>
      </c>
      <c r="G18" s="11">
        <f t="shared" si="12"/>
        <v>2900</v>
      </c>
      <c r="H18" s="11">
        <f t="shared" si="13"/>
        <v>1160</v>
      </c>
      <c r="I18" s="11">
        <f t="shared" si="14"/>
        <v>1740</v>
      </c>
      <c r="J18" s="17">
        <f>F18/F20</f>
        <v>1</v>
      </c>
      <c r="K18" s="75"/>
      <c r="L18" s="53"/>
      <c r="M18" s="56"/>
      <c r="N18" s="56"/>
      <c r="O18" s="56"/>
      <c r="P18" s="55"/>
      <c r="Q18" s="63"/>
      <c r="R18" s="65"/>
      <c r="S18" s="65"/>
      <c r="T18" s="65"/>
    </row>
    <row r="19" spans="1:20" x14ac:dyDescent="0.15">
      <c r="A19" s="70" t="s">
        <v>40</v>
      </c>
      <c r="B19" s="13" t="s">
        <v>41</v>
      </c>
      <c r="C19" s="14">
        <f t="shared" si="0"/>
        <v>85800</v>
      </c>
      <c r="D19" s="14">
        <f t="shared" si="11"/>
        <v>7800</v>
      </c>
      <c r="E19" s="14">
        <f t="shared" si="2"/>
        <v>78000</v>
      </c>
      <c r="F19" s="15">
        <v>6500</v>
      </c>
      <c r="G19" s="14">
        <f t="shared" si="12"/>
        <v>3250</v>
      </c>
      <c r="H19" s="14">
        <f>F19*0.25</f>
        <v>1625</v>
      </c>
      <c r="I19" s="14">
        <f>F19*0.25</f>
        <v>1625</v>
      </c>
      <c r="J19" s="32" t="s">
        <v>42</v>
      </c>
      <c r="K19" s="75"/>
      <c r="L19" s="18"/>
      <c r="M19" s="19"/>
      <c r="N19" s="19"/>
      <c r="O19" s="19"/>
      <c r="P19" s="55"/>
      <c r="Q19" s="21"/>
      <c r="R19" s="20"/>
      <c r="S19" s="20"/>
      <c r="T19" s="20"/>
    </row>
    <row r="20" spans="1:20" ht="14.25" customHeight="1" x14ac:dyDescent="0.15">
      <c r="A20" s="71"/>
      <c r="B20" s="13" t="s">
        <v>43</v>
      </c>
      <c r="C20" s="14">
        <f t="shared" si="0"/>
        <v>75400</v>
      </c>
      <c r="D20" s="14">
        <f>F20</f>
        <v>5800</v>
      </c>
      <c r="E20" s="14">
        <f t="shared" si="2"/>
        <v>69600</v>
      </c>
      <c r="F20" s="15">
        <v>5800</v>
      </c>
      <c r="G20" s="14">
        <f t="shared" ref="G20:G24" si="15">F20*0.5</f>
        <v>2900</v>
      </c>
      <c r="H20" s="14">
        <f t="shared" ref="H20:H24" si="16">F20*0.25</f>
        <v>1450</v>
      </c>
      <c r="I20" s="14">
        <f t="shared" ref="I20:I24" si="17">F20*0.25</f>
        <v>1450</v>
      </c>
      <c r="J20" s="17">
        <f t="shared" si="6"/>
        <v>1.1599999999999999</v>
      </c>
      <c r="K20" s="75"/>
      <c r="L20" s="53" t="s">
        <v>44</v>
      </c>
      <c r="M20" s="76">
        <v>0.5</v>
      </c>
      <c r="N20" s="76">
        <v>0.25</v>
      </c>
      <c r="O20" s="76">
        <v>0.25</v>
      </c>
      <c r="P20" s="55"/>
      <c r="Q20" s="61" t="s">
        <v>45</v>
      </c>
      <c r="R20" s="65">
        <v>500</v>
      </c>
      <c r="S20" s="65">
        <v>300</v>
      </c>
      <c r="T20" s="78" t="s">
        <v>39</v>
      </c>
    </row>
    <row r="21" spans="1:20" x14ac:dyDescent="0.15">
      <c r="A21" s="71"/>
      <c r="B21" s="13" t="s">
        <v>25</v>
      </c>
      <c r="C21" s="14">
        <f t="shared" ref="C21:C27" si="18">D21+E21</f>
        <v>65000</v>
      </c>
      <c r="D21" s="14">
        <f t="shared" ref="D21:D27" si="19">F21</f>
        <v>5000</v>
      </c>
      <c r="E21" s="14">
        <f t="shared" ref="E21:E27" si="20">F21*12</f>
        <v>60000</v>
      </c>
      <c r="F21" s="15">
        <v>5000</v>
      </c>
      <c r="G21" s="14">
        <f t="shared" si="15"/>
        <v>2500</v>
      </c>
      <c r="H21" s="14">
        <f t="shared" si="16"/>
        <v>1250</v>
      </c>
      <c r="I21" s="14">
        <f t="shared" si="17"/>
        <v>1250</v>
      </c>
      <c r="J21" s="17">
        <f t="shared" si="6"/>
        <v>1.1111111111111112</v>
      </c>
      <c r="K21" s="75"/>
      <c r="L21" s="53"/>
      <c r="M21" s="77"/>
      <c r="N21" s="77"/>
      <c r="O21" s="77"/>
      <c r="P21" s="55"/>
      <c r="Q21" s="62"/>
      <c r="R21" s="65"/>
      <c r="S21" s="65"/>
      <c r="T21" s="65"/>
    </row>
    <row r="22" spans="1:20" x14ac:dyDescent="0.15">
      <c r="A22" s="71"/>
      <c r="B22" s="13" t="s">
        <v>46</v>
      </c>
      <c r="C22" s="14">
        <f t="shared" si="18"/>
        <v>58500</v>
      </c>
      <c r="D22" s="14">
        <f t="shared" si="19"/>
        <v>4500</v>
      </c>
      <c r="E22" s="14">
        <f t="shared" si="20"/>
        <v>54000</v>
      </c>
      <c r="F22" s="15">
        <v>4500</v>
      </c>
      <c r="G22" s="14">
        <f t="shared" si="15"/>
        <v>2250</v>
      </c>
      <c r="H22" s="14">
        <f t="shared" si="16"/>
        <v>1125</v>
      </c>
      <c r="I22" s="14">
        <f t="shared" si="17"/>
        <v>1125</v>
      </c>
      <c r="J22" s="17">
        <f t="shared" si="6"/>
        <v>1.125</v>
      </c>
      <c r="K22" s="75"/>
      <c r="L22" s="53"/>
      <c r="M22" s="77"/>
      <c r="N22" s="77"/>
      <c r="O22" s="77"/>
      <c r="P22" s="55"/>
      <c r="Q22" s="62"/>
      <c r="R22" s="65"/>
      <c r="S22" s="65"/>
      <c r="T22" s="65"/>
    </row>
    <row r="23" spans="1:20" x14ac:dyDescent="0.15">
      <c r="A23" s="71"/>
      <c r="B23" s="13" t="s">
        <v>47</v>
      </c>
      <c r="C23" s="14">
        <f t="shared" si="18"/>
        <v>52000</v>
      </c>
      <c r="D23" s="14">
        <f t="shared" si="19"/>
        <v>4000</v>
      </c>
      <c r="E23" s="14">
        <f t="shared" si="20"/>
        <v>48000</v>
      </c>
      <c r="F23" s="15">
        <v>4000</v>
      </c>
      <c r="G23" s="14">
        <f t="shared" si="15"/>
        <v>2000</v>
      </c>
      <c r="H23" s="14">
        <f t="shared" si="16"/>
        <v>1000</v>
      </c>
      <c r="I23" s="14">
        <f t="shared" si="17"/>
        <v>1000</v>
      </c>
      <c r="J23" s="17">
        <f t="shared" si="6"/>
        <v>1.1428571428571428</v>
      </c>
      <c r="K23" s="75"/>
      <c r="L23" s="53"/>
      <c r="M23" s="77"/>
      <c r="N23" s="77"/>
      <c r="O23" s="77"/>
      <c r="P23" s="55"/>
      <c r="Q23" s="62"/>
      <c r="R23" s="65"/>
      <c r="S23" s="65"/>
      <c r="T23" s="65"/>
    </row>
    <row r="24" spans="1:20" x14ac:dyDescent="0.15">
      <c r="A24" s="72"/>
      <c r="B24" s="13" t="s">
        <v>48</v>
      </c>
      <c r="C24" s="14">
        <f t="shared" si="18"/>
        <v>45500</v>
      </c>
      <c r="D24" s="14">
        <f t="shared" si="19"/>
        <v>3500</v>
      </c>
      <c r="E24" s="14">
        <f t="shared" si="20"/>
        <v>42000</v>
      </c>
      <c r="F24" s="15">
        <v>3500</v>
      </c>
      <c r="G24" s="14">
        <f t="shared" si="15"/>
        <v>1750</v>
      </c>
      <c r="H24" s="14">
        <f t="shared" si="16"/>
        <v>875</v>
      </c>
      <c r="I24" s="14">
        <f t="shared" si="17"/>
        <v>875</v>
      </c>
      <c r="J24" s="17"/>
      <c r="K24" s="75"/>
      <c r="L24" s="53"/>
      <c r="M24" s="77"/>
      <c r="N24" s="77"/>
      <c r="O24" s="77"/>
      <c r="P24" s="56"/>
      <c r="Q24" s="63"/>
      <c r="R24" s="65"/>
      <c r="S24" s="65"/>
      <c r="T24" s="65"/>
    </row>
    <row r="25" spans="1:20" x14ac:dyDescent="0.15">
      <c r="A25" s="73" t="s">
        <v>49</v>
      </c>
      <c r="B25" s="23" t="s">
        <v>46</v>
      </c>
      <c r="C25" s="24">
        <f t="shared" si="18"/>
        <v>49400</v>
      </c>
      <c r="D25" s="24">
        <f t="shared" si="19"/>
        <v>3800</v>
      </c>
      <c r="E25" s="24">
        <f t="shared" si="20"/>
        <v>45600</v>
      </c>
      <c r="F25" s="25">
        <v>3800</v>
      </c>
      <c r="G25" s="24">
        <f t="shared" ref="G25:G27" si="21">F25*0.6</f>
        <v>2280</v>
      </c>
      <c r="H25" s="24">
        <f t="shared" ref="H25:H27" si="22">F25*0.3</f>
        <v>1140</v>
      </c>
      <c r="I25" s="24">
        <f t="shared" ref="I25:I27" si="23">F25*0.1</f>
        <v>380</v>
      </c>
      <c r="J25" s="17">
        <f t="shared" ref="J25:J26" si="24">F25/F26</f>
        <v>1.1515151515151516</v>
      </c>
    </row>
    <row r="26" spans="1:20" x14ac:dyDescent="0.15">
      <c r="A26" s="74"/>
      <c r="B26" s="23" t="s">
        <v>47</v>
      </c>
      <c r="C26" s="24">
        <f t="shared" si="18"/>
        <v>42900</v>
      </c>
      <c r="D26" s="24">
        <f t="shared" si="19"/>
        <v>3300</v>
      </c>
      <c r="E26" s="24">
        <f t="shared" si="20"/>
        <v>39600</v>
      </c>
      <c r="F26" s="25">
        <v>3300</v>
      </c>
      <c r="G26" s="24">
        <f t="shared" si="21"/>
        <v>1980</v>
      </c>
      <c r="H26" s="24">
        <f t="shared" si="22"/>
        <v>990</v>
      </c>
      <c r="I26" s="24">
        <f t="shared" si="23"/>
        <v>330</v>
      </c>
      <c r="J26" s="17">
        <f t="shared" si="24"/>
        <v>1.32</v>
      </c>
    </row>
    <row r="27" spans="1:20" x14ac:dyDescent="0.15">
      <c r="A27" s="74"/>
      <c r="B27" s="23" t="s">
        <v>48</v>
      </c>
      <c r="C27" s="24">
        <f t="shared" si="18"/>
        <v>32500</v>
      </c>
      <c r="D27" s="24">
        <f t="shared" si="19"/>
        <v>2500</v>
      </c>
      <c r="E27" s="24">
        <f t="shared" si="20"/>
        <v>30000</v>
      </c>
      <c r="F27" s="25">
        <v>2500</v>
      </c>
      <c r="G27" s="24">
        <f t="shared" si="21"/>
        <v>1500</v>
      </c>
      <c r="H27" s="24">
        <f t="shared" si="22"/>
        <v>750</v>
      </c>
      <c r="I27" s="24">
        <f t="shared" si="23"/>
        <v>250</v>
      </c>
      <c r="J27" s="17"/>
    </row>
  </sheetData>
  <mergeCells count="60">
    <mergeCell ref="T2:T3"/>
    <mergeCell ref="T4:T8"/>
    <mergeCell ref="T9:T13"/>
    <mergeCell ref="T14:T18"/>
    <mergeCell ref="T20:T24"/>
    <mergeCell ref="S2:S3"/>
    <mergeCell ref="S4:S8"/>
    <mergeCell ref="S9:S13"/>
    <mergeCell ref="S14:S18"/>
    <mergeCell ref="S20:S24"/>
    <mergeCell ref="R2:R3"/>
    <mergeCell ref="R4:R8"/>
    <mergeCell ref="R9:R13"/>
    <mergeCell ref="R14:R18"/>
    <mergeCell ref="R20:R24"/>
    <mergeCell ref="Q2:Q3"/>
    <mergeCell ref="Q4:Q8"/>
    <mergeCell ref="Q9:Q13"/>
    <mergeCell ref="Q14:Q18"/>
    <mergeCell ref="Q20:Q24"/>
    <mergeCell ref="O4:O8"/>
    <mergeCell ref="O9:O13"/>
    <mergeCell ref="O14:O18"/>
    <mergeCell ref="O20:O24"/>
    <mergeCell ref="P2:P3"/>
    <mergeCell ref="P4:P13"/>
    <mergeCell ref="P14:P24"/>
    <mergeCell ref="M14:M18"/>
    <mergeCell ref="M20:M24"/>
    <mergeCell ref="N4:N8"/>
    <mergeCell ref="N9:N13"/>
    <mergeCell ref="N14:N18"/>
    <mergeCell ref="N20:N24"/>
    <mergeCell ref="K14:K24"/>
    <mergeCell ref="L2:L3"/>
    <mergeCell ref="L4:L8"/>
    <mergeCell ref="L9:L13"/>
    <mergeCell ref="L14:L18"/>
    <mergeCell ref="L20:L24"/>
    <mergeCell ref="A14:A18"/>
    <mergeCell ref="A19:A24"/>
    <mergeCell ref="A25:A27"/>
    <mergeCell ref="B2:B3"/>
    <mergeCell ref="C2:C3"/>
    <mergeCell ref="A1:T1"/>
    <mergeCell ref="M2:O2"/>
    <mergeCell ref="A2:A3"/>
    <mergeCell ref="A4:A8"/>
    <mergeCell ref="A9:A13"/>
    <mergeCell ref="D2:D3"/>
    <mergeCell ref="E2:E3"/>
    <mergeCell ref="F2:F3"/>
    <mergeCell ref="G2:G3"/>
    <mergeCell ref="H2:H3"/>
    <mergeCell ref="I2:I3"/>
    <mergeCell ref="J2:J3"/>
    <mergeCell ref="K2:K3"/>
    <mergeCell ref="K4:K13"/>
    <mergeCell ref="M4:M8"/>
    <mergeCell ref="M9:M13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workbookViewId="0">
      <selection sqref="A1:T1"/>
    </sheetView>
  </sheetViews>
  <sheetFormatPr defaultColWidth="9" defaultRowHeight="14.25" x14ac:dyDescent="0.15"/>
  <cols>
    <col min="1" max="1" width="9" customWidth="1"/>
  </cols>
  <sheetData>
    <row r="1" spans="1:20" ht="20.25" x14ac:dyDescent="0.1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0" x14ac:dyDescent="0.15">
      <c r="A2" s="37" t="s">
        <v>1</v>
      </c>
      <c r="B2" s="44" t="s">
        <v>2</v>
      </c>
      <c r="C2" s="44" t="s">
        <v>3</v>
      </c>
      <c r="D2" s="45" t="s">
        <v>4</v>
      </c>
      <c r="E2" s="44" t="s">
        <v>5</v>
      </c>
      <c r="F2" s="44" t="s">
        <v>6</v>
      </c>
      <c r="G2" s="44" t="s">
        <v>7</v>
      </c>
      <c r="H2" s="44" t="s">
        <v>8</v>
      </c>
      <c r="I2" s="47" t="s">
        <v>9</v>
      </c>
      <c r="J2" s="48" t="s">
        <v>10</v>
      </c>
      <c r="K2" s="44" t="s">
        <v>11</v>
      </c>
      <c r="L2" s="45" t="s">
        <v>12</v>
      </c>
      <c r="M2" s="34" t="s">
        <v>13</v>
      </c>
      <c r="N2" s="35"/>
      <c r="O2" s="36"/>
      <c r="P2" s="44" t="s">
        <v>14</v>
      </c>
      <c r="Q2" s="60" t="s">
        <v>15</v>
      </c>
      <c r="R2" s="64" t="s">
        <v>16</v>
      </c>
      <c r="S2" s="64" t="s">
        <v>17</v>
      </c>
      <c r="T2" s="64" t="s">
        <v>18</v>
      </c>
    </row>
    <row r="3" spans="1:20" x14ac:dyDescent="0.15">
      <c r="A3" s="37"/>
      <c r="B3" s="44"/>
      <c r="C3" s="44"/>
      <c r="D3" s="46"/>
      <c r="E3" s="44"/>
      <c r="F3" s="44"/>
      <c r="G3" s="44"/>
      <c r="H3" s="44"/>
      <c r="I3" s="44"/>
      <c r="J3" s="49"/>
      <c r="K3" s="44"/>
      <c r="L3" s="46"/>
      <c r="M3" s="16" t="s">
        <v>7</v>
      </c>
      <c r="N3" s="16" t="s">
        <v>8</v>
      </c>
      <c r="O3" s="3" t="s">
        <v>9</v>
      </c>
      <c r="P3" s="44"/>
      <c r="Q3" s="60"/>
      <c r="R3" s="64"/>
      <c r="S3" s="64"/>
      <c r="T3" s="64"/>
    </row>
    <row r="4" spans="1:20" x14ac:dyDescent="0.15">
      <c r="A4" s="66" t="s">
        <v>50</v>
      </c>
      <c r="B4" s="4" t="s">
        <v>20</v>
      </c>
      <c r="C4" s="5">
        <f t="shared" ref="C4:C19" si="0">D4+E4</f>
        <v>386400</v>
      </c>
      <c r="D4" s="5">
        <f t="shared" ref="D4:D8" si="1">F4*1.8</f>
        <v>50400</v>
      </c>
      <c r="E4" s="5">
        <f t="shared" ref="E4:E19" si="2">F4*12</f>
        <v>336000</v>
      </c>
      <c r="F4" s="6">
        <v>28000</v>
      </c>
      <c r="G4" s="5">
        <f t="shared" ref="G4:G8" si="3">F4*0.5</f>
        <v>14000</v>
      </c>
      <c r="H4" s="5">
        <f t="shared" ref="H4:H8" si="4">F4*0.1</f>
        <v>2800</v>
      </c>
      <c r="I4" s="5">
        <f t="shared" ref="I4:I8" si="5">F4*0.4</f>
        <v>11200</v>
      </c>
      <c r="J4" s="17">
        <f t="shared" ref="J4:J22" si="6">F4/F5</f>
        <v>1.2173913043478262</v>
      </c>
      <c r="K4" s="50" t="s">
        <v>21</v>
      </c>
      <c r="L4" s="53" t="s">
        <v>22</v>
      </c>
      <c r="M4" s="54">
        <v>0.5</v>
      </c>
      <c r="N4" s="54">
        <v>0.1</v>
      </c>
      <c r="O4" s="54">
        <v>0.4</v>
      </c>
      <c r="P4" s="57" t="s">
        <v>23</v>
      </c>
      <c r="Q4" s="61" t="s">
        <v>24</v>
      </c>
      <c r="R4" s="65">
        <v>3000</v>
      </c>
      <c r="S4" s="65">
        <v>1500</v>
      </c>
      <c r="T4" s="65">
        <v>2000</v>
      </c>
    </row>
    <row r="5" spans="1:20" x14ac:dyDescent="0.15">
      <c r="A5" s="39"/>
      <c r="B5" s="4" t="s">
        <v>25</v>
      </c>
      <c r="C5" s="5">
        <f t="shared" si="0"/>
        <v>317400</v>
      </c>
      <c r="D5" s="5">
        <f t="shared" si="1"/>
        <v>41400</v>
      </c>
      <c r="E5" s="5">
        <f t="shared" si="2"/>
        <v>276000</v>
      </c>
      <c r="F5" s="6">
        <v>23000</v>
      </c>
      <c r="G5" s="5">
        <f t="shared" si="3"/>
        <v>11500</v>
      </c>
      <c r="H5" s="5">
        <f t="shared" si="4"/>
        <v>2300</v>
      </c>
      <c r="I5" s="5">
        <f t="shared" si="5"/>
        <v>9200</v>
      </c>
      <c r="J5" s="17">
        <f t="shared" si="6"/>
        <v>1.1499999999999999</v>
      </c>
      <c r="K5" s="51"/>
      <c r="L5" s="53"/>
      <c r="M5" s="55"/>
      <c r="N5" s="55"/>
      <c r="O5" s="55"/>
      <c r="P5" s="58"/>
      <c r="Q5" s="62"/>
      <c r="R5" s="65"/>
      <c r="S5" s="65"/>
      <c r="T5" s="65"/>
    </row>
    <row r="6" spans="1:20" x14ac:dyDescent="0.15">
      <c r="A6" s="39"/>
      <c r="B6" s="4" t="s">
        <v>26</v>
      </c>
      <c r="C6" s="5">
        <f t="shared" si="0"/>
        <v>276000</v>
      </c>
      <c r="D6" s="5">
        <f t="shared" si="1"/>
        <v>36000</v>
      </c>
      <c r="E6" s="5">
        <f t="shared" si="2"/>
        <v>240000</v>
      </c>
      <c r="F6" s="6">
        <v>20000</v>
      </c>
      <c r="G6" s="5">
        <f t="shared" si="3"/>
        <v>10000</v>
      </c>
      <c r="H6" s="5">
        <f t="shared" si="4"/>
        <v>2000</v>
      </c>
      <c r="I6" s="5">
        <f t="shared" si="5"/>
        <v>8000</v>
      </c>
      <c r="J6" s="17">
        <f t="shared" si="6"/>
        <v>1.1111111111111112</v>
      </c>
      <c r="K6" s="51"/>
      <c r="L6" s="53"/>
      <c r="M6" s="55"/>
      <c r="N6" s="55"/>
      <c r="O6" s="55"/>
      <c r="P6" s="58"/>
      <c r="Q6" s="62"/>
      <c r="R6" s="65"/>
      <c r="S6" s="65"/>
      <c r="T6" s="65"/>
    </row>
    <row r="7" spans="1:20" x14ac:dyDescent="0.15">
      <c r="A7" s="39"/>
      <c r="B7" s="4" t="s">
        <v>27</v>
      </c>
      <c r="C7" s="5">
        <f t="shared" si="0"/>
        <v>248400</v>
      </c>
      <c r="D7" s="5">
        <f t="shared" si="1"/>
        <v>32400</v>
      </c>
      <c r="E7" s="5">
        <f t="shared" si="2"/>
        <v>216000</v>
      </c>
      <c r="F7" s="6">
        <v>18000</v>
      </c>
      <c r="G7" s="5">
        <f t="shared" si="3"/>
        <v>9000</v>
      </c>
      <c r="H7" s="5">
        <f t="shared" si="4"/>
        <v>1800</v>
      </c>
      <c r="I7" s="5">
        <f t="shared" si="5"/>
        <v>7200</v>
      </c>
      <c r="J7" s="17">
        <f t="shared" si="6"/>
        <v>1.2</v>
      </c>
      <c r="K7" s="51"/>
      <c r="L7" s="53"/>
      <c r="M7" s="55"/>
      <c r="N7" s="55"/>
      <c r="O7" s="55"/>
      <c r="P7" s="58"/>
      <c r="Q7" s="62"/>
      <c r="R7" s="65"/>
      <c r="S7" s="65"/>
      <c r="T7" s="65"/>
    </row>
    <row r="8" spans="1:20" x14ac:dyDescent="0.15">
      <c r="A8" s="40"/>
      <c r="B8" s="4" t="s">
        <v>28</v>
      </c>
      <c r="C8" s="5">
        <f t="shared" si="0"/>
        <v>207000</v>
      </c>
      <c r="D8" s="5">
        <f t="shared" si="1"/>
        <v>27000</v>
      </c>
      <c r="E8" s="5">
        <f t="shared" si="2"/>
        <v>180000</v>
      </c>
      <c r="F8" s="6">
        <v>15000</v>
      </c>
      <c r="G8" s="5">
        <f t="shared" si="3"/>
        <v>7500</v>
      </c>
      <c r="H8" s="5">
        <f t="shared" si="4"/>
        <v>1500</v>
      </c>
      <c r="I8" s="5">
        <f t="shared" si="5"/>
        <v>6000</v>
      </c>
      <c r="J8" s="17">
        <f t="shared" si="6"/>
        <v>1</v>
      </c>
      <c r="K8" s="51"/>
      <c r="L8" s="53"/>
      <c r="M8" s="56"/>
      <c r="N8" s="56"/>
      <c r="O8" s="56"/>
      <c r="P8" s="58"/>
      <c r="Q8" s="63"/>
      <c r="R8" s="65"/>
      <c r="S8" s="65"/>
      <c r="T8" s="65"/>
    </row>
    <row r="9" spans="1:20" x14ac:dyDescent="0.15">
      <c r="A9" s="79" t="s">
        <v>51</v>
      </c>
      <c r="B9" s="7" t="s">
        <v>20</v>
      </c>
      <c r="C9" s="8">
        <f t="shared" si="0"/>
        <v>202500</v>
      </c>
      <c r="D9" s="8">
        <f t="shared" ref="D9:D13" si="7">F9*1.5</f>
        <v>22500</v>
      </c>
      <c r="E9" s="8">
        <f t="shared" si="2"/>
        <v>180000</v>
      </c>
      <c r="F9" s="9">
        <v>15000</v>
      </c>
      <c r="G9" s="8">
        <f t="shared" ref="G9:G13" si="8">F9*0.5</f>
        <v>7500</v>
      </c>
      <c r="H9" s="8">
        <f t="shared" ref="H9:H14" si="9">F9*0.15</f>
        <v>2250</v>
      </c>
      <c r="I9" s="8">
        <f t="shared" ref="I9:I13" si="10">F9*0.35</f>
        <v>5250</v>
      </c>
      <c r="J9" s="17">
        <f t="shared" si="6"/>
        <v>1.1111111111111112</v>
      </c>
      <c r="K9" s="51"/>
      <c r="L9" s="53" t="s">
        <v>30</v>
      </c>
      <c r="M9" s="54">
        <v>0.5</v>
      </c>
      <c r="N9" s="54">
        <v>0.15</v>
      </c>
      <c r="O9" s="54">
        <v>0.35</v>
      </c>
      <c r="P9" s="58"/>
      <c r="Q9" s="61" t="s">
        <v>31</v>
      </c>
      <c r="R9" s="65">
        <v>2000</v>
      </c>
      <c r="S9" s="65">
        <v>1000</v>
      </c>
      <c r="T9" s="65">
        <v>1000</v>
      </c>
    </row>
    <row r="10" spans="1:20" x14ac:dyDescent="0.15">
      <c r="A10" s="42"/>
      <c r="B10" s="7" t="s">
        <v>25</v>
      </c>
      <c r="C10" s="8">
        <f t="shared" si="0"/>
        <v>182250</v>
      </c>
      <c r="D10" s="8">
        <f t="shared" si="7"/>
        <v>20250</v>
      </c>
      <c r="E10" s="8">
        <f t="shared" si="2"/>
        <v>162000</v>
      </c>
      <c r="F10" s="9">
        <v>13500</v>
      </c>
      <c r="G10" s="8">
        <f t="shared" si="8"/>
        <v>6750</v>
      </c>
      <c r="H10" s="8">
        <f t="shared" si="9"/>
        <v>2025</v>
      </c>
      <c r="I10" s="8">
        <f t="shared" si="10"/>
        <v>4725</v>
      </c>
      <c r="J10" s="17">
        <f t="shared" si="6"/>
        <v>1.125</v>
      </c>
      <c r="K10" s="51"/>
      <c r="L10" s="53"/>
      <c r="M10" s="55"/>
      <c r="N10" s="55"/>
      <c r="O10" s="55"/>
      <c r="P10" s="58"/>
      <c r="Q10" s="62"/>
      <c r="R10" s="65"/>
      <c r="S10" s="65"/>
      <c r="T10" s="65"/>
    </row>
    <row r="11" spans="1:20" x14ac:dyDescent="0.15">
      <c r="A11" s="42"/>
      <c r="B11" s="7" t="s">
        <v>26</v>
      </c>
      <c r="C11" s="8">
        <f t="shared" si="0"/>
        <v>162000</v>
      </c>
      <c r="D11" s="8">
        <f t="shared" si="7"/>
        <v>18000</v>
      </c>
      <c r="E11" s="8">
        <f t="shared" si="2"/>
        <v>144000</v>
      </c>
      <c r="F11" s="9">
        <v>12000</v>
      </c>
      <c r="G11" s="8">
        <f t="shared" si="8"/>
        <v>6000</v>
      </c>
      <c r="H11" s="8">
        <f t="shared" si="9"/>
        <v>1800</v>
      </c>
      <c r="I11" s="8">
        <f t="shared" si="10"/>
        <v>4200</v>
      </c>
      <c r="J11" s="17">
        <f t="shared" si="6"/>
        <v>1.1428571428571428</v>
      </c>
      <c r="K11" s="51"/>
      <c r="L11" s="53"/>
      <c r="M11" s="55"/>
      <c r="N11" s="55"/>
      <c r="O11" s="55"/>
      <c r="P11" s="58"/>
      <c r="Q11" s="62"/>
      <c r="R11" s="65"/>
      <c r="S11" s="65"/>
      <c r="T11" s="65"/>
    </row>
    <row r="12" spans="1:20" x14ac:dyDescent="0.15">
      <c r="A12" s="42"/>
      <c r="B12" s="7" t="s">
        <v>27</v>
      </c>
      <c r="C12" s="8">
        <f t="shared" si="0"/>
        <v>141750</v>
      </c>
      <c r="D12" s="8">
        <f t="shared" si="7"/>
        <v>15750</v>
      </c>
      <c r="E12" s="8">
        <f t="shared" si="2"/>
        <v>126000</v>
      </c>
      <c r="F12" s="9">
        <v>10500</v>
      </c>
      <c r="G12" s="8">
        <f t="shared" si="8"/>
        <v>5250</v>
      </c>
      <c r="H12" s="8">
        <f t="shared" si="9"/>
        <v>1575</v>
      </c>
      <c r="I12" s="8">
        <f t="shared" si="10"/>
        <v>3674.9999999999995</v>
      </c>
      <c r="J12" s="17">
        <f t="shared" si="6"/>
        <v>1.1052631578947369</v>
      </c>
      <c r="K12" s="51"/>
      <c r="L12" s="53"/>
      <c r="M12" s="55"/>
      <c r="N12" s="55"/>
      <c r="O12" s="55"/>
      <c r="P12" s="58"/>
      <c r="Q12" s="62"/>
      <c r="R12" s="65"/>
      <c r="S12" s="65"/>
      <c r="T12" s="65"/>
    </row>
    <row r="13" spans="1:20" x14ac:dyDescent="0.15">
      <c r="A13" s="43"/>
      <c r="B13" s="7" t="s">
        <v>28</v>
      </c>
      <c r="C13" s="8">
        <f t="shared" si="0"/>
        <v>128250</v>
      </c>
      <c r="D13" s="8">
        <f t="shared" si="7"/>
        <v>14250</v>
      </c>
      <c r="E13" s="8">
        <f t="shared" si="2"/>
        <v>114000</v>
      </c>
      <c r="F13" s="9">
        <v>9500</v>
      </c>
      <c r="G13" s="8">
        <f t="shared" si="8"/>
        <v>4750</v>
      </c>
      <c r="H13" s="8">
        <f t="shared" si="9"/>
        <v>1425</v>
      </c>
      <c r="I13" s="8">
        <f t="shared" si="10"/>
        <v>3325</v>
      </c>
      <c r="J13" s="17">
        <f t="shared" si="6"/>
        <v>1</v>
      </c>
      <c r="K13" s="52"/>
      <c r="L13" s="53"/>
      <c r="M13" s="56"/>
      <c r="N13" s="56"/>
      <c r="O13" s="56"/>
      <c r="P13" s="59"/>
      <c r="Q13" s="63"/>
      <c r="R13" s="65"/>
      <c r="S13" s="65"/>
      <c r="T13" s="65"/>
    </row>
    <row r="14" spans="1:20" ht="14.25" customHeight="1" x14ac:dyDescent="0.15">
      <c r="A14" s="67" t="s">
        <v>52</v>
      </c>
      <c r="B14" s="10" t="s">
        <v>20</v>
      </c>
      <c r="C14" s="11">
        <f t="shared" si="0"/>
        <v>125400</v>
      </c>
      <c r="D14" s="11">
        <f t="shared" ref="D14:D18" si="11">F14*1.2</f>
        <v>11400</v>
      </c>
      <c r="E14" s="11">
        <f t="shared" si="2"/>
        <v>114000</v>
      </c>
      <c r="F14" s="12">
        <v>9500</v>
      </c>
      <c r="G14" s="11">
        <f t="shared" ref="G14:G18" si="12">F14*0.5</f>
        <v>4750</v>
      </c>
      <c r="H14" s="11">
        <f t="shared" si="9"/>
        <v>1425</v>
      </c>
      <c r="I14" s="11">
        <f t="shared" ref="I14:I16" si="13">F14*0.35</f>
        <v>3325</v>
      </c>
      <c r="J14" s="17">
        <f t="shared" si="6"/>
        <v>1.1445783132530121</v>
      </c>
      <c r="K14" s="75" t="s">
        <v>35</v>
      </c>
      <c r="L14" s="53" t="s">
        <v>36</v>
      </c>
      <c r="M14" s="54">
        <v>0.5</v>
      </c>
      <c r="N14" s="54">
        <v>0.2</v>
      </c>
      <c r="O14" s="54">
        <v>0.3</v>
      </c>
      <c r="P14" s="57" t="s">
        <v>37</v>
      </c>
      <c r="Q14" s="61" t="s">
        <v>38</v>
      </c>
      <c r="R14" s="65">
        <v>1000</v>
      </c>
      <c r="S14" s="65">
        <v>500</v>
      </c>
      <c r="T14" s="78" t="s">
        <v>39</v>
      </c>
    </row>
    <row r="15" spans="1:20" x14ac:dyDescent="0.15">
      <c r="A15" s="80"/>
      <c r="B15" s="10" t="s">
        <v>25</v>
      </c>
      <c r="C15" s="11">
        <f t="shared" si="0"/>
        <v>109560</v>
      </c>
      <c r="D15" s="11">
        <f t="shared" si="11"/>
        <v>9960</v>
      </c>
      <c r="E15" s="11">
        <f t="shared" si="2"/>
        <v>99600</v>
      </c>
      <c r="F15" s="12">
        <v>8300</v>
      </c>
      <c r="G15" s="11">
        <f t="shared" si="12"/>
        <v>4150</v>
      </c>
      <c r="H15" s="11">
        <f t="shared" ref="H15:H18" si="14">F15*0.15</f>
        <v>1245</v>
      </c>
      <c r="I15" s="11">
        <f t="shared" si="13"/>
        <v>2905</v>
      </c>
      <c r="J15" s="17">
        <f t="shared" si="6"/>
        <v>1.1066666666666667</v>
      </c>
      <c r="K15" s="75"/>
      <c r="L15" s="53"/>
      <c r="M15" s="55"/>
      <c r="N15" s="55"/>
      <c r="O15" s="55"/>
      <c r="P15" s="55"/>
      <c r="Q15" s="62"/>
      <c r="R15" s="65"/>
      <c r="S15" s="65"/>
      <c r="T15" s="65"/>
    </row>
    <row r="16" spans="1:20" x14ac:dyDescent="0.15">
      <c r="A16" s="80"/>
      <c r="B16" s="10" t="s">
        <v>26</v>
      </c>
      <c r="C16" s="11">
        <f t="shared" si="0"/>
        <v>99000</v>
      </c>
      <c r="D16" s="11">
        <f t="shared" si="11"/>
        <v>9000</v>
      </c>
      <c r="E16" s="11">
        <f t="shared" si="2"/>
        <v>90000</v>
      </c>
      <c r="F16" s="12">
        <v>7500</v>
      </c>
      <c r="G16" s="11">
        <f t="shared" si="12"/>
        <v>3750</v>
      </c>
      <c r="H16" s="11">
        <f t="shared" si="14"/>
        <v>1125</v>
      </c>
      <c r="I16" s="11">
        <f t="shared" si="13"/>
        <v>2625</v>
      </c>
      <c r="J16" s="17">
        <f t="shared" si="6"/>
        <v>1.1538461538461537</v>
      </c>
      <c r="K16" s="75"/>
      <c r="L16" s="53"/>
      <c r="M16" s="55"/>
      <c r="N16" s="55"/>
      <c r="O16" s="55"/>
      <c r="P16" s="55"/>
      <c r="Q16" s="62"/>
      <c r="R16" s="65"/>
      <c r="S16" s="65"/>
      <c r="T16" s="65"/>
    </row>
    <row r="17" spans="1:20" x14ac:dyDescent="0.15">
      <c r="A17" s="80"/>
      <c r="B17" s="10" t="s">
        <v>27</v>
      </c>
      <c r="C17" s="11">
        <f t="shared" si="0"/>
        <v>85800</v>
      </c>
      <c r="D17" s="11">
        <f t="shared" si="11"/>
        <v>7800</v>
      </c>
      <c r="E17" s="11">
        <f t="shared" si="2"/>
        <v>78000</v>
      </c>
      <c r="F17" s="12">
        <v>6500</v>
      </c>
      <c r="G17" s="11">
        <f t="shared" si="12"/>
        <v>3250</v>
      </c>
      <c r="H17" s="11">
        <f t="shared" si="14"/>
        <v>975</v>
      </c>
      <c r="I17" s="11">
        <f t="shared" ref="I17:I18" si="15">F17*0.35</f>
        <v>2275</v>
      </c>
      <c r="J17" s="17">
        <f t="shared" si="6"/>
        <v>1.1206896551724137</v>
      </c>
      <c r="K17" s="75"/>
      <c r="L17" s="53"/>
      <c r="M17" s="55"/>
      <c r="N17" s="55"/>
      <c r="O17" s="55"/>
      <c r="P17" s="55"/>
      <c r="Q17" s="62"/>
      <c r="R17" s="65"/>
      <c r="S17" s="65"/>
      <c r="T17" s="65"/>
    </row>
    <row r="18" spans="1:20" x14ac:dyDescent="0.15">
      <c r="A18" s="81"/>
      <c r="B18" s="10" t="s">
        <v>28</v>
      </c>
      <c r="C18" s="11">
        <f t="shared" si="0"/>
        <v>76560</v>
      </c>
      <c r="D18" s="11">
        <f t="shared" si="11"/>
        <v>6960</v>
      </c>
      <c r="E18" s="11">
        <f t="shared" si="2"/>
        <v>69600</v>
      </c>
      <c r="F18" s="12">
        <v>5800</v>
      </c>
      <c r="G18" s="11">
        <f t="shared" si="12"/>
        <v>2900</v>
      </c>
      <c r="H18" s="11">
        <f t="shared" si="14"/>
        <v>870</v>
      </c>
      <c r="I18" s="11">
        <f t="shared" si="15"/>
        <v>2029.9999999999998</v>
      </c>
      <c r="J18" s="17">
        <f t="shared" si="6"/>
        <v>1</v>
      </c>
      <c r="K18" s="75"/>
      <c r="L18" s="53"/>
      <c r="M18" s="56"/>
      <c r="N18" s="56"/>
      <c r="O18" s="56"/>
      <c r="P18" s="55"/>
      <c r="Q18" s="63"/>
      <c r="R18" s="65"/>
      <c r="S18" s="65"/>
      <c r="T18" s="65"/>
    </row>
    <row r="19" spans="1:20" ht="14.25" customHeight="1" x14ac:dyDescent="0.15">
      <c r="A19" s="70" t="s">
        <v>53</v>
      </c>
      <c r="B19" s="13" t="s">
        <v>43</v>
      </c>
      <c r="C19" s="14">
        <f t="shared" si="0"/>
        <v>75400</v>
      </c>
      <c r="D19" s="14">
        <f>F19</f>
        <v>5800</v>
      </c>
      <c r="E19" s="14">
        <f t="shared" si="2"/>
        <v>69600</v>
      </c>
      <c r="F19" s="15">
        <v>5800</v>
      </c>
      <c r="G19" s="14">
        <f t="shared" ref="G19:G23" si="16">F19*0.5</f>
        <v>2900</v>
      </c>
      <c r="H19" s="14">
        <f>F19*0.35</f>
        <v>2029.9999999999998</v>
      </c>
      <c r="I19" s="14">
        <f t="shared" ref="I19:I21" si="17">F19*0.15</f>
        <v>870</v>
      </c>
      <c r="J19" s="17">
        <f t="shared" si="6"/>
        <v>1.1153846153846154</v>
      </c>
      <c r="K19" s="75"/>
      <c r="L19" s="53" t="s">
        <v>44</v>
      </c>
      <c r="M19" s="76">
        <v>0.5</v>
      </c>
      <c r="N19" s="76">
        <v>0.25</v>
      </c>
      <c r="O19" s="76">
        <v>0.25</v>
      </c>
      <c r="P19" s="55"/>
      <c r="Q19" s="61" t="s">
        <v>45</v>
      </c>
      <c r="R19" s="65">
        <v>500</v>
      </c>
      <c r="S19" s="65">
        <v>300</v>
      </c>
      <c r="T19" s="78" t="s">
        <v>39</v>
      </c>
    </row>
    <row r="20" spans="1:20" x14ac:dyDescent="0.15">
      <c r="A20" s="71"/>
      <c r="B20" s="13" t="s">
        <v>25</v>
      </c>
      <c r="C20" s="14">
        <f t="shared" ref="C20:C26" si="18">D20+E20</f>
        <v>67600</v>
      </c>
      <c r="D20" s="14">
        <f t="shared" ref="D20:D26" si="19">F20</f>
        <v>5200</v>
      </c>
      <c r="E20" s="14">
        <f t="shared" ref="E20:E26" si="20">F20*12</f>
        <v>62400</v>
      </c>
      <c r="F20" s="15">
        <v>5200</v>
      </c>
      <c r="G20" s="14">
        <f t="shared" si="16"/>
        <v>2600</v>
      </c>
      <c r="H20" s="14">
        <f t="shared" ref="H20:H23" si="21">F20*0.35</f>
        <v>1819.9999999999998</v>
      </c>
      <c r="I20" s="14">
        <f t="shared" si="17"/>
        <v>780</v>
      </c>
      <c r="J20" s="17">
        <f t="shared" si="6"/>
        <v>1.1555555555555554</v>
      </c>
      <c r="K20" s="75"/>
      <c r="L20" s="53"/>
      <c r="M20" s="77"/>
      <c r="N20" s="77"/>
      <c r="O20" s="77"/>
      <c r="P20" s="55"/>
      <c r="Q20" s="62"/>
      <c r="R20" s="65"/>
      <c r="S20" s="65"/>
      <c r="T20" s="65"/>
    </row>
    <row r="21" spans="1:20" x14ac:dyDescent="0.15">
      <c r="A21" s="71"/>
      <c r="B21" s="13" t="s">
        <v>46</v>
      </c>
      <c r="C21" s="14">
        <f t="shared" si="18"/>
        <v>58500</v>
      </c>
      <c r="D21" s="14">
        <f t="shared" si="19"/>
        <v>4500</v>
      </c>
      <c r="E21" s="14">
        <f t="shared" si="20"/>
        <v>54000</v>
      </c>
      <c r="F21" s="15">
        <v>4500</v>
      </c>
      <c r="G21" s="14">
        <f t="shared" si="16"/>
        <v>2250</v>
      </c>
      <c r="H21" s="14">
        <f t="shared" si="21"/>
        <v>1575</v>
      </c>
      <c r="I21" s="14">
        <f t="shared" si="17"/>
        <v>675</v>
      </c>
      <c r="J21" s="17">
        <f t="shared" si="6"/>
        <v>1.125</v>
      </c>
      <c r="K21" s="75"/>
      <c r="L21" s="53"/>
      <c r="M21" s="77"/>
      <c r="N21" s="77"/>
      <c r="O21" s="77"/>
      <c r="P21" s="55"/>
      <c r="Q21" s="62"/>
      <c r="R21" s="65"/>
      <c r="S21" s="65"/>
      <c r="T21" s="65"/>
    </row>
    <row r="22" spans="1:20" x14ac:dyDescent="0.15">
      <c r="A22" s="71"/>
      <c r="B22" s="13" t="s">
        <v>47</v>
      </c>
      <c r="C22" s="14">
        <f t="shared" si="18"/>
        <v>52000</v>
      </c>
      <c r="D22" s="14">
        <f t="shared" si="19"/>
        <v>4000</v>
      </c>
      <c r="E22" s="14">
        <f t="shared" si="20"/>
        <v>48000</v>
      </c>
      <c r="F22" s="15">
        <v>4000</v>
      </c>
      <c r="G22" s="14">
        <f t="shared" si="16"/>
        <v>2000</v>
      </c>
      <c r="H22" s="14">
        <f t="shared" si="21"/>
        <v>1400</v>
      </c>
      <c r="I22" s="14">
        <f t="shared" ref="I22:I23" si="22">F22*0.15</f>
        <v>600</v>
      </c>
      <c r="J22" s="17">
        <f t="shared" si="6"/>
        <v>1.1428571428571428</v>
      </c>
      <c r="K22" s="75"/>
      <c r="L22" s="53"/>
      <c r="M22" s="77"/>
      <c r="N22" s="77"/>
      <c r="O22" s="77"/>
      <c r="P22" s="55"/>
      <c r="Q22" s="62"/>
      <c r="R22" s="65"/>
      <c r="S22" s="65"/>
      <c r="T22" s="65"/>
    </row>
    <row r="23" spans="1:20" x14ac:dyDescent="0.15">
      <c r="A23" s="72"/>
      <c r="B23" s="13" t="s">
        <v>48</v>
      </c>
      <c r="C23" s="14">
        <f t="shared" si="18"/>
        <v>45500</v>
      </c>
      <c r="D23" s="14">
        <f t="shared" si="19"/>
        <v>3500</v>
      </c>
      <c r="E23" s="14">
        <f t="shared" si="20"/>
        <v>42000</v>
      </c>
      <c r="F23" s="15">
        <v>3500</v>
      </c>
      <c r="G23" s="14">
        <f t="shared" si="16"/>
        <v>1750</v>
      </c>
      <c r="H23" s="14">
        <f t="shared" si="21"/>
        <v>1225</v>
      </c>
      <c r="I23" s="14">
        <f t="shared" si="22"/>
        <v>525</v>
      </c>
      <c r="J23" s="17"/>
      <c r="K23" s="75"/>
      <c r="L23" s="53"/>
      <c r="M23" s="77"/>
      <c r="N23" s="77"/>
      <c r="O23" s="77"/>
      <c r="P23" s="56"/>
      <c r="Q23" s="63"/>
      <c r="R23" s="65"/>
      <c r="S23" s="65"/>
      <c r="T23" s="65"/>
    </row>
    <row r="24" spans="1:20" x14ac:dyDescent="0.15">
      <c r="A24" s="73" t="s">
        <v>54</v>
      </c>
      <c r="B24" s="23" t="s">
        <v>46</v>
      </c>
      <c r="C24" s="24">
        <f t="shared" si="18"/>
        <v>52000</v>
      </c>
      <c r="D24" s="24">
        <f t="shared" si="19"/>
        <v>4000</v>
      </c>
      <c r="E24" s="24">
        <f t="shared" si="20"/>
        <v>48000</v>
      </c>
      <c r="F24" s="25">
        <v>4000</v>
      </c>
      <c r="G24" s="24">
        <f t="shared" ref="G24:G26" si="23">F24*0.6</f>
        <v>2400</v>
      </c>
      <c r="H24" s="24">
        <f t="shared" ref="H24:H26" si="24">F24*0.3</f>
        <v>1200</v>
      </c>
      <c r="I24" s="24">
        <f t="shared" ref="I24:I26" si="25">F24*0.1</f>
        <v>400</v>
      </c>
      <c r="J24" s="17">
        <f t="shared" ref="J24:J25" si="26">F24/F25</f>
        <v>1.1428571428571428</v>
      </c>
    </row>
    <row r="25" spans="1:20" x14ac:dyDescent="0.15">
      <c r="A25" s="82"/>
      <c r="B25" s="23" t="s">
        <v>47</v>
      </c>
      <c r="C25" s="24">
        <f t="shared" si="18"/>
        <v>45500</v>
      </c>
      <c r="D25" s="24">
        <f t="shared" si="19"/>
        <v>3500</v>
      </c>
      <c r="E25" s="24">
        <f t="shared" si="20"/>
        <v>42000</v>
      </c>
      <c r="F25" s="25">
        <v>3500</v>
      </c>
      <c r="G25" s="24">
        <f t="shared" si="23"/>
        <v>2100</v>
      </c>
      <c r="H25" s="24">
        <f t="shared" si="24"/>
        <v>1050</v>
      </c>
      <c r="I25" s="24">
        <f t="shared" si="25"/>
        <v>350</v>
      </c>
      <c r="J25" s="17">
        <f t="shared" si="26"/>
        <v>1.1666666666666667</v>
      </c>
    </row>
    <row r="26" spans="1:20" x14ac:dyDescent="0.15">
      <c r="A26" s="83"/>
      <c r="B26" s="23" t="s">
        <v>48</v>
      </c>
      <c r="C26" s="24">
        <f t="shared" si="18"/>
        <v>39000</v>
      </c>
      <c r="D26" s="24">
        <f t="shared" si="19"/>
        <v>3000</v>
      </c>
      <c r="E26" s="24">
        <f t="shared" si="20"/>
        <v>36000</v>
      </c>
      <c r="F26" s="25">
        <v>3000</v>
      </c>
      <c r="G26" s="24">
        <f t="shared" si="23"/>
        <v>1800</v>
      </c>
      <c r="H26" s="24">
        <f t="shared" si="24"/>
        <v>900</v>
      </c>
      <c r="I26" s="24">
        <f t="shared" si="25"/>
        <v>300</v>
      </c>
      <c r="J26" s="17"/>
    </row>
  </sheetData>
  <mergeCells count="60">
    <mergeCell ref="T2:T3"/>
    <mergeCell ref="T4:T8"/>
    <mergeCell ref="T9:T13"/>
    <mergeCell ref="T14:T18"/>
    <mergeCell ref="T19:T23"/>
    <mergeCell ref="S2:S3"/>
    <mergeCell ref="S4:S8"/>
    <mergeCell ref="S9:S13"/>
    <mergeCell ref="S14:S18"/>
    <mergeCell ref="S19:S23"/>
    <mergeCell ref="R2:R3"/>
    <mergeCell ref="R4:R8"/>
    <mergeCell ref="R9:R13"/>
    <mergeCell ref="R14:R18"/>
    <mergeCell ref="R19:R23"/>
    <mergeCell ref="Q2:Q3"/>
    <mergeCell ref="Q4:Q8"/>
    <mergeCell ref="Q9:Q13"/>
    <mergeCell ref="Q14:Q18"/>
    <mergeCell ref="Q19:Q23"/>
    <mergeCell ref="O4:O8"/>
    <mergeCell ref="O9:O13"/>
    <mergeCell ref="O14:O18"/>
    <mergeCell ref="O19:O23"/>
    <mergeCell ref="P2:P3"/>
    <mergeCell ref="P4:P13"/>
    <mergeCell ref="P14:P23"/>
    <mergeCell ref="M14:M18"/>
    <mergeCell ref="M19:M23"/>
    <mergeCell ref="N4:N8"/>
    <mergeCell ref="N9:N13"/>
    <mergeCell ref="N14:N18"/>
    <mergeCell ref="N19:N23"/>
    <mergeCell ref="K14:K23"/>
    <mergeCell ref="L2:L3"/>
    <mergeCell ref="L4:L8"/>
    <mergeCell ref="L9:L13"/>
    <mergeCell ref="L14:L18"/>
    <mergeCell ref="L19:L23"/>
    <mergeCell ref="A14:A18"/>
    <mergeCell ref="A19:A23"/>
    <mergeCell ref="A24:A26"/>
    <mergeCell ref="B2:B3"/>
    <mergeCell ref="C2:C3"/>
    <mergeCell ref="A1:T1"/>
    <mergeCell ref="M2:O2"/>
    <mergeCell ref="A2:A3"/>
    <mergeCell ref="A4:A8"/>
    <mergeCell ref="A9:A13"/>
    <mergeCell ref="D2:D3"/>
    <mergeCell ref="E2:E3"/>
    <mergeCell ref="F2:F3"/>
    <mergeCell ref="G2:G3"/>
    <mergeCell ref="H2:H3"/>
    <mergeCell ref="I2:I3"/>
    <mergeCell ref="J2:J3"/>
    <mergeCell ref="K2:K3"/>
    <mergeCell ref="K4:K13"/>
    <mergeCell ref="M4:M8"/>
    <mergeCell ref="M9:M13"/>
  </mergeCells>
  <phoneticPr fontId="9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3"/>
  <sheetViews>
    <sheetView topLeftCell="F1" workbookViewId="0">
      <selection sqref="A1:T1"/>
    </sheetView>
  </sheetViews>
  <sheetFormatPr defaultColWidth="9" defaultRowHeight="14.25" x14ac:dyDescent="0.15"/>
  <cols>
    <col min="12" max="12" width="13.875" customWidth="1"/>
  </cols>
  <sheetData>
    <row r="1" spans="1:20" ht="20.25" x14ac:dyDescent="0.1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0" x14ac:dyDescent="0.15">
      <c r="A2" s="37" t="s">
        <v>1</v>
      </c>
      <c r="B2" s="44" t="s">
        <v>2</v>
      </c>
      <c r="C2" s="44" t="s">
        <v>3</v>
      </c>
      <c r="D2" s="45" t="s">
        <v>4</v>
      </c>
      <c r="E2" s="44" t="s">
        <v>5</v>
      </c>
      <c r="F2" s="44" t="s">
        <v>6</v>
      </c>
      <c r="G2" s="44" t="s">
        <v>7</v>
      </c>
      <c r="H2" s="44" t="s">
        <v>8</v>
      </c>
      <c r="I2" s="47" t="s">
        <v>9</v>
      </c>
      <c r="J2" s="48" t="s">
        <v>10</v>
      </c>
      <c r="K2" s="44" t="s">
        <v>11</v>
      </c>
      <c r="L2" s="45" t="s">
        <v>12</v>
      </c>
      <c r="M2" s="34" t="s">
        <v>13</v>
      </c>
      <c r="N2" s="35"/>
      <c r="O2" s="36"/>
      <c r="P2" s="44" t="s">
        <v>14</v>
      </c>
      <c r="Q2" s="60" t="s">
        <v>15</v>
      </c>
      <c r="R2" s="64" t="s">
        <v>16</v>
      </c>
      <c r="S2" s="64" t="s">
        <v>17</v>
      </c>
      <c r="T2" s="64" t="s">
        <v>18</v>
      </c>
    </row>
    <row r="3" spans="1:20" x14ac:dyDescent="0.15">
      <c r="A3" s="37"/>
      <c r="B3" s="44"/>
      <c r="C3" s="44"/>
      <c r="D3" s="46"/>
      <c r="E3" s="44"/>
      <c r="F3" s="44"/>
      <c r="G3" s="44"/>
      <c r="H3" s="44"/>
      <c r="I3" s="44"/>
      <c r="J3" s="49"/>
      <c r="K3" s="44"/>
      <c r="L3" s="46"/>
      <c r="M3" s="16" t="s">
        <v>7</v>
      </c>
      <c r="N3" s="16" t="s">
        <v>8</v>
      </c>
      <c r="O3" s="3" t="s">
        <v>9</v>
      </c>
      <c r="P3" s="44"/>
      <c r="Q3" s="60"/>
      <c r="R3" s="64"/>
      <c r="S3" s="64"/>
      <c r="T3" s="64"/>
    </row>
    <row r="4" spans="1:20" x14ac:dyDescent="0.15">
      <c r="A4" s="66" t="s">
        <v>55</v>
      </c>
      <c r="B4" s="4" t="s">
        <v>20</v>
      </c>
      <c r="C4" s="5">
        <f t="shared" ref="C4:C19" si="0">D4+E4</f>
        <v>386400</v>
      </c>
      <c r="D4" s="5">
        <f t="shared" ref="D4:D8" si="1">F4*1.8</f>
        <v>50400</v>
      </c>
      <c r="E4" s="5">
        <f t="shared" ref="E4:E19" si="2">F4*12</f>
        <v>336000</v>
      </c>
      <c r="F4" s="6">
        <v>28000</v>
      </c>
      <c r="G4" s="5">
        <f t="shared" ref="G4:G19" si="3">F4*0.6</f>
        <v>16800</v>
      </c>
      <c r="H4" s="5">
        <f t="shared" ref="H4:H8" si="4">F4*0.15</f>
        <v>4200</v>
      </c>
      <c r="I4" s="5">
        <f t="shared" ref="I4:I8" si="5">F4*0.25</f>
        <v>7000</v>
      </c>
      <c r="J4" s="17">
        <f t="shared" ref="J4:J22" si="6">F4/F5</f>
        <v>1.4</v>
      </c>
      <c r="K4" s="50" t="s">
        <v>21</v>
      </c>
      <c r="L4" s="53" t="s">
        <v>22</v>
      </c>
      <c r="M4" s="54">
        <v>0.6</v>
      </c>
      <c r="N4" s="54">
        <v>0.15</v>
      </c>
      <c r="O4" s="54">
        <v>0.25</v>
      </c>
      <c r="P4" s="57" t="s">
        <v>23</v>
      </c>
      <c r="Q4" s="61" t="s">
        <v>24</v>
      </c>
      <c r="R4" s="65">
        <v>3000</v>
      </c>
      <c r="S4" s="65">
        <v>1500</v>
      </c>
      <c r="T4" s="65">
        <v>2000</v>
      </c>
    </row>
    <row r="5" spans="1:20" x14ac:dyDescent="0.15">
      <c r="A5" s="39"/>
      <c r="B5" s="4" t="s">
        <v>25</v>
      </c>
      <c r="C5" s="5">
        <f t="shared" si="0"/>
        <v>276000</v>
      </c>
      <c r="D5" s="5">
        <f t="shared" si="1"/>
        <v>36000</v>
      </c>
      <c r="E5" s="5">
        <f t="shared" si="2"/>
        <v>240000</v>
      </c>
      <c r="F5" s="6">
        <v>20000</v>
      </c>
      <c r="G5" s="5">
        <f t="shared" si="3"/>
        <v>12000</v>
      </c>
      <c r="H5" s="5">
        <f t="shared" si="4"/>
        <v>3000</v>
      </c>
      <c r="I5" s="5">
        <f t="shared" si="5"/>
        <v>5000</v>
      </c>
      <c r="J5" s="17">
        <f t="shared" si="6"/>
        <v>1.1111111111111112</v>
      </c>
      <c r="K5" s="51"/>
      <c r="L5" s="53"/>
      <c r="M5" s="55"/>
      <c r="N5" s="55"/>
      <c r="O5" s="55"/>
      <c r="P5" s="58"/>
      <c r="Q5" s="62"/>
      <c r="R5" s="65"/>
      <c r="S5" s="65"/>
      <c r="T5" s="65"/>
    </row>
    <row r="6" spans="1:20" x14ac:dyDescent="0.15">
      <c r="A6" s="39"/>
      <c r="B6" s="4" t="s">
        <v>26</v>
      </c>
      <c r="C6" s="5">
        <f t="shared" si="0"/>
        <v>248400</v>
      </c>
      <c r="D6" s="5">
        <f t="shared" si="1"/>
        <v>32400</v>
      </c>
      <c r="E6" s="5">
        <f t="shared" si="2"/>
        <v>216000</v>
      </c>
      <c r="F6" s="6">
        <v>18000</v>
      </c>
      <c r="G6" s="5">
        <f t="shared" si="3"/>
        <v>10800</v>
      </c>
      <c r="H6" s="5">
        <f t="shared" si="4"/>
        <v>2700</v>
      </c>
      <c r="I6" s="5">
        <f t="shared" si="5"/>
        <v>4500</v>
      </c>
      <c r="J6" s="17">
        <f t="shared" si="6"/>
        <v>1.2</v>
      </c>
      <c r="K6" s="51"/>
      <c r="L6" s="53"/>
      <c r="M6" s="55"/>
      <c r="N6" s="55"/>
      <c r="O6" s="55"/>
      <c r="P6" s="58"/>
      <c r="Q6" s="62"/>
      <c r="R6" s="65"/>
      <c r="S6" s="65"/>
      <c r="T6" s="65"/>
    </row>
    <row r="7" spans="1:20" x14ac:dyDescent="0.15">
      <c r="A7" s="39"/>
      <c r="B7" s="4" t="s">
        <v>27</v>
      </c>
      <c r="C7" s="5">
        <f t="shared" si="0"/>
        <v>207000</v>
      </c>
      <c r="D7" s="5">
        <f t="shared" si="1"/>
        <v>27000</v>
      </c>
      <c r="E7" s="5">
        <f t="shared" si="2"/>
        <v>180000</v>
      </c>
      <c r="F7" s="6">
        <v>15000</v>
      </c>
      <c r="G7" s="5">
        <f t="shared" si="3"/>
        <v>9000</v>
      </c>
      <c r="H7" s="5">
        <f t="shared" si="4"/>
        <v>2250</v>
      </c>
      <c r="I7" s="5">
        <f t="shared" si="5"/>
        <v>3750</v>
      </c>
      <c r="J7" s="17">
        <f t="shared" si="6"/>
        <v>1.1538461538461537</v>
      </c>
      <c r="K7" s="51"/>
      <c r="L7" s="53"/>
      <c r="M7" s="55"/>
      <c r="N7" s="55"/>
      <c r="O7" s="55"/>
      <c r="P7" s="58"/>
      <c r="Q7" s="62"/>
      <c r="R7" s="65"/>
      <c r="S7" s="65"/>
      <c r="T7" s="65"/>
    </row>
    <row r="8" spans="1:20" x14ac:dyDescent="0.15">
      <c r="A8" s="40"/>
      <c r="B8" s="4" t="s">
        <v>28</v>
      </c>
      <c r="C8" s="5">
        <f t="shared" si="0"/>
        <v>179400</v>
      </c>
      <c r="D8" s="5">
        <f t="shared" si="1"/>
        <v>23400</v>
      </c>
      <c r="E8" s="5">
        <f t="shared" si="2"/>
        <v>156000</v>
      </c>
      <c r="F8" s="6">
        <v>13000</v>
      </c>
      <c r="G8" s="5">
        <f t="shared" si="3"/>
        <v>7800</v>
      </c>
      <c r="H8" s="5">
        <f t="shared" si="4"/>
        <v>1950</v>
      </c>
      <c r="I8" s="5">
        <f t="shared" si="5"/>
        <v>3250</v>
      </c>
      <c r="J8" s="17">
        <f t="shared" si="6"/>
        <v>1</v>
      </c>
      <c r="K8" s="51"/>
      <c r="L8" s="53"/>
      <c r="M8" s="56"/>
      <c r="N8" s="56"/>
      <c r="O8" s="56"/>
      <c r="P8" s="58"/>
      <c r="Q8" s="63"/>
      <c r="R8" s="65"/>
      <c r="S8" s="65"/>
      <c r="T8" s="65"/>
    </row>
    <row r="9" spans="1:20" x14ac:dyDescent="0.15">
      <c r="A9" s="79" t="s">
        <v>56</v>
      </c>
      <c r="B9" s="7" t="s">
        <v>20</v>
      </c>
      <c r="C9" s="8">
        <f t="shared" si="0"/>
        <v>175500</v>
      </c>
      <c r="D9" s="8">
        <f t="shared" ref="D9:D13" si="7">F9*1.5</f>
        <v>19500</v>
      </c>
      <c r="E9" s="8">
        <f t="shared" si="2"/>
        <v>156000</v>
      </c>
      <c r="F9" s="9">
        <v>13000</v>
      </c>
      <c r="G9" s="8">
        <f t="shared" si="3"/>
        <v>7800</v>
      </c>
      <c r="H9" s="8">
        <f t="shared" ref="H9:H13" si="8">F9*0.2</f>
        <v>2600</v>
      </c>
      <c r="I9" s="8">
        <f>F9*0.2</f>
        <v>2600</v>
      </c>
      <c r="J9" s="17">
        <f t="shared" si="6"/>
        <v>1.1304347826086956</v>
      </c>
      <c r="K9" s="51"/>
      <c r="L9" s="53" t="s">
        <v>30</v>
      </c>
      <c r="M9" s="54">
        <v>0.6</v>
      </c>
      <c r="N9" s="54">
        <v>0.2</v>
      </c>
      <c r="O9" s="54">
        <v>0.2</v>
      </c>
      <c r="P9" s="58"/>
      <c r="Q9" s="61" t="s">
        <v>31</v>
      </c>
      <c r="R9" s="65">
        <v>2000</v>
      </c>
      <c r="S9" s="65">
        <v>1000</v>
      </c>
      <c r="T9" s="65">
        <v>1000</v>
      </c>
    </row>
    <row r="10" spans="1:20" x14ac:dyDescent="0.15">
      <c r="A10" s="42"/>
      <c r="B10" s="7" t="s">
        <v>25</v>
      </c>
      <c r="C10" s="8">
        <f t="shared" si="0"/>
        <v>155250</v>
      </c>
      <c r="D10" s="8">
        <f t="shared" si="7"/>
        <v>17250</v>
      </c>
      <c r="E10" s="8">
        <f t="shared" si="2"/>
        <v>138000</v>
      </c>
      <c r="F10" s="9">
        <v>11500</v>
      </c>
      <c r="G10" s="8">
        <f t="shared" si="3"/>
        <v>6900</v>
      </c>
      <c r="H10" s="8">
        <f t="shared" si="8"/>
        <v>2300</v>
      </c>
      <c r="I10" s="8">
        <f t="shared" ref="I10:I13" si="9">F10*0.2</f>
        <v>2300</v>
      </c>
      <c r="J10" s="17">
        <f t="shared" si="6"/>
        <v>1.0952380952380953</v>
      </c>
      <c r="K10" s="51"/>
      <c r="L10" s="53"/>
      <c r="M10" s="55"/>
      <c r="N10" s="55"/>
      <c r="O10" s="55"/>
      <c r="P10" s="58"/>
      <c r="Q10" s="62"/>
      <c r="R10" s="65"/>
      <c r="S10" s="65"/>
      <c r="T10" s="65"/>
    </row>
    <row r="11" spans="1:20" x14ac:dyDescent="0.15">
      <c r="A11" s="42"/>
      <c r="B11" s="7" t="s">
        <v>26</v>
      </c>
      <c r="C11" s="8">
        <f t="shared" si="0"/>
        <v>141750</v>
      </c>
      <c r="D11" s="8">
        <f t="shared" si="7"/>
        <v>15750</v>
      </c>
      <c r="E11" s="8">
        <f t="shared" si="2"/>
        <v>126000</v>
      </c>
      <c r="F11" s="9">
        <v>10500</v>
      </c>
      <c r="G11" s="8">
        <f t="shared" si="3"/>
        <v>6300</v>
      </c>
      <c r="H11" s="8">
        <f t="shared" si="8"/>
        <v>2100</v>
      </c>
      <c r="I11" s="8">
        <f t="shared" si="9"/>
        <v>2100</v>
      </c>
      <c r="J11" s="17">
        <f t="shared" si="6"/>
        <v>1.1052631578947369</v>
      </c>
      <c r="K11" s="51"/>
      <c r="L11" s="53"/>
      <c r="M11" s="55"/>
      <c r="N11" s="55"/>
      <c r="O11" s="55"/>
      <c r="P11" s="58"/>
      <c r="Q11" s="62"/>
      <c r="R11" s="65"/>
      <c r="S11" s="65"/>
      <c r="T11" s="65"/>
    </row>
    <row r="12" spans="1:20" x14ac:dyDescent="0.15">
      <c r="A12" s="42"/>
      <c r="B12" s="7" t="s">
        <v>27</v>
      </c>
      <c r="C12" s="8">
        <f t="shared" si="0"/>
        <v>128250</v>
      </c>
      <c r="D12" s="8">
        <f t="shared" si="7"/>
        <v>14250</v>
      </c>
      <c r="E12" s="8">
        <f t="shared" si="2"/>
        <v>114000</v>
      </c>
      <c r="F12" s="9">
        <v>9500</v>
      </c>
      <c r="G12" s="8">
        <f t="shared" si="3"/>
        <v>5700</v>
      </c>
      <c r="H12" s="8">
        <f t="shared" si="8"/>
        <v>1900</v>
      </c>
      <c r="I12" s="8">
        <f t="shared" si="9"/>
        <v>1900</v>
      </c>
      <c r="J12" s="17">
        <f t="shared" si="6"/>
        <v>1.1176470588235294</v>
      </c>
      <c r="K12" s="51"/>
      <c r="L12" s="53"/>
      <c r="M12" s="55"/>
      <c r="N12" s="55"/>
      <c r="O12" s="55"/>
      <c r="P12" s="58"/>
      <c r="Q12" s="62"/>
      <c r="R12" s="65"/>
      <c r="S12" s="65"/>
      <c r="T12" s="65"/>
    </row>
    <row r="13" spans="1:20" x14ac:dyDescent="0.15">
      <c r="A13" s="43"/>
      <c r="B13" s="7" t="s">
        <v>28</v>
      </c>
      <c r="C13" s="8">
        <f t="shared" si="0"/>
        <v>114750</v>
      </c>
      <c r="D13" s="8">
        <f t="shared" si="7"/>
        <v>12750</v>
      </c>
      <c r="E13" s="8">
        <f t="shared" si="2"/>
        <v>102000</v>
      </c>
      <c r="F13" s="9">
        <v>8500</v>
      </c>
      <c r="G13" s="8">
        <f t="shared" si="3"/>
        <v>5100</v>
      </c>
      <c r="H13" s="8">
        <f t="shared" si="8"/>
        <v>1700</v>
      </c>
      <c r="I13" s="8">
        <f t="shared" si="9"/>
        <v>1700</v>
      </c>
      <c r="J13" s="17">
        <f t="shared" si="6"/>
        <v>1</v>
      </c>
      <c r="K13" s="52"/>
      <c r="L13" s="53"/>
      <c r="M13" s="56"/>
      <c r="N13" s="56"/>
      <c r="O13" s="56"/>
      <c r="P13" s="59"/>
      <c r="Q13" s="63"/>
      <c r="R13" s="65"/>
      <c r="S13" s="65"/>
      <c r="T13" s="65"/>
    </row>
    <row r="14" spans="1:20" x14ac:dyDescent="0.15">
      <c r="A14" s="67" t="s">
        <v>57</v>
      </c>
      <c r="B14" s="10" t="s">
        <v>20</v>
      </c>
      <c r="C14" s="11">
        <f t="shared" si="0"/>
        <v>112200</v>
      </c>
      <c r="D14" s="11">
        <f t="shared" ref="D14:D18" si="10">F14*1.2</f>
        <v>10200</v>
      </c>
      <c r="E14" s="11">
        <f t="shared" si="2"/>
        <v>102000</v>
      </c>
      <c r="F14" s="12">
        <v>8500</v>
      </c>
      <c r="G14" s="11">
        <f t="shared" si="3"/>
        <v>5100</v>
      </c>
      <c r="H14" s="11">
        <f t="shared" ref="H14:H18" si="11">F14*0.25</f>
        <v>2125</v>
      </c>
      <c r="I14" s="11">
        <f t="shared" ref="I14:I18" si="12">F14*0.15</f>
        <v>1275</v>
      </c>
      <c r="J14" s="17">
        <f t="shared" si="6"/>
        <v>1.1333333333333333</v>
      </c>
      <c r="K14" s="75" t="s">
        <v>35</v>
      </c>
      <c r="L14" s="53" t="s">
        <v>36</v>
      </c>
      <c r="M14" s="54">
        <v>0.6</v>
      </c>
      <c r="N14" s="54">
        <v>0.25</v>
      </c>
      <c r="O14" s="54">
        <v>0.15</v>
      </c>
      <c r="P14" s="57" t="s">
        <v>37</v>
      </c>
      <c r="Q14" s="61" t="s">
        <v>38</v>
      </c>
      <c r="R14" s="65">
        <v>1000</v>
      </c>
      <c r="S14" s="65">
        <v>500</v>
      </c>
      <c r="T14" s="78" t="s">
        <v>39</v>
      </c>
    </row>
    <row r="15" spans="1:20" x14ac:dyDescent="0.15">
      <c r="A15" s="68"/>
      <c r="B15" s="10" t="s">
        <v>25</v>
      </c>
      <c r="C15" s="11">
        <f t="shared" si="0"/>
        <v>99000</v>
      </c>
      <c r="D15" s="11">
        <f t="shared" si="10"/>
        <v>9000</v>
      </c>
      <c r="E15" s="11">
        <f t="shared" si="2"/>
        <v>90000</v>
      </c>
      <c r="F15" s="12">
        <v>7500</v>
      </c>
      <c r="G15" s="11">
        <f t="shared" si="3"/>
        <v>4500</v>
      </c>
      <c r="H15" s="11">
        <f t="shared" si="11"/>
        <v>1875</v>
      </c>
      <c r="I15" s="11">
        <f t="shared" si="12"/>
        <v>1125</v>
      </c>
      <c r="J15" s="17">
        <f t="shared" si="6"/>
        <v>1.1538461538461537</v>
      </c>
      <c r="K15" s="75"/>
      <c r="L15" s="53"/>
      <c r="M15" s="55"/>
      <c r="N15" s="55"/>
      <c r="O15" s="55"/>
      <c r="P15" s="55"/>
      <c r="Q15" s="62"/>
      <c r="R15" s="65"/>
      <c r="S15" s="65"/>
      <c r="T15" s="65"/>
    </row>
    <row r="16" spans="1:20" x14ac:dyDescent="0.15">
      <c r="A16" s="68"/>
      <c r="B16" s="10" t="s">
        <v>26</v>
      </c>
      <c r="C16" s="11">
        <f t="shared" si="0"/>
        <v>85800</v>
      </c>
      <c r="D16" s="11">
        <f t="shared" si="10"/>
        <v>7800</v>
      </c>
      <c r="E16" s="11">
        <f t="shared" si="2"/>
        <v>78000</v>
      </c>
      <c r="F16" s="12">
        <v>6500</v>
      </c>
      <c r="G16" s="11">
        <f t="shared" si="3"/>
        <v>3900</v>
      </c>
      <c r="H16" s="11">
        <f t="shared" si="11"/>
        <v>1625</v>
      </c>
      <c r="I16" s="11">
        <f t="shared" si="12"/>
        <v>975</v>
      </c>
      <c r="J16" s="17">
        <f t="shared" si="6"/>
        <v>1.1206896551724137</v>
      </c>
      <c r="K16" s="75"/>
      <c r="L16" s="53"/>
      <c r="M16" s="55"/>
      <c r="N16" s="55"/>
      <c r="O16" s="55"/>
      <c r="P16" s="55"/>
      <c r="Q16" s="62"/>
      <c r="R16" s="65"/>
      <c r="S16" s="65"/>
      <c r="T16" s="65"/>
    </row>
    <row r="17" spans="1:20" x14ac:dyDescent="0.15">
      <c r="A17" s="68"/>
      <c r="B17" s="10" t="s">
        <v>27</v>
      </c>
      <c r="C17" s="11">
        <f t="shared" si="0"/>
        <v>76560</v>
      </c>
      <c r="D17" s="11">
        <f t="shared" si="10"/>
        <v>6960</v>
      </c>
      <c r="E17" s="11">
        <f t="shared" si="2"/>
        <v>69600</v>
      </c>
      <c r="F17" s="12">
        <v>5800</v>
      </c>
      <c r="G17" s="11">
        <f t="shared" si="3"/>
        <v>3480</v>
      </c>
      <c r="H17" s="11">
        <f t="shared" si="11"/>
        <v>1450</v>
      </c>
      <c r="I17" s="11">
        <f t="shared" si="12"/>
        <v>870</v>
      </c>
      <c r="J17" s="17">
        <f t="shared" si="6"/>
        <v>1.1599999999999999</v>
      </c>
      <c r="K17" s="75"/>
      <c r="L17" s="53"/>
      <c r="M17" s="55"/>
      <c r="N17" s="55"/>
      <c r="O17" s="55"/>
      <c r="P17" s="55"/>
      <c r="Q17" s="62"/>
      <c r="R17" s="65"/>
      <c r="S17" s="65"/>
      <c r="T17" s="65"/>
    </row>
    <row r="18" spans="1:20" x14ac:dyDescent="0.15">
      <c r="A18" s="69"/>
      <c r="B18" s="10" t="s">
        <v>28</v>
      </c>
      <c r="C18" s="11">
        <f t="shared" si="0"/>
        <v>66000</v>
      </c>
      <c r="D18" s="11">
        <f t="shared" si="10"/>
        <v>6000</v>
      </c>
      <c r="E18" s="11">
        <f t="shared" si="2"/>
        <v>60000</v>
      </c>
      <c r="F18" s="12">
        <v>5000</v>
      </c>
      <c r="G18" s="11">
        <f t="shared" si="3"/>
        <v>3000</v>
      </c>
      <c r="H18" s="11">
        <f t="shared" si="11"/>
        <v>1250</v>
      </c>
      <c r="I18" s="11">
        <f t="shared" si="12"/>
        <v>750</v>
      </c>
      <c r="J18" s="17">
        <f t="shared" si="6"/>
        <v>1</v>
      </c>
      <c r="K18" s="75"/>
      <c r="L18" s="53"/>
      <c r="M18" s="56"/>
      <c r="N18" s="56"/>
      <c r="O18" s="56"/>
      <c r="P18" s="55"/>
      <c r="Q18" s="63"/>
      <c r="R18" s="65"/>
      <c r="S18" s="65"/>
      <c r="T18" s="65"/>
    </row>
    <row r="19" spans="1:20" x14ac:dyDescent="0.15">
      <c r="A19" s="70" t="s">
        <v>58</v>
      </c>
      <c r="B19" s="13" t="s">
        <v>43</v>
      </c>
      <c r="C19" s="14">
        <f t="shared" si="0"/>
        <v>65000</v>
      </c>
      <c r="D19" s="14">
        <f>F19</f>
        <v>5000</v>
      </c>
      <c r="E19" s="14">
        <f t="shared" si="2"/>
        <v>60000</v>
      </c>
      <c r="F19" s="15">
        <v>5000</v>
      </c>
      <c r="G19" s="14">
        <f t="shared" si="3"/>
        <v>3000</v>
      </c>
      <c r="H19" s="14">
        <f>F19*0.3</f>
        <v>1500</v>
      </c>
      <c r="I19" s="14">
        <f>F19*0.1</f>
        <v>500</v>
      </c>
      <c r="J19" s="17">
        <f t="shared" si="6"/>
        <v>1.1111111111111112</v>
      </c>
      <c r="K19" s="75"/>
      <c r="L19" s="53" t="s">
        <v>44</v>
      </c>
      <c r="M19" s="76">
        <v>0.6</v>
      </c>
      <c r="N19" s="76">
        <v>0.3</v>
      </c>
      <c r="O19" s="76">
        <v>0.1</v>
      </c>
      <c r="P19" s="55"/>
      <c r="Q19" s="61" t="s">
        <v>45</v>
      </c>
      <c r="R19" s="65">
        <v>500</v>
      </c>
      <c r="S19" s="65">
        <v>300</v>
      </c>
      <c r="T19" s="78" t="s">
        <v>39</v>
      </c>
    </row>
    <row r="20" spans="1:20" x14ac:dyDescent="0.15">
      <c r="A20" s="84"/>
      <c r="B20" s="13" t="s">
        <v>25</v>
      </c>
      <c r="C20" s="14">
        <f t="shared" ref="C20:C23" si="13">D20+E20</f>
        <v>58500</v>
      </c>
      <c r="D20" s="14">
        <f t="shared" ref="D20:D23" si="14">F20</f>
        <v>4500</v>
      </c>
      <c r="E20" s="14">
        <f t="shared" ref="E20:E23" si="15">F20*12</f>
        <v>54000</v>
      </c>
      <c r="F20" s="15">
        <v>4500</v>
      </c>
      <c r="G20" s="14">
        <f t="shared" ref="G20:G23" si="16">F20*0.6</f>
        <v>2700</v>
      </c>
      <c r="H20" s="14">
        <f t="shared" ref="H20:H23" si="17">F20*0.3</f>
        <v>1350</v>
      </c>
      <c r="I20" s="14">
        <f t="shared" ref="I20:I23" si="18">F20*0.1</f>
        <v>450</v>
      </c>
      <c r="J20" s="17">
        <f t="shared" si="6"/>
        <v>1.125</v>
      </c>
      <c r="K20" s="75"/>
      <c r="L20" s="53"/>
      <c r="M20" s="77"/>
      <c r="N20" s="77"/>
      <c r="O20" s="77"/>
      <c r="P20" s="55"/>
      <c r="Q20" s="62"/>
      <c r="R20" s="65"/>
      <c r="S20" s="65"/>
      <c r="T20" s="65"/>
    </row>
    <row r="21" spans="1:20" x14ac:dyDescent="0.15">
      <c r="A21" s="84"/>
      <c r="B21" s="13" t="s">
        <v>46</v>
      </c>
      <c r="C21" s="14">
        <f t="shared" si="13"/>
        <v>52000</v>
      </c>
      <c r="D21" s="14">
        <f t="shared" si="14"/>
        <v>4000</v>
      </c>
      <c r="E21" s="14">
        <f t="shared" si="15"/>
        <v>48000</v>
      </c>
      <c r="F21" s="15">
        <v>4000</v>
      </c>
      <c r="G21" s="14">
        <f t="shared" si="16"/>
        <v>2400</v>
      </c>
      <c r="H21" s="14">
        <f t="shared" si="17"/>
        <v>1200</v>
      </c>
      <c r="I21" s="14">
        <f t="shared" si="18"/>
        <v>400</v>
      </c>
      <c r="J21" s="17">
        <f t="shared" si="6"/>
        <v>1.1428571428571428</v>
      </c>
      <c r="K21" s="75"/>
      <c r="L21" s="53"/>
      <c r="M21" s="77"/>
      <c r="N21" s="77"/>
      <c r="O21" s="77"/>
      <c r="P21" s="55"/>
      <c r="Q21" s="62"/>
      <c r="R21" s="65"/>
      <c r="S21" s="65"/>
      <c r="T21" s="65"/>
    </row>
    <row r="22" spans="1:20" x14ac:dyDescent="0.15">
      <c r="A22" s="84"/>
      <c r="B22" s="13" t="s">
        <v>47</v>
      </c>
      <c r="C22" s="14">
        <f t="shared" si="13"/>
        <v>45500</v>
      </c>
      <c r="D22" s="14">
        <f t="shared" si="14"/>
        <v>3500</v>
      </c>
      <c r="E22" s="14">
        <f t="shared" si="15"/>
        <v>42000</v>
      </c>
      <c r="F22" s="15">
        <v>3500</v>
      </c>
      <c r="G22" s="14">
        <f t="shared" si="16"/>
        <v>2100</v>
      </c>
      <c r="H22" s="14">
        <f t="shared" si="17"/>
        <v>1050</v>
      </c>
      <c r="I22" s="14">
        <f t="shared" si="18"/>
        <v>350</v>
      </c>
      <c r="J22" s="17">
        <f t="shared" si="6"/>
        <v>1.1666666666666667</v>
      </c>
      <c r="K22" s="75"/>
      <c r="L22" s="53"/>
      <c r="M22" s="77"/>
      <c r="N22" s="77"/>
      <c r="O22" s="77"/>
      <c r="P22" s="55"/>
      <c r="Q22" s="62"/>
      <c r="R22" s="65"/>
      <c r="S22" s="65"/>
      <c r="T22" s="65"/>
    </row>
    <row r="23" spans="1:20" x14ac:dyDescent="0.15">
      <c r="A23" s="85"/>
      <c r="B23" s="13" t="s">
        <v>48</v>
      </c>
      <c r="C23" s="14">
        <f t="shared" si="13"/>
        <v>39000</v>
      </c>
      <c r="D23" s="14">
        <f t="shared" si="14"/>
        <v>3000</v>
      </c>
      <c r="E23" s="14">
        <f t="shared" si="15"/>
        <v>36000</v>
      </c>
      <c r="F23" s="15">
        <v>3000</v>
      </c>
      <c r="G23" s="14">
        <f t="shared" si="16"/>
        <v>1800</v>
      </c>
      <c r="H23" s="14">
        <f t="shared" si="17"/>
        <v>900</v>
      </c>
      <c r="I23" s="14">
        <f t="shared" si="18"/>
        <v>300</v>
      </c>
      <c r="J23" s="17"/>
      <c r="K23" s="75"/>
      <c r="L23" s="53"/>
      <c r="M23" s="77"/>
      <c r="N23" s="77"/>
      <c r="O23" s="77"/>
      <c r="P23" s="56"/>
      <c r="Q23" s="63"/>
      <c r="R23" s="65"/>
      <c r="S23" s="65"/>
      <c r="T23" s="65"/>
    </row>
  </sheetData>
  <mergeCells count="59">
    <mergeCell ref="T2:T3"/>
    <mergeCell ref="T4:T8"/>
    <mergeCell ref="T9:T13"/>
    <mergeCell ref="T14:T18"/>
    <mergeCell ref="T19:T23"/>
    <mergeCell ref="S2:S3"/>
    <mergeCell ref="S4:S8"/>
    <mergeCell ref="S9:S13"/>
    <mergeCell ref="S14:S18"/>
    <mergeCell ref="S19:S23"/>
    <mergeCell ref="R2:R3"/>
    <mergeCell ref="R4:R8"/>
    <mergeCell ref="R9:R13"/>
    <mergeCell ref="R14:R18"/>
    <mergeCell ref="R19:R23"/>
    <mergeCell ref="Q2:Q3"/>
    <mergeCell ref="Q4:Q8"/>
    <mergeCell ref="Q9:Q13"/>
    <mergeCell ref="Q14:Q18"/>
    <mergeCell ref="Q19:Q23"/>
    <mergeCell ref="O9:O13"/>
    <mergeCell ref="O14:O18"/>
    <mergeCell ref="O19:O23"/>
    <mergeCell ref="P2:P3"/>
    <mergeCell ref="P4:P13"/>
    <mergeCell ref="P14:P23"/>
    <mergeCell ref="M14:M18"/>
    <mergeCell ref="M19:M23"/>
    <mergeCell ref="N4:N8"/>
    <mergeCell ref="N9:N13"/>
    <mergeCell ref="N14:N18"/>
    <mergeCell ref="N19:N23"/>
    <mergeCell ref="K14:K23"/>
    <mergeCell ref="L2:L3"/>
    <mergeCell ref="L4:L8"/>
    <mergeCell ref="L9:L13"/>
    <mergeCell ref="L14:L18"/>
    <mergeCell ref="L19:L23"/>
    <mergeCell ref="A14:A18"/>
    <mergeCell ref="A19:A23"/>
    <mergeCell ref="B2:B3"/>
    <mergeCell ref="C2:C3"/>
    <mergeCell ref="D2:D3"/>
    <mergeCell ref="A1:T1"/>
    <mergeCell ref="M2:O2"/>
    <mergeCell ref="A2:A3"/>
    <mergeCell ref="A4:A8"/>
    <mergeCell ref="A9:A13"/>
    <mergeCell ref="E2:E3"/>
    <mergeCell ref="F2:F3"/>
    <mergeCell ref="G2:G3"/>
    <mergeCell ref="H2:H3"/>
    <mergeCell ref="I2:I3"/>
    <mergeCell ref="J2:J3"/>
    <mergeCell ref="K2:K3"/>
    <mergeCell ref="K4:K13"/>
    <mergeCell ref="M4:M8"/>
    <mergeCell ref="M9:M13"/>
    <mergeCell ref="O4:O8"/>
  </mergeCells>
  <phoneticPr fontId="9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6"/>
  <sheetViews>
    <sheetView topLeftCell="F1" workbookViewId="0">
      <selection sqref="A1:T1"/>
    </sheetView>
  </sheetViews>
  <sheetFormatPr defaultColWidth="9" defaultRowHeight="14.25" x14ac:dyDescent="0.15"/>
  <cols>
    <col min="12" max="12" width="16.25" customWidth="1"/>
  </cols>
  <sheetData>
    <row r="1" spans="1:20" ht="29.25" customHeight="1" x14ac:dyDescent="0.15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</row>
    <row r="2" spans="1:20" x14ac:dyDescent="0.15">
      <c r="A2" s="37" t="s">
        <v>1</v>
      </c>
      <c r="B2" s="44" t="s">
        <v>2</v>
      </c>
      <c r="C2" s="44" t="s">
        <v>3</v>
      </c>
      <c r="D2" s="45" t="s">
        <v>4</v>
      </c>
      <c r="E2" s="44" t="s">
        <v>5</v>
      </c>
      <c r="F2" s="44" t="s">
        <v>6</v>
      </c>
      <c r="G2" s="44" t="s">
        <v>7</v>
      </c>
      <c r="H2" s="44" t="s">
        <v>8</v>
      </c>
      <c r="I2" s="47" t="s">
        <v>9</v>
      </c>
      <c r="J2" s="48" t="s">
        <v>10</v>
      </c>
      <c r="K2" s="44" t="s">
        <v>11</v>
      </c>
      <c r="L2" s="45" t="s">
        <v>12</v>
      </c>
      <c r="M2" s="34" t="s">
        <v>13</v>
      </c>
      <c r="N2" s="35"/>
      <c r="O2" s="36"/>
      <c r="P2" s="44" t="s">
        <v>14</v>
      </c>
      <c r="Q2" s="60" t="s">
        <v>15</v>
      </c>
      <c r="R2" s="64" t="s">
        <v>16</v>
      </c>
      <c r="S2" s="64" t="s">
        <v>17</v>
      </c>
      <c r="T2" s="64" t="s">
        <v>18</v>
      </c>
    </row>
    <row r="3" spans="1:20" x14ac:dyDescent="0.15">
      <c r="A3" s="37"/>
      <c r="B3" s="44"/>
      <c r="C3" s="44"/>
      <c r="D3" s="46"/>
      <c r="E3" s="44"/>
      <c r="F3" s="44"/>
      <c r="G3" s="44"/>
      <c r="H3" s="44"/>
      <c r="I3" s="44"/>
      <c r="J3" s="49"/>
      <c r="K3" s="44"/>
      <c r="L3" s="46"/>
      <c r="M3" s="16" t="s">
        <v>7</v>
      </c>
      <c r="N3" s="16" t="s">
        <v>8</v>
      </c>
      <c r="O3" s="3" t="s">
        <v>9</v>
      </c>
      <c r="P3" s="44"/>
      <c r="Q3" s="60"/>
      <c r="R3" s="64"/>
      <c r="S3" s="64"/>
      <c r="T3" s="64"/>
    </row>
    <row r="4" spans="1:20" x14ac:dyDescent="0.15">
      <c r="A4" s="66" t="s">
        <v>59</v>
      </c>
      <c r="B4" s="4" t="s">
        <v>20</v>
      </c>
      <c r="C4" s="5">
        <f t="shared" ref="C4:C19" si="0">D4+E4</f>
        <v>179400</v>
      </c>
      <c r="D4" s="5">
        <f t="shared" ref="D4:D8" si="1">F4*1.8</f>
        <v>23400</v>
      </c>
      <c r="E4" s="5">
        <f t="shared" ref="E4:E19" si="2">F4*12</f>
        <v>156000</v>
      </c>
      <c r="F4" s="6">
        <v>13000</v>
      </c>
      <c r="G4" s="5">
        <f t="shared" ref="G4:G19" si="3">F4*0.6</f>
        <v>7800</v>
      </c>
      <c r="H4" s="5">
        <f t="shared" ref="H4:H8" si="4">F4*0.15</f>
        <v>1950</v>
      </c>
      <c r="I4" s="5">
        <f t="shared" ref="I4:I8" si="5">F4*0.25</f>
        <v>3250</v>
      </c>
      <c r="J4" s="17">
        <f t="shared" ref="J4:J22" si="6">F4/F5</f>
        <v>1.1304347826086956</v>
      </c>
      <c r="K4" s="50" t="s">
        <v>21</v>
      </c>
      <c r="L4" s="53" t="s">
        <v>22</v>
      </c>
      <c r="M4" s="54">
        <v>0.6</v>
      </c>
      <c r="N4" s="54">
        <v>0.15</v>
      </c>
      <c r="O4" s="54">
        <v>0.25</v>
      </c>
      <c r="P4" s="57" t="s">
        <v>23</v>
      </c>
      <c r="Q4" s="61" t="s">
        <v>24</v>
      </c>
      <c r="R4" s="65">
        <v>3000</v>
      </c>
      <c r="S4" s="65">
        <v>1500</v>
      </c>
      <c r="T4" s="65">
        <v>2000</v>
      </c>
    </row>
    <row r="5" spans="1:20" x14ac:dyDescent="0.15">
      <c r="A5" s="39"/>
      <c r="B5" s="4" t="s">
        <v>25</v>
      </c>
      <c r="C5" s="5">
        <f t="shared" si="0"/>
        <v>158700</v>
      </c>
      <c r="D5" s="5">
        <f t="shared" si="1"/>
        <v>20700</v>
      </c>
      <c r="E5" s="5">
        <f t="shared" si="2"/>
        <v>138000</v>
      </c>
      <c r="F5" s="6">
        <v>11500</v>
      </c>
      <c r="G5" s="5">
        <f t="shared" si="3"/>
        <v>6900</v>
      </c>
      <c r="H5" s="5">
        <f t="shared" si="4"/>
        <v>1725</v>
      </c>
      <c r="I5" s="5">
        <f t="shared" si="5"/>
        <v>2875</v>
      </c>
      <c r="J5" s="17">
        <f t="shared" si="6"/>
        <v>1.1499999999999999</v>
      </c>
      <c r="K5" s="51"/>
      <c r="L5" s="53"/>
      <c r="M5" s="55"/>
      <c r="N5" s="55"/>
      <c r="O5" s="55"/>
      <c r="P5" s="58"/>
      <c r="Q5" s="62"/>
      <c r="R5" s="65"/>
      <c r="S5" s="65"/>
      <c r="T5" s="65"/>
    </row>
    <row r="6" spans="1:20" x14ac:dyDescent="0.15">
      <c r="A6" s="39"/>
      <c r="B6" s="4" t="s">
        <v>26</v>
      </c>
      <c r="C6" s="5">
        <f t="shared" si="0"/>
        <v>138000</v>
      </c>
      <c r="D6" s="5">
        <f t="shared" si="1"/>
        <v>18000</v>
      </c>
      <c r="E6" s="5">
        <f t="shared" si="2"/>
        <v>120000</v>
      </c>
      <c r="F6" s="6">
        <v>10000</v>
      </c>
      <c r="G6" s="5">
        <f t="shared" si="3"/>
        <v>6000</v>
      </c>
      <c r="H6" s="5">
        <f t="shared" si="4"/>
        <v>1500</v>
      </c>
      <c r="I6" s="5">
        <f t="shared" si="5"/>
        <v>2500</v>
      </c>
      <c r="J6" s="17">
        <f t="shared" si="6"/>
        <v>1.1764705882352942</v>
      </c>
      <c r="K6" s="51"/>
      <c r="L6" s="53"/>
      <c r="M6" s="55"/>
      <c r="N6" s="55"/>
      <c r="O6" s="55"/>
      <c r="P6" s="58"/>
      <c r="Q6" s="62"/>
      <c r="R6" s="65"/>
      <c r="S6" s="65"/>
      <c r="T6" s="65"/>
    </row>
    <row r="7" spans="1:20" x14ac:dyDescent="0.15">
      <c r="A7" s="39"/>
      <c r="B7" s="4" t="s">
        <v>27</v>
      </c>
      <c r="C7" s="5">
        <f t="shared" si="0"/>
        <v>117300</v>
      </c>
      <c r="D7" s="5">
        <f t="shared" si="1"/>
        <v>15300</v>
      </c>
      <c r="E7" s="5">
        <f t="shared" si="2"/>
        <v>102000</v>
      </c>
      <c r="F7" s="6">
        <v>8500</v>
      </c>
      <c r="G7" s="5">
        <f t="shared" si="3"/>
        <v>5100</v>
      </c>
      <c r="H7" s="5">
        <f t="shared" si="4"/>
        <v>1275</v>
      </c>
      <c r="I7" s="5">
        <f t="shared" si="5"/>
        <v>2125</v>
      </c>
      <c r="J7" s="17">
        <f t="shared" si="6"/>
        <v>1.1333333333333333</v>
      </c>
      <c r="K7" s="51"/>
      <c r="L7" s="53"/>
      <c r="M7" s="55"/>
      <c r="N7" s="55"/>
      <c r="O7" s="55"/>
      <c r="P7" s="58"/>
      <c r="Q7" s="62"/>
      <c r="R7" s="65"/>
      <c r="S7" s="65"/>
      <c r="T7" s="65"/>
    </row>
    <row r="8" spans="1:20" x14ac:dyDescent="0.15">
      <c r="A8" s="40"/>
      <c r="B8" s="4" t="s">
        <v>28</v>
      </c>
      <c r="C8" s="5">
        <f t="shared" si="0"/>
        <v>103500</v>
      </c>
      <c r="D8" s="5">
        <f t="shared" si="1"/>
        <v>13500</v>
      </c>
      <c r="E8" s="5">
        <f t="shared" si="2"/>
        <v>90000</v>
      </c>
      <c r="F8" s="6">
        <v>7500</v>
      </c>
      <c r="G8" s="5">
        <f t="shared" si="3"/>
        <v>4500</v>
      </c>
      <c r="H8" s="5">
        <f t="shared" si="4"/>
        <v>1125</v>
      </c>
      <c r="I8" s="5">
        <f t="shared" si="5"/>
        <v>1875</v>
      </c>
      <c r="J8" s="17">
        <f t="shared" si="6"/>
        <v>1</v>
      </c>
      <c r="K8" s="51"/>
      <c r="L8" s="53"/>
      <c r="M8" s="56"/>
      <c r="N8" s="56"/>
      <c r="O8" s="56"/>
      <c r="P8" s="58"/>
      <c r="Q8" s="63"/>
      <c r="R8" s="65"/>
      <c r="S8" s="65"/>
      <c r="T8" s="65"/>
    </row>
    <row r="9" spans="1:20" x14ac:dyDescent="0.15">
      <c r="A9" s="79" t="s">
        <v>60</v>
      </c>
      <c r="B9" s="7" t="s">
        <v>20</v>
      </c>
      <c r="C9" s="8">
        <f t="shared" si="0"/>
        <v>101250</v>
      </c>
      <c r="D9" s="8">
        <f t="shared" ref="D9:D13" si="7">F9*1.5</f>
        <v>11250</v>
      </c>
      <c r="E9" s="8">
        <f t="shared" si="2"/>
        <v>90000</v>
      </c>
      <c r="F9" s="9">
        <v>7500</v>
      </c>
      <c r="G9" s="8">
        <f t="shared" si="3"/>
        <v>4500</v>
      </c>
      <c r="H9" s="8">
        <f t="shared" ref="H9:H13" si="8">F9*0.2</f>
        <v>1500</v>
      </c>
      <c r="I9" s="8">
        <f>F9*0.2</f>
        <v>1500</v>
      </c>
      <c r="J9" s="17">
        <f t="shared" si="6"/>
        <v>1.1538461538461537</v>
      </c>
      <c r="K9" s="51"/>
      <c r="L9" s="53" t="s">
        <v>30</v>
      </c>
      <c r="M9" s="54">
        <v>0.6</v>
      </c>
      <c r="N9" s="54">
        <v>0.2</v>
      </c>
      <c r="O9" s="54">
        <v>0.2</v>
      </c>
      <c r="P9" s="58"/>
      <c r="Q9" s="61" t="s">
        <v>31</v>
      </c>
      <c r="R9" s="65">
        <v>2000</v>
      </c>
      <c r="S9" s="65">
        <v>1000</v>
      </c>
      <c r="T9" s="65">
        <v>1000</v>
      </c>
    </row>
    <row r="10" spans="1:20" x14ac:dyDescent="0.15">
      <c r="A10" s="42"/>
      <c r="B10" s="7" t="s">
        <v>25</v>
      </c>
      <c r="C10" s="8">
        <f t="shared" si="0"/>
        <v>87750</v>
      </c>
      <c r="D10" s="8">
        <f t="shared" si="7"/>
        <v>9750</v>
      </c>
      <c r="E10" s="8">
        <f t="shared" si="2"/>
        <v>78000</v>
      </c>
      <c r="F10" s="9">
        <v>6500</v>
      </c>
      <c r="G10" s="8">
        <f t="shared" si="3"/>
        <v>3900</v>
      </c>
      <c r="H10" s="8">
        <f t="shared" si="8"/>
        <v>1300</v>
      </c>
      <c r="I10" s="8">
        <f t="shared" ref="I10:I13" si="9">F10*0.2</f>
        <v>1300</v>
      </c>
      <c r="J10" s="17">
        <f t="shared" si="6"/>
        <v>1.1206896551724137</v>
      </c>
      <c r="K10" s="51"/>
      <c r="L10" s="53"/>
      <c r="M10" s="55"/>
      <c r="N10" s="55"/>
      <c r="O10" s="55"/>
      <c r="P10" s="58"/>
      <c r="Q10" s="62"/>
      <c r="R10" s="65"/>
      <c r="S10" s="65"/>
      <c r="T10" s="65"/>
    </row>
    <row r="11" spans="1:20" x14ac:dyDescent="0.15">
      <c r="A11" s="42"/>
      <c r="B11" s="7" t="s">
        <v>26</v>
      </c>
      <c r="C11" s="8">
        <f t="shared" si="0"/>
        <v>78300</v>
      </c>
      <c r="D11" s="8">
        <f t="shared" si="7"/>
        <v>8700</v>
      </c>
      <c r="E11" s="8">
        <f t="shared" si="2"/>
        <v>69600</v>
      </c>
      <c r="F11" s="9">
        <v>5800</v>
      </c>
      <c r="G11" s="8">
        <f t="shared" si="3"/>
        <v>3480</v>
      </c>
      <c r="H11" s="8">
        <f t="shared" si="8"/>
        <v>1160</v>
      </c>
      <c r="I11" s="8">
        <f t="shared" si="9"/>
        <v>1160</v>
      </c>
      <c r="J11" s="17">
        <f t="shared" si="6"/>
        <v>1.1599999999999999</v>
      </c>
      <c r="K11" s="51"/>
      <c r="L11" s="53"/>
      <c r="M11" s="55"/>
      <c r="N11" s="55"/>
      <c r="O11" s="55"/>
      <c r="P11" s="58"/>
      <c r="Q11" s="62"/>
      <c r="R11" s="65"/>
      <c r="S11" s="65"/>
      <c r="T11" s="65"/>
    </row>
    <row r="12" spans="1:20" x14ac:dyDescent="0.15">
      <c r="A12" s="42"/>
      <c r="B12" s="7" t="s">
        <v>27</v>
      </c>
      <c r="C12" s="8">
        <f t="shared" si="0"/>
        <v>67500</v>
      </c>
      <c r="D12" s="8">
        <f t="shared" si="7"/>
        <v>7500</v>
      </c>
      <c r="E12" s="8">
        <f t="shared" si="2"/>
        <v>60000</v>
      </c>
      <c r="F12" s="9">
        <v>5000</v>
      </c>
      <c r="G12" s="8">
        <f t="shared" si="3"/>
        <v>3000</v>
      </c>
      <c r="H12" s="8">
        <f t="shared" si="8"/>
        <v>1000</v>
      </c>
      <c r="I12" s="8">
        <f t="shared" si="9"/>
        <v>1000</v>
      </c>
      <c r="J12" s="17">
        <f t="shared" si="6"/>
        <v>1.1111111111111112</v>
      </c>
      <c r="K12" s="51"/>
      <c r="L12" s="53"/>
      <c r="M12" s="55"/>
      <c r="N12" s="55"/>
      <c r="O12" s="55"/>
      <c r="P12" s="58"/>
      <c r="Q12" s="62"/>
      <c r="R12" s="65"/>
      <c r="S12" s="65"/>
      <c r="T12" s="65"/>
    </row>
    <row r="13" spans="1:20" x14ac:dyDescent="0.15">
      <c r="A13" s="43"/>
      <c r="B13" s="7" t="s">
        <v>28</v>
      </c>
      <c r="C13" s="8">
        <f t="shared" si="0"/>
        <v>60750</v>
      </c>
      <c r="D13" s="8">
        <f t="shared" si="7"/>
        <v>6750</v>
      </c>
      <c r="E13" s="8">
        <f t="shared" si="2"/>
        <v>54000</v>
      </c>
      <c r="F13" s="9">
        <v>4500</v>
      </c>
      <c r="G13" s="8">
        <f t="shared" si="3"/>
        <v>2700</v>
      </c>
      <c r="H13" s="8">
        <f t="shared" si="8"/>
        <v>900</v>
      </c>
      <c r="I13" s="8">
        <f t="shared" si="9"/>
        <v>900</v>
      </c>
      <c r="J13" s="17">
        <f t="shared" si="6"/>
        <v>0.75</v>
      </c>
      <c r="K13" s="52"/>
      <c r="L13" s="53"/>
      <c r="M13" s="56"/>
      <c r="N13" s="56"/>
      <c r="O13" s="56"/>
      <c r="P13" s="59"/>
      <c r="Q13" s="63"/>
      <c r="R13" s="65"/>
      <c r="S13" s="65"/>
      <c r="T13" s="65"/>
    </row>
    <row r="14" spans="1:20" ht="14.25" customHeight="1" x14ac:dyDescent="0.15">
      <c r="A14" s="67" t="s">
        <v>61</v>
      </c>
      <c r="B14" s="10" t="s">
        <v>20</v>
      </c>
      <c r="C14" s="11">
        <f t="shared" si="0"/>
        <v>79200</v>
      </c>
      <c r="D14" s="11">
        <f t="shared" ref="D14:D18" si="10">F14*1.2</f>
        <v>7200</v>
      </c>
      <c r="E14" s="11">
        <f t="shared" si="2"/>
        <v>72000</v>
      </c>
      <c r="F14" s="12">
        <v>6000</v>
      </c>
      <c r="G14" s="11">
        <f t="shared" si="3"/>
        <v>3600</v>
      </c>
      <c r="H14" s="11">
        <f t="shared" ref="H14:H18" si="11">F14*0.25</f>
        <v>1500</v>
      </c>
      <c r="I14" s="11">
        <f t="shared" ref="I14:I18" si="12">F14*0.15</f>
        <v>900</v>
      </c>
      <c r="J14" s="17">
        <f t="shared" si="6"/>
        <v>1.2</v>
      </c>
      <c r="K14" s="87" t="s">
        <v>35</v>
      </c>
      <c r="L14" s="89" t="s">
        <v>44</v>
      </c>
      <c r="M14" s="76">
        <v>0.6</v>
      </c>
      <c r="N14" s="76">
        <v>0.25</v>
      </c>
      <c r="O14" s="76">
        <v>0.15</v>
      </c>
      <c r="P14" s="91" t="s">
        <v>37</v>
      </c>
      <c r="Q14" s="92" t="s">
        <v>38</v>
      </c>
      <c r="R14" s="65">
        <v>1000</v>
      </c>
      <c r="S14" s="65">
        <v>500</v>
      </c>
      <c r="T14" s="78" t="s">
        <v>39</v>
      </c>
    </row>
    <row r="15" spans="1:20" x14ac:dyDescent="0.15">
      <c r="A15" s="68"/>
      <c r="B15" s="10" t="s">
        <v>25</v>
      </c>
      <c r="C15" s="11">
        <f t="shared" si="0"/>
        <v>66000</v>
      </c>
      <c r="D15" s="11">
        <f t="shared" si="10"/>
        <v>6000</v>
      </c>
      <c r="E15" s="11">
        <f t="shared" si="2"/>
        <v>60000</v>
      </c>
      <c r="F15" s="12">
        <v>5000</v>
      </c>
      <c r="G15" s="11">
        <f t="shared" si="3"/>
        <v>3000</v>
      </c>
      <c r="H15" s="11">
        <f t="shared" si="11"/>
        <v>1250</v>
      </c>
      <c r="I15" s="11">
        <f t="shared" si="12"/>
        <v>750</v>
      </c>
      <c r="J15" s="17">
        <f t="shared" si="6"/>
        <v>1.1111111111111112</v>
      </c>
      <c r="K15" s="88"/>
      <c r="L15" s="90"/>
      <c r="M15" s="76"/>
      <c r="N15" s="76"/>
      <c r="O15" s="76"/>
      <c r="P15" s="91"/>
      <c r="Q15" s="93"/>
      <c r="R15" s="65"/>
      <c r="S15" s="65"/>
      <c r="T15" s="65"/>
    </row>
    <row r="16" spans="1:20" x14ac:dyDescent="0.15">
      <c r="A16" s="68"/>
      <c r="B16" s="10" t="s">
        <v>26</v>
      </c>
      <c r="C16" s="11">
        <f t="shared" si="0"/>
        <v>59400</v>
      </c>
      <c r="D16" s="11">
        <f t="shared" si="10"/>
        <v>5400</v>
      </c>
      <c r="E16" s="11">
        <f t="shared" si="2"/>
        <v>54000</v>
      </c>
      <c r="F16" s="12">
        <v>4500</v>
      </c>
      <c r="G16" s="11">
        <f t="shared" si="3"/>
        <v>2700</v>
      </c>
      <c r="H16" s="11">
        <f t="shared" si="11"/>
        <v>1125</v>
      </c>
      <c r="I16" s="11">
        <f t="shared" si="12"/>
        <v>675</v>
      </c>
      <c r="J16" s="17">
        <f t="shared" si="6"/>
        <v>1.125</v>
      </c>
      <c r="K16" s="88"/>
      <c r="L16" s="90"/>
      <c r="M16" s="76"/>
      <c r="N16" s="76"/>
      <c r="O16" s="76"/>
      <c r="P16" s="91"/>
      <c r="Q16" s="93"/>
      <c r="R16" s="65"/>
      <c r="S16" s="65"/>
      <c r="T16" s="65"/>
    </row>
    <row r="17" spans="1:20" x14ac:dyDescent="0.15">
      <c r="A17" s="68"/>
      <c r="B17" s="10" t="s">
        <v>27</v>
      </c>
      <c r="C17" s="11">
        <f t="shared" si="0"/>
        <v>52800</v>
      </c>
      <c r="D17" s="11">
        <f t="shared" si="10"/>
        <v>4800</v>
      </c>
      <c r="E17" s="11">
        <f t="shared" si="2"/>
        <v>48000</v>
      </c>
      <c r="F17" s="12">
        <v>4000</v>
      </c>
      <c r="G17" s="11">
        <f t="shared" si="3"/>
        <v>2400</v>
      </c>
      <c r="H17" s="11">
        <f t="shared" si="11"/>
        <v>1000</v>
      </c>
      <c r="I17" s="11">
        <f t="shared" si="12"/>
        <v>600</v>
      </c>
      <c r="J17" s="17">
        <f t="shared" si="6"/>
        <v>1.1428571428571428</v>
      </c>
      <c r="K17" s="88"/>
      <c r="L17" s="90"/>
      <c r="M17" s="76"/>
      <c r="N17" s="76"/>
      <c r="O17" s="76"/>
      <c r="P17" s="91"/>
      <c r="Q17" s="93"/>
      <c r="R17" s="65"/>
      <c r="S17" s="65"/>
      <c r="T17" s="65"/>
    </row>
    <row r="18" spans="1:20" x14ac:dyDescent="0.15">
      <c r="A18" s="69"/>
      <c r="B18" s="10" t="s">
        <v>28</v>
      </c>
      <c r="C18" s="11">
        <f t="shared" si="0"/>
        <v>46200</v>
      </c>
      <c r="D18" s="11">
        <f t="shared" si="10"/>
        <v>4200</v>
      </c>
      <c r="E18" s="11">
        <f t="shared" si="2"/>
        <v>42000</v>
      </c>
      <c r="F18" s="12">
        <v>3500</v>
      </c>
      <c r="G18" s="11">
        <f t="shared" si="3"/>
        <v>2100</v>
      </c>
      <c r="H18" s="11">
        <f t="shared" si="11"/>
        <v>875</v>
      </c>
      <c r="I18" s="11">
        <f t="shared" si="12"/>
        <v>525</v>
      </c>
      <c r="J18" s="17">
        <f t="shared" si="6"/>
        <v>0.58333333333333337</v>
      </c>
      <c r="K18" s="88"/>
      <c r="L18" s="90"/>
      <c r="M18" s="76"/>
      <c r="N18" s="76"/>
      <c r="O18" s="76"/>
      <c r="P18" s="91"/>
      <c r="Q18" s="94"/>
      <c r="R18" s="65"/>
      <c r="S18" s="65"/>
      <c r="T18" s="65"/>
    </row>
    <row r="19" spans="1:20" x14ac:dyDescent="0.15">
      <c r="A19" s="70" t="s">
        <v>62</v>
      </c>
      <c r="B19" s="13" t="s">
        <v>43</v>
      </c>
      <c r="C19" s="14">
        <f t="shared" si="0"/>
        <v>78000</v>
      </c>
      <c r="D19" s="14">
        <f>F19</f>
        <v>6000</v>
      </c>
      <c r="E19" s="14">
        <f t="shared" si="2"/>
        <v>72000</v>
      </c>
      <c r="F19" s="15">
        <v>6000</v>
      </c>
      <c r="G19" s="14">
        <f t="shared" si="3"/>
        <v>3600</v>
      </c>
      <c r="H19" s="14">
        <f>F19*0.3</f>
        <v>1800</v>
      </c>
      <c r="I19" s="14">
        <f>F19*0.1</f>
        <v>600</v>
      </c>
      <c r="J19" s="17">
        <f t="shared" si="6"/>
        <v>1.2</v>
      </c>
      <c r="K19" s="88"/>
      <c r="L19" s="90"/>
      <c r="M19" s="76">
        <v>0.6</v>
      </c>
      <c r="N19" s="76">
        <v>0.3</v>
      </c>
      <c r="O19" s="76">
        <v>0.1</v>
      </c>
      <c r="P19" s="91"/>
      <c r="Q19" s="95" t="s">
        <v>45</v>
      </c>
      <c r="R19" s="65">
        <v>500</v>
      </c>
      <c r="S19" s="65">
        <v>300</v>
      </c>
      <c r="T19" s="78" t="s">
        <v>39</v>
      </c>
    </row>
    <row r="20" spans="1:20" x14ac:dyDescent="0.15">
      <c r="A20" s="84"/>
      <c r="B20" s="13" t="s">
        <v>25</v>
      </c>
      <c r="C20" s="14">
        <f t="shared" ref="C20:C23" si="13">D20+E20</f>
        <v>65000</v>
      </c>
      <c r="D20" s="14">
        <f t="shared" ref="D20:D23" si="14">F20</f>
        <v>5000</v>
      </c>
      <c r="E20" s="14">
        <f t="shared" ref="E20:E23" si="15">F20*12</f>
        <v>60000</v>
      </c>
      <c r="F20" s="15">
        <v>5000</v>
      </c>
      <c r="G20" s="14">
        <f t="shared" ref="G20:G23" si="16">F20*0.6</f>
        <v>3000</v>
      </c>
      <c r="H20" s="14">
        <f t="shared" ref="H20:H23" si="17">F20*0.3</f>
        <v>1500</v>
      </c>
      <c r="I20" s="14">
        <f t="shared" ref="I20:I23" si="18">F20*0.1</f>
        <v>500</v>
      </c>
      <c r="J20" s="17">
        <f t="shared" si="6"/>
        <v>1.1111111111111112</v>
      </c>
      <c r="K20" s="88"/>
      <c r="L20" s="90"/>
      <c r="M20" s="76"/>
      <c r="N20" s="76"/>
      <c r="O20" s="76"/>
      <c r="P20" s="91"/>
      <c r="Q20" s="95"/>
      <c r="R20" s="65"/>
      <c r="S20" s="65"/>
      <c r="T20" s="78"/>
    </row>
    <row r="21" spans="1:20" x14ac:dyDescent="0.15">
      <c r="A21" s="84"/>
      <c r="B21" s="13" t="s">
        <v>46</v>
      </c>
      <c r="C21" s="14">
        <f t="shared" si="13"/>
        <v>58500</v>
      </c>
      <c r="D21" s="14">
        <f t="shared" si="14"/>
        <v>4500</v>
      </c>
      <c r="E21" s="14">
        <f t="shared" si="15"/>
        <v>54000</v>
      </c>
      <c r="F21" s="15">
        <v>4500</v>
      </c>
      <c r="G21" s="14">
        <f t="shared" si="16"/>
        <v>2700</v>
      </c>
      <c r="H21" s="14">
        <f t="shared" si="17"/>
        <v>1350</v>
      </c>
      <c r="I21" s="14">
        <f t="shared" si="18"/>
        <v>450</v>
      </c>
      <c r="J21" s="17">
        <f t="shared" si="6"/>
        <v>1.125</v>
      </c>
      <c r="K21" s="88"/>
      <c r="L21" s="90"/>
      <c r="M21" s="76"/>
      <c r="N21" s="76"/>
      <c r="O21" s="76"/>
      <c r="P21" s="91"/>
      <c r="Q21" s="95"/>
      <c r="R21" s="65"/>
      <c r="S21" s="65"/>
      <c r="T21" s="78"/>
    </row>
    <row r="22" spans="1:20" x14ac:dyDescent="0.15">
      <c r="A22" s="84"/>
      <c r="B22" s="13" t="s">
        <v>47</v>
      </c>
      <c r="C22" s="14">
        <f t="shared" si="13"/>
        <v>52000</v>
      </c>
      <c r="D22" s="14">
        <f t="shared" si="14"/>
        <v>4000</v>
      </c>
      <c r="E22" s="14">
        <f t="shared" si="15"/>
        <v>48000</v>
      </c>
      <c r="F22" s="15">
        <v>4000</v>
      </c>
      <c r="G22" s="14">
        <f t="shared" si="16"/>
        <v>2400</v>
      </c>
      <c r="H22" s="14">
        <f t="shared" si="17"/>
        <v>1200</v>
      </c>
      <c r="I22" s="14">
        <f t="shared" si="18"/>
        <v>400</v>
      </c>
      <c r="J22" s="17">
        <f t="shared" si="6"/>
        <v>1.1428571428571428</v>
      </c>
      <c r="K22" s="88"/>
      <c r="L22" s="90"/>
      <c r="M22" s="76"/>
      <c r="N22" s="76"/>
      <c r="O22" s="76"/>
      <c r="P22" s="91"/>
      <c r="Q22" s="95"/>
      <c r="R22" s="65"/>
      <c r="S22" s="65"/>
      <c r="T22" s="78"/>
    </row>
    <row r="23" spans="1:20" x14ac:dyDescent="0.15">
      <c r="A23" s="85"/>
      <c r="B23" s="13" t="s">
        <v>48</v>
      </c>
      <c r="C23" s="14">
        <f t="shared" si="13"/>
        <v>45500</v>
      </c>
      <c r="D23" s="14">
        <f t="shared" si="14"/>
        <v>3500</v>
      </c>
      <c r="E23" s="14">
        <f t="shared" si="15"/>
        <v>42000</v>
      </c>
      <c r="F23" s="15">
        <v>3500</v>
      </c>
      <c r="G23" s="14">
        <f t="shared" si="16"/>
        <v>2100</v>
      </c>
      <c r="H23" s="14">
        <f t="shared" si="17"/>
        <v>1050</v>
      </c>
      <c r="I23" s="14">
        <f t="shared" si="18"/>
        <v>350</v>
      </c>
      <c r="J23" s="17"/>
      <c r="K23" s="88"/>
      <c r="L23" s="90"/>
      <c r="M23" s="76"/>
      <c r="N23" s="76"/>
      <c r="O23" s="76"/>
      <c r="P23" s="91"/>
      <c r="Q23" s="95"/>
      <c r="R23" s="65"/>
      <c r="S23" s="65"/>
      <c r="T23" s="78"/>
    </row>
    <row r="24" spans="1:20" x14ac:dyDescent="0.15">
      <c r="A24" s="73" t="s">
        <v>63</v>
      </c>
      <c r="B24" s="23" t="s">
        <v>46</v>
      </c>
      <c r="C24" s="24">
        <f t="shared" ref="C24:C26" si="19">D24+E24</f>
        <v>49400</v>
      </c>
      <c r="D24" s="24">
        <f t="shared" ref="D24:D26" si="20">F24</f>
        <v>3800</v>
      </c>
      <c r="E24" s="24">
        <f t="shared" ref="E24:E26" si="21">F24*12</f>
        <v>45600</v>
      </c>
      <c r="F24" s="25">
        <v>3800</v>
      </c>
      <c r="G24" s="24">
        <f t="shared" ref="G24:G26" si="22">F24*0.6</f>
        <v>2280</v>
      </c>
      <c r="H24" s="24">
        <f t="shared" ref="H24:H26" si="23">F24*0.3</f>
        <v>1140</v>
      </c>
      <c r="I24" s="24">
        <f t="shared" ref="I24:I26" si="24">F24*0.1</f>
        <v>380</v>
      </c>
      <c r="J24" s="17">
        <f t="shared" ref="J24:J25" si="25">F24/F25</f>
        <v>1.1515151515151516</v>
      </c>
      <c r="K24" s="88"/>
      <c r="L24" s="90"/>
      <c r="M24" s="76"/>
      <c r="N24" s="76"/>
      <c r="O24" s="76"/>
      <c r="P24" s="91"/>
      <c r="Q24" s="95"/>
      <c r="R24" s="65"/>
      <c r="S24" s="65"/>
      <c r="T24" s="78"/>
    </row>
    <row r="25" spans="1:20" x14ac:dyDescent="0.15">
      <c r="A25" s="74"/>
      <c r="B25" s="23" t="s">
        <v>47</v>
      </c>
      <c r="C25" s="24">
        <f t="shared" si="19"/>
        <v>42900</v>
      </c>
      <c r="D25" s="24">
        <f t="shared" si="20"/>
        <v>3300</v>
      </c>
      <c r="E25" s="24">
        <f t="shared" si="21"/>
        <v>39600</v>
      </c>
      <c r="F25" s="25">
        <v>3300</v>
      </c>
      <c r="G25" s="24">
        <f t="shared" si="22"/>
        <v>1980</v>
      </c>
      <c r="H25" s="24">
        <f t="shared" si="23"/>
        <v>990</v>
      </c>
      <c r="I25" s="24">
        <f t="shared" si="24"/>
        <v>330</v>
      </c>
      <c r="J25" s="17">
        <f t="shared" si="25"/>
        <v>1.1785714285714286</v>
      </c>
      <c r="K25" s="88"/>
      <c r="L25" s="90"/>
      <c r="M25" s="76"/>
      <c r="N25" s="76"/>
      <c r="O25" s="76"/>
      <c r="P25" s="91"/>
      <c r="Q25" s="95"/>
      <c r="R25" s="65"/>
      <c r="S25" s="65"/>
      <c r="T25" s="78"/>
    </row>
    <row r="26" spans="1:20" x14ac:dyDescent="0.15">
      <c r="A26" s="74"/>
      <c r="B26" s="23" t="s">
        <v>48</v>
      </c>
      <c r="C26" s="24">
        <f t="shared" si="19"/>
        <v>36400</v>
      </c>
      <c r="D26" s="24">
        <f t="shared" si="20"/>
        <v>2800</v>
      </c>
      <c r="E26" s="24">
        <f t="shared" si="21"/>
        <v>33600</v>
      </c>
      <c r="F26" s="25">
        <v>2800</v>
      </c>
      <c r="G26" s="24">
        <f t="shared" si="22"/>
        <v>1680</v>
      </c>
      <c r="H26" s="24">
        <f t="shared" si="23"/>
        <v>840</v>
      </c>
      <c r="I26" s="24">
        <f t="shared" si="24"/>
        <v>280</v>
      </c>
      <c r="J26" s="17"/>
      <c r="K26" s="88"/>
      <c r="L26" s="90"/>
      <c r="M26" s="76"/>
      <c r="N26" s="76"/>
      <c r="O26" s="76"/>
      <c r="P26" s="91"/>
      <c r="Q26" s="95"/>
      <c r="R26" s="65"/>
      <c r="S26" s="65"/>
      <c r="T26" s="78"/>
    </row>
  </sheetData>
  <mergeCells count="59">
    <mergeCell ref="T2:T3"/>
    <mergeCell ref="T4:T8"/>
    <mergeCell ref="T9:T13"/>
    <mergeCell ref="T14:T18"/>
    <mergeCell ref="T19:T26"/>
    <mergeCell ref="S2:S3"/>
    <mergeCell ref="S4:S8"/>
    <mergeCell ref="S9:S13"/>
    <mergeCell ref="S14:S18"/>
    <mergeCell ref="S19:S26"/>
    <mergeCell ref="R2:R3"/>
    <mergeCell ref="R4:R8"/>
    <mergeCell ref="R9:R13"/>
    <mergeCell ref="R14:R18"/>
    <mergeCell ref="R19:R26"/>
    <mergeCell ref="Q2:Q3"/>
    <mergeCell ref="Q4:Q8"/>
    <mergeCell ref="Q9:Q13"/>
    <mergeCell ref="Q14:Q18"/>
    <mergeCell ref="Q19:Q26"/>
    <mergeCell ref="O4:O8"/>
    <mergeCell ref="O9:O13"/>
    <mergeCell ref="O14:O18"/>
    <mergeCell ref="O19:O26"/>
    <mergeCell ref="P2:P3"/>
    <mergeCell ref="P4:P13"/>
    <mergeCell ref="P14:P26"/>
    <mergeCell ref="M14:M18"/>
    <mergeCell ref="M19:M26"/>
    <mergeCell ref="N4:N8"/>
    <mergeCell ref="N9:N13"/>
    <mergeCell ref="N14:N18"/>
    <mergeCell ref="N19:N26"/>
    <mergeCell ref="K14:K26"/>
    <mergeCell ref="L2:L3"/>
    <mergeCell ref="L4:L8"/>
    <mergeCell ref="L9:L13"/>
    <mergeCell ref="L14:L26"/>
    <mergeCell ref="A14:A18"/>
    <mergeCell ref="A19:A23"/>
    <mergeCell ref="A24:A26"/>
    <mergeCell ref="B2:B3"/>
    <mergeCell ref="C2:C3"/>
    <mergeCell ref="A1:T1"/>
    <mergeCell ref="M2:O2"/>
    <mergeCell ref="A2:A3"/>
    <mergeCell ref="A4:A8"/>
    <mergeCell ref="A9:A13"/>
    <mergeCell ref="D2:D3"/>
    <mergeCell ref="E2:E3"/>
    <mergeCell ref="F2:F3"/>
    <mergeCell ref="G2:G3"/>
    <mergeCell ref="H2:H3"/>
    <mergeCell ref="I2:I3"/>
    <mergeCell ref="J2:J3"/>
    <mergeCell ref="K2:K3"/>
    <mergeCell ref="K4:K13"/>
    <mergeCell ref="M4:M8"/>
    <mergeCell ref="M9:M13"/>
  </mergeCells>
  <phoneticPr fontId="9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3"/>
  <sheetViews>
    <sheetView topLeftCell="H1" workbookViewId="0">
      <selection activeCell="U9" sqref="U9"/>
    </sheetView>
  </sheetViews>
  <sheetFormatPr defaultColWidth="9" defaultRowHeight="14.25" x14ac:dyDescent="0.15"/>
  <cols>
    <col min="12" max="12" width="13.875" customWidth="1"/>
    <col min="16" max="16" width="12.625" customWidth="1"/>
    <col min="17" max="17" width="13.125" customWidth="1"/>
    <col min="18" max="18" width="12" customWidth="1"/>
    <col min="19" max="19" width="13.625" customWidth="1"/>
    <col min="20" max="20" width="12.25" customWidth="1"/>
  </cols>
  <sheetData>
    <row r="1" spans="1:20" ht="39" customHeight="1" x14ac:dyDescent="0.15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</row>
    <row r="2" spans="1:20" x14ac:dyDescent="0.15">
      <c r="A2" s="37" t="s">
        <v>1</v>
      </c>
      <c r="B2" s="44" t="s">
        <v>2</v>
      </c>
      <c r="C2" s="44" t="s">
        <v>3</v>
      </c>
      <c r="D2" s="45" t="s">
        <v>4</v>
      </c>
      <c r="E2" s="44" t="s">
        <v>5</v>
      </c>
      <c r="F2" s="44" t="s">
        <v>6</v>
      </c>
      <c r="G2" s="44" t="s">
        <v>7</v>
      </c>
      <c r="H2" s="44" t="s">
        <v>8</v>
      </c>
      <c r="I2" s="47" t="s">
        <v>9</v>
      </c>
      <c r="J2" s="48" t="s">
        <v>10</v>
      </c>
      <c r="K2" s="44" t="s">
        <v>11</v>
      </c>
      <c r="L2" s="45" t="s">
        <v>12</v>
      </c>
      <c r="M2" s="34" t="s">
        <v>13</v>
      </c>
      <c r="N2" s="35"/>
      <c r="O2" s="36"/>
      <c r="P2" s="44" t="s">
        <v>14</v>
      </c>
      <c r="Q2" s="60" t="s">
        <v>15</v>
      </c>
      <c r="R2" s="64" t="s">
        <v>16</v>
      </c>
      <c r="S2" s="64" t="s">
        <v>17</v>
      </c>
      <c r="T2" s="64" t="s">
        <v>18</v>
      </c>
    </row>
    <row r="3" spans="1:20" x14ac:dyDescent="0.15">
      <c r="A3" s="37"/>
      <c r="B3" s="44"/>
      <c r="C3" s="44"/>
      <c r="D3" s="46"/>
      <c r="E3" s="44"/>
      <c r="F3" s="44"/>
      <c r="G3" s="44"/>
      <c r="H3" s="44"/>
      <c r="I3" s="44"/>
      <c r="J3" s="49"/>
      <c r="K3" s="44"/>
      <c r="L3" s="46"/>
      <c r="M3" s="16" t="s">
        <v>7</v>
      </c>
      <c r="N3" s="16" t="s">
        <v>8</v>
      </c>
      <c r="O3" s="3" t="s">
        <v>9</v>
      </c>
      <c r="P3" s="44"/>
      <c r="Q3" s="60"/>
      <c r="R3" s="64"/>
      <c r="S3" s="64"/>
      <c r="T3" s="64"/>
    </row>
    <row r="4" spans="1:20" x14ac:dyDescent="0.15">
      <c r="A4" s="66" t="s">
        <v>64</v>
      </c>
      <c r="B4" s="4" t="s">
        <v>20</v>
      </c>
      <c r="C4" s="5">
        <f t="shared" ref="C4:C19" si="0">D4+E4</f>
        <v>317400</v>
      </c>
      <c r="D4" s="5">
        <f t="shared" ref="D4:D8" si="1">F4*1.8</f>
        <v>41400</v>
      </c>
      <c r="E4" s="5">
        <f t="shared" ref="E4:E19" si="2">F4*12</f>
        <v>276000</v>
      </c>
      <c r="F4" s="6">
        <v>23000</v>
      </c>
      <c r="G4" s="5">
        <f t="shared" ref="G4:G19" si="3">F4*0.6</f>
        <v>13800</v>
      </c>
      <c r="H4" s="5">
        <f t="shared" ref="H4:H8" si="4">F4*0.15</f>
        <v>3450</v>
      </c>
      <c r="I4" s="5">
        <f t="shared" ref="I4:I8" si="5">F4*0.25</f>
        <v>5750</v>
      </c>
      <c r="J4" s="17">
        <f t="shared" ref="J4:J22" si="6">F4/F5</f>
        <v>1.1499999999999999</v>
      </c>
      <c r="K4" s="50" t="s">
        <v>21</v>
      </c>
      <c r="L4" s="53" t="s">
        <v>22</v>
      </c>
      <c r="M4" s="54">
        <v>0.6</v>
      </c>
      <c r="N4" s="54">
        <v>0.15</v>
      </c>
      <c r="O4" s="54">
        <v>0.25</v>
      </c>
      <c r="P4" s="57" t="s">
        <v>23</v>
      </c>
      <c r="Q4" s="61" t="s">
        <v>24</v>
      </c>
      <c r="R4" s="65">
        <v>3000</v>
      </c>
      <c r="S4" s="65">
        <v>1500</v>
      </c>
      <c r="T4" s="65">
        <v>2000</v>
      </c>
    </row>
    <row r="5" spans="1:20" x14ac:dyDescent="0.15">
      <c r="A5" s="39"/>
      <c r="B5" s="4" t="s">
        <v>25</v>
      </c>
      <c r="C5" s="5">
        <f t="shared" si="0"/>
        <v>276000</v>
      </c>
      <c r="D5" s="5">
        <f t="shared" si="1"/>
        <v>36000</v>
      </c>
      <c r="E5" s="5">
        <f t="shared" si="2"/>
        <v>240000</v>
      </c>
      <c r="F5" s="6">
        <v>20000</v>
      </c>
      <c r="G5" s="5">
        <f t="shared" si="3"/>
        <v>12000</v>
      </c>
      <c r="H5" s="5">
        <f t="shared" si="4"/>
        <v>3000</v>
      </c>
      <c r="I5" s="5">
        <f t="shared" si="5"/>
        <v>5000</v>
      </c>
      <c r="J5" s="17">
        <f t="shared" si="6"/>
        <v>1.1111111111111112</v>
      </c>
      <c r="K5" s="51"/>
      <c r="L5" s="53"/>
      <c r="M5" s="55"/>
      <c r="N5" s="55"/>
      <c r="O5" s="55"/>
      <c r="P5" s="58"/>
      <c r="Q5" s="62"/>
      <c r="R5" s="65"/>
      <c r="S5" s="65"/>
      <c r="T5" s="65"/>
    </row>
    <row r="6" spans="1:20" x14ac:dyDescent="0.15">
      <c r="A6" s="39"/>
      <c r="B6" s="4" t="s">
        <v>26</v>
      </c>
      <c r="C6" s="5">
        <f t="shared" si="0"/>
        <v>248400</v>
      </c>
      <c r="D6" s="5">
        <f t="shared" si="1"/>
        <v>32400</v>
      </c>
      <c r="E6" s="5">
        <f t="shared" si="2"/>
        <v>216000</v>
      </c>
      <c r="F6" s="6">
        <v>18000</v>
      </c>
      <c r="G6" s="5">
        <f t="shared" si="3"/>
        <v>10800</v>
      </c>
      <c r="H6" s="5">
        <f t="shared" si="4"/>
        <v>2700</v>
      </c>
      <c r="I6" s="5">
        <f t="shared" si="5"/>
        <v>4500</v>
      </c>
      <c r="J6" s="17">
        <f t="shared" si="6"/>
        <v>1.125</v>
      </c>
      <c r="K6" s="51"/>
      <c r="L6" s="53"/>
      <c r="M6" s="55"/>
      <c r="N6" s="55"/>
      <c r="O6" s="55"/>
      <c r="P6" s="58"/>
      <c r="Q6" s="62"/>
      <c r="R6" s="65"/>
      <c r="S6" s="65"/>
      <c r="T6" s="65"/>
    </row>
    <row r="7" spans="1:20" x14ac:dyDescent="0.15">
      <c r="A7" s="39"/>
      <c r="B7" s="4" t="s">
        <v>27</v>
      </c>
      <c r="C7" s="5">
        <f t="shared" si="0"/>
        <v>220800</v>
      </c>
      <c r="D7" s="5">
        <f t="shared" si="1"/>
        <v>28800</v>
      </c>
      <c r="E7" s="5">
        <f t="shared" si="2"/>
        <v>192000</v>
      </c>
      <c r="F7" s="6">
        <v>16000</v>
      </c>
      <c r="G7" s="5">
        <f t="shared" si="3"/>
        <v>9600</v>
      </c>
      <c r="H7" s="5">
        <f t="shared" si="4"/>
        <v>2400</v>
      </c>
      <c r="I7" s="5">
        <f t="shared" si="5"/>
        <v>4000</v>
      </c>
      <c r="J7" s="17">
        <f t="shared" si="6"/>
        <v>1.103448275862069</v>
      </c>
      <c r="K7" s="51"/>
      <c r="L7" s="53"/>
      <c r="M7" s="55"/>
      <c r="N7" s="55"/>
      <c r="O7" s="55"/>
      <c r="P7" s="58"/>
      <c r="Q7" s="62"/>
      <c r="R7" s="65"/>
      <c r="S7" s="65"/>
      <c r="T7" s="65"/>
    </row>
    <row r="8" spans="1:20" x14ac:dyDescent="0.15">
      <c r="A8" s="40"/>
      <c r="B8" s="4" t="s">
        <v>28</v>
      </c>
      <c r="C8" s="5">
        <f t="shared" si="0"/>
        <v>200100</v>
      </c>
      <c r="D8" s="5">
        <f t="shared" si="1"/>
        <v>26100</v>
      </c>
      <c r="E8" s="5">
        <f t="shared" si="2"/>
        <v>174000</v>
      </c>
      <c r="F8" s="6">
        <v>14500</v>
      </c>
      <c r="G8" s="5">
        <f t="shared" si="3"/>
        <v>8700</v>
      </c>
      <c r="H8" s="5">
        <f t="shared" si="4"/>
        <v>2175</v>
      </c>
      <c r="I8" s="5">
        <f t="shared" si="5"/>
        <v>3625</v>
      </c>
      <c r="J8" s="17">
        <f t="shared" si="6"/>
        <v>1</v>
      </c>
      <c r="K8" s="51"/>
      <c r="L8" s="53"/>
      <c r="M8" s="56"/>
      <c r="N8" s="56"/>
      <c r="O8" s="56"/>
      <c r="P8" s="58"/>
      <c r="Q8" s="63"/>
      <c r="R8" s="65"/>
      <c r="S8" s="65"/>
      <c r="T8" s="65"/>
    </row>
    <row r="9" spans="1:20" x14ac:dyDescent="0.15">
      <c r="A9" s="41" t="s">
        <v>65</v>
      </c>
      <c r="B9" s="7" t="s">
        <v>20</v>
      </c>
      <c r="C9" s="8">
        <f t="shared" si="0"/>
        <v>195750</v>
      </c>
      <c r="D9" s="8">
        <f t="shared" ref="D9:D13" si="7">F9*1.5</f>
        <v>21750</v>
      </c>
      <c r="E9" s="8">
        <f t="shared" si="2"/>
        <v>174000</v>
      </c>
      <c r="F9" s="9">
        <v>14500</v>
      </c>
      <c r="G9" s="8">
        <f t="shared" si="3"/>
        <v>8700</v>
      </c>
      <c r="H9" s="8">
        <f t="shared" ref="H9:H13" si="8">F9*0.2</f>
        <v>2900</v>
      </c>
      <c r="I9" s="8">
        <f>F9*0.2</f>
        <v>2900</v>
      </c>
      <c r="J9" s="17">
        <f t="shared" si="6"/>
        <v>1.1153846153846154</v>
      </c>
      <c r="K9" s="51"/>
      <c r="L9" s="53" t="s">
        <v>30</v>
      </c>
      <c r="M9" s="54">
        <v>0.6</v>
      </c>
      <c r="N9" s="54">
        <v>0.2</v>
      </c>
      <c r="O9" s="54">
        <v>0.2</v>
      </c>
      <c r="P9" s="58"/>
      <c r="Q9" s="61" t="s">
        <v>31</v>
      </c>
      <c r="R9" s="65">
        <v>2000</v>
      </c>
      <c r="S9" s="65">
        <v>1000</v>
      </c>
      <c r="T9" s="65">
        <v>1000</v>
      </c>
    </row>
    <row r="10" spans="1:20" x14ac:dyDescent="0.15">
      <c r="A10" s="42"/>
      <c r="B10" s="7" t="s">
        <v>25</v>
      </c>
      <c r="C10" s="8">
        <f t="shared" si="0"/>
        <v>175500</v>
      </c>
      <c r="D10" s="8">
        <f t="shared" si="7"/>
        <v>19500</v>
      </c>
      <c r="E10" s="8">
        <f t="shared" si="2"/>
        <v>156000</v>
      </c>
      <c r="F10" s="9">
        <v>13000</v>
      </c>
      <c r="G10" s="8">
        <f t="shared" si="3"/>
        <v>7800</v>
      </c>
      <c r="H10" s="8">
        <f t="shared" si="8"/>
        <v>2600</v>
      </c>
      <c r="I10" s="8">
        <f t="shared" ref="I10:I13" si="9">F10*0.2</f>
        <v>2600</v>
      </c>
      <c r="J10" s="17">
        <f t="shared" si="6"/>
        <v>1.1304347826086956</v>
      </c>
      <c r="K10" s="51"/>
      <c r="L10" s="53"/>
      <c r="M10" s="55"/>
      <c r="N10" s="55"/>
      <c r="O10" s="55"/>
      <c r="P10" s="58"/>
      <c r="Q10" s="62"/>
      <c r="R10" s="65"/>
      <c r="S10" s="65"/>
      <c r="T10" s="65"/>
    </row>
    <row r="11" spans="1:20" x14ac:dyDescent="0.15">
      <c r="A11" s="42"/>
      <c r="B11" s="7" t="s">
        <v>26</v>
      </c>
      <c r="C11" s="8">
        <f t="shared" si="0"/>
        <v>155250</v>
      </c>
      <c r="D11" s="8">
        <f t="shared" si="7"/>
        <v>17250</v>
      </c>
      <c r="E11" s="8">
        <f t="shared" si="2"/>
        <v>138000</v>
      </c>
      <c r="F11" s="9">
        <v>11500</v>
      </c>
      <c r="G11" s="8">
        <f t="shared" si="3"/>
        <v>6900</v>
      </c>
      <c r="H11" s="8">
        <f t="shared" si="8"/>
        <v>2300</v>
      </c>
      <c r="I11" s="8">
        <f t="shared" si="9"/>
        <v>2300</v>
      </c>
      <c r="J11" s="17">
        <f t="shared" si="6"/>
        <v>1.1499999999999999</v>
      </c>
      <c r="K11" s="51"/>
      <c r="L11" s="53"/>
      <c r="M11" s="55"/>
      <c r="N11" s="55"/>
      <c r="O11" s="55"/>
      <c r="P11" s="58"/>
      <c r="Q11" s="62"/>
      <c r="R11" s="65"/>
      <c r="S11" s="65"/>
      <c r="T11" s="65"/>
    </row>
    <row r="12" spans="1:20" x14ac:dyDescent="0.15">
      <c r="A12" s="42"/>
      <c r="B12" s="7" t="s">
        <v>27</v>
      </c>
      <c r="C12" s="8">
        <f t="shared" si="0"/>
        <v>135000</v>
      </c>
      <c r="D12" s="8">
        <f t="shared" si="7"/>
        <v>15000</v>
      </c>
      <c r="E12" s="8">
        <f t="shared" si="2"/>
        <v>120000</v>
      </c>
      <c r="F12" s="9">
        <v>10000</v>
      </c>
      <c r="G12" s="8">
        <f t="shared" si="3"/>
        <v>6000</v>
      </c>
      <c r="H12" s="8">
        <f t="shared" si="8"/>
        <v>2000</v>
      </c>
      <c r="I12" s="8">
        <f t="shared" si="9"/>
        <v>2000</v>
      </c>
      <c r="J12" s="17">
        <f t="shared" si="6"/>
        <v>1.1111111111111112</v>
      </c>
      <c r="K12" s="51"/>
      <c r="L12" s="53"/>
      <c r="M12" s="55"/>
      <c r="N12" s="55"/>
      <c r="O12" s="55"/>
      <c r="P12" s="58"/>
      <c r="Q12" s="62"/>
      <c r="R12" s="65"/>
      <c r="S12" s="65"/>
      <c r="T12" s="65"/>
    </row>
    <row r="13" spans="1:20" x14ac:dyDescent="0.15">
      <c r="A13" s="43"/>
      <c r="B13" s="7" t="s">
        <v>28</v>
      </c>
      <c r="C13" s="8">
        <f t="shared" si="0"/>
        <v>121500</v>
      </c>
      <c r="D13" s="8">
        <f t="shared" si="7"/>
        <v>13500</v>
      </c>
      <c r="E13" s="8">
        <f t="shared" si="2"/>
        <v>108000</v>
      </c>
      <c r="F13" s="9">
        <v>9000</v>
      </c>
      <c r="G13" s="8">
        <f t="shared" si="3"/>
        <v>5400</v>
      </c>
      <c r="H13" s="8">
        <f t="shared" si="8"/>
        <v>1800</v>
      </c>
      <c r="I13" s="8">
        <f t="shared" si="9"/>
        <v>1800</v>
      </c>
      <c r="J13" s="17">
        <f t="shared" si="6"/>
        <v>1</v>
      </c>
      <c r="K13" s="52"/>
      <c r="L13" s="53"/>
      <c r="M13" s="56"/>
      <c r="N13" s="56"/>
      <c r="O13" s="56"/>
      <c r="P13" s="59"/>
      <c r="Q13" s="63"/>
      <c r="R13" s="65"/>
      <c r="S13" s="65"/>
      <c r="T13" s="65"/>
    </row>
    <row r="14" spans="1:20" x14ac:dyDescent="0.15">
      <c r="A14" s="67" t="s">
        <v>66</v>
      </c>
      <c r="B14" s="10" t="s">
        <v>20</v>
      </c>
      <c r="C14" s="11">
        <f t="shared" si="0"/>
        <v>118800</v>
      </c>
      <c r="D14" s="11">
        <f t="shared" ref="D14:D18" si="10">F14*1.2</f>
        <v>10800</v>
      </c>
      <c r="E14" s="11">
        <f t="shared" si="2"/>
        <v>108000</v>
      </c>
      <c r="F14" s="12">
        <v>9000</v>
      </c>
      <c r="G14" s="11">
        <f t="shared" si="3"/>
        <v>5400</v>
      </c>
      <c r="H14" s="11">
        <f t="shared" ref="H14:H18" si="11">F14*0.25</f>
        <v>2250</v>
      </c>
      <c r="I14" s="11">
        <f t="shared" ref="I14:I18" si="12">F14*0.15</f>
        <v>1350</v>
      </c>
      <c r="J14" s="17">
        <f t="shared" si="6"/>
        <v>1.125</v>
      </c>
      <c r="K14" s="75" t="s">
        <v>35</v>
      </c>
      <c r="L14" s="53" t="s">
        <v>36</v>
      </c>
      <c r="M14" s="54">
        <v>0.6</v>
      </c>
      <c r="N14" s="54">
        <v>0.25</v>
      </c>
      <c r="O14" s="54">
        <v>0.15</v>
      </c>
      <c r="P14" s="57" t="s">
        <v>37</v>
      </c>
      <c r="Q14" s="61" t="s">
        <v>38</v>
      </c>
      <c r="R14" s="65">
        <v>1000</v>
      </c>
      <c r="S14" s="65">
        <v>500</v>
      </c>
      <c r="T14" s="78" t="s">
        <v>39</v>
      </c>
    </row>
    <row r="15" spans="1:20" x14ac:dyDescent="0.15">
      <c r="A15" s="68"/>
      <c r="B15" s="10" t="s">
        <v>25</v>
      </c>
      <c r="C15" s="11">
        <f t="shared" si="0"/>
        <v>105600</v>
      </c>
      <c r="D15" s="11">
        <f t="shared" si="10"/>
        <v>9600</v>
      </c>
      <c r="E15" s="11">
        <f t="shared" si="2"/>
        <v>96000</v>
      </c>
      <c r="F15" s="12">
        <v>8000</v>
      </c>
      <c r="G15" s="11">
        <f t="shared" si="3"/>
        <v>4800</v>
      </c>
      <c r="H15" s="11">
        <f t="shared" si="11"/>
        <v>2000</v>
      </c>
      <c r="I15" s="11">
        <f t="shared" si="12"/>
        <v>1200</v>
      </c>
      <c r="J15" s="17">
        <f t="shared" si="6"/>
        <v>1.1111111111111112</v>
      </c>
      <c r="K15" s="75"/>
      <c r="L15" s="53"/>
      <c r="M15" s="55"/>
      <c r="N15" s="55"/>
      <c r="O15" s="55"/>
      <c r="P15" s="55"/>
      <c r="Q15" s="62"/>
      <c r="R15" s="65"/>
      <c r="S15" s="65"/>
      <c r="T15" s="65"/>
    </row>
    <row r="16" spans="1:20" x14ac:dyDescent="0.15">
      <c r="A16" s="68"/>
      <c r="B16" s="10" t="s">
        <v>26</v>
      </c>
      <c r="C16" s="11">
        <f t="shared" si="0"/>
        <v>95040</v>
      </c>
      <c r="D16" s="11">
        <f t="shared" si="10"/>
        <v>8640</v>
      </c>
      <c r="E16" s="11">
        <f t="shared" si="2"/>
        <v>86400</v>
      </c>
      <c r="F16" s="12">
        <v>7200</v>
      </c>
      <c r="G16" s="11">
        <f t="shared" si="3"/>
        <v>4320</v>
      </c>
      <c r="H16" s="11">
        <f t="shared" si="11"/>
        <v>1800</v>
      </c>
      <c r="I16" s="11">
        <f t="shared" si="12"/>
        <v>1080</v>
      </c>
      <c r="J16" s="17">
        <f t="shared" si="6"/>
        <v>1.1076923076923078</v>
      </c>
      <c r="K16" s="75"/>
      <c r="L16" s="53"/>
      <c r="M16" s="55"/>
      <c r="N16" s="55"/>
      <c r="O16" s="55"/>
      <c r="P16" s="55"/>
      <c r="Q16" s="62"/>
      <c r="R16" s="65"/>
      <c r="S16" s="65"/>
      <c r="T16" s="65"/>
    </row>
    <row r="17" spans="1:20" x14ac:dyDescent="0.15">
      <c r="A17" s="68"/>
      <c r="B17" s="10" t="s">
        <v>27</v>
      </c>
      <c r="C17" s="11">
        <f t="shared" si="0"/>
        <v>85800</v>
      </c>
      <c r="D17" s="11">
        <f t="shared" si="10"/>
        <v>7800</v>
      </c>
      <c r="E17" s="11">
        <f t="shared" si="2"/>
        <v>78000</v>
      </c>
      <c r="F17" s="12">
        <v>6500</v>
      </c>
      <c r="G17" s="11">
        <f t="shared" si="3"/>
        <v>3900</v>
      </c>
      <c r="H17" s="11">
        <f t="shared" si="11"/>
        <v>1625</v>
      </c>
      <c r="I17" s="11">
        <f t="shared" si="12"/>
        <v>975</v>
      </c>
      <c r="J17" s="17">
        <f t="shared" si="6"/>
        <v>1.1206896551724137</v>
      </c>
      <c r="K17" s="75"/>
      <c r="L17" s="53"/>
      <c r="M17" s="55"/>
      <c r="N17" s="55"/>
      <c r="O17" s="55"/>
      <c r="P17" s="55"/>
      <c r="Q17" s="62"/>
      <c r="R17" s="65"/>
      <c r="S17" s="65"/>
      <c r="T17" s="65"/>
    </row>
    <row r="18" spans="1:20" x14ac:dyDescent="0.15">
      <c r="A18" s="69"/>
      <c r="B18" s="10" t="s">
        <v>28</v>
      </c>
      <c r="C18" s="11">
        <f t="shared" si="0"/>
        <v>76560</v>
      </c>
      <c r="D18" s="11">
        <f t="shared" si="10"/>
        <v>6960</v>
      </c>
      <c r="E18" s="11">
        <f t="shared" si="2"/>
        <v>69600</v>
      </c>
      <c r="F18" s="12">
        <v>5800</v>
      </c>
      <c r="G18" s="11">
        <f t="shared" si="3"/>
        <v>3480</v>
      </c>
      <c r="H18" s="11">
        <f t="shared" si="11"/>
        <v>1450</v>
      </c>
      <c r="I18" s="11">
        <f t="shared" si="12"/>
        <v>870</v>
      </c>
      <c r="J18" s="17">
        <f t="shared" si="6"/>
        <v>1</v>
      </c>
      <c r="K18" s="75"/>
      <c r="L18" s="53"/>
      <c r="M18" s="56"/>
      <c r="N18" s="56"/>
      <c r="O18" s="56"/>
      <c r="P18" s="55"/>
      <c r="Q18" s="63"/>
      <c r="R18" s="65"/>
      <c r="S18" s="65"/>
      <c r="T18" s="65"/>
    </row>
    <row r="19" spans="1:20" x14ac:dyDescent="0.15">
      <c r="A19" s="70" t="s">
        <v>67</v>
      </c>
      <c r="B19" s="13" t="s">
        <v>43</v>
      </c>
      <c r="C19" s="14">
        <f t="shared" si="0"/>
        <v>75400</v>
      </c>
      <c r="D19" s="14">
        <f>F19</f>
        <v>5800</v>
      </c>
      <c r="E19" s="14">
        <f t="shared" si="2"/>
        <v>69600</v>
      </c>
      <c r="F19" s="15">
        <v>5800</v>
      </c>
      <c r="G19" s="14">
        <f t="shared" si="3"/>
        <v>3480</v>
      </c>
      <c r="H19" s="14">
        <f>F19*0.3</f>
        <v>1740</v>
      </c>
      <c r="I19" s="14">
        <f>F19*0.1</f>
        <v>580</v>
      </c>
      <c r="J19" s="17">
        <f t="shared" si="6"/>
        <v>1.1599999999999999</v>
      </c>
      <c r="K19" s="75"/>
      <c r="L19" s="53" t="s">
        <v>44</v>
      </c>
      <c r="M19" s="76">
        <v>0.6</v>
      </c>
      <c r="N19" s="76">
        <v>0.3</v>
      </c>
      <c r="O19" s="76">
        <v>0.1</v>
      </c>
      <c r="P19" s="55"/>
      <c r="Q19" s="61" t="s">
        <v>45</v>
      </c>
      <c r="R19" s="65">
        <v>500</v>
      </c>
      <c r="S19" s="65">
        <v>300</v>
      </c>
      <c r="T19" s="78" t="s">
        <v>39</v>
      </c>
    </row>
    <row r="20" spans="1:20" x14ac:dyDescent="0.15">
      <c r="A20" s="84"/>
      <c r="B20" s="13" t="s">
        <v>25</v>
      </c>
      <c r="C20" s="14">
        <f t="shared" ref="C20:C23" si="13">D20+E20</f>
        <v>65000</v>
      </c>
      <c r="D20" s="14">
        <f t="shared" ref="D20:D23" si="14">F20</f>
        <v>5000</v>
      </c>
      <c r="E20" s="14">
        <f t="shared" ref="E20:E23" si="15">F20*12</f>
        <v>60000</v>
      </c>
      <c r="F20" s="15">
        <v>5000</v>
      </c>
      <c r="G20" s="14">
        <f t="shared" ref="G20:G23" si="16">F20*0.6</f>
        <v>3000</v>
      </c>
      <c r="H20" s="14">
        <f t="shared" ref="H20:H23" si="17">F20*0.3</f>
        <v>1500</v>
      </c>
      <c r="I20" s="14">
        <f t="shared" ref="I20:I23" si="18">F20*0.1</f>
        <v>500</v>
      </c>
      <c r="J20" s="17">
        <f t="shared" si="6"/>
        <v>1.1111111111111112</v>
      </c>
      <c r="K20" s="75"/>
      <c r="L20" s="53"/>
      <c r="M20" s="77"/>
      <c r="N20" s="77"/>
      <c r="O20" s="77"/>
      <c r="P20" s="55"/>
      <c r="Q20" s="62"/>
      <c r="R20" s="65"/>
      <c r="S20" s="65"/>
      <c r="T20" s="65"/>
    </row>
    <row r="21" spans="1:20" x14ac:dyDescent="0.15">
      <c r="A21" s="84"/>
      <c r="B21" s="13" t="s">
        <v>46</v>
      </c>
      <c r="C21" s="14">
        <f t="shared" si="13"/>
        <v>58500</v>
      </c>
      <c r="D21" s="14">
        <f t="shared" si="14"/>
        <v>4500</v>
      </c>
      <c r="E21" s="14">
        <f t="shared" si="15"/>
        <v>54000</v>
      </c>
      <c r="F21" s="15">
        <v>4500</v>
      </c>
      <c r="G21" s="14">
        <f t="shared" si="16"/>
        <v>2700</v>
      </c>
      <c r="H21" s="14">
        <f t="shared" si="17"/>
        <v>1350</v>
      </c>
      <c r="I21" s="14">
        <f t="shared" si="18"/>
        <v>450</v>
      </c>
      <c r="J21" s="17">
        <f t="shared" si="6"/>
        <v>1.125</v>
      </c>
      <c r="K21" s="75"/>
      <c r="L21" s="53"/>
      <c r="M21" s="77"/>
      <c r="N21" s="77"/>
      <c r="O21" s="77"/>
      <c r="P21" s="55"/>
      <c r="Q21" s="62"/>
      <c r="R21" s="65"/>
      <c r="S21" s="65"/>
      <c r="T21" s="65"/>
    </row>
    <row r="22" spans="1:20" x14ac:dyDescent="0.15">
      <c r="A22" s="84"/>
      <c r="B22" s="13" t="s">
        <v>47</v>
      </c>
      <c r="C22" s="14">
        <f t="shared" si="13"/>
        <v>52000</v>
      </c>
      <c r="D22" s="14">
        <f t="shared" si="14"/>
        <v>4000</v>
      </c>
      <c r="E22" s="14">
        <f t="shared" si="15"/>
        <v>48000</v>
      </c>
      <c r="F22" s="15">
        <v>4000</v>
      </c>
      <c r="G22" s="14">
        <f t="shared" si="16"/>
        <v>2400</v>
      </c>
      <c r="H22" s="14">
        <f t="shared" si="17"/>
        <v>1200</v>
      </c>
      <c r="I22" s="14">
        <f t="shared" si="18"/>
        <v>400</v>
      </c>
      <c r="J22" s="17">
        <f t="shared" si="6"/>
        <v>1.1428571428571428</v>
      </c>
      <c r="K22" s="75"/>
      <c r="L22" s="53"/>
      <c r="M22" s="77"/>
      <c r="N22" s="77"/>
      <c r="O22" s="77"/>
      <c r="P22" s="55"/>
      <c r="Q22" s="62"/>
      <c r="R22" s="65"/>
      <c r="S22" s="65"/>
      <c r="T22" s="65"/>
    </row>
    <row r="23" spans="1:20" x14ac:dyDescent="0.15">
      <c r="A23" s="85"/>
      <c r="B23" s="13" t="s">
        <v>48</v>
      </c>
      <c r="C23" s="14">
        <f t="shared" si="13"/>
        <v>45500</v>
      </c>
      <c r="D23" s="14">
        <f t="shared" si="14"/>
        <v>3500</v>
      </c>
      <c r="E23" s="14">
        <f t="shared" si="15"/>
        <v>42000</v>
      </c>
      <c r="F23" s="15">
        <v>3500</v>
      </c>
      <c r="G23" s="14">
        <f t="shared" si="16"/>
        <v>2100</v>
      </c>
      <c r="H23" s="14">
        <f t="shared" si="17"/>
        <v>1050</v>
      </c>
      <c r="I23" s="14">
        <f t="shared" si="18"/>
        <v>350</v>
      </c>
      <c r="J23" s="17"/>
      <c r="K23" s="75"/>
      <c r="L23" s="53"/>
      <c r="M23" s="77"/>
      <c r="N23" s="77"/>
      <c r="O23" s="77"/>
      <c r="P23" s="56"/>
      <c r="Q23" s="63"/>
      <c r="R23" s="65"/>
      <c r="S23" s="65"/>
      <c r="T23" s="65"/>
    </row>
  </sheetData>
  <mergeCells count="59">
    <mergeCell ref="T2:T3"/>
    <mergeCell ref="T4:T8"/>
    <mergeCell ref="T9:T13"/>
    <mergeCell ref="T14:T18"/>
    <mergeCell ref="T19:T23"/>
    <mergeCell ref="S2:S3"/>
    <mergeCell ref="S4:S8"/>
    <mergeCell ref="S9:S13"/>
    <mergeCell ref="S14:S18"/>
    <mergeCell ref="S19:S23"/>
    <mergeCell ref="R2:R3"/>
    <mergeCell ref="R4:R8"/>
    <mergeCell ref="R9:R13"/>
    <mergeCell ref="R14:R18"/>
    <mergeCell ref="R19:R23"/>
    <mergeCell ref="Q2:Q3"/>
    <mergeCell ref="Q4:Q8"/>
    <mergeCell ref="Q9:Q13"/>
    <mergeCell ref="Q14:Q18"/>
    <mergeCell ref="Q19:Q23"/>
    <mergeCell ref="O9:O13"/>
    <mergeCell ref="O14:O18"/>
    <mergeCell ref="O19:O23"/>
    <mergeCell ref="P2:P3"/>
    <mergeCell ref="P4:P13"/>
    <mergeCell ref="P14:P23"/>
    <mergeCell ref="M14:M18"/>
    <mergeCell ref="M19:M23"/>
    <mergeCell ref="N4:N8"/>
    <mergeCell ref="N9:N13"/>
    <mergeCell ref="N14:N18"/>
    <mergeCell ref="N19:N23"/>
    <mergeCell ref="K14:K23"/>
    <mergeCell ref="L2:L3"/>
    <mergeCell ref="L4:L8"/>
    <mergeCell ref="L9:L13"/>
    <mergeCell ref="L14:L18"/>
    <mergeCell ref="L19:L23"/>
    <mergeCell ref="A14:A18"/>
    <mergeCell ref="A19:A23"/>
    <mergeCell ref="B2:B3"/>
    <mergeCell ref="C2:C3"/>
    <mergeCell ref="D2:D3"/>
    <mergeCell ref="A1:T1"/>
    <mergeCell ref="M2:O2"/>
    <mergeCell ref="A2:A3"/>
    <mergeCell ref="A4:A8"/>
    <mergeCell ref="A9:A13"/>
    <mergeCell ref="E2:E3"/>
    <mergeCell ref="F2:F3"/>
    <mergeCell ref="G2:G3"/>
    <mergeCell ref="H2:H3"/>
    <mergeCell ref="I2:I3"/>
    <mergeCell ref="J2:J3"/>
    <mergeCell ref="K2:K3"/>
    <mergeCell ref="K4:K13"/>
    <mergeCell ref="M4:M8"/>
    <mergeCell ref="M9:M13"/>
    <mergeCell ref="O4:O8"/>
  </mergeCells>
  <phoneticPr fontId="9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5"/>
  <sheetViews>
    <sheetView tabSelected="1" workbookViewId="0">
      <selection sqref="A1:T1"/>
    </sheetView>
  </sheetViews>
  <sheetFormatPr defaultColWidth="9" defaultRowHeight="14.25" x14ac:dyDescent="0.15"/>
  <cols>
    <col min="12" max="12" width="13.25" customWidth="1"/>
  </cols>
  <sheetData>
    <row r="1" spans="1:20" ht="41.25" customHeight="1" x14ac:dyDescent="0.15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</row>
    <row r="2" spans="1:20" x14ac:dyDescent="0.15">
      <c r="A2" s="37" t="s">
        <v>1</v>
      </c>
      <c r="B2" s="44" t="s">
        <v>2</v>
      </c>
      <c r="C2" s="44" t="s">
        <v>3</v>
      </c>
      <c r="D2" s="45" t="s">
        <v>4</v>
      </c>
      <c r="E2" s="44" t="s">
        <v>5</v>
      </c>
      <c r="F2" s="44" t="s">
        <v>6</v>
      </c>
      <c r="G2" s="44" t="s">
        <v>7</v>
      </c>
      <c r="H2" s="44" t="s">
        <v>8</v>
      </c>
      <c r="I2" s="47" t="s">
        <v>9</v>
      </c>
      <c r="J2" s="48" t="s">
        <v>10</v>
      </c>
      <c r="K2" s="44" t="s">
        <v>11</v>
      </c>
      <c r="L2" s="45" t="s">
        <v>12</v>
      </c>
      <c r="M2" s="34" t="s">
        <v>13</v>
      </c>
      <c r="N2" s="35"/>
      <c r="O2" s="36"/>
      <c r="P2" s="44" t="s">
        <v>14</v>
      </c>
      <c r="Q2" s="60" t="s">
        <v>15</v>
      </c>
      <c r="R2" s="64" t="s">
        <v>16</v>
      </c>
      <c r="S2" s="64" t="s">
        <v>17</v>
      </c>
      <c r="T2" s="64" t="s">
        <v>18</v>
      </c>
    </row>
    <row r="3" spans="1:20" x14ac:dyDescent="0.15">
      <c r="A3" s="37"/>
      <c r="B3" s="44"/>
      <c r="C3" s="44"/>
      <c r="D3" s="46"/>
      <c r="E3" s="44"/>
      <c r="F3" s="44"/>
      <c r="G3" s="44"/>
      <c r="H3" s="44"/>
      <c r="I3" s="44"/>
      <c r="J3" s="49"/>
      <c r="K3" s="44"/>
      <c r="L3" s="46"/>
      <c r="M3" s="16" t="s">
        <v>7</v>
      </c>
      <c r="N3" s="16" t="s">
        <v>8</v>
      </c>
      <c r="O3" s="3" t="s">
        <v>9</v>
      </c>
      <c r="P3" s="44"/>
      <c r="Q3" s="60"/>
      <c r="R3" s="64"/>
      <c r="S3" s="64"/>
      <c r="T3" s="64"/>
    </row>
    <row r="4" spans="1:20" x14ac:dyDescent="0.15">
      <c r="A4" s="66" t="s">
        <v>68</v>
      </c>
      <c r="B4" s="4" t="s">
        <v>20</v>
      </c>
      <c r="C4" s="5">
        <f t="shared" ref="C4:C19" si="0">D4+E4</f>
        <v>386400</v>
      </c>
      <c r="D4" s="5">
        <f t="shared" ref="D4:D8" si="1">F4*1.8</f>
        <v>50400</v>
      </c>
      <c r="E4" s="5">
        <f t="shared" ref="E4:E19" si="2">F4*12</f>
        <v>336000</v>
      </c>
      <c r="F4" s="6">
        <v>28000</v>
      </c>
      <c r="G4" s="5">
        <f t="shared" ref="G4:G19" si="3">F4*0.6</f>
        <v>16800</v>
      </c>
      <c r="H4" s="5">
        <f t="shared" ref="H4:H8" si="4">F4*0.15</f>
        <v>4200</v>
      </c>
      <c r="I4" s="5">
        <f t="shared" ref="I4:I8" si="5">F4*0.25</f>
        <v>7000</v>
      </c>
      <c r="J4" s="17">
        <f t="shared" ref="J4:J22" si="6">F4/F5</f>
        <v>1.2173913043478262</v>
      </c>
      <c r="K4" s="50" t="s">
        <v>21</v>
      </c>
      <c r="L4" s="53" t="s">
        <v>22</v>
      </c>
      <c r="M4" s="54">
        <v>0.6</v>
      </c>
      <c r="N4" s="54">
        <v>0.15</v>
      </c>
      <c r="O4" s="54">
        <v>0.25</v>
      </c>
      <c r="P4" s="57" t="s">
        <v>23</v>
      </c>
      <c r="Q4" s="61" t="s">
        <v>24</v>
      </c>
      <c r="R4" s="65">
        <v>3000</v>
      </c>
      <c r="S4" s="65">
        <v>1500</v>
      </c>
      <c r="T4" s="65">
        <v>2000</v>
      </c>
    </row>
    <row r="5" spans="1:20" x14ac:dyDescent="0.15">
      <c r="A5" s="39"/>
      <c r="B5" s="4" t="s">
        <v>25</v>
      </c>
      <c r="C5" s="5">
        <f t="shared" si="0"/>
        <v>317400</v>
      </c>
      <c r="D5" s="5">
        <f t="shared" si="1"/>
        <v>41400</v>
      </c>
      <c r="E5" s="5">
        <f t="shared" si="2"/>
        <v>276000</v>
      </c>
      <c r="F5" s="6">
        <v>23000</v>
      </c>
      <c r="G5" s="5">
        <f t="shared" si="3"/>
        <v>13800</v>
      </c>
      <c r="H5" s="5">
        <f t="shared" si="4"/>
        <v>3450</v>
      </c>
      <c r="I5" s="5">
        <f t="shared" si="5"/>
        <v>5750</v>
      </c>
      <c r="J5" s="17">
        <f t="shared" si="6"/>
        <v>1.1499999999999999</v>
      </c>
      <c r="K5" s="51"/>
      <c r="L5" s="53"/>
      <c r="M5" s="55"/>
      <c r="N5" s="55"/>
      <c r="O5" s="55"/>
      <c r="P5" s="58"/>
      <c r="Q5" s="62"/>
      <c r="R5" s="65"/>
      <c r="S5" s="65"/>
      <c r="T5" s="65"/>
    </row>
    <row r="6" spans="1:20" x14ac:dyDescent="0.15">
      <c r="A6" s="39"/>
      <c r="B6" s="4" t="s">
        <v>26</v>
      </c>
      <c r="C6" s="5">
        <f t="shared" si="0"/>
        <v>276000</v>
      </c>
      <c r="D6" s="5">
        <f t="shared" si="1"/>
        <v>36000</v>
      </c>
      <c r="E6" s="5">
        <f t="shared" si="2"/>
        <v>240000</v>
      </c>
      <c r="F6" s="6">
        <v>20000</v>
      </c>
      <c r="G6" s="5">
        <f t="shared" si="3"/>
        <v>12000</v>
      </c>
      <c r="H6" s="5">
        <f t="shared" si="4"/>
        <v>3000</v>
      </c>
      <c r="I6" s="5">
        <f t="shared" si="5"/>
        <v>5000</v>
      </c>
      <c r="J6" s="17">
        <f t="shared" si="6"/>
        <v>1.1111111111111112</v>
      </c>
      <c r="K6" s="51"/>
      <c r="L6" s="53"/>
      <c r="M6" s="55"/>
      <c r="N6" s="55"/>
      <c r="O6" s="55"/>
      <c r="P6" s="58"/>
      <c r="Q6" s="62"/>
      <c r="R6" s="65"/>
      <c r="S6" s="65"/>
      <c r="T6" s="65"/>
    </row>
    <row r="7" spans="1:20" x14ac:dyDescent="0.15">
      <c r="A7" s="39"/>
      <c r="B7" s="4" t="s">
        <v>27</v>
      </c>
      <c r="C7" s="5">
        <f t="shared" si="0"/>
        <v>248400</v>
      </c>
      <c r="D7" s="5">
        <f t="shared" si="1"/>
        <v>32400</v>
      </c>
      <c r="E7" s="5">
        <f t="shared" si="2"/>
        <v>216000</v>
      </c>
      <c r="F7" s="6">
        <v>18000</v>
      </c>
      <c r="G7" s="5">
        <f t="shared" si="3"/>
        <v>10800</v>
      </c>
      <c r="H7" s="5">
        <f t="shared" si="4"/>
        <v>2700</v>
      </c>
      <c r="I7" s="5">
        <f t="shared" si="5"/>
        <v>4500</v>
      </c>
      <c r="J7" s="17">
        <f t="shared" si="6"/>
        <v>1.2</v>
      </c>
      <c r="K7" s="51"/>
      <c r="L7" s="53"/>
      <c r="M7" s="55"/>
      <c r="N7" s="55"/>
      <c r="O7" s="55"/>
      <c r="P7" s="58"/>
      <c r="Q7" s="62"/>
      <c r="R7" s="65"/>
      <c r="S7" s="65"/>
      <c r="T7" s="65"/>
    </row>
    <row r="8" spans="1:20" x14ac:dyDescent="0.15">
      <c r="A8" s="40"/>
      <c r="B8" s="4" t="s">
        <v>28</v>
      </c>
      <c r="C8" s="5">
        <f t="shared" si="0"/>
        <v>207000</v>
      </c>
      <c r="D8" s="5">
        <f t="shared" si="1"/>
        <v>27000</v>
      </c>
      <c r="E8" s="5">
        <f t="shared" si="2"/>
        <v>180000</v>
      </c>
      <c r="F8" s="6">
        <v>15000</v>
      </c>
      <c r="G8" s="5">
        <f t="shared" si="3"/>
        <v>9000</v>
      </c>
      <c r="H8" s="5">
        <f t="shared" si="4"/>
        <v>2250</v>
      </c>
      <c r="I8" s="5">
        <f t="shared" si="5"/>
        <v>3750</v>
      </c>
      <c r="J8" s="17">
        <f t="shared" si="6"/>
        <v>1</v>
      </c>
      <c r="K8" s="51"/>
      <c r="L8" s="53"/>
      <c r="M8" s="56"/>
      <c r="N8" s="56"/>
      <c r="O8" s="56"/>
      <c r="P8" s="58"/>
      <c r="Q8" s="63"/>
      <c r="R8" s="65"/>
      <c r="S8" s="65"/>
      <c r="T8" s="65"/>
    </row>
    <row r="9" spans="1:20" x14ac:dyDescent="0.15">
      <c r="A9" s="41" t="s">
        <v>69</v>
      </c>
      <c r="B9" s="7" t="s">
        <v>20</v>
      </c>
      <c r="C9" s="8">
        <f t="shared" si="0"/>
        <v>202500</v>
      </c>
      <c r="D9" s="8">
        <f t="shared" ref="D9:D13" si="7">F9*1.5</f>
        <v>22500</v>
      </c>
      <c r="E9" s="8">
        <f t="shared" si="2"/>
        <v>180000</v>
      </c>
      <c r="F9" s="9">
        <v>15000</v>
      </c>
      <c r="G9" s="8">
        <f t="shared" si="3"/>
        <v>9000</v>
      </c>
      <c r="H9" s="8">
        <f t="shared" ref="H9:H13" si="8">F9*0.2</f>
        <v>3000</v>
      </c>
      <c r="I9" s="8">
        <f>F9*0.2</f>
        <v>3000</v>
      </c>
      <c r="J9" s="17">
        <f t="shared" si="6"/>
        <v>1.1111111111111112</v>
      </c>
      <c r="K9" s="51"/>
      <c r="L9" s="53" t="s">
        <v>30</v>
      </c>
      <c r="M9" s="54">
        <v>0.6</v>
      </c>
      <c r="N9" s="54">
        <v>0.2</v>
      </c>
      <c r="O9" s="54">
        <v>0.2</v>
      </c>
      <c r="P9" s="58"/>
      <c r="Q9" s="61" t="s">
        <v>31</v>
      </c>
      <c r="R9" s="65">
        <v>2000</v>
      </c>
      <c r="S9" s="65">
        <v>1000</v>
      </c>
      <c r="T9" s="65">
        <v>1000</v>
      </c>
    </row>
    <row r="10" spans="1:20" x14ac:dyDescent="0.15">
      <c r="A10" s="42"/>
      <c r="B10" s="7" t="s">
        <v>25</v>
      </c>
      <c r="C10" s="8">
        <f t="shared" si="0"/>
        <v>182250</v>
      </c>
      <c r="D10" s="8">
        <f t="shared" si="7"/>
        <v>20250</v>
      </c>
      <c r="E10" s="8">
        <f t="shared" si="2"/>
        <v>162000</v>
      </c>
      <c r="F10" s="9">
        <v>13500</v>
      </c>
      <c r="G10" s="8">
        <f t="shared" si="3"/>
        <v>8100</v>
      </c>
      <c r="H10" s="8">
        <f t="shared" si="8"/>
        <v>2700</v>
      </c>
      <c r="I10" s="8">
        <f t="shared" ref="I10:I13" si="9">F10*0.2</f>
        <v>2700</v>
      </c>
      <c r="J10" s="17">
        <f t="shared" si="6"/>
        <v>1.125</v>
      </c>
      <c r="K10" s="51"/>
      <c r="L10" s="53"/>
      <c r="M10" s="55"/>
      <c r="N10" s="55"/>
      <c r="O10" s="55"/>
      <c r="P10" s="58"/>
      <c r="Q10" s="62"/>
      <c r="R10" s="65"/>
      <c r="S10" s="65"/>
      <c r="T10" s="65"/>
    </row>
    <row r="11" spans="1:20" x14ac:dyDescent="0.15">
      <c r="A11" s="42"/>
      <c r="B11" s="7" t="s">
        <v>26</v>
      </c>
      <c r="C11" s="8">
        <f t="shared" si="0"/>
        <v>162000</v>
      </c>
      <c r="D11" s="8">
        <f t="shared" si="7"/>
        <v>18000</v>
      </c>
      <c r="E11" s="8">
        <f t="shared" si="2"/>
        <v>144000</v>
      </c>
      <c r="F11" s="9">
        <v>12000</v>
      </c>
      <c r="G11" s="8">
        <f t="shared" si="3"/>
        <v>7200</v>
      </c>
      <c r="H11" s="8">
        <f t="shared" si="8"/>
        <v>2400</v>
      </c>
      <c r="I11" s="8">
        <f t="shared" si="9"/>
        <v>2400</v>
      </c>
      <c r="J11" s="17">
        <f t="shared" si="6"/>
        <v>1.1428571428571428</v>
      </c>
      <c r="K11" s="51"/>
      <c r="L11" s="53"/>
      <c r="M11" s="55"/>
      <c r="N11" s="55"/>
      <c r="O11" s="55"/>
      <c r="P11" s="58"/>
      <c r="Q11" s="62"/>
      <c r="R11" s="65"/>
      <c r="S11" s="65"/>
      <c r="T11" s="65"/>
    </row>
    <row r="12" spans="1:20" x14ac:dyDescent="0.15">
      <c r="A12" s="42"/>
      <c r="B12" s="7" t="s">
        <v>27</v>
      </c>
      <c r="C12" s="8">
        <f t="shared" si="0"/>
        <v>141750</v>
      </c>
      <c r="D12" s="8">
        <f t="shared" si="7"/>
        <v>15750</v>
      </c>
      <c r="E12" s="8">
        <f t="shared" si="2"/>
        <v>126000</v>
      </c>
      <c r="F12" s="9">
        <v>10500</v>
      </c>
      <c r="G12" s="8">
        <f t="shared" si="3"/>
        <v>6300</v>
      </c>
      <c r="H12" s="8">
        <f t="shared" si="8"/>
        <v>2100</v>
      </c>
      <c r="I12" s="8">
        <f t="shared" si="9"/>
        <v>2100</v>
      </c>
      <c r="J12" s="17">
        <f t="shared" si="6"/>
        <v>1.1052631578947369</v>
      </c>
      <c r="K12" s="51"/>
      <c r="L12" s="53"/>
      <c r="M12" s="55"/>
      <c r="N12" s="55"/>
      <c r="O12" s="55"/>
      <c r="P12" s="58"/>
      <c r="Q12" s="62"/>
      <c r="R12" s="65"/>
      <c r="S12" s="65"/>
      <c r="T12" s="65"/>
    </row>
    <row r="13" spans="1:20" x14ac:dyDescent="0.15">
      <c r="A13" s="43"/>
      <c r="B13" s="7" t="s">
        <v>28</v>
      </c>
      <c r="C13" s="8">
        <f t="shared" si="0"/>
        <v>128250</v>
      </c>
      <c r="D13" s="8">
        <f t="shared" si="7"/>
        <v>14250</v>
      </c>
      <c r="E13" s="8">
        <f t="shared" si="2"/>
        <v>114000</v>
      </c>
      <c r="F13" s="9">
        <v>9500</v>
      </c>
      <c r="G13" s="8">
        <f t="shared" si="3"/>
        <v>5700</v>
      </c>
      <c r="H13" s="8">
        <f t="shared" si="8"/>
        <v>1900</v>
      </c>
      <c r="I13" s="8">
        <f t="shared" si="9"/>
        <v>1900</v>
      </c>
      <c r="J13" s="17">
        <f t="shared" si="6"/>
        <v>1</v>
      </c>
      <c r="K13" s="52"/>
      <c r="L13" s="53"/>
      <c r="M13" s="56"/>
      <c r="N13" s="56"/>
      <c r="O13" s="56"/>
      <c r="P13" s="59"/>
      <c r="Q13" s="63"/>
      <c r="R13" s="65"/>
      <c r="S13" s="65"/>
      <c r="T13" s="65"/>
    </row>
    <row r="14" spans="1:20" x14ac:dyDescent="0.15">
      <c r="A14" s="67" t="s">
        <v>70</v>
      </c>
      <c r="B14" s="10" t="s">
        <v>20</v>
      </c>
      <c r="C14" s="11">
        <f t="shared" si="0"/>
        <v>125400</v>
      </c>
      <c r="D14" s="11">
        <f t="shared" ref="D14:D18" si="10">F14*1.2</f>
        <v>11400</v>
      </c>
      <c r="E14" s="11">
        <f t="shared" si="2"/>
        <v>114000</v>
      </c>
      <c r="F14" s="12">
        <v>9500</v>
      </c>
      <c r="G14" s="11">
        <f t="shared" si="3"/>
        <v>5700</v>
      </c>
      <c r="H14" s="11">
        <f t="shared" ref="H14:H18" si="11">F14*0.25</f>
        <v>2375</v>
      </c>
      <c r="I14" s="11">
        <f t="shared" ref="I14:I18" si="12">F14*0.15</f>
        <v>1425</v>
      </c>
      <c r="J14" s="17">
        <f t="shared" si="6"/>
        <v>1.1445783132530121</v>
      </c>
      <c r="K14" s="75" t="s">
        <v>35</v>
      </c>
      <c r="L14" s="53" t="s">
        <v>36</v>
      </c>
      <c r="M14" s="54">
        <v>0.6</v>
      </c>
      <c r="N14" s="54">
        <v>0.25</v>
      </c>
      <c r="O14" s="54">
        <v>0.15</v>
      </c>
      <c r="P14" s="57" t="s">
        <v>37</v>
      </c>
      <c r="Q14" s="61" t="s">
        <v>38</v>
      </c>
      <c r="R14" s="65">
        <v>1000</v>
      </c>
      <c r="S14" s="65">
        <v>500</v>
      </c>
      <c r="T14" s="78" t="s">
        <v>39</v>
      </c>
    </row>
    <row r="15" spans="1:20" x14ac:dyDescent="0.15">
      <c r="A15" s="68"/>
      <c r="B15" s="10" t="s">
        <v>25</v>
      </c>
      <c r="C15" s="11">
        <f t="shared" si="0"/>
        <v>109560</v>
      </c>
      <c r="D15" s="11">
        <f t="shared" si="10"/>
        <v>9960</v>
      </c>
      <c r="E15" s="11">
        <f t="shared" si="2"/>
        <v>99600</v>
      </c>
      <c r="F15" s="12">
        <v>8300</v>
      </c>
      <c r="G15" s="11">
        <f t="shared" si="3"/>
        <v>4980</v>
      </c>
      <c r="H15" s="11">
        <f t="shared" si="11"/>
        <v>2075</v>
      </c>
      <c r="I15" s="11">
        <f t="shared" si="12"/>
        <v>1245</v>
      </c>
      <c r="J15" s="17">
        <f t="shared" si="6"/>
        <v>1.1066666666666667</v>
      </c>
      <c r="K15" s="75"/>
      <c r="L15" s="53"/>
      <c r="M15" s="55"/>
      <c r="N15" s="55"/>
      <c r="O15" s="55"/>
      <c r="P15" s="55"/>
      <c r="Q15" s="62"/>
      <c r="R15" s="65"/>
      <c r="S15" s="65"/>
      <c r="T15" s="65"/>
    </row>
    <row r="16" spans="1:20" x14ac:dyDescent="0.15">
      <c r="A16" s="68"/>
      <c r="B16" s="10" t="s">
        <v>26</v>
      </c>
      <c r="C16" s="11">
        <f t="shared" si="0"/>
        <v>99000</v>
      </c>
      <c r="D16" s="11">
        <f t="shared" si="10"/>
        <v>9000</v>
      </c>
      <c r="E16" s="11">
        <f t="shared" si="2"/>
        <v>90000</v>
      </c>
      <c r="F16" s="12">
        <v>7500</v>
      </c>
      <c r="G16" s="11">
        <f t="shared" si="3"/>
        <v>4500</v>
      </c>
      <c r="H16" s="11">
        <f t="shared" si="11"/>
        <v>1875</v>
      </c>
      <c r="I16" s="11">
        <f t="shared" si="12"/>
        <v>1125</v>
      </c>
      <c r="J16" s="17">
        <f t="shared" si="6"/>
        <v>1.1538461538461537</v>
      </c>
      <c r="K16" s="75"/>
      <c r="L16" s="53"/>
      <c r="M16" s="55"/>
      <c r="N16" s="55"/>
      <c r="O16" s="55"/>
      <c r="P16" s="55"/>
      <c r="Q16" s="62"/>
      <c r="R16" s="65"/>
      <c r="S16" s="65"/>
      <c r="T16" s="65"/>
    </row>
    <row r="17" spans="1:20" x14ac:dyDescent="0.15">
      <c r="A17" s="68"/>
      <c r="B17" s="10" t="s">
        <v>27</v>
      </c>
      <c r="C17" s="11">
        <f t="shared" si="0"/>
        <v>85800</v>
      </c>
      <c r="D17" s="11">
        <f t="shared" si="10"/>
        <v>7800</v>
      </c>
      <c r="E17" s="11">
        <f t="shared" si="2"/>
        <v>78000</v>
      </c>
      <c r="F17" s="12">
        <v>6500</v>
      </c>
      <c r="G17" s="11">
        <f t="shared" si="3"/>
        <v>3900</v>
      </c>
      <c r="H17" s="11">
        <f t="shared" si="11"/>
        <v>1625</v>
      </c>
      <c r="I17" s="11">
        <f t="shared" si="12"/>
        <v>975</v>
      </c>
      <c r="J17" s="17">
        <f t="shared" si="6"/>
        <v>1.1206896551724137</v>
      </c>
      <c r="K17" s="75"/>
      <c r="L17" s="53"/>
      <c r="M17" s="55"/>
      <c r="N17" s="55"/>
      <c r="O17" s="55"/>
      <c r="P17" s="55"/>
      <c r="Q17" s="62"/>
      <c r="R17" s="65"/>
      <c r="S17" s="65"/>
      <c r="T17" s="65"/>
    </row>
    <row r="18" spans="1:20" x14ac:dyDescent="0.15">
      <c r="A18" s="69"/>
      <c r="B18" s="10" t="s">
        <v>28</v>
      </c>
      <c r="C18" s="11">
        <f t="shared" si="0"/>
        <v>76560</v>
      </c>
      <c r="D18" s="11">
        <f t="shared" si="10"/>
        <v>6960</v>
      </c>
      <c r="E18" s="11">
        <f t="shared" si="2"/>
        <v>69600</v>
      </c>
      <c r="F18" s="12">
        <v>5800</v>
      </c>
      <c r="G18" s="11">
        <f t="shared" si="3"/>
        <v>3480</v>
      </c>
      <c r="H18" s="11">
        <f t="shared" si="11"/>
        <v>1450</v>
      </c>
      <c r="I18" s="11">
        <f t="shared" si="12"/>
        <v>870</v>
      </c>
      <c r="J18" s="17">
        <f t="shared" si="6"/>
        <v>1</v>
      </c>
      <c r="K18" s="75"/>
      <c r="L18" s="53"/>
      <c r="M18" s="56"/>
      <c r="N18" s="56"/>
      <c r="O18" s="56"/>
      <c r="P18" s="55"/>
      <c r="Q18" s="63"/>
      <c r="R18" s="65"/>
      <c r="S18" s="65"/>
      <c r="T18" s="65"/>
    </row>
    <row r="19" spans="1:20" x14ac:dyDescent="0.15">
      <c r="A19" s="70" t="s">
        <v>71</v>
      </c>
      <c r="B19" s="13" t="s">
        <v>43</v>
      </c>
      <c r="C19" s="14">
        <f t="shared" si="0"/>
        <v>75400</v>
      </c>
      <c r="D19" s="14">
        <f>F19</f>
        <v>5800</v>
      </c>
      <c r="E19" s="14">
        <f t="shared" si="2"/>
        <v>69600</v>
      </c>
      <c r="F19" s="15">
        <v>5800</v>
      </c>
      <c r="G19" s="14">
        <f t="shared" si="3"/>
        <v>3480</v>
      </c>
      <c r="H19" s="14">
        <f>F19*0.3</f>
        <v>1740</v>
      </c>
      <c r="I19" s="14">
        <f>F19*0.1</f>
        <v>580</v>
      </c>
      <c r="J19" s="17">
        <f t="shared" si="6"/>
        <v>1.1599999999999999</v>
      </c>
      <c r="K19" s="75"/>
      <c r="L19" s="53" t="s">
        <v>44</v>
      </c>
      <c r="M19" s="76">
        <v>0.6</v>
      </c>
      <c r="N19" s="76">
        <v>0.3</v>
      </c>
      <c r="O19" s="76">
        <v>0.1</v>
      </c>
      <c r="P19" s="55"/>
      <c r="Q19" s="61" t="s">
        <v>45</v>
      </c>
      <c r="R19" s="65">
        <v>500</v>
      </c>
      <c r="S19" s="65">
        <v>300</v>
      </c>
      <c r="T19" s="78" t="s">
        <v>39</v>
      </c>
    </row>
    <row r="20" spans="1:20" x14ac:dyDescent="0.15">
      <c r="A20" s="84"/>
      <c r="B20" s="13" t="s">
        <v>25</v>
      </c>
      <c r="C20" s="14">
        <f t="shared" ref="C20:C25" si="13">D20+E20</f>
        <v>65000</v>
      </c>
      <c r="D20" s="14">
        <f t="shared" ref="D20:D25" si="14">F20</f>
        <v>5000</v>
      </c>
      <c r="E20" s="14">
        <f t="shared" ref="E20:E25" si="15">F20*12</f>
        <v>60000</v>
      </c>
      <c r="F20" s="15">
        <v>5000</v>
      </c>
      <c r="G20" s="14">
        <f t="shared" ref="G20:G25" si="16">F20*0.6</f>
        <v>3000</v>
      </c>
      <c r="H20" s="14">
        <f t="shared" ref="H20:H25" si="17">F20*0.3</f>
        <v>1500</v>
      </c>
      <c r="I20" s="14">
        <f t="shared" ref="I20:I25" si="18">F20*0.1</f>
        <v>500</v>
      </c>
      <c r="J20" s="17">
        <f t="shared" si="6"/>
        <v>1.1111111111111112</v>
      </c>
      <c r="K20" s="75"/>
      <c r="L20" s="53"/>
      <c r="M20" s="77"/>
      <c r="N20" s="77"/>
      <c r="O20" s="77"/>
      <c r="P20" s="55"/>
      <c r="Q20" s="62"/>
      <c r="R20" s="65"/>
      <c r="S20" s="65"/>
      <c r="T20" s="65"/>
    </row>
    <row r="21" spans="1:20" x14ac:dyDescent="0.15">
      <c r="A21" s="84"/>
      <c r="B21" s="13" t="s">
        <v>46</v>
      </c>
      <c r="C21" s="14">
        <f t="shared" si="13"/>
        <v>58500</v>
      </c>
      <c r="D21" s="14">
        <f t="shared" si="14"/>
        <v>4500</v>
      </c>
      <c r="E21" s="14">
        <f t="shared" si="15"/>
        <v>54000</v>
      </c>
      <c r="F21" s="15">
        <v>4500</v>
      </c>
      <c r="G21" s="14">
        <f t="shared" si="16"/>
        <v>2700</v>
      </c>
      <c r="H21" s="14">
        <f t="shared" si="17"/>
        <v>1350</v>
      </c>
      <c r="I21" s="14">
        <f t="shared" si="18"/>
        <v>450</v>
      </c>
      <c r="J21" s="17">
        <f t="shared" si="6"/>
        <v>1.125</v>
      </c>
      <c r="K21" s="75"/>
      <c r="L21" s="53"/>
      <c r="M21" s="77"/>
      <c r="N21" s="77"/>
      <c r="O21" s="77"/>
      <c r="P21" s="55"/>
      <c r="Q21" s="62"/>
      <c r="R21" s="65"/>
      <c r="S21" s="65"/>
      <c r="T21" s="65"/>
    </row>
    <row r="22" spans="1:20" x14ac:dyDescent="0.15">
      <c r="A22" s="84"/>
      <c r="B22" s="13" t="s">
        <v>47</v>
      </c>
      <c r="C22" s="14">
        <f t="shared" si="13"/>
        <v>52000</v>
      </c>
      <c r="D22" s="14">
        <f t="shared" si="14"/>
        <v>4000</v>
      </c>
      <c r="E22" s="14">
        <f t="shared" si="15"/>
        <v>48000</v>
      </c>
      <c r="F22" s="15">
        <v>4000</v>
      </c>
      <c r="G22" s="14">
        <f t="shared" si="16"/>
        <v>2400</v>
      </c>
      <c r="H22" s="14">
        <f t="shared" si="17"/>
        <v>1200</v>
      </c>
      <c r="I22" s="14">
        <f t="shared" si="18"/>
        <v>400</v>
      </c>
      <c r="J22" s="17">
        <f t="shared" si="6"/>
        <v>1.1428571428571428</v>
      </c>
      <c r="K22" s="75"/>
      <c r="L22" s="53"/>
      <c r="M22" s="77"/>
      <c r="N22" s="77"/>
      <c r="O22" s="77"/>
      <c r="P22" s="55"/>
      <c r="Q22" s="62"/>
      <c r="R22" s="65"/>
      <c r="S22" s="65"/>
      <c r="T22" s="65"/>
    </row>
    <row r="23" spans="1:20" x14ac:dyDescent="0.15">
      <c r="A23" s="85"/>
      <c r="B23" s="13" t="s">
        <v>48</v>
      </c>
      <c r="C23" s="14">
        <f t="shared" si="13"/>
        <v>45500</v>
      </c>
      <c r="D23" s="14">
        <f t="shared" si="14"/>
        <v>3500</v>
      </c>
      <c r="E23" s="14">
        <f t="shared" si="15"/>
        <v>42000</v>
      </c>
      <c r="F23" s="15">
        <v>3500</v>
      </c>
      <c r="G23" s="14">
        <f t="shared" si="16"/>
        <v>2100</v>
      </c>
      <c r="H23" s="14">
        <f t="shared" si="17"/>
        <v>1050</v>
      </c>
      <c r="I23" s="14">
        <f t="shared" si="18"/>
        <v>350</v>
      </c>
      <c r="J23" s="17"/>
      <c r="K23" s="75"/>
      <c r="L23" s="53"/>
      <c r="M23" s="77"/>
      <c r="N23" s="77"/>
      <c r="O23" s="77"/>
      <c r="P23" s="56"/>
      <c r="Q23" s="63"/>
      <c r="R23" s="65"/>
      <c r="S23" s="65"/>
      <c r="T23" s="65"/>
    </row>
    <row r="24" spans="1:20" x14ac:dyDescent="0.15">
      <c r="A24" s="73" t="s">
        <v>72</v>
      </c>
      <c r="B24" s="23" t="s">
        <v>46</v>
      </c>
      <c r="C24" s="24">
        <f t="shared" si="13"/>
        <v>45500</v>
      </c>
      <c r="D24" s="24">
        <f t="shared" si="14"/>
        <v>3500</v>
      </c>
      <c r="E24" s="24">
        <f t="shared" si="15"/>
        <v>42000</v>
      </c>
      <c r="F24" s="25">
        <v>3500</v>
      </c>
      <c r="G24" s="24">
        <f t="shared" si="16"/>
        <v>2100</v>
      </c>
      <c r="H24" s="24">
        <f t="shared" si="17"/>
        <v>1050</v>
      </c>
      <c r="I24" s="24">
        <f t="shared" si="18"/>
        <v>350</v>
      </c>
    </row>
    <row r="25" spans="1:20" x14ac:dyDescent="0.15">
      <c r="A25" s="74"/>
      <c r="B25" s="23" t="s">
        <v>48</v>
      </c>
      <c r="C25" s="24">
        <f t="shared" si="13"/>
        <v>36400</v>
      </c>
      <c r="D25" s="24">
        <f t="shared" si="14"/>
        <v>2800</v>
      </c>
      <c r="E25" s="24">
        <f t="shared" si="15"/>
        <v>33600</v>
      </c>
      <c r="F25" s="25">
        <v>2800</v>
      </c>
      <c r="G25" s="24">
        <f t="shared" si="16"/>
        <v>1680</v>
      </c>
      <c r="H25" s="24">
        <f t="shared" si="17"/>
        <v>840</v>
      </c>
      <c r="I25" s="24">
        <f t="shared" si="18"/>
        <v>280</v>
      </c>
    </row>
  </sheetData>
  <mergeCells count="60">
    <mergeCell ref="T2:T3"/>
    <mergeCell ref="T4:T8"/>
    <mergeCell ref="T9:T13"/>
    <mergeCell ref="T14:T18"/>
    <mergeCell ref="T19:T23"/>
    <mergeCell ref="S2:S3"/>
    <mergeCell ref="S4:S8"/>
    <mergeCell ref="S9:S13"/>
    <mergeCell ref="S14:S18"/>
    <mergeCell ref="S19:S23"/>
    <mergeCell ref="R2:R3"/>
    <mergeCell ref="R4:R8"/>
    <mergeCell ref="R9:R13"/>
    <mergeCell ref="R14:R18"/>
    <mergeCell ref="R19:R23"/>
    <mergeCell ref="Q2:Q3"/>
    <mergeCell ref="Q4:Q8"/>
    <mergeCell ref="Q9:Q13"/>
    <mergeCell ref="Q14:Q18"/>
    <mergeCell ref="Q19:Q23"/>
    <mergeCell ref="O4:O8"/>
    <mergeCell ref="O9:O13"/>
    <mergeCell ref="O14:O18"/>
    <mergeCell ref="O19:O23"/>
    <mergeCell ref="P2:P3"/>
    <mergeCell ref="P4:P13"/>
    <mergeCell ref="P14:P23"/>
    <mergeCell ref="M14:M18"/>
    <mergeCell ref="M19:M23"/>
    <mergeCell ref="N4:N8"/>
    <mergeCell ref="N9:N13"/>
    <mergeCell ref="N14:N18"/>
    <mergeCell ref="N19:N23"/>
    <mergeCell ref="K14:K23"/>
    <mergeCell ref="L2:L3"/>
    <mergeCell ref="L4:L8"/>
    <mergeCell ref="L9:L13"/>
    <mergeCell ref="L14:L18"/>
    <mergeCell ref="L19:L23"/>
    <mergeCell ref="A14:A18"/>
    <mergeCell ref="A19:A23"/>
    <mergeCell ref="A24:A25"/>
    <mergeCell ref="B2:B3"/>
    <mergeCell ref="C2:C3"/>
    <mergeCell ref="A1:T1"/>
    <mergeCell ref="M2:O2"/>
    <mergeCell ref="A2:A3"/>
    <mergeCell ref="A4:A8"/>
    <mergeCell ref="A9:A13"/>
    <mergeCell ref="D2:D3"/>
    <mergeCell ref="E2:E3"/>
    <mergeCell ref="F2:F3"/>
    <mergeCell ref="G2:G3"/>
    <mergeCell ref="H2:H3"/>
    <mergeCell ref="I2:I3"/>
    <mergeCell ref="J2:J3"/>
    <mergeCell ref="K2:K3"/>
    <mergeCell ref="K4:K13"/>
    <mergeCell ref="M4:M8"/>
    <mergeCell ref="M9:M13"/>
  </mergeCells>
  <phoneticPr fontId="9" type="noConversion"/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8"/>
  <sheetViews>
    <sheetView topLeftCell="H1" zoomScale="115" zoomScaleNormal="115" workbookViewId="0">
      <selection activeCell="A24" sqref="A24:T25"/>
    </sheetView>
  </sheetViews>
  <sheetFormatPr defaultColWidth="9" defaultRowHeight="14.25" x14ac:dyDescent="0.15"/>
  <cols>
    <col min="12" max="12" width="13.25" customWidth="1"/>
  </cols>
  <sheetData>
    <row r="1" spans="1:20" ht="26.25" customHeight="1" x14ac:dyDescent="0.15">
      <c r="A1" s="9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</row>
    <row r="2" spans="1:20" x14ac:dyDescent="0.15">
      <c r="A2" s="37" t="s">
        <v>1</v>
      </c>
      <c r="B2" s="44" t="s">
        <v>2</v>
      </c>
      <c r="C2" s="44" t="s">
        <v>3</v>
      </c>
      <c r="D2" s="45" t="s">
        <v>4</v>
      </c>
      <c r="E2" s="44" t="s">
        <v>5</v>
      </c>
      <c r="F2" s="44" t="s">
        <v>6</v>
      </c>
      <c r="G2" s="44" t="s">
        <v>7</v>
      </c>
      <c r="H2" s="44" t="s">
        <v>8</v>
      </c>
      <c r="I2" s="47" t="s">
        <v>9</v>
      </c>
      <c r="J2" s="48" t="s">
        <v>10</v>
      </c>
      <c r="K2" s="44" t="s">
        <v>11</v>
      </c>
      <c r="L2" s="45" t="s">
        <v>12</v>
      </c>
      <c r="M2" s="34" t="s">
        <v>13</v>
      </c>
      <c r="N2" s="35"/>
      <c r="O2" s="36"/>
      <c r="P2" s="44" t="s">
        <v>14</v>
      </c>
      <c r="Q2" s="60" t="s">
        <v>15</v>
      </c>
      <c r="R2" s="64" t="s">
        <v>16</v>
      </c>
      <c r="S2" s="64" t="s">
        <v>17</v>
      </c>
      <c r="T2" s="64" t="s">
        <v>18</v>
      </c>
    </row>
    <row r="3" spans="1:20" x14ac:dyDescent="0.15">
      <c r="A3" s="37"/>
      <c r="B3" s="44"/>
      <c r="C3" s="44"/>
      <c r="D3" s="46"/>
      <c r="E3" s="44"/>
      <c r="F3" s="44"/>
      <c r="G3" s="44"/>
      <c r="H3" s="44"/>
      <c r="I3" s="44"/>
      <c r="J3" s="49"/>
      <c r="K3" s="44"/>
      <c r="L3" s="46"/>
      <c r="M3" s="16" t="s">
        <v>7</v>
      </c>
      <c r="N3" s="16" t="s">
        <v>8</v>
      </c>
      <c r="O3" s="3" t="s">
        <v>9</v>
      </c>
      <c r="P3" s="44"/>
      <c r="Q3" s="60"/>
      <c r="R3" s="64"/>
      <c r="S3" s="64"/>
      <c r="T3" s="64"/>
    </row>
    <row r="4" spans="1:20" x14ac:dyDescent="0.15">
      <c r="A4" s="66" t="s">
        <v>73</v>
      </c>
      <c r="B4" s="4" t="s">
        <v>20</v>
      </c>
      <c r="C4" s="5">
        <f t="shared" ref="C4:C19" si="0">D4+E4</f>
        <v>317400</v>
      </c>
      <c r="D4" s="5">
        <f t="shared" ref="D4:D8" si="1">F4*1.8</f>
        <v>41400</v>
      </c>
      <c r="E4" s="5">
        <f t="shared" ref="E4:E19" si="2">F4*12</f>
        <v>276000</v>
      </c>
      <c r="F4" s="6">
        <v>23000</v>
      </c>
      <c r="G4" s="5">
        <f t="shared" ref="G4:G19" si="3">F4*0.6</f>
        <v>13800</v>
      </c>
      <c r="H4" s="5">
        <f t="shared" ref="H4:H8" si="4">F4*0.15</f>
        <v>3450</v>
      </c>
      <c r="I4" s="5">
        <f t="shared" ref="I4:I8" si="5">F4*0.25</f>
        <v>5750</v>
      </c>
      <c r="J4" s="17">
        <f t="shared" ref="J4:J22" si="6">F4/F5</f>
        <v>1.1499999999999999</v>
      </c>
      <c r="K4" s="50" t="s">
        <v>21</v>
      </c>
      <c r="L4" s="53" t="s">
        <v>22</v>
      </c>
      <c r="M4" s="54">
        <v>0.6</v>
      </c>
      <c r="N4" s="54">
        <v>0.15</v>
      </c>
      <c r="O4" s="54">
        <v>0.25</v>
      </c>
      <c r="P4" s="57" t="s">
        <v>23</v>
      </c>
      <c r="Q4" s="61" t="s">
        <v>24</v>
      </c>
      <c r="R4" s="65">
        <v>3000</v>
      </c>
      <c r="S4" s="65">
        <v>1500</v>
      </c>
      <c r="T4" s="65">
        <v>2000</v>
      </c>
    </row>
    <row r="5" spans="1:20" x14ac:dyDescent="0.15">
      <c r="A5" s="39"/>
      <c r="B5" s="4" t="s">
        <v>25</v>
      </c>
      <c r="C5" s="5">
        <f t="shared" si="0"/>
        <v>276000</v>
      </c>
      <c r="D5" s="5">
        <f t="shared" si="1"/>
        <v>36000</v>
      </c>
      <c r="E5" s="5">
        <f t="shared" si="2"/>
        <v>240000</v>
      </c>
      <c r="F5" s="6">
        <v>20000</v>
      </c>
      <c r="G5" s="5">
        <f t="shared" si="3"/>
        <v>12000</v>
      </c>
      <c r="H5" s="5">
        <f t="shared" si="4"/>
        <v>3000</v>
      </c>
      <c r="I5" s="5">
        <f t="shared" si="5"/>
        <v>5000</v>
      </c>
      <c r="J5" s="17">
        <f t="shared" si="6"/>
        <v>1.1111111111111112</v>
      </c>
      <c r="K5" s="51"/>
      <c r="L5" s="53"/>
      <c r="M5" s="55"/>
      <c r="N5" s="55"/>
      <c r="O5" s="55"/>
      <c r="P5" s="58"/>
      <c r="Q5" s="62"/>
      <c r="R5" s="65"/>
      <c r="S5" s="65"/>
      <c r="T5" s="65"/>
    </row>
    <row r="6" spans="1:20" x14ac:dyDescent="0.15">
      <c r="A6" s="39"/>
      <c r="B6" s="4" t="s">
        <v>26</v>
      </c>
      <c r="C6" s="5">
        <f t="shared" si="0"/>
        <v>248400</v>
      </c>
      <c r="D6" s="5">
        <f t="shared" si="1"/>
        <v>32400</v>
      </c>
      <c r="E6" s="5">
        <f t="shared" si="2"/>
        <v>216000</v>
      </c>
      <c r="F6" s="6">
        <v>18000</v>
      </c>
      <c r="G6" s="5">
        <f t="shared" si="3"/>
        <v>10800</v>
      </c>
      <c r="H6" s="5">
        <f t="shared" si="4"/>
        <v>2700</v>
      </c>
      <c r="I6" s="5">
        <f t="shared" si="5"/>
        <v>4500</v>
      </c>
      <c r="J6" s="17">
        <f t="shared" si="6"/>
        <v>1.2</v>
      </c>
      <c r="K6" s="51"/>
      <c r="L6" s="53"/>
      <c r="M6" s="55"/>
      <c r="N6" s="55"/>
      <c r="O6" s="55"/>
      <c r="P6" s="58"/>
      <c r="Q6" s="62"/>
      <c r="R6" s="65"/>
      <c r="S6" s="65"/>
      <c r="T6" s="65"/>
    </row>
    <row r="7" spans="1:20" x14ac:dyDescent="0.15">
      <c r="A7" s="39"/>
      <c r="B7" s="4" t="s">
        <v>27</v>
      </c>
      <c r="C7" s="5">
        <f t="shared" si="0"/>
        <v>207000</v>
      </c>
      <c r="D7" s="5">
        <f t="shared" si="1"/>
        <v>27000</v>
      </c>
      <c r="E7" s="5">
        <f t="shared" si="2"/>
        <v>180000</v>
      </c>
      <c r="F7" s="6">
        <v>15000</v>
      </c>
      <c r="G7" s="5">
        <f t="shared" si="3"/>
        <v>9000</v>
      </c>
      <c r="H7" s="5">
        <f t="shared" si="4"/>
        <v>2250</v>
      </c>
      <c r="I7" s="5">
        <f t="shared" si="5"/>
        <v>3750</v>
      </c>
      <c r="J7" s="17">
        <f t="shared" si="6"/>
        <v>1.1538461538461537</v>
      </c>
      <c r="K7" s="51"/>
      <c r="L7" s="53"/>
      <c r="M7" s="55"/>
      <c r="N7" s="55"/>
      <c r="O7" s="55"/>
      <c r="P7" s="58"/>
      <c r="Q7" s="62"/>
      <c r="R7" s="65"/>
      <c r="S7" s="65"/>
      <c r="T7" s="65"/>
    </row>
    <row r="8" spans="1:20" x14ac:dyDescent="0.15">
      <c r="A8" s="40"/>
      <c r="B8" s="4" t="s">
        <v>28</v>
      </c>
      <c r="C8" s="5">
        <f t="shared" si="0"/>
        <v>179400</v>
      </c>
      <c r="D8" s="5">
        <f t="shared" si="1"/>
        <v>23400</v>
      </c>
      <c r="E8" s="5">
        <f t="shared" si="2"/>
        <v>156000</v>
      </c>
      <c r="F8" s="6">
        <v>13000</v>
      </c>
      <c r="G8" s="5">
        <f t="shared" si="3"/>
        <v>7800</v>
      </c>
      <c r="H8" s="5">
        <f t="shared" si="4"/>
        <v>1950</v>
      </c>
      <c r="I8" s="5">
        <f t="shared" si="5"/>
        <v>3250</v>
      </c>
      <c r="J8" s="17">
        <f t="shared" si="6"/>
        <v>1</v>
      </c>
      <c r="K8" s="51"/>
      <c r="L8" s="53"/>
      <c r="M8" s="56"/>
      <c r="N8" s="56"/>
      <c r="O8" s="56"/>
      <c r="P8" s="58"/>
      <c r="Q8" s="63"/>
      <c r="R8" s="65"/>
      <c r="S8" s="65"/>
      <c r="T8" s="65"/>
    </row>
    <row r="9" spans="1:20" x14ac:dyDescent="0.15">
      <c r="A9" s="41" t="s">
        <v>74</v>
      </c>
      <c r="B9" s="7" t="s">
        <v>20</v>
      </c>
      <c r="C9" s="8">
        <f t="shared" si="0"/>
        <v>175500</v>
      </c>
      <c r="D9" s="8">
        <f t="shared" ref="D9:D13" si="7">F9*1.5</f>
        <v>19500</v>
      </c>
      <c r="E9" s="8">
        <f t="shared" si="2"/>
        <v>156000</v>
      </c>
      <c r="F9" s="9">
        <v>13000</v>
      </c>
      <c r="G9" s="8">
        <f t="shared" si="3"/>
        <v>7800</v>
      </c>
      <c r="H9" s="8">
        <f t="shared" ref="H9:H13" si="8">F9*0.2</f>
        <v>2600</v>
      </c>
      <c r="I9" s="8">
        <f>F9*0.2</f>
        <v>2600</v>
      </c>
      <c r="J9" s="17">
        <f t="shared" si="6"/>
        <v>1.1304347826086956</v>
      </c>
      <c r="K9" s="51"/>
      <c r="L9" s="53" t="s">
        <v>30</v>
      </c>
      <c r="M9" s="54">
        <v>0.6</v>
      </c>
      <c r="N9" s="54">
        <v>0.2</v>
      </c>
      <c r="O9" s="54">
        <v>0.2</v>
      </c>
      <c r="P9" s="58"/>
      <c r="Q9" s="61" t="s">
        <v>31</v>
      </c>
      <c r="R9" s="65">
        <v>2000</v>
      </c>
      <c r="S9" s="65">
        <v>1000</v>
      </c>
      <c r="T9" s="65">
        <v>1000</v>
      </c>
    </row>
    <row r="10" spans="1:20" x14ac:dyDescent="0.15">
      <c r="A10" s="42"/>
      <c r="B10" s="7" t="s">
        <v>25</v>
      </c>
      <c r="C10" s="8">
        <f t="shared" si="0"/>
        <v>155250</v>
      </c>
      <c r="D10" s="8">
        <f t="shared" si="7"/>
        <v>17250</v>
      </c>
      <c r="E10" s="8">
        <f t="shared" si="2"/>
        <v>138000</v>
      </c>
      <c r="F10" s="9">
        <v>11500</v>
      </c>
      <c r="G10" s="8">
        <f t="shared" si="3"/>
        <v>6900</v>
      </c>
      <c r="H10" s="8">
        <f t="shared" si="8"/>
        <v>2300</v>
      </c>
      <c r="I10" s="8">
        <f t="shared" ref="I10:I13" si="9">F10*0.2</f>
        <v>2300</v>
      </c>
      <c r="J10" s="17">
        <f t="shared" si="6"/>
        <v>1.1499999999999999</v>
      </c>
      <c r="K10" s="51"/>
      <c r="L10" s="53"/>
      <c r="M10" s="55"/>
      <c r="N10" s="55"/>
      <c r="O10" s="55"/>
      <c r="P10" s="58"/>
      <c r="Q10" s="62"/>
      <c r="R10" s="65"/>
      <c r="S10" s="65"/>
      <c r="T10" s="65"/>
    </row>
    <row r="11" spans="1:20" x14ac:dyDescent="0.15">
      <c r="A11" s="42"/>
      <c r="B11" s="7" t="s">
        <v>26</v>
      </c>
      <c r="C11" s="8">
        <f t="shared" si="0"/>
        <v>135000</v>
      </c>
      <c r="D11" s="8">
        <f t="shared" si="7"/>
        <v>15000</v>
      </c>
      <c r="E11" s="8">
        <f t="shared" si="2"/>
        <v>120000</v>
      </c>
      <c r="F11" s="9">
        <v>10000</v>
      </c>
      <c r="G11" s="8">
        <f t="shared" si="3"/>
        <v>6000</v>
      </c>
      <c r="H11" s="8">
        <f t="shared" si="8"/>
        <v>2000</v>
      </c>
      <c r="I11" s="8">
        <f t="shared" si="9"/>
        <v>2000</v>
      </c>
      <c r="J11" s="17">
        <f t="shared" si="6"/>
        <v>1.1627906976744187</v>
      </c>
      <c r="K11" s="51"/>
      <c r="L11" s="53"/>
      <c r="M11" s="55"/>
      <c r="N11" s="55"/>
      <c r="O11" s="55"/>
      <c r="P11" s="58"/>
      <c r="Q11" s="62"/>
      <c r="R11" s="65"/>
      <c r="S11" s="65"/>
      <c r="T11" s="65"/>
    </row>
    <row r="12" spans="1:20" x14ac:dyDescent="0.15">
      <c r="A12" s="42"/>
      <c r="B12" s="7" t="s">
        <v>27</v>
      </c>
      <c r="C12" s="8">
        <f t="shared" si="0"/>
        <v>116100</v>
      </c>
      <c r="D12" s="8">
        <f t="shared" si="7"/>
        <v>12900</v>
      </c>
      <c r="E12" s="8">
        <f t="shared" si="2"/>
        <v>103200</v>
      </c>
      <c r="F12" s="9">
        <v>8600</v>
      </c>
      <c r="G12" s="8">
        <f t="shared" si="3"/>
        <v>5160</v>
      </c>
      <c r="H12" s="8">
        <f t="shared" si="8"/>
        <v>1720</v>
      </c>
      <c r="I12" s="8">
        <f t="shared" si="9"/>
        <v>1720</v>
      </c>
      <c r="J12" s="17">
        <f t="shared" si="6"/>
        <v>1.1466666666666667</v>
      </c>
      <c r="K12" s="51"/>
      <c r="L12" s="53"/>
      <c r="M12" s="55"/>
      <c r="N12" s="55"/>
      <c r="O12" s="55"/>
      <c r="P12" s="58"/>
      <c r="Q12" s="62"/>
      <c r="R12" s="65"/>
      <c r="S12" s="65"/>
      <c r="T12" s="65"/>
    </row>
    <row r="13" spans="1:20" x14ac:dyDescent="0.15">
      <c r="A13" s="43"/>
      <c r="B13" s="7" t="s">
        <v>28</v>
      </c>
      <c r="C13" s="8">
        <f t="shared" si="0"/>
        <v>101250</v>
      </c>
      <c r="D13" s="8">
        <f t="shared" si="7"/>
        <v>11250</v>
      </c>
      <c r="E13" s="8">
        <f t="shared" si="2"/>
        <v>90000</v>
      </c>
      <c r="F13" s="9">
        <v>7500</v>
      </c>
      <c r="G13" s="8">
        <f t="shared" si="3"/>
        <v>4500</v>
      </c>
      <c r="H13" s="8">
        <f t="shared" si="8"/>
        <v>1500</v>
      </c>
      <c r="I13" s="8">
        <f t="shared" si="9"/>
        <v>1500</v>
      </c>
      <c r="J13" s="17">
        <f t="shared" si="6"/>
        <v>1</v>
      </c>
      <c r="K13" s="52"/>
      <c r="L13" s="53"/>
      <c r="M13" s="56"/>
      <c r="N13" s="56"/>
      <c r="O13" s="56"/>
      <c r="P13" s="59"/>
      <c r="Q13" s="63"/>
      <c r="R13" s="65"/>
      <c r="S13" s="65"/>
      <c r="T13" s="65"/>
    </row>
    <row r="14" spans="1:20" x14ac:dyDescent="0.15">
      <c r="A14" s="67" t="s">
        <v>75</v>
      </c>
      <c r="B14" s="10" t="s">
        <v>20</v>
      </c>
      <c r="C14" s="11">
        <f t="shared" si="0"/>
        <v>99000</v>
      </c>
      <c r="D14" s="11">
        <f t="shared" ref="D14:D18" si="10">F14*1.2</f>
        <v>9000</v>
      </c>
      <c r="E14" s="11">
        <f t="shared" si="2"/>
        <v>90000</v>
      </c>
      <c r="F14" s="12">
        <v>7500</v>
      </c>
      <c r="G14" s="11">
        <f t="shared" si="3"/>
        <v>4500</v>
      </c>
      <c r="H14" s="11">
        <f t="shared" ref="H14:H18" si="11">F14*0.25</f>
        <v>1875</v>
      </c>
      <c r="I14" s="11">
        <f t="shared" ref="I14:I18" si="12">F14*0.15</f>
        <v>1125</v>
      </c>
      <c r="J14" s="17">
        <f t="shared" si="6"/>
        <v>1.1029411764705883</v>
      </c>
      <c r="K14" s="75" t="s">
        <v>35</v>
      </c>
      <c r="L14" s="53" t="s">
        <v>36</v>
      </c>
      <c r="M14" s="54">
        <v>0.6</v>
      </c>
      <c r="N14" s="54">
        <v>0.25</v>
      </c>
      <c r="O14" s="54">
        <v>0.15</v>
      </c>
      <c r="P14" s="57" t="s">
        <v>37</v>
      </c>
      <c r="Q14" s="61" t="s">
        <v>38</v>
      </c>
      <c r="R14" s="65">
        <v>1000</v>
      </c>
      <c r="S14" s="65">
        <v>500</v>
      </c>
      <c r="T14" s="78" t="s">
        <v>39</v>
      </c>
    </row>
    <row r="15" spans="1:20" x14ac:dyDescent="0.15">
      <c r="A15" s="68"/>
      <c r="B15" s="10" t="s">
        <v>25</v>
      </c>
      <c r="C15" s="11">
        <f t="shared" si="0"/>
        <v>89760</v>
      </c>
      <c r="D15" s="11">
        <f t="shared" si="10"/>
        <v>8160</v>
      </c>
      <c r="E15" s="11">
        <f t="shared" si="2"/>
        <v>81600</v>
      </c>
      <c r="F15" s="12">
        <v>6800</v>
      </c>
      <c r="G15" s="11">
        <f t="shared" si="3"/>
        <v>4080</v>
      </c>
      <c r="H15" s="11">
        <f t="shared" si="11"/>
        <v>1700</v>
      </c>
      <c r="I15" s="11">
        <f t="shared" si="12"/>
        <v>1020</v>
      </c>
      <c r="J15" s="17">
        <f t="shared" si="6"/>
        <v>1.1333333333333333</v>
      </c>
      <c r="K15" s="75"/>
      <c r="L15" s="53"/>
      <c r="M15" s="55"/>
      <c r="N15" s="55"/>
      <c r="O15" s="55"/>
      <c r="P15" s="55"/>
      <c r="Q15" s="62"/>
      <c r="R15" s="65"/>
      <c r="S15" s="65"/>
      <c r="T15" s="65"/>
    </row>
    <row r="16" spans="1:20" x14ac:dyDescent="0.15">
      <c r="A16" s="68"/>
      <c r="B16" s="10" t="s">
        <v>26</v>
      </c>
      <c r="C16" s="11">
        <f t="shared" si="0"/>
        <v>79200</v>
      </c>
      <c r="D16" s="11">
        <f t="shared" si="10"/>
        <v>7200</v>
      </c>
      <c r="E16" s="11">
        <f t="shared" si="2"/>
        <v>72000</v>
      </c>
      <c r="F16" s="12">
        <v>6000</v>
      </c>
      <c r="G16" s="11">
        <f t="shared" si="3"/>
        <v>3600</v>
      </c>
      <c r="H16" s="11">
        <f t="shared" si="11"/>
        <v>1500</v>
      </c>
      <c r="I16" s="11">
        <f t="shared" si="12"/>
        <v>900</v>
      </c>
      <c r="J16" s="17">
        <f t="shared" si="6"/>
        <v>1.1538461538461537</v>
      </c>
      <c r="K16" s="75"/>
      <c r="L16" s="53"/>
      <c r="M16" s="55"/>
      <c r="N16" s="55"/>
      <c r="O16" s="55"/>
      <c r="P16" s="55"/>
      <c r="Q16" s="62"/>
      <c r="R16" s="65"/>
      <c r="S16" s="65"/>
      <c r="T16" s="65"/>
    </row>
    <row r="17" spans="1:20" x14ac:dyDescent="0.15">
      <c r="A17" s="68"/>
      <c r="B17" s="10" t="s">
        <v>27</v>
      </c>
      <c r="C17" s="11">
        <f t="shared" si="0"/>
        <v>68640</v>
      </c>
      <c r="D17" s="11">
        <f t="shared" si="10"/>
        <v>6240</v>
      </c>
      <c r="E17" s="11">
        <f t="shared" si="2"/>
        <v>62400</v>
      </c>
      <c r="F17" s="12">
        <v>5200</v>
      </c>
      <c r="G17" s="11">
        <f t="shared" si="3"/>
        <v>3120</v>
      </c>
      <c r="H17" s="11">
        <f t="shared" si="11"/>
        <v>1300</v>
      </c>
      <c r="I17" s="11">
        <f t="shared" si="12"/>
        <v>780</v>
      </c>
      <c r="J17" s="17">
        <f t="shared" si="6"/>
        <v>1.1555555555555554</v>
      </c>
      <c r="K17" s="75"/>
      <c r="L17" s="53"/>
      <c r="M17" s="55"/>
      <c r="N17" s="55"/>
      <c r="O17" s="55"/>
      <c r="P17" s="55"/>
      <c r="Q17" s="62"/>
      <c r="R17" s="65"/>
      <c r="S17" s="65"/>
      <c r="T17" s="65"/>
    </row>
    <row r="18" spans="1:20" x14ac:dyDescent="0.15">
      <c r="A18" s="69"/>
      <c r="B18" s="10" t="s">
        <v>28</v>
      </c>
      <c r="C18" s="11">
        <f t="shared" si="0"/>
        <v>59400</v>
      </c>
      <c r="D18" s="11">
        <f t="shared" si="10"/>
        <v>5400</v>
      </c>
      <c r="E18" s="11">
        <f t="shared" si="2"/>
        <v>54000</v>
      </c>
      <c r="F18" s="12">
        <v>4500</v>
      </c>
      <c r="G18" s="11">
        <f t="shared" si="3"/>
        <v>2700</v>
      </c>
      <c r="H18" s="11">
        <f t="shared" si="11"/>
        <v>1125</v>
      </c>
      <c r="I18" s="11">
        <f t="shared" si="12"/>
        <v>675</v>
      </c>
      <c r="J18" s="17">
        <f t="shared" si="6"/>
        <v>1</v>
      </c>
      <c r="K18" s="75"/>
      <c r="L18" s="53"/>
      <c r="M18" s="56"/>
      <c r="N18" s="56"/>
      <c r="O18" s="56"/>
      <c r="P18" s="55"/>
      <c r="Q18" s="63"/>
      <c r="R18" s="65"/>
      <c r="S18" s="65"/>
      <c r="T18" s="65"/>
    </row>
    <row r="19" spans="1:20" x14ac:dyDescent="0.15">
      <c r="A19" s="70" t="s">
        <v>76</v>
      </c>
      <c r="B19" s="13" t="s">
        <v>43</v>
      </c>
      <c r="C19" s="14">
        <f t="shared" si="0"/>
        <v>58500</v>
      </c>
      <c r="D19" s="14">
        <f>F19</f>
        <v>4500</v>
      </c>
      <c r="E19" s="14">
        <f t="shared" si="2"/>
        <v>54000</v>
      </c>
      <c r="F19" s="15">
        <v>4500</v>
      </c>
      <c r="G19" s="14">
        <f t="shared" si="3"/>
        <v>2700</v>
      </c>
      <c r="H19" s="14">
        <f>F19*0.3</f>
        <v>1350</v>
      </c>
      <c r="I19" s="14">
        <f>F19*0.1</f>
        <v>450</v>
      </c>
      <c r="J19" s="17">
        <f t="shared" si="6"/>
        <v>1.125</v>
      </c>
      <c r="K19" s="75"/>
      <c r="L19" s="53" t="s">
        <v>44</v>
      </c>
      <c r="M19" s="76">
        <v>0.6</v>
      </c>
      <c r="N19" s="76">
        <v>0.3</v>
      </c>
      <c r="O19" s="76">
        <v>0.1</v>
      </c>
      <c r="P19" s="55"/>
      <c r="Q19" s="61" t="s">
        <v>45</v>
      </c>
      <c r="R19" s="65">
        <v>500</v>
      </c>
      <c r="S19" s="65">
        <v>300</v>
      </c>
      <c r="T19" s="78" t="s">
        <v>39</v>
      </c>
    </row>
    <row r="20" spans="1:20" x14ac:dyDescent="0.15">
      <c r="A20" s="84"/>
      <c r="B20" s="13" t="s">
        <v>25</v>
      </c>
      <c r="C20" s="14">
        <f t="shared" ref="C20:C38" si="13">D20+E20</f>
        <v>52000</v>
      </c>
      <c r="D20" s="14">
        <f t="shared" ref="D20:D38" si="14">F20</f>
        <v>4000</v>
      </c>
      <c r="E20" s="14">
        <f t="shared" ref="E20:E38" si="15">F20*12</f>
        <v>48000</v>
      </c>
      <c r="F20" s="15">
        <v>4000</v>
      </c>
      <c r="G20" s="14">
        <f t="shared" ref="G20:G38" si="16">F20*0.6</f>
        <v>2400</v>
      </c>
      <c r="H20" s="14">
        <f t="shared" ref="H20:H38" si="17">F20*0.3</f>
        <v>1200</v>
      </c>
      <c r="I20" s="14">
        <f t="shared" ref="I20:I38" si="18">F20*0.1</f>
        <v>400</v>
      </c>
      <c r="J20" s="17">
        <f t="shared" si="6"/>
        <v>1.1111111111111112</v>
      </c>
      <c r="K20" s="75"/>
      <c r="L20" s="53"/>
      <c r="M20" s="77"/>
      <c r="N20" s="77"/>
      <c r="O20" s="77"/>
      <c r="P20" s="55"/>
      <c r="Q20" s="62"/>
      <c r="R20" s="65"/>
      <c r="S20" s="65"/>
      <c r="T20" s="65"/>
    </row>
    <row r="21" spans="1:20" x14ac:dyDescent="0.15">
      <c r="A21" s="84"/>
      <c r="B21" s="13" t="s">
        <v>46</v>
      </c>
      <c r="C21" s="14">
        <f t="shared" si="13"/>
        <v>46800</v>
      </c>
      <c r="D21" s="14">
        <f t="shared" si="14"/>
        <v>3600</v>
      </c>
      <c r="E21" s="14">
        <f t="shared" si="15"/>
        <v>43200</v>
      </c>
      <c r="F21" s="15">
        <v>3600</v>
      </c>
      <c r="G21" s="14">
        <f t="shared" si="16"/>
        <v>2160</v>
      </c>
      <c r="H21" s="14">
        <f t="shared" si="17"/>
        <v>1080</v>
      </c>
      <c r="I21" s="14">
        <f t="shared" si="18"/>
        <v>360</v>
      </c>
      <c r="J21" s="17">
        <f t="shared" si="6"/>
        <v>1.125</v>
      </c>
      <c r="K21" s="75"/>
      <c r="L21" s="53"/>
      <c r="M21" s="77"/>
      <c r="N21" s="77"/>
      <c r="O21" s="77"/>
      <c r="P21" s="55"/>
      <c r="Q21" s="62"/>
      <c r="R21" s="65"/>
      <c r="S21" s="65"/>
      <c r="T21" s="65"/>
    </row>
    <row r="22" spans="1:20" x14ac:dyDescent="0.15">
      <c r="A22" s="84"/>
      <c r="B22" s="13" t="s">
        <v>47</v>
      </c>
      <c r="C22" s="14">
        <f t="shared" si="13"/>
        <v>41600</v>
      </c>
      <c r="D22" s="14">
        <f t="shared" si="14"/>
        <v>3200</v>
      </c>
      <c r="E22" s="14">
        <f t="shared" si="15"/>
        <v>38400</v>
      </c>
      <c r="F22" s="15">
        <v>3200</v>
      </c>
      <c r="G22" s="14">
        <f t="shared" si="16"/>
        <v>1920</v>
      </c>
      <c r="H22" s="14">
        <f t="shared" si="17"/>
        <v>960</v>
      </c>
      <c r="I22" s="14">
        <f t="shared" si="18"/>
        <v>320</v>
      </c>
      <c r="J22" s="17">
        <f t="shared" si="6"/>
        <v>1.1428571428571428</v>
      </c>
      <c r="K22" s="75"/>
      <c r="L22" s="53"/>
      <c r="M22" s="77"/>
      <c r="N22" s="77"/>
      <c r="O22" s="77"/>
      <c r="P22" s="55"/>
      <c r="Q22" s="62"/>
      <c r="R22" s="65"/>
      <c r="S22" s="65"/>
      <c r="T22" s="65"/>
    </row>
    <row r="23" spans="1:20" x14ac:dyDescent="0.15">
      <c r="A23" s="85"/>
      <c r="B23" s="13" t="s">
        <v>48</v>
      </c>
      <c r="C23" s="14">
        <f t="shared" si="13"/>
        <v>36400</v>
      </c>
      <c r="D23" s="14">
        <f t="shared" si="14"/>
        <v>2800</v>
      </c>
      <c r="E23" s="14">
        <f t="shared" si="15"/>
        <v>33600</v>
      </c>
      <c r="F23" s="15">
        <v>2800</v>
      </c>
      <c r="G23" s="14">
        <f t="shared" si="16"/>
        <v>1680</v>
      </c>
      <c r="H23" s="14">
        <f t="shared" si="17"/>
        <v>840</v>
      </c>
      <c r="I23" s="14">
        <f t="shared" si="18"/>
        <v>280</v>
      </c>
      <c r="J23" s="17">
        <f>F23/F36</f>
        <v>1.1200000000000001</v>
      </c>
      <c r="K23" s="75"/>
      <c r="L23" s="53"/>
      <c r="M23" s="77"/>
      <c r="N23" s="77"/>
      <c r="O23" s="77"/>
      <c r="P23" s="56"/>
      <c r="Q23" s="63"/>
      <c r="R23" s="65"/>
      <c r="S23" s="65"/>
      <c r="T23" s="65"/>
    </row>
    <row r="24" spans="1:20" s="22" customFormat="1" x14ac:dyDescent="0.15">
      <c r="A24" s="112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</row>
    <row r="25" spans="1:20" s="22" customFormat="1" x14ac:dyDescent="0.15">
      <c r="A25" s="114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</row>
    <row r="26" spans="1:20" x14ac:dyDescent="0.15">
      <c r="A26" s="73" t="s">
        <v>77</v>
      </c>
      <c r="B26" s="23" t="s">
        <v>43</v>
      </c>
      <c r="C26" s="24">
        <f t="shared" si="13"/>
        <v>84500</v>
      </c>
      <c r="D26" s="24">
        <f t="shared" si="14"/>
        <v>6500</v>
      </c>
      <c r="E26" s="24">
        <f t="shared" si="15"/>
        <v>78000</v>
      </c>
      <c r="F26" s="25">
        <v>6500</v>
      </c>
      <c r="G26" s="24">
        <f t="shared" si="16"/>
        <v>3900</v>
      </c>
      <c r="H26" s="24">
        <f t="shared" si="17"/>
        <v>1950</v>
      </c>
      <c r="I26" s="24">
        <f t="shared" si="18"/>
        <v>650</v>
      </c>
      <c r="J26" s="17">
        <f t="shared" ref="J26:J30" si="19">F26/F27</f>
        <v>1.1206896551724137</v>
      </c>
      <c r="K26" s="88" t="s">
        <v>35</v>
      </c>
      <c r="L26" s="103" t="s">
        <v>36</v>
      </c>
      <c r="M26" s="54">
        <v>0.6</v>
      </c>
      <c r="N26" s="54">
        <v>0.25</v>
      </c>
      <c r="O26" s="54">
        <v>0.15</v>
      </c>
      <c r="P26" s="57" t="s">
        <v>37</v>
      </c>
      <c r="Q26" s="61" t="s">
        <v>78</v>
      </c>
      <c r="R26" s="108">
        <v>1000</v>
      </c>
      <c r="S26" s="108">
        <v>500</v>
      </c>
      <c r="T26" s="111" t="s">
        <v>39</v>
      </c>
    </row>
    <row r="27" spans="1:20" x14ac:dyDescent="0.15">
      <c r="A27" s="74"/>
      <c r="B27" s="23" t="s">
        <v>25</v>
      </c>
      <c r="C27" s="24">
        <f t="shared" si="13"/>
        <v>75400</v>
      </c>
      <c r="D27" s="24">
        <f t="shared" si="14"/>
        <v>5800</v>
      </c>
      <c r="E27" s="24">
        <f t="shared" si="15"/>
        <v>69600</v>
      </c>
      <c r="F27" s="25">
        <v>5800</v>
      </c>
      <c r="G27" s="24">
        <f t="shared" si="16"/>
        <v>3480</v>
      </c>
      <c r="H27" s="24">
        <f t="shared" si="17"/>
        <v>1740</v>
      </c>
      <c r="I27" s="24">
        <f t="shared" si="18"/>
        <v>580</v>
      </c>
      <c r="J27" s="17">
        <f t="shared" si="19"/>
        <v>1.1153846153846154</v>
      </c>
      <c r="K27" s="88"/>
      <c r="L27" s="104"/>
      <c r="M27" s="106"/>
      <c r="N27" s="106"/>
      <c r="O27" s="106"/>
      <c r="P27" s="55"/>
      <c r="Q27" s="62"/>
      <c r="R27" s="109"/>
      <c r="S27" s="109"/>
      <c r="T27" s="109"/>
    </row>
    <row r="28" spans="1:20" x14ac:dyDescent="0.15">
      <c r="A28" s="74"/>
      <c r="B28" s="23" t="s">
        <v>46</v>
      </c>
      <c r="C28" s="24">
        <f t="shared" si="13"/>
        <v>67600</v>
      </c>
      <c r="D28" s="24">
        <f t="shared" si="14"/>
        <v>5200</v>
      </c>
      <c r="E28" s="24">
        <f t="shared" si="15"/>
        <v>62400</v>
      </c>
      <c r="F28" s="25">
        <v>5200</v>
      </c>
      <c r="G28" s="24">
        <f t="shared" si="16"/>
        <v>3120</v>
      </c>
      <c r="H28" s="24">
        <f t="shared" si="17"/>
        <v>1560</v>
      </c>
      <c r="I28" s="24">
        <f t="shared" si="18"/>
        <v>520</v>
      </c>
      <c r="J28" s="17">
        <f t="shared" si="19"/>
        <v>1.1555555555555554</v>
      </c>
      <c r="K28" s="88"/>
      <c r="L28" s="104"/>
      <c r="M28" s="106"/>
      <c r="N28" s="106"/>
      <c r="O28" s="106"/>
      <c r="P28" s="55"/>
      <c r="Q28" s="62"/>
      <c r="R28" s="109"/>
      <c r="S28" s="109"/>
      <c r="T28" s="109"/>
    </row>
    <row r="29" spans="1:20" x14ac:dyDescent="0.15">
      <c r="A29" s="74"/>
      <c r="B29" s="23" t="s">
        <v>47</v>
      </c>
      <c r="C29" s="24">
        <f t="shared" si="13"/>
        <v>58500</v>
      </c>
      <c r="D29" s="24">
        <f t="shared" si="14"/>
        <v>4500</v>
      </c>
      <c r="E29" s="24">
        <f t="shared" si="15"/>
        <v>54000</v>
      </c>
      <c r="F29" s="25">
        <v>4500</v>
      </c>
      <c r="G29" s="24">
        <f t="shared" si="16"/>
        <v>2700</v>
      </c>
      <c r="H29" s="24">
        <f t="shared" si="17"/>
        <v>1350</v>
      </c>
      <c r="I29" s="24">
        <f t="shared" si="18"/>
        <v>450</v>
      </c>
      <c r="J29" s="17">
        <f t="shared" si="19"/>
        <v>1.125</v>
      </c>
      <c r="K29" s="88"/>
      <c r="L29" s="104"/>
      <c r="M29" s="106"/>
      <c r="N29" s="106"/>
      <c r="O29" s="106"/>
      <c r="P29" s="55"/>
      <c r="Q29" s="62"/>
      <c r="R29" s="109"/>
      <c r="S29" s="109"/>
      <c r="T29" s="109"/>
    </row>
    <row r="30" spans="1:20" x14ac:dyDescent="0.15">
      <c r="A30" s="97"/>
      <c r="B30" s="23" t="s">
        <v>48</v>
      </c>
      <c r="C30" s="24">
        <f t="shared" si="13"/>
        <v>52000</v>
      </c>
      <c r="D30" s="24">
        <f t="shared" si="14"/>
        <v>4000</v>
      </c>
      <c r="E30" s="24">
        <f t="shared" si="15"/>
        <v>48000</v>
      </c>
      <c r="F30" s="25">
        <v>4000</v>
      </c>
      <c r="G30" s="24">
        <f t="shared" si="16"/>
        <v>2400</v>
      </c>
      <c r="H30" s="24">
        <f t="shared" si="17"/>
        <v>1200</v>
      </c>
      <c r="I30" s="24">
        <f t="shared" si="18"/>
        <v>400</v>
      </c>
      <c r="J30" s="17">
        <f t="shared" si="19"/>
        <v>1</v>
      </c>
      <c r="K30" s="88"/>
      <c r="L30" s="105"/>
      <c r="M30" s="107"/>
      <c r="N30" s="107"/>
      <c r="O30" s="107"/>
      <c r="P30" s="55"/>
      <c r="Q30" s="63"/>
      <c r="R30" s="110"/>
      <c r="S30" s="110"/>
      <c r="T30" s="110"/>
    </row>
    <row r="31" spans="1:20" x14ac:dyDescent="0.15">
      <c r="A31" s="98" t="s">
        <v>79</v>
      </c>
      <c r="B31" s="26" t="s">
        <v>43</v>
      </c>
      <c r="C31" s="27">
        <f t="shared" si="13"/>
        <v>52000</v>
      </c>
      <c r="D31" s="27">
        <f t="shared" si="14"/>
        <v>4000</v>
      </c>
      <c r="E31" s="27">
        <f t="shared" si="15"/>
        <v>48000</v>
      </c>
      <c r="F31" s="28">
        <v>4000</v>
      </c>
      <c r="G31" s="27">
        <f t="shared" si="16"/>
        <v>2400</v>
      </c>
      <c r="H31" s="27">
        <f t="shared" si="17"/>
        <v>1200</v>
      </c>
      <c r="I31" s="27">
        <f t="shared" si="18"/>
        <v>400</v>
      </c>
      <c r="J31" s="17">
        <f t="shared" ref="J31:J35" si="20">F31/F32</f>
        <v>1.1428571428571428</v>
      </c>
      <c r="K31" s="88"/>
      <c r="L31" s="103" t="s">
        <v>44</v>
      </c>
      <c r="M31" s="54">
        <v>0.6</v>
      </c>
      <c r="N31" s="54">
        <v>0.3</v>
      </c>
      <c r="O31" s="54">
        <v>0.1</v>
      </c>
      <c r="P31" s="55"/>
      <c r="Q31" s="61" t="s">
        <v>80</v>
      </c>
      <c r="R31" s="108">
        <v>500</v>
      </c>
      <c r="S31" s="108">
        <v>300</v>
      </c>
      <c r="T31" s="111" t="s">
        <v>39</v>
      </c>
    </row>
    <row r="32" spans="1:20" x14ac:dyDescent="0.15">
      <c r="A32" s="99"/>
      <c r="B32" s="26" t="s">
        <v>25</v>
      </c>
      <c r="C32" s="27">
        <f t="shared" si="13"/>
        <v>45500</v>
      </c>
      <c r="D32" s="27">
        <f t="shared" si="14"/>
        <v>3500</v>
      </c>
      <c r="E32" s="27">
        <f t="shared" si="15"/>
        <v>42000</v>
      </c>
      <c r="F32" s="28">
        <v>3500</v>
      </c>
      <c r="G32" s="27">
        <f t="shared" si="16"/>
        <v>2100</v>
      </c>
      <c r="H32" s="27">
        <f t="shared" si="17"/>
        <v>1050</v>
      </c>
      <c r="I32" s="27">
        <f t="shared" si="18"/>
        <v>350</v>
      </c>
      <c r="J32" s="17">
        <f t="shared" si="20"/>
        <v>1.09375</v>
      </c>
      <c r="K32" s="88"/>
      <c r="L32" s="104"/>
      <c r="M32" s="106"/>
      <c r="N32" s="106"/>
      <c r="O32" s="106"/>
      <c r="P32" s="55"/>
      <c r="Q32" s="62"/>
      <c r="R32" s="109"/>
      <c r="S32" s="109"/>
      <c r="T32" s="109"/>
    </row>
    <row r="33" spans="1:20" x14ac:dyDescent="0.15">
      <c r="A33" s="99"/>
      <c r="B33" s="26" t="s">
        <v>46</v>
      </c>
      <c r="C33" s="27">
        <f t="shared" ref="C33:C35" si="21">D33+E33</f>
        <v>41600</v>
      </c>
      <c r="D33" s="27">
        <f t="shared" ref="D33:D35" si="22">F33</f>
        <v>3200</v>
      </c>
      <c r="E33" s="27">
        <f t="shared" ref="E33:E35" si="23">F33*12</f>
        <v>38400</v>
      </c>
      <c r="F33" s="28">
        <v>3200</v>
      </c>
      <c r="G33" s="27">
        <f t="shared" ref="G33:G35" si="24">F33*0.6</f>
        <v>1920</v>
      </c>
      <c r="H33" s="27">
        <f t="shared" ref="H33:H35" si="25">F33*0.3</f>
        <v>960</v>
      </c>
      <c r="I33" s="27">
        <f t="shared" ref="I33:I35" si="26">F33*0.1</f>
        <v>320</v>
      </c>
      <c r="J33" s="17">
        <f t="shared" si="20"/>
        <v>1.1428571428571428</v>
      </c>
      <c r="K33" s="88"/>
      <c r="L33" s="104"/>
      <c r="M33" s="106"/>
      <c r="N33" s="106"/>
      <c r="O33" s="106"/>
      <c r="P33" s="55"/>
      <c r="Q33" s="62"/>
      <c r="R33" s="109"/>
      <c r="S33" s="109"/>
      <c r="T33" s="109"/>
    </row>
    <row r="34" spans="1:20" x14ac:dyDescent="0.15">
      <c r="A34" s="99"/>
      <c r="B34" s="26" t="s">
        <v>47</v>
      </c>
      <c r="C34" s="27">
        <f t="shared" si="21"/>
        <v>36400</v>
      </c>
      <c r="D34" s="27">
        <f t="shared" si="22"/>
        <v>2800</v>
      </c>
      <c r="E34" s="27">
        <f t="shared" si="23"/>
        <v>33600</v>
      </c>
      <c r="F34" s="28">
        <v>2800</v>
      </c>
      <c r="G34" s="27">
        <f t="shared" si="24"/>
        <v>1680</v>
      </c>
      <c r="H34" s="27">
        <f t="shared" si="25"/>
        <v>840</v>
      </c>
      <c r="I34" s="27">
        <f t="shared" si="26"/>
        <v>280</v>
      </c>
      <c r="J34" s="17">
        <f t="shared" si="20"/>
        <v>1.1200000000000001</v>
      </c>
      <c r="K34" s="88"/>
      <c r="L34" s="104"/>
      <c r="M34" s="106"/>
      <c r="N34" s="106"/>
      <c r="O34" s="106"/>
      <c r="P34" s="55"/>
      <c r="Q34" s="62"/>
      <c r="R34" s="109"/>
      <c r="S34" s="109"/>
      <c r="T34" s="109"/>
    </row>
    <row r="35" spans="1:20" x14ac:dyDescent="0.15">
      <c r="A35" s="100"/>
      <c r="B35" s="26" t="s">
        <v>48</v>
      </c>
      <c r="C35" s="27">
        <f t="shared" si="21"/>
        <v>32500</v>
      </c>
      <c r="D35" s="27">
        <f t="shared" si="22"/>
        <v>2500</v>
      </c>
      <c r="E35" s="27">
        <f t="shared" si="23"/>
        <v>30000</v>
      </c>
      <c r="F35" s="28">
        <v>2500</v>
      </c>
      <c r="G35" s="27">
        <f t="shared" si="24"/>
        <v>1500</v>
      </c>
      <c r="H35" s="27">
        <f t="shared" si="25"/>
        <v>750</v>
      </c>
      <c r="I35" s="27">
        <f t="shared" si="26"/>
        <v>250</v>
      </c>
      <c r="J35" s="17">
        <f t="shared" si="20"/>
        <v>1</v>
      </c>
      <c r="K35" s="88"/>
      <c r="L35" s="104"/>
      <c r="M35" s="106"/>
      <c r="N35" s="106"/>
      <c r="O35" s="106"/>
      <c r="P35" s="55"/>
      <c r="Q35" s="62"/>
      <c r="R35" s="109"/>
      <c r="S35" s="109"/>
      <c r="T35" s="109"/>
    </row>
    <row r="36" spans="1:20" x14ac:dyDescent="0.15">
      <c r="A36" s="101" t="s">
        <v>81</v>
      </c>
      <c r="B36" s="29" t="s">
        <v>25</v>
      </c>
      <c r="C36" s="30">
        <f t="shared" si="13"/>
        <v>32500</v>
      </c>
      <c r="D36" s="30">
        <f t="shared" si="14"/>
        <v>2500</v>
      </c>
      <c r="E36" s="30">
        <f t="shared" si="15"/>
        <v>30000</v>
      </c>
      <c r="F36" s="31">
        <v>2500</v>
      </c>
      <c r="G36" s="30">
        <f t="shared" si="16"/>
        <v>1500</v>
      </c>
      <c r="H36" s="30">
        <f t="shared" si="17"/>
        <v>750</v>
      </c>
      <c r="I36" s="30">
        <f t="shared" si="18"/>
        <v>250</v>
      </c>
      <c r="J36" s="17">
        <f t="shared" ref="J36:J37" si="27">F36/F37</f>
        <v>1.0869565217391304</v>
      </c>
      <c r="K36" s="88"/>
      <c r="L36" s="104"/>
      <c r="M36" s="106"/>
      <c r="N36" s="106"/>
      <c r="O36" s="106"/>
      <c r="P36" s="55"/>
      <c r="Q36" s="62"/>
      <c r="R36" s="109"/>
      <c r="S36" s="109"/>
      <c r="T36" s="109"/>
    </row>
    <row r="37" spans="1:20" x14ac:dyDescent="0.15">
      <c r="A37" s="102"/>
      <c r="B37" s="29" t="s">
        <v>46</v>
      </c>
      <c r="C37" s="30">
        <f t="shared" si="13"/>
        <v>29900</v>
      </c>
      <c r="D37" s="30">
        <f t="shared" si="14"/>
        <v>2300</v>
      </c>
      <c r="E37" s="30">
        <f t="shared" si="15"/>
        <v>27600</v>
      </c>
      <c r="F37" s="31">
        <v>2300</v>
      </c>
      <c r="G37" s="30">
        <f t="shared" si="16"/>
        <v>1380</v>
      </c>
      <c r="H37" s="30">
        <f t="shared" si="17"/>
        <v>690</v>
      </c>
      <c r="I37" s="30">
        <f t="shared" si="18"/>
        <v>230</v>
      </c>
      <c r="J37" s="17">
        <f t="shared" si="27"/>
        <v>1.1499999999999999</v>
      </c>
      <c r="K37" s="88"/>
      <c r="L37" s="104"/>
      <c r="M37" s="106"/>
      <c r="N37" s="106"/>
      <c r="O37" s="106"/>
      <c r="P37" s="55"/>
      <c r="Q37" s="62"/>
      <c r="R37" s="109"/>
      <c r="S37" s="109"/>
      <c r="T37" s="109"/>
    </row>
    <row r="38" spans="1:20" x14ac:dyDescent="0.15">
      <c r="A38" s="102"/>
      <c r="B38" s="29" t="s">
        <v>48</v>
      </c>
      <c r="C38" s="30">
        <f t="shared" si="13"/>
        <v>26000</v>
      </c>
      <c r="D38" s="30">
        <f t="shared" si="14"/>
        <v>2000</v>
      </c>
      <c r="E38" s="30">
        <f t="shared" si="15"/>
        <v>24000</v>
      </c>
      <c r="F38" s="31">
        <v>2000</v>
      </c>
      <c r="G38" s="30">
        <f t="shared" si="16"/>
        <v>1200</v>
      </c>
      <c r="H38" s="30">
        <f t="shared" si="17"/>
        <v>600</v>
      </c>
      <c r="I38" s="30">
        <f t="shared" si="18"/>
        <v>200</v>
      </c>
      <c r="J38" s="17"/>
      <c r="K38" s="88"/>
      <c r="L38" s="105"/>
      <c r="M38" s="107"/>
      <c r="N38" s="107"/>
      <c r="O38" s="107"/>
      <c r="P38" s="56"/>
      <c r="Q38" s="63"/>
      <c r="R38" s="110"/>
      <c r="S38" s="110"/>
      <c r="T38" s="110"/>
    </row>
  </sheetData>
  <mergeCells count="81">
    <mergeCell ref="S26:S30"/>
    <mergeCell ref="S31:S38"/>
    <mergeCell ref="T2:T3"/>
    <mergeCell ref="T4:T8"/>
    <mergeCell ref="T9:T13"/>
    <mergeCell ref="T14:T18"/>
    <mergeCell ref="T19:T23"/>
    <mergeCell ref="T26:T30"/>
    <mergeCell ref="T31:T38"/>
    <mergeCell ref="A24:T25"/>
    <mergeCell ref="S2:S3"/>
    <mergeCell ref="S4:S8"/>
    <mergeCell ref="S9:S13"/>
    <mergeCell ref="S14:S18"/>
    <mergeCell ref="S19:S23"/>
    <mergeCell ref="Q26:Q30"/>
    <mergeCell ref="Q31:Q38"/>
    <mergeCell ref="R2:R3"/>
    <mergeCell ref="R4:R8"/>
    <mergeCell ref="R9:R13"/>
    <mergeCell ref="R14:R18"/>
    <mergeCell ref="R19:R23"/>
    <mergeCell ref="R26:R30"/>
    <mergeCell ref="R31:R38"/>
    <mergeCell ref="Q2:Q3"/>
    <mergeCell ref="Q4:Q8"/>
    <mergeCell ref="Q9:Q13"/>
    <mergeCell ref="Q14:Q18"/>
    <mergeCell ref="Q19:Q23"/>
    <mergeCell ref="O31:O38"/>
    <mergeCell ref="P2:P3"/>
    <mergeCell ref="P4:P13"/>
    <mergeCell ref="P14:P23"/>
    <mergeCell ref="P26:P38"/>
    <mergeCell ref="O4:O8"/>
    <mergeCell ref="O9:O13"/>
    <mergeCell ref="O14:O18"/>
    <mergeCell ref="O19:O23"/>
    <mergeCell ref="O26:O30"/>
    <mergeCell ref="M31:M38"/>
    <mergeCell ref="N4:N8"/>
    <mergeCell ref="N9:N13"/>
    <mergeCell ref="N14:N18"/>
    <mergeCell ref="N19:N23"/>
    <mergeCell ref="N26:N30"/>
    <mergeCell ref="N31:N38"/>
    <mergeCell ref="M4:M8"/>
    <mergeCell ref="M9:M13"/>
    <mergeCell ref="M14:M18"/>
    <mergeCell ref="M19:M23"/>
    <mergeCell ref="M26:M30"/>
    <mergeCell ref="K14:K23"/>
    <mergeCell ref="K26:K38"/>
    <mergeCell ref="L2:L3"/>
    <mergeCell ref="L4:L8"/>
    <mergeCell ref="L9:L13"/>
    <mergeCell ref="L14:L18"/>
    <mergeCell ref="L19:L23"/>
    <mergeCell ref="L26:L30"/>
    <mergeCell ref="L31:L38"/>
    <mergeCell ref="A14:A18"/>
    <mergeCell ref="A19:A23"/>
    <mergeCell ref="A26:A30"/>
    <mergeCell ref="A31:A35"/>
    <mergeCell ref="A36:A38"/>
    <mergeCell ref="A1:T1"/>
    <mergeCell ref="M2:O2"/>
    <mergeCell ref="A2:A3"/>
    <mergeCell ref="A4:A8"/>
    <mergeCell ref="A9:A1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K4:K13"/>
  </mergeCells>
  <phoneticPr fontId="9" type="noConversion"/>
  <pageMargins left="0.69930555555555596" right="0.69930555555555596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3"/>
  <sheetViews>
    <sheetView workbookViewId="0">
      <selection sqref="A1:T1"/>
    </sheetView>
  </sheetViews>
  <sheetFormatPr defaultColWidth="9" defaultRowHeight="14.25" x14ac:dyDescent="0.15"/>
  <cols>
    <col min="12" max="12" width="13.25" customWidth="1"/>
  </cols>
  <sheetData>
    <row r="1" spans="1:20" ht="32.25" customHeight="1" x14ac:dyDescent="0.15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</row>
    <row r="2" spans="1:20" x14ac:dyDescent="0.15">
      <c r="A2" s="37" t="s">
        <v>1</v>
      </c>
      <c r="B2" s="44" t="s">
        <v>2</v>
      </c>
      <c r="C2" s="44" t="s">
        <v>3</v>
      </c>
      <c r="D2" s="45" t="s">
        <v>4</v>
      </c>
      <c r="E2" s="44" t="s">
        <v>5</v>
      </c>
      <c r="F2" s="44" t="s">
        <v>6</v>
      </c>
      <c r="G2" s="44" t="s">
        <v>7</v>
      </c>
      <c r="H2" s="44" t="s">
        <v>8</v>
      </c>
      <c r="I2" s="47" t="s">
        <v>9</v>
      </c>
      <c r="J2" s="48" t="s">
        <v>10</v>
      </c>
      <c r="K2" s="44" t="s">
        <v>11</v>
      </c>
      <c r="L2" s="45" t="s">
        <v>12</v>
      </c>
      <c r="M2" s="34" t="s">
        <v>13</v>
      </c>
      <c r="N2" s="35"/>
      <c r="O2" s="36"/>
      <c r="P2" s="44" t="s">
        <v>14</v>
      </c>
      <c r="Q2" s="60" t="s">
        <v>15</v>
      </c>
      <c r="R2" s="64" t="s">
        <v>16</v>
      </c>
      <c r="S2" s="64" t="s">
        <v>17</v>
      </c>
      <c r="T2" s="64" t="s">
        <v>18</v>
      </c>
    </row>
    <row r="3" spans="1:20" x14ac:dyDescent="0.15">
      <c r="A3" s="37"/>
      <c r="B3" s="44"/>
      <c r="C3" s="44"/>
      <c r="D3" s="46"/>
      <c r="E3" s="44"/>
      <c r="F3" s="44"/>
      <c r="G3" s="44"/>
      <c r="H3" s="44"/>
      <c r="I3" s="44"/>
      <c r="J3" s="49"/>
      <c r="K3" s="44"/>
      <c r="L3" s="46"/>
      <c r="M3" s="16" t="s">
        <v>7</v>
      </c>
      <c r="N3" s="16" t="s">
        <v>8</v>
      </c>
      <c r="O3" s="3" t="s">
        <v>9</v>
      </c>
      <c r="P3" s="44"/>
      <c r="Q3" s="60"/>
      <c r="R3" s="64"/>
      <c r="S3" s="64"/>
      <c r="T3" s="64"/>
    </row>
    <row r="4" spans="1:20" x14ac:dyDescent="0.15">
      <c r="A4" s="66" t="s">
        <v>82</v>
      </c>
      <c r="B4" s="4" t="s">
        <v>20</v>
      </c>
      <c r="C4" s="5">
        <f t="shared" ref="C4:C19" si="0">D4+E4</f>
        <v>414000</v>
      </c>
      <c r="D4" s="5">
        <f t="shared" ref="D4:D8" si="1">F4*1.8</f>
        <v>54000</v>
      </c>
      <c r="E4" s="5">
        <f t="shared" ref="E4:E19" si="2">F4*12</f>
        <v>360000</v>
      </c>
      <c r="F4" s="6">
        <v>30000</v>
      </c>
      <c r="G4" s="5">
        <f t="shared" ref="G4:G19" si="3">F4*0.6</f>
        <v>18000</v>
      </c>
      <c r="H4" s="5">
        <f t="shared" ref="H4:H8" si="4">F4*0.15</f>
        <v>4500</v>
      </c>
      <c r="I4" s="5">
        <f t="shared" ref="I4:I8" si="5">F4*0.25</f>
        <v>7500</v>
      </c>
      <c r="J4" s="17">
        <f t="shared" ref="J4:J22" si="6">F4/F5</f>
        <v>1.1111111111111112</v>
      </c>
      <c r="K4" s="50" t="s">
        <v>21</v>
      </c>
      <c r="L4" s="53" t="s">
        <v>22</v>
      </c>
      <c r="M4" s="54">
        <v>0.6</v>
      </c>
      <c r="N4" s="54">
        <v>0.15</v>
      </c>
      <c r="O4" s="54">
        <v>0.25</v>
      </c>
      <c r="P4" s="57" t="s">
        <v>23</v>
      </c>
      <c r="Q4" s="61" t="s">
        <v>24</v>
      </c>
      <c r="R4" s="65">
        <v>3000</v>
      </c>
      <c r="S4" s="65">
        <v>1500</v>
      </c>
      <c r="T4" s="65">
        <v>2000</v>
      </c>
    </row>
    <row r="5" spans="1:20" x14ac:dyDescent="0.15">
      <c r="A5" s="39"/>
      <c r="B5" s="4" t="s">
        <v>25</v>
      </c>
      <c r="C5" s="5">
        <f t="shared" si="0"/>
        <v>372600</v>
      </c>
      <c r="D5" s="5">
        <f t="shared" si="1"/>
        <v>48600</v>
      </c>
      <c r="E5" s="5">
        <f t="shared" si="2"/>
        <v>324000</v>
      </c>
      <c r="F5" s="6">
        <v>27000</v>
      </c>
      <c r="G5" s="5">
        <f t="shared" si="3"/>
        <v>16200</v>
      </c>
      <c r="H5" s="5">
        <f t="shared" si="4"/>
        <v>4050</v>
      </c>
      <c r="I5" s="5">
        <f t="shared" si="5"/>
        <v>6750</v>
      </c>
      <c r="J5" s="17">
        <f t="shared" si="6"/>
        <v>1.173913043478261</v>
      </c>
      <c r="K5" s="51"/>
      <c r="L5" s="53"/>
      <c r="M5" s="55"/>
      <c r="N5" s="55"/>
      <c r="O5" s="55"/>
      <c r="P5" s="58"/>
      <c r="Q5" s="62"/>
      <c r="R5" s="65"/>
      <c r="S5" s="65"/>
      <c r="T5" s="65"/>
    </row>
    <row r="6" spans="1:20" x14ac:dyDescent="0.15">
      <c r="A6" s="39"/>
      <c r="B6" s="4" t="s">
        <v>26</v>
      </c>
      <c r="C6" s="5">
        <f t="shared" si="0"/>
        <v>317400</v>
      </c>
      <c r="D6" s="5">
        <f t="shared" si="1"/>
        <v>41400</v>
      </c>
      <c r="E6" s="5">
        <f t="shared" si="2"/>
        <v>276000</v>
      </c>
      <c r="F6" s="6">
        <v>23000</v>
      </c>
      <c r="G6" s="5">
        <f t="shared" si="3"/>
        <v>13800</v>
      </c>
      <c r="H6" s="5">
        <f t="shared" si="4"/>
        <v>3450</v>
      </c>
      <c r="I6" s="5">
        <f t="shared" si="5"/>
        <v>5750</v>
      </c>
      <c r="J6" s="17">
        <f t="shared" si="6"/>
        <v>1.1499999999999999</v>
      </c>
      <c r="K6" s="51"/>
      <c r="L6" s="53"/>
      <c r="M6" s="55"/>
      <c r="N6" s="55"/>
      <c r="O6" s="55"/>
      <c r="P6" s="58"/>
      <c r="Q6" s="62"/>
      <c r="R6" s="65"/>
      <c r="S6" s="65"/>
      <c r="T6" s="65"/>
    </row>
    <row r="7" spans="1:20" x14ac:dyDescent="0.15">
      <c r="A7" s="39"/>
      <c r="B7" s="4" t="s">
        <v>27</v>
      </c>
      <c r="C7" s="5">
        <f t="shared" si="0"/>
        <v>276000</v>
      </c>
      <c r="D7" s="5">
        <f t="shared" si="1"/>
        <v>36000</v>
      </c>
      <c r="E7" s="5">
        <f t="shared" si="2"/>
        <v>240000</v>
      </c>
      <c r="F7" s="6">
        <v>20000</v>
      </c>
      <c r="G7" s="5">
        <f t="shared" si="3"/>
        <v>12000</v>
      </c>
      <c r="H7" s="5">
        <f t="shared" si="4"/>
        <v>3000</v>
      </c>
      <c r="I7" s="5">
        <f t="shared" si="5"/>
        <v>5000</v>
      </c>
      <c r="J7" s="17">
        <f t="shared" si="6"/>
        <v>1.1428571428571428</v>
      </c>
      <c r="K7" s="51"/>
      <c r="L7" s="53"/>
      <c r="M7" s="55"/>
      <c r="N7" s="55"/>
      <c r="O7" s="55"/>
      <c r="P7" s="58"/>
      <c r="Q7" s="62"/>
      <c r="R7" s="65"/>
      <c r="S7" s="65"/>
      <c r="T7" s="65"/>
    </row>
    <row r="8" spans="1:20" x14ac:dyDescent="0.15">
      <c r="A8" s="40"/>
      <c r="B8" s="4" t="s">
        <v>28</v>
      </c>
      <c r="C8" s="5">
        <f t="shared" si="0"/>
        <v>241500</v>
      </c>
      <c r="D8" s="5">
        <f t="shared" si="1"/>
        <v>31500</v>
      </c>
      <c r="E8" s="5">
        <f t="shared" si="2"/>
        <v>210000</v>
      </c>
      <c r="F8" s="6">
        <v>17500</v>
      </c>
      <c r="G8" s="5">
        <f t="shared" si="3"/>
        <v>10500</v>
      </c>
      <c r="H8" s="5">
        <f t="shared" si="4"/>
        <v>2625</v>
      </c>
      <c r="I8" s="5">
        <f t="shared" si="5"/>
        <v>4375</v>
      </c>
      <c r="J8" s="17">
        <f t="shared" si="6"/>
        <v>1</v>
      </c>
      <c r="K8" s="51"/>
      <c r="L8" s="53"/>
      <c r="M8" s="56"/>
      <c r="N8" s="56"/>
      <c r="O8" s="56"/>
      <c r="P8" s="58"/>
      <c r="Q8" s="63"/>
      <c r="R8" s="65"/>
      <c r="S8" s="65"/>
      <c r="T8" s="65"/>
    </row>
    <row r="9" spans="1:20" x14ac:dyDescent="0.15">
      <c r="A9" s="41" t="s">
        <v>83</v>
      </c>
      <c r="B9" s="7" t="s">
        <v>20</v>
      </c>
      <c r="C9" s="8">
        <f t="shared" si="0"/>
        <v>236250</v>
      </c>
      <c r="D9" s="8">
        <f t="shared" ref="D9:D13" si="7">F9*1.5</f>
        <v>26250</v>
      </c>
      <c r="E9" s="8">
        <f t="shared" si="2"/>
        <v>210000</v>
      </c>
      <c r="F9" s="9">
        <v>17500</v>
      </c>
      <c r="G9" s="8">
        <f t="shared" si="3"/>
        <v>10500</v>
      </c>
      <c r="H9" s="8">
        <f t="shared" ref="H9:H13" si="8">F9*0.2</f>
        <v>3500</v>
      </c>
      <c r="I9" s="8">
        <f>F9*0.2</f>
        <v>3500</v>
      </c>
      <c r="J9" s="17">
        <f t="shared" si="6"/>
        <v>1.1666666666666667</v>
      </c>
      <c r="K9" s="51"/>
      <c r="L9" s="53" t="s">
        <v>30</v>
      </c>
      <c r="M9" s="54">
        <v>0.6</v>
      </c>
      <c r="N9" s="54">
        <v>0.2</v>
      </c>
      <c r="O9" s="54">
        <v>0.2</v>
      </c>
      <c r="P9" s="58"/>
      <c r="Q9" s="61" t="s">
        <v>31</v>
      </c>
      <c r="R9" s="65">
        <v>2000</v>
      </c>
      <c r="S9" s="65">
        <v>1000</v>
      </c>
      <c r="T9" s="65">
        <v>1000</v>
      </c>
    </row>
    <row r="10" spans="1:20" x14ac:dyDescent="0.15">
      <c r="A10" s="42"/>
      <c r="B10" s="7" t="s">
        <v>25</v>
      </c>
      <c r="C10" s="8">
        <f t="shared" si="0"/>
        <v>202500</v>
      </c>
      <c r="D10" s="8">
        <f t="shared" si="7"/>
        <v>22500</v>
      </c>
      <c r="E10" s="8">
        <f t="shared" si="2"/>
        <v>180000</v>
      </c>
      <c r="F10" s="9">
        <v>15000</v>
      </c>
      <c r="G10" s="8">
        <f t="shared" si="3"/>
        <v>9000</v>
      </c>
      <c r="H10" s="8">
        <f t="shared" si="8"/>
        <v>3000</v>
      </c>
      <c r="I10" s="8">
        <f t="shared" ref="I10:I13" si="9">F10*0.2</f>
        <v>3000</v>
      </c>
      <c r="J10" s="17">
        <f t="shared" si="6"/>
        <v>1.1538461538461537</v>
      </c>
      <c r="K10" s="51"/>
      <c r="L10" s="53"/>
      <c r="M10" s="55"/>
      <c r="N10" s="55"/>
      <c r="O10" s="55"/>
      <c r="P10" s="58"/>
      <c r="Q10" s="62"/>
      <c r="R10" s="65"/>
      <c r="S10" s="65"/>
      <c r="T10" s="65"/>
    </row>
    <row r="11" spans="1:20" x14ac:dyDescent="0.15">
      <c r="A11" s="42"/>
      <c r="B11" s="7" t="s">
        <v>26</v>
      </c>
      <c r="C11" s="8">
        <f t="shared" si="0"/>
        <v>175500</v>
      </c>
      <c r="D11" s="8">
        <f t="shared" si="7"/>
        <v>19500</v>
      </c>
      <c r="E11" s="8">
        <f t="shared" si="2"/>
        <v>156000</v>
      </c>
      <c r="F11" s="9">
        <v>13000</v>
      </c>
      <c r="G11" s="8">
        <f t="shared" si="3"/>
        <v>7800</v>
      </c>
      <c r="H11" s="8">
        <f t="shared" si="8"/>
        <v>2600</v>
      </c>
      <c r="I11" s="8">
        <f t="shared" si="9"/>
        <v>2600</v>
      </c>
      <c r="J11" s="17">
        <f t="shared" si="6"/>
        <v>1.1304347826086956</v>
      </c>
      <c r="K11" s="51"/>
      <c r="L11" s="53"/>
      <c r="M11" s="55"/>
      <c r="N11" s="55"/>
      <c r="O11" s="55"/>
      <c r="P11" s="58"/>
      <c r="Q11" s="62"/>
      <c r="R11" s="65"/>
      <c r="S11" s="65"/>
      <c r="T11" s="65"/>
    </row>
    <row r="12" spans="1:20" x14ac:dyDescent="0.15">
      <c r="A12" s="42"/>
      <c r="B12" s="7" t="s">
        <v>27</v>
      </c>
      <c r="C12" s="8">
        <f t="shared" si="0"/>
        <v>155250</v>
      </c>
      <c r="D12" s="8">
        <f t="shared" si="7"/>
        <v>17250</v>
      </c>
      <c r="E12" s="8">
        <f t="shared" si="2"/>
        <v>138000</v>
      </c>
      <c r="F12" s="9">
        <v>11500</v>
      </c>
      <c r="G12" s="8">
        <f t="shared" si="3"/>
        <v>6900</v>
      </c>
      <c r="H12" s="8">
        <f t="shared" si="8"/>
        <v>2300</v>
      </c>
      <c r="I12" s="8">
        <f t="shared" si="9"/>
        <v>2300</v>
      </c>
      <c r="J12" s="17">
        <f t="shared" si="6"/>
        <v>1.1499999999999999</v>
      </c>
      <c r="K12" s="51"/>
      <c r="L12" s="53"/>
      <c r="M12" s="55"/>
      <c r="N12" s="55"/>
      <c r="O12" s="55"/>
      <c r="P12" s="58"/>
      <c r="Q12" s="62"/>
      <c r="R12" s="65"/>
      <c r="S12" s="65"/>
      <c r="T12" s="65"/>
    </row>
    <row r="13" spans="1:20" x14ac:dyDescent="0.15">
      <c r="A13" s="43"/>
      <c r="B13" s="7" t="s">
        <v>28</v>
      </c>
      <c r="C13" s="8">
        <f t="shared" si="0"/>
        <v>135000</v>
      </c>
      <c r="D13" s="8">
        <f t="shared" si="7"/>
        <v>15000</v>
      </c>
      <c r="E13" s="8">
        <f t="shared" si="2"/>
        <v>120000</v>
      </c>
      <c r="F13" s="9">
        <v>10000</v>
      </c>
      <c r="G13" s="8">
        <f t="shared" si="3"/>
        <v>6000</v>
      </c>
      <c r="H13" s="8">
        <f t="shared" si="8"/>
        <v>2000</v>
      </c>
      <c r="I13" s="8">
        <f t="shared" si="9"/>
        <v>2000</v>
      </c>
      <c r="J13" s="17">
        <f t="shared" si="6"/>
        <v>1</v>
      </c>
      <c r="K13" s="52"/>
      <c r="L13" s="53"/>
      <c r="M13" s="56"/>
      <c r="N13" s="56"/>
      <c r="O13" s="56"/>
      <c r="P13" s="59"/>
      <c r="Q13" s="63"/>
      <c r="R13" s="65"/>
      <c r="S13" s="65"/>
      <c r="T13" s="65"/>
    </row>
    <row r="14" spans="1:20" x14ac:dyDescent="0.15">
      <c r="A14" s="67" t="s">
        <v>84</v>
      </c>
      <c r="B14" s="10" t="s">
        <v>20</v>
      </c>
      <c r="C14" s="11">
        <f t="shared" si="0"/>
        <v>132000</v>
      </c>
      <c r="D14" s="11">
        <f t="shared" ref="D14:D18" si="10">F14*1.2</f>
        <v>12000</v>
      </c>
      <c r="E14" s="11">
        <f t="shared" si="2"/>
        <v>120000</v>
      </c>
      <c r="F14" s="12">
        <v>10000</v>
      </c>
      <c r="G14" s="11">
        <f t="shared" si="3"/>
        <v>6000</v>
      </c>
      <c r="H14" s="11">
        <f t="shared" ref="H14:H18" si="11">F14*0.25</f>
        <v>2500</v>
      </c>
      <c r="I14" s="11">
        <f t="shared" ref="I14:I18" si="12">F14*0.15</f>
        <v>1500</v>
      </c>
      <c r="J14" s="17">
        <f t="shared" si="6"/>
        <v>1.1111111111111112</v>
      </c>
      <c r="K14" s="75" t="s">
        <v>35</v>
      </c>
      <c r="L14" s="53" t="s">
        <v>36</v>
      </c>
      <c r="M14" s="54">
        <v>0.6</v>
      </c>
      <c r="N14" s="54">
        <v>0.25</v>
      </c>
      <c r="O14" s="54">
        <v>0.15</v>
      </c>
      <c r="P14" s="57" t="s">
        <v>37</v>
      </c>
      <c r="Q14" s="61" t="s">
        <v>38</v>
      </c>
      <c r="R14" s="65">
        <v>1000</v>
      </c>
      <c r="S14" s="65">
        <v>500</v>
      </c>
      <c r="T14" s="78" t="s">
        <v>39</v>
      </c>
    </row>
    <row r="15" spans="1:20" x14ac:dyDescent="0.15">
      <c r="A15" s="68"/>
      <c r="B15" s="10" t="s">
        <v>25</v>
      </c>
      <c r="C15" s="11">
        <f t="shared" si="0"/>
        <v>118800</v>
      </c>
      <c r="D15" s="11">
        <f t="shared" si="10"/>
        <v>10800</v>
      </c>
      <c r="E15" s="11">
        <f t="shared" si="2"/>
        <v>108000</v>
      </c>
      <c r="F15" s="12">
        <v>9000</v>
      </c>
      <c r="G15" s="11">
        <f t="shared" si="3"/>
        <v>5400</v>
      </c>
      <c r="H15" s="11">
        <f t="shared" si="11"/>
        <v>2250</v>
      </c>
      <c r="I15" s="11">
        <f t="shared" si="12"/>
        <v>1350</v>
      </c>
      <c r="J15" s="17">
        <f t="shared" si="6"/>
        <v>1.1538461538461537</v>
      </c>
      <c r="K15" s="75"/>
      <c r="L15" s="53"/>
      <c r="M15" s="55"/>
      <c r="N15" s="55"/>
      <c r="O15" s="55"/>
      <c r="P15" s="55"/>
      <c r="Q15" s="62"/>
      <c r="R15" s="65"/>
      <c r="S15" s="65"/>
      <c r="T15" s="65"/>
    </row>
    <row r="16" spans="1:20" x14ac:dyDescent="0.15">
      <c r="A16" s="68"/>
      <c r="B16" s="10" t="s">
        <v>26</v>
      </c>
      <c r="C16" s="11">
        <f t="shared" si="0"/>
        <v>102960</v>
      </c>
      <c r="D16" s="11">
        <f t="shared" si="10"/>
        <v>9360</v>
      </c>
      <c r="E16" s="11">
        <f t="shared" si="2"/>
        <v>93600</v>
      </c>
      <c r="F16" s="12">
        <v>7800</v>
      </c>
      <c r="G16" s="11">
        <f t="shared" si="3"/>
        <v>4680</v>
      </c>
      <c r="H16" s="11">
        <f t="shared" si="11"/>
        <v>1950</v>
      </c>
      <c r="I16" s="11">
        <f t="shared" si="12"/>
        <v>1170</v>
      </c>
      <c r="J16" s="17">
        <f t="shared" si="6"/>
        <v>1.1470588235294117</v>
      </c>
      <c r="K16" s="75"/>
      <c r="L16" s="53"/>
      <c r="M16" s="55"/>
      <c r="N16" s="55"/>
      <c r="O16" s="55"/>
      <c r="P16" s="55"/>
      <c r="Q16" s="62"/>
      <c r="R16" s="65"/>
      <c r="S16" s="65"/>
      <c r="T16" s="65"/>
    </row>
    <row r="17" spans="1:20" x14ac:dyDescent="0.15">
      <c r="A17" s="68"/>
      <c r="B17" s="10" t="s">
        <v>27</v>
      </c>
      <c r="C17" s="11">
        <f t="shared" si="0"/>
        <v>89760</v>
      </c>
      <c r="D17" s="11">
        <f t="shared" si="10"/>
        <v>8160</v>
      </c>
      <c r="E17" s="11">
        <f t="shared" si="2"/>
        <v>81600</v>
      </c>
      <c r="F17" s="12">
        <v>6800</v>
      </c>
      <c r="G17" s="11">
        <f t="shared" si="3"/>
        <v>4080</v>
      </c>
      <c r="H17" s="11">
        <f t="shared" si="11"/>
        <v>1700</v>
      </c>
      <c r="I17" s="11">
        <f t="shared" si="12"/>
        <v>1020</v>
      </c>
      <c r="J17" s="17">
        <f t="shared" si="6"/>
        <v>1.1333333333333333</v>
      </c>
      <c r="K17" s="75"/>
      <c r="L17" s="53"/>
      <c r="M17" s="55"/>
      <c r="N17" s="55"/>
      <c r="O17" s="55"/>
      <c r="P17" s="55"/>
      <c r="Q17" s="62"/>
      <c r="R17" s="65"/>
      <c r="S17" s="65"/>
      <c r="T17" s="65"/>
    </row>
    <row r="18" spans="1:20" x14ac:dyDescent="0.15">
      <c r="A18" s="69"/>
      <c r="B18" s="10" t="s">
        <v>28</v>
      </c>
      <c r="C18" s="11">
        <f t="shared" si="0"/>
        <v>79200</v>
      </c>
      <c r="D18" s="11">
        <f t="shared" si="10"/>
        <v>7200</v>
      </c>
      <c r="E18" s="11">
        <f t="shared" si="2"/>
        <v>72000</v>
      </c>
      <c r="F18" s="12">
        <v>6000</v>
      </c>
      <c r="G18" s="11">
        <f t="shared" si="3"/>
        <v>3600</v>
      </c>
      <c r="H18" s="11">
        <f t="shared" si="11"/>
        <v>1500</v>
      </c>
      <c r="I18" s="11">
        <f t="shared" si="12"/>
        <v>900</v>
      </c>
      <c r="J18" s="17">
        <f t="shared" si="6"/>
        <v>1</v>
      </c>
      <c r="K18" s="75"/>
      <c r="L18" s="53"/>
      <c r="M18" s="56"/>
      <c r="N18" s="56"/>
      <c r="O18" s="56"/>
      <c r="P18" s="55"/>
      <c r="Q18" s="63"/>
      <c r="R18" s="65"/>
      <c r="S18" s="65"/>
      <c r="T18" s="65"/>
    </row>
    <row r="19" spans="1:20" x14ac:dyDescent="0.15">
      <c r="A19" s="70" t="s">
        <v>85</v>
      </c>
      <c r="B19" s="13" t="s">
        <v>43</v>
      </c>
      <c r="C19" s="14">
        <f t="shared" si="0"/>
        <v>78000</v>
      </c>
      <c r="D19" s="14">
        <f>F19</f>
        <v>6000</v>
      </c>
      <c r="E19" s="14">
        <f t="shared" si="2"/>
        <v>72000</v>
      </c>
      <c r="F19" s="15">
        <v>6000</v>
      </c>
      <c r="G19" s="14">
        <f t="shared" si="3"/>
        <v>3600</v>
      </c>
      <c r="H19" s="14">
        <f>F19*0.3</f>
        <v>1800</v>
      </c>
      <c r="I19" s="14">
        <f>F19*0.1</f>
        <v>600</v>
      </c>
      <c r="J19" s="17">
        <f t="shared" si="6"/>
        <v>1.1538461538461537</v>
      </c>
      <c r="K19" s="75"/>
      <c r="L19" s="53" t="s">
        <v>44</v>
      </c>
      <c r="M19" s="76">
        <v>0.6</v>
      </c>
      <c r="N19" s="76">
        <v>0.3</v>
      </c>
      <c r="O19" s="76">
        <v>0.1</v>
      </c>
      <c r="P19" s="55"/>
      <c r="Q19" s="61" t="s">
        <v>45</v>
      </c>
      <c r="R19" s="65">
        <v>500</v>
      </c>
      <c r="S19" s="65">
        <v>300</v>
      </c>
      <c r="T19" s="78" t="s">
        <v>39</v>
      </c>
    </row>
    <row r="20" spans="1:20" x14ac:dyDescent="0.15">
      <c r="A20" s="84"/>
      <c r="B20" s="13" t="s">
        <v>25</v>
      </c>
      <c r="C20" s="14">
        <f t="shared" ref="C20:C23" si="13">D20+E20</f>
        <v>67600</v>
      </c>
      <c r="D20" s="14">
        <f t="shared" ref="D20:D23" si="14">F20</f>
        <v>5200</v>
      </c>
      <c r="E20" s="14">
        <f t="shared" ref="E20:E23" si="15">F20*12</f>
        <v>62400</v>
      </c>
      <c r="F20" s="15">
        <v>5200</v>
      </c>
      <c r="G20" s="14">
        <f t="shared" ref="G20:G23" si="16">F20*0.6</f>
        <v>3120</v>
      </c>
      <c r="H20" s="14">
        <f t="shared" ref="H20:H23" si="17">F20*0.3</f>
        <v>1560</v>
      </c>
      <c r="I20" s="14">
        <f t="shared" ref="I20:I23" si="18">F20*0.1</f>
        <v>520</v>
      </c>
      <c r="J20" s="17">
        <f t="shared" si="6"/>
        <v>1.1555555555555554</v>
      </c>
      <c r="K20" s="75"/>
      <c r="L20" s="53"/>
      <c r="M20" s="77"/>
      <c r="N20" s="77"/>
      <c r="O20" s="77"/>
      <c r="P20" s="55"/>
      <c r="Q20" s="62"/>
      <c r="R20" s="65"/>
      <c r="S20" s="65"/>
      <c r="T20" s="65"/>
    </row>
    <row r="21" spans="1:20" x14ac:dyDescent="0.15">
      <c r="A21" s="84"/>
      <c r="B21" s="13" t="s">
        <v>46</v>
      </c>
      <c r="C21" s="14">
        <f t="shared" si="13"/>
        <v>58500</v>
      </c>
      <c r="D21" s="14">
        <f t="shared" si="14"/>
        <v>4500</v>
      </c>
      <c r="E21" s="14">
        <f t="shared" si="15"/>
        <v>54000</v>
      </c>
      <c r="F21" s="15">
        <v>4500</v>
      </c>
      <c r="G21" s="14">
        <f t="shared" si="16"/>
        <v>2700</v>
      </c>
      <c r="H21" s="14">
        <f t="shared" si="17"/>
        <v>1350</v>
      </c>
      <c r="I21" s="14">
        <f t="shared" si="18"/>
        <v>450</v>
      </c>
      <c r="J21" s="17">
        <f t="shared" si="6"/>
        <v>1.125</v>
      </c>
      <c r="K21" s="75"/>
      <c r="L21" s="53"/>
      <c r="M21" s="77"/>
      <c r="N21" s="77"/>
      <c r="O21" s="77"/>
      <c r="P21" s="55"/>
      <c r="Q21" s="62"/>
      <c r="R21" s="65"/>
      <c r="S21" s="65"/>
      <c r="T21" s="65"/>
    </row>
    <row r="22" spans="1:20" x14ac:dyDescent="0.15">
      <c r="A22" s="84"/>
      <c r="B22" s="13" t="s">
        <v>47</v>
      </c>
      <c r="C22" s="14">
        <f t="shared" si="13"/>
        <v>52000</v>
      </c>
      <c r="D22" s="14">
        <f t="shared" si="14"/>
        <v>4000</v>
      </c>
      <c r="E22" s="14">
        <f t="shared" si="15"/>
        <v>48000</v>
      </c>
      <c r="F22" s="15">
        <v>4000</v>
      </c>
      <c r="G22" s="14">
        <f t="shared" si="16"/>
        <v>2400</v>
      </c>
      <c r="H22" s="14">
        <f t="shared" si="17"/>
        <v>1200</v>
      </c>
      <c r="I22" s="14">
        <f t="shared" si="18"/>
        <v>400</v>
      </c>
      <c r="J22" s="17">
        <f t="shared" si="6"/>
        <v>1.1428571428571428</v>
      </c>
      <c r="K22" s="75"/>
      <c r="L22" s="53"/>
      <c r="M22" s="77"/>
      <c r="N22" s="77"/>
      <c r="O22" s="77"/>
      <c r="P22" s="55"/>
      <c r="Q22" s="62"/>
      <c r="R22" s="65"/>
      <c r="S22" s="65"/>
      <c r="T22" s="65"/>
    </row>
    <row r="23" spans="1:20" x14ac:dyDescent="0.15">
      <c r="A23" s="85"/>
      <c r="B23" s="13" t="s">
        <v>48</v>
      </c>
      <c r="C23" s="14">
        <f t="shared" si="13"/>
        <v>45500</v>
      </c>
      <c r="D23" s="14">
        <f t="shared" si="14"/>
        <v>3500</v>
      </c>
      <c r="E23" s="14">
        <f t="shared" si="15"/>
        <v>42000</v>
      </c>
      <c r="F23" s="15">
        <v>3500</v>
      </c>
      <c r="G23" s="14">
        <f t="shared" si="16"/>
        <v>2100</v>
      </c>
      <c r="H23" s="14">
        <f t="shared" si="17"/>
        <v>1050</v>
      </c>
      <c r="I23" s="14">
        <f t="shared" si="18"/>
        <v>350</v>
      </c>
      <c r="J23" s="17"/>
      <c r="K23" s="75"/>
      <c r="L23" s="53"/>
      <c r="M23" s="77"/>
      <c r="N23" s="77"/>
      <c r="O23" s="77"/>
      <c r="P23" s="56"/>
      <c r="Q23" s="63"/>
      <c r="R23" s="65"/>
      <c r="S23" s="65"/>
      <c r="T23" s="65"/>
    </row>
  </sheetData>
  <mergeCells count="59">
    <mergeCell ref="T2:T3"/>
    <mergeCell ref="T4:T8"/>
    <mergeCell ref="T9:T13"/>
    <mergeCell ref="T14:T18"/>
    <mergeCell ref="T19:T23"/>
    <mergeCell ref="S2:S3"/>
    <mergeCell ref="S4:S8"/>
    <mergeCell ref="S9:S13"/>
    <mergeCell ref="S14:S18"/>
    <mergeCell ref="S19:S23"/>
    <mergeCell ref="R2:R3"/>
    <mergeCell ref="R4:R8"/>
    <mergeCell ref="R9:R13"/>
    <mergeCell ref="R14:R18"/>
    <mergeCell ref="R19:R23"/>
    <mergeCell ref="Q2:Q3"/>
    <mergeCell ref="Q4:Q8"/>
    <mergeCell ref="Q9:Q13"/>
    <mergeCell ref="Q14:Q18"/>
    <mergeCell ref="Q19:Q23"/>
    <mergeCell ref="O9:O13"/>
    <mergeCell ref="O14:O18"/>
    <mergeCell ref="O19:O23"/>
    <mergeCell ref="P2:P3"/>
    <mergeCell ref="P4:P13"/>
    <mergeCell ref="P14:P23"/>
    <mergeCell ref="M14:M18"/>
    <mergeCell ref="M19:M23"/>
    <mergeCell ref="N4:N8"/>
    <mergeCell ref="N9:N13"/>
    <mergeCell ref="N14:N18"/>
    <mergeCell ref="N19:N23"/>
    <mergeCell ref="K14:K23"/>
    <mergeCell ref="L2:L3"/>
    <mergeCell ref="L4:L8"/>
    <mergeCell ref="L9:L13"/>
    <mergeCell ref="L14:L18"/>
    <mergeCell ref="L19:L23"/>
    <mergeCell ref="A14:A18"/>
    <mergeCell ref="A19:A23"/>
    <mergeCell ref="B2:B3"/>
    <mergeCell ref="C2:C3"/>
    <mergeCell ref="D2:D3"/>
    <mergeCell ref="A1:T1"/>
    <mergeCell ref="M2:O2"/>
    <mergeCell ref="A2:A3"/>
    <mergeCell ref="A4:A8"/>
    <mergeCell ref="A9:A13"/>
    <mergeCell ref="E2:E3"/>
    <mergeCell ref="F2:F3"/>
    <mergeCell ref="G2:G3"/>
    <mergeCell ref="H2:H3"/>
    <mergeCell ref="I2:I3"/>
    <mergeCell ref="J2:J3"/>
    <mergeCell ref="K2:K3"/>
    <mergeCell ref="K4:K13"/>
    <mergeCell ref="M4:M8"/>
    <mergeCell ref="M9:M13"/>
    <mergeCell ref="O4:O8"/>
  </mergeCells>
  <phoneticPr fontId="9" type="noConversion"/>
  <pageMargins left="0.69930555555555596" right="0.69930555555555596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8"/>
  <sheetViews>
    <sheetView workbookViewId="0">
      <selection activeCell="F37" sqref="F37"/>
    </sheetView>
  </sheetViews>
  <sheetFormatPr defaultColWidth="9" defaultRowHeight="14.25" x14ac:dyDescent="0.15"/>
  <cols>
    <col min="12" max="12" width="11.125" customWidth="1"/>
  </cols>
  <sheetData>
    <row r="1" spans="1:20" ht="31.5" customHeight="1" x14ac:dyDescent="0.15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</row>
    <row r="2" spans="1:20" x14ac:dyDescent="0.15">
      <c r="A2" s="37" t="s">
        <v>1</v>
      </c>
      <c r="B2" s="44" t="s">
        <v>2</v>
      </c>
      <c r="C2" s="44" t="s">
        <v>3</v>
      </c>
      <c r="D2" s="45" t="s">
        <v>4</v>
      </c>
      <c r="E2" s="44" t="s">
        <v>5</v>
      </c>
      <c r="F2" s="44" t="s">
        <v>6</v>
      </c>
      <c r="G2" s="44" t="s">
        <v>7</v>
      </c>
      <c r="H2" s="44" t="s">
        <v>8</v>
      </c>
      <c r="I2" s="47" t="s">
        <v>9</v>
      </c>
      <c r="J2" s="48" t="s">
        <v>10</v>
      </c>
      <c r="K2" s="44" t="s">
        <v>11</v>
      </c>
      <c r="L2" s="45" t="s">
        <v>12</v>
      </c>
      <c r="M2" s="34" t="s">
        <v>13</v>
      </c>
      <c r="N2" s="35"/>
      <c r="O2" s="36"/>
      <c r="P2" s="44" t="s">
        <v>14</v>
      </c>
      <c r="Q2" s="60" t="s">
        <v>15</v>
      </c>
      <c r="R2" s="64" t="s">
        <v>16</v>
      </c>
      <c r="S2" s="64" t="s">
        <v>17</v>
      </c>
      <c r="T2" s="64" t="s">
        <v>18</v>
      </c>
    </row>
    <row r="3" spans="1:20" x14ac:dyDescent="0.15">
      <c r="A3" s="37"/>
      <c r="B3" s="44"/>
      <c r="C3" s="44"/>
      <c r="D3" s="46"/>
      <c r="E3" s="44"/>
      <c r="F3" s="44"/>
      <c r="G3" s="44"/>
      <c r="H3" s="44"/>
      <c r="I3" s="44"/>
      <c r="J3" s="49"/>
      <c r="K3" s="44"/>
      <c r="L3" s="46"/>
      <c r="M3" s="16" t="s">
        <v>7</v>
      </c>
      <c r="N3" s="16" t="s">
        <v>8</v>
      </c>
      <c r="O3" s="3" t="s">
        <v>9</v>
      </c>
      <c r="P3" s="44"/>
      <c r="Q3" s="60"/>
      <c r="R3" s="64"/>
      <c r="S3" s="64"/>
      <c r="T3" s="64"/>
    </row>
    <row r="4" spans="1:20" x14ac:dyDescent="0.15">
      <c r="A4" s="66" t="s">
        <v>86</v>
      </c>
      <c r="B4" s="4" t="s">
        <v>20</v>
      </c>
      <c r="C4" s="5">
        <f t="shared" ref="C4:C19" si="0">D4+E4</f>
        <v>317400</v>
      </c>
      <c r="D4" s="5">
        <f t="shared" ref="D4:D8" si="1">F4*1.8</f>
        <v>41400</v>
      </c>
      <c r="E4" s="5">
        <f t="shared" ref="E4:E19" si="2">F4*12</f>
        <v>276000</v>
      </c>
      <c r="F4" s="6">
        <v>23000</v>
      </c>
      <c r="G4" s="5">
        <f t="shared" ref="G4:G19" si="3">F4*0.6</f>
        <v>13800</v>
      </c>
      <c r="H4" s="5">
        <f t="shared" ref="H4:H8" si="4">F4*0.15</f>
        <v>3450</v>
      </c>
      <c r="I4" s="5">
        <f t="shared" ref="I4:I8" si="5">F4*0.25</f>
        <v>5750</v>
      </c>
      <c r="J4" s="17">
        <f t="shared" ref="J4:J22" si="6">F4/F5</f>
        <v>1.1499999999999999</v>
      </c>
      <c r="K4" s="50" t="s">
        <v>21</v>
      </c>
      <c r="L4" s="53" t="s">
        <v>22</v>
      </c>
      <c r="M4" s="54">
        <v>0.6</v>
      </c>
      <c r="N4" s="54">
        <v>0.15</v>
      </c>
      <c r="O4" s="54">
        <v>0.25</v>
      </c>
      <c r="P4" s="57" t="s">
        <v>23</v>
      </c>
      <c r="Q4" s="61" t="s">
        <v>24</v>
      </c>
      <c r="R4" s="65">
        <v>3000</v>
      </c>
      <c r="S4" s="65">
        <v>1500</v>
      </c>
      <c r="T4" s="65">
        <v>2000</v>
      </c>
    </row>
    <row r="5" spans="1:20" x14ac:dyDescent="0.15">
      <c r="A5" s="39"/>
      <c r="B5" s="4" t="s">
        <v>25</v>
      </c>
      <c r="C5" s="5">
        <f t="shared" si="0"/>
        <v>276000</v>
      </c>
      <c r="D5" s="5">
        <f t="shared" si="1"/>
        <v>36000</v>
      </c>
      <c r="E5" s="5">
        <f t="shared" si="2"/>
        <v>240000</v>
      </c>
      <c r="F5" s="6">
        <v>20000</v>
      </c>
      <c r="G5" s="5">
        <f t="shared" si="3"/>
        <v>12000</v>
      </c>
      <c r="H5" s="5">
        <f t="shared" si="4"/>
        <v>3000</v>
      </c>
      <c r="I5" s="5">
        <f t="shared" si="5"/>
        <v>5000</v>
      </c>
      <c r="J5" s="17">
        <f t="shared" si="6"/>
        <v>1.1111111111111112</v>
      </c>
      <c r="K5" s="51"/>
      <c r="L5" s="53"/>
      <c r="M5" s="55"/>
      <c r="N5" s="55"/>
      <c r="O5" s="55"/>
      <c r="P5" s="58"/>
      <c r="Q5" s="62"/>
      <c r="R5" s="65"/>
      <c r="S5" s="65"/>
      <c r="T5" s="65"/>
    </row>
    <row r="6" spans="1:20" x14ac:dyDescent="0.15">
      <c r="A6" s="39"/>
      <c r="B6" s="4" t="s">
        <v>26</v>
      </c>
      <c r="C6" s="5">
        <f t="shared" si="0"/>
        <v>248400</v>
      </c>
      <c r="D6" s="5">
        <f t="shared" si="1"/>
        <v>32400</v>
      </c>
      <c r="E6" s="5">
        <f t="shared" si="2"/>
        <v>216000</v>
      </c>
      <c r="F6" s="6">
        <v>18000</v>
      </c>
      <c r="G6" s="5">
        <f t="shared" si="3"/>
        <v>10800</v>
      </c>
      <c r="H6" s="5">
        <f t="shared" si="4"/>
        <v>2700</v>
      </c>
      <c r="I6" s="5">
        <f t="shared" si="5"/>
        <v>4500</v>
      </c>
      <c r="J6" s="17">
        <f t="shared" si="6"/>
        <v>1.2</v>
      </c>
      <c r="K6" s="51"/>
      <c r="L6" s="53"/>
      <c r="M6" s="55"/>
      <c r="N6" s="55"/>
      <c r="O6" s="55"/>
      <c r="P6" s="58"/>
      <c r="Q6" s="62"/>
      <c r="R6" s="65"/>
      <c r="S6" s="65"/>
      <c r="T6" s="65"/>
    </row>
    <row r="7" spans="1:20" x14ac:dyDescent="0.15">
      <c r="A7" s="39"/>
      <c r="B7" s="4" t="s">
        <v>27</v>
      </c>
      <c r="C7" s="5">
        <f t="shared" si="0"/>
        <v>207000</v>
      </c>
      <c r="D7" s="5">
        <f t="shared" si="1"/>
        <v>27000</v>
      </c>
      <c r="E7" s="5">
        <f t="shared" si="2"/>
        <v>180000</v>
      </c>
      <c r="F7" s="6">
        <v>15000</v>
      </c>
      <c r="G7" s="5">
        <f t="shared" si="3"/>
        <v>9000</v>
      </c>
      <c r="H7" s="5">
        <f t="shared" si="4"/>
        <v>2250</v>
      </c>
      <c r="I7" s="5">
        <f t="shared" si="5"/>
        <v>3750</v>
      </c>
      <c r="J7" s="17">
        <f t="shared" si="6"/>
        <v>1.1538461538461537</v>
      </c>
      <c r="K7" s="51"/>
      <c r="L7" s="53"/>
      <c r="M7" s="55"/>
      <c r="N7" s="55"/>
      <c r="O7" s="55"/>
      <c r="P7" s="58"/>
      <c r="Q7" s="62"/>
      <c r="R7" s="65"/>
      <c r="S7" s="65"/>
      <c r="T7" s="65"/>
    </row>
    <row r="8" spans="1:20" x14ac:dyDescent="0.15">
      <c r="A8" s="40"/>
      <c r="B8" s="4" t="s">
        <v>28</v>
      </c>
      <c r="C8" s="5">
        <f t="shared" si="0"/>
        <v>179400</v>
      </c>
      <c r="D8" s="5">
        <f t="shared" si="1"/>
        <v>23400</v>
      </c>
      <c r="E8" s="5">
        <f t="shared" si="2"/>
        <v>156000</v>
      </c>
      <c r="F8" s="6">
        <v>13000</v>
      </c>
      <c r="G8" s="5">
        <f t="shared" si="3"/>
        <v>7800</v>
      </c>
      <c r="H8" s="5">
        <f t="shared" si="4"/>
        <v>1950</v>
      </c>
      <c r="I8" s="5">
        <f t="shared" si="5"/>
        <v>3250</v>
      </c>
      <c r="J8" s="17">
        <f t="shared" si="6"/>
        <v>1</v>
      </c>
      <c r="K8" s="51"/>
      <c r="L8" s="53"/>
      <c r="M8" s="56"/>
      <c r="N8" s="56"/>
      <c r="O8" s="56"/>
      <c r="P8" s="58"/>
      <c r="Q8" s="63"/>
      <c r="R8" s="65"/>
      <c r="S8" s="65"/>
      <c r="T8" s="65"/>
    </row>
    <row r="9" spans="1:20" x14ac:dyDescent="0.15">
      <c r="A9" s="41" t="s">
        <v>87</v>
      </c>
      <c r="B9" s="7" t="s">
        <v>20</v>
      </c>
      <c r="C9" s="8">
        <f t="shared" si="0"/>
        <v>175500</v>
      </c>
      <c r="D9" s="8">
        <f t="shared" ref="D9:D13" si="7">F9*1.5</f>
        <v>19500</v>
      </c>
      <c r="E9" s="8">
        <f t="shared" si="2"/>
        <v>156000</v>
      </c>
      <c r="F9" s="9">
        <v>13000</v>
      </c>
      <c r="G9" s="8">
        <f t="shared" si="3"/>
        <v>7800</v>
      </c>
      <c r="H9" s="8">
        <f t="shared" ref="H9:H13" si="8">F9*0.2</f>
        <v>2600</v>
      </c>
      <c r="I9" s="8">
        <f>F9*0.2</f>
        <v>2600</v>
      </c>
      <c r="J9" s="17">
        <f t="shared" si="6"/>
        <v>1.0833333333333333</v>
      </c>
      <c r="K9" s="51"/>
      <c r="L9" s="53" t="s">
        <v>30</v>
      </c>
      <c r="M9" s="54">
        <v>0.6</v>
      </c>
      <c r="N9" s="54">
        <v>0.2</v>
      </c>
      <c r="O9" s="54">
        <v>0.2</v>
      </c>
      <c r="P9" s="58"/>
      <c r="Q9" s="61" t="s">
        <v>31</v>
      </c>
      <c r="R9" s="65">
        <v>2000</v>
      </c>
      <c r="S9" s="65">
        <v>1000</v>
      </c>
      <c r="T9" s="65">
        <v>1000</v>
      </c>
    </row>
    <row r="10" spans="1:20" x14ac:dyDescent="0.15">
      <c r="A10" s="42"/>
      <c r="B10" s="7" t="s">
        <v>25</v>
      </c>
      <c r="C10" s="8">
        <f t="shared" si="0"/>
        <v>162000</v>
      </c>
      <c r="D10" s="8">
        <f t="shared" si="7"/>
        <v>18000</v>
      </c>
      <c r="E10" s="8">
        <f t="shared" si="2"/>
        <v>144000</v>
      </c>
      <c r="F10" s="9">
        <v>12000</v>
      </c>
      <c r="G10" s="8">
        <f t="shared" si="3"/>
        <v>7200</v>
      </c>
      <c r="H10" s="8">
        <f t="shared" si="8"/>
        <v>2400</v>
      </c>
      <c r="I10" s="8">
        <f t="shared" ref="I10:I13" si="9">F10*0.2</f>
        <v>2400</v>
      </c>
      <c r="J10" s="17">
        <f t="shared" si="6"/>
        <v>1.0909090909090908</v>
      </c>
      <c r="K10" s="51"/>
      <c r="L10" s="53"/>
      <c r="M10" s="55"/>
      <c r="N10" s="55"/>
      <c r="O10" s="55"/>
      <c r="P10" s="58"/>
      <c r="Q10" s="62"/>
      <c r="R10" s="65"/>
      <c r="S10" s="65"/>
      <c r="T10" s="65"/>
    </row>
    <row r="11" spans="1:20" x14ac:dyDescent="0.15">
      <c r="A11" s="42"/>
      <c r="B11" s="7" t="s">
        <v>26</v>
      </c>
      <c r="C11" s="8">
        <f t="shared" si="0"/>
        <v>148500</v>
      </c>
      <c r="D11" s="8">
        <f t="shared" si="7"/>
        <v>16500</v>
      </c>
      <c r="E11" s="8">
        <f t="shared" si="2"/>
        <v>132000</v>
      </c>
      <c r="F11" s="9">
        <v>11000</v>
      </c>
      <c r="G11" s="8">
        <f t="shared" si="3"/>
        <v>6600</v>
      </c>
      <c r="H11" s="8">
        <f t="shared" si="8"/>
        <v>2200</v>
      </c>
      <c r="I11" s="8">
        <f t="shared" si="9"/>
        <v>2200</v>
      </c>
      <c r="J11" s="17">
        <f t="shared" si="6"/>
        <v>1.1000000000000001</v>
      </c>
      <c r="K11" s="51"/>
      <c r="L11" s="53"/>
      <c r="M11" s="55"/>
      <c r="N11" s="55"/>
      <c r="O11" s="55"/>
      <c r="P11" s="58"/>
      <c r="Q11" s="62"/>
      <c r="R11" s="65"/>
      <c r="S11" s="65"/>
      <c r="T11" s="65"/>
    </row>
    <row r="12" spans="1:20" x14ac:dyDescent="0.15">
      <c r="A12" s="42"/>
      <c r="B12" s="7" t="s">
        <v>27</v>
      </c>
      <c r="C12" s="8">
        <f t="shared" si="0"/>
        <v>135000</v>
      </c>
      <c r="D12" s="8">
        <f t="shared" si="7"/>
        <v>15000</v>
      </c>
      <c r="E12" s="8">
        <f t="shared" si="2"/>
        <v>120000</v>
      </c>
      <c r="F12" s="9">
        <v>10000</v>
      </c>
      <c r="G12" s="8">
        <f t="shared" si="3"/>
        <v>6000</v>
      </c>
      <c r="H12" s="8">
        <f t="shared" si="8"/>
        <v>2000</v>
      </c>
      <c r="I12" s="8">
        <f t="shared" si="9"/>
        <v>2000</v>
      </c>
      <c r="J12" s="17">
        <f t="shared" si="6"/>
        <v>1.1111111111111112</v>
      </c>
      <c r="K12" s="51"/>
      <c r="L12" s="53"/>
      <c r="M12" s="55"/>
      <c r="N12" s="55"/>
      <c r="O12" s="55"/>
      <c r="P12" s="58"/>
      <c r="Q12" s="62"/>
      <c r="R12" s="65"/>
      <c r="S12" s="65"/>
      <c r="T12" s="65"/>
    </row>
    <row r="13" spans="1:20" x14ac:dyDescent="0.15">
      <c r="A13" s="43"/>
      <c r="B13" s="7" t="s">
        <v>28</v>
      </c>
      <c r="C13" s="8">
        <f t="shared" si="0"/>
        <v>121500</v>
      </c>
      <c r="D13" s="8">
        <f t="shared" si="7"/>
        <v>13500</v>
      </c>
      <c r="E13" s="8">
        <f t="shared" si="2"/>
        <v>108000</v>
      </c>
      <c r="F13" s="9">
        <v>9000</v>
      </c>
      <c r="G13" s="8">
        <f t="shared" si="3"/>
        <v>5400</v>
      </c>
      <c r="H13" s="8">
        <f t="shared" si="8"/>
        <v>1800</v>
      </c>
      <c r="I13" s="8">
        <f t="shared" si="9"/>
        <v>1800</v>
      </c>
      <c r="J13" s="17">
        <f t="shared" si="6"/>
        <v>1</v>
      </c>
      <c r="K13" s="52"/>
      <c r="L13" s="53"/>
      <c r="M13" s="56"/>
      <c r="N13" s="56"/>
      <c r="O13" s="56"/>
      <c r="P13" s="59"/>
      <c r="Q13" s="63"/>
      <c r="R13" s="65"/>
      <c r="S13" s="65"/>
      <c r="T13" s="65"/>
    </row>
    <row r="14" spans="1:20" x14ac:dyDescent="0.15">
      <c r="A14" s="67" t="s">
        <v>88</v>
      </c>
      <c r="B14" s="10" t="s">
        <v>20</v>
      </c>
      <c r="C14" s="11">
        <f t="shared" si="0"/>
        <v>118800</v>
      </c>
      <c r="D14" s="11">
        <f t="shared" ref="D14:D18" si="10">F14*1.2</f>
        <v>10800</v>
      </c>
      <c r="E14" s="11">
        <f t="shared" si="2"/>
        <v>108000</v>
      </c>
      <c r="F14" s="12">
        <v>9000</v>
      </c>
      <c r="G14" s="11">
        <f t="shared" si="3"/>
        <v>5400</v>
      </c>
      <c r="H14" s="11">
        <f t="shared" ref="H14:H18" si="11">F14*0.25</f>
        <v>2250</v>
      </c>
      <c r="I14" s="11">
        <f t="shared" ref="I14:I18" si="12">F14*0.15</f>
        <v>1350</v>
      </c>
      <c r="J14" s="17">
        <f t="shared" si="6"/>
        <v>1.0843373493975903</v>
      </c>
      <c r="K14" s="75" t="s">
        <v>35</v>
      </c>
      <c r="L14" s="53" t="s">
        <v>36</v>
      </c>
      <c r="M14" s="54">
        <v>0.6</v>
      </c>
      <c r="N14" s="54">
        <v>0.25</v>
      </c>
      <c r="O14" s="54">
        <v>0.15</v>
      </c>
      <c r="P14" s="57" t="s">
        <v>37</v>
      </c>
      <c r="Q14" s="61" t="s">
        <v>38</v>
      </c>
      <c r="R14" s="65">
        <v>1000</v>
      </c>
      <c r="S14" s="65">
        <v>500</v>
      </c>
      <c r="T14" s="78" t="s">
        <v>39</v>
      </c>
    </row>
    <row r="15" spans="1:20" x14ac:dyDescent="0.15">
      <c r="A15" s="68"/>
      <c r="B15" s="10" t="s">
        <v>25</v>
      </c>
      <c r="C15" s="11">
        <f t="shared" si="0"/>
        <v>109560</v>
      </c>
      <c r="D15" s="11">
        <f t="shared" si="10"/>
        <v>9960</v>
      </c>
      <c r="E15" s="11">
        <f t="shared" si="2"/>
        <v>99600</v>
      </c>
      <c r="F15" s="12">
        <v>8300</v>
      </c>
      <c r="G15" s="11">
        <f t="shared" si="3"/>
        <v>4980</v>
      </c>
      <c r="H15" s="11">
        <f t="shared" si="11"/>
        <v>2075</v>
      </c>
      <c r="I15" s="11">
        <f t="shared" si="12"/>
        <v>1245</v>
      </c>
      <c r="J15" s="17">
        <f t="shared" si="6"/>
        <v>1.1066666666666667</v>
      </c>
      <c r="K15" s="75"/>
      <c r="L15" s="53"/>
      <c r="M15" s="55"/>
      <c r="N15" s="55"/>
      <c r="O15" s="55"/>
      <c r="P15" s="55"/>
      <c r="Q15" s="62"/>
      <c r="R15" s="65"/>
      <c r="S15" s="65"/>
      <c r="T15" s="65"/>
    </row>
    <row r="16" spans="1:20" x14ac:dyDescent="0.15">
      <c r="A16" s="68"/>
      <c r="B16" s="10" t="s">
        <v>26</v>
      </c>
      <c r="C16" s="11">
        <f t="shared" si="0"/>
        <v>99000</v>
      </c>
      <c r="D16" s="11">
        <f t="shared" si="10"/>
        <v>9000</v>
      </c>
      <c r="E16" s="11">
        <f t="shared" si="2"/>
        <v>90000</v>
      </c>
      <c r="F16" s="12">
        <v>7500</v>
      </c>
      <c r="G16" s="11">
        <f t="shared" si="3"/>
        <v>4500</v>
      </c>
      <c r="H16" s="11">
        <f t="shared" si="11"/>
        <v>1875</v>
      </c>
      <c r="I16" s="11">
        <f t="shared" si="12"/>
        <v>1125</v>
      </c>
      <c r="J16" s="17">
        <f t="shared" si="6"/>
        <v>1.1029411764705883</v>
      </c>
      <c r="K16" s="75"/>
      <c r="L16" s="53"/>
      <c r="M16" s="55"/>
      <c r="N16" s="55"/>
      <c r="O16" s="55"/>
      <c r="P16" s="55"/>
      <c r="Q16" s="62"/>
      <c r="R16" s="65"/>
      <c r="S16" s="65"/>
      <c r="T16" s="65"/>
    </row>
    <row r="17" spans="1:20" x14ac:dyDescent="0.15">
      <c r="A17" s="68"/>
      <c r="B17" s="10" t="s">
        <v>27</v>
      </c>
      <c r="C17" s="11">
        <f t="shared" si="0"/>
        <v>89760</v>
      </c>
      <c r="D17" s="11">
        <f t="shared" si="10"/>
        <v>8160</v>
      </c>
      <c r="E17" s="11">
        <f t="shared" si="2"/>
        <v>81600</v>
      </c>
      <c r="F17" s="12">
        <v>6800</v>
      </c>
      <c r="G17" s="11">
        <f t="shared" si="3"/>
        <v>4080</v>
      </c>
      <c r="H17" s="11">
        <f t="shared" si="11"/>
        <v>1700</v>
      </c>
      <c r="I17" s="11">
        <f t="shared" si="12"/>
        <v>1020</v>
      </c>
      <c r="J17" s="17">
        <f t="shared" si="6"/>
        <v>1.096774193548387</v>
      </c>
      <c r="K17" s="75"/>
      <c r="L17" s="53"/>
      <c r="M17" s="55"/>
      <c r="N17" s="55"/>
      <c r="O17" s="55"/>
      <c r="P17" s="55"/>
      <c r="Q17" s="62"/>
      <c r="R17" s="65"/>
      <c r="S17" s="65"/>
      <c r="T17" s="65"/>
    </row>
    <row r="18" spans="1:20" x14ac:dyDescent="0.15">
      <c r="A18" s="69"/>
      <c r="B18" s="10" t="s">
        <v>28</v>
      </c>
      <c r="C18" s="11">
        <f t="shared" si="0"/>
        <v>81840</v>
      </c>
      <c r="D18" s="11">
        <f t="shared" si="10"/>
        <v>7440</v>
      </c>
      <c r="E18" s="11">
        <f t="shared" si="2"/>
        <v>74400</v>
      </c>
      <c r="F18" s="12">
        <v>6200</v>
      </c>
      <c r="G18" s="11">
        <f t="shared" si="3"/>
        <v>3720</v>
      </c>
      <c r="H18" s="11">
        <f t="shared" si="11"/>
        <v>1550</v>
      </c>
      <c r="I18" s="11">
        <f t="shared" si="12"/>
        <v>930</v>
      </c>
      <c r="J18" s="17">
        <f t="shared" si="6"/>
        <v>1</v>
      </c>
      <c r="K18" s="75"/>
      <c r="L18" s="53"/>
      <c r="M18" s="56"/>
      <c r="N18" s="56"/>
      <c r="O18" s="56"/>
      <c r="P18" s="55"/>
      <c r="Q18" s="63"/>
      <c r="R18" s="65"/>
      <c r="S18" s="65"/>
      <c r="T18" s="65"/>
    </row>
    <row r="19" spans="1:20" x14ac:dyDescent="0.15">
      <c r="A19" s="70" t="s">
        <v>89</v>
      </c>
      <c r="B19" s="13" t="s">
        <v>43</v>
      </c>
      <c r="C19" s="14">
        <f t="shared" si="0"/>
        <v>80600</v>
      </c>
      <c r="D19" s="14">
        <f>F19</f>
        <v>6200</v>
      </c>
      <c r="E19" s="14">
        <f t="shared" si="2"/>
        <v>74400</v>
      </c>
      <c r="F19" s="15">
        <v>6200</v>
      </c>
      <c r="G19" s="14">
        <f t="shared" si="3"/>
        <v>3720</v>
      </c>
      <c r="H19" s="14">
        <f>F19*0.3</f>
        <v>1860</v>
      </c>
      <c r="I19" s="14">
        <f>F19*0.1</f>
        <v>620</v>
      </c>
      <c r="J19" s="17">
        <f t="shared" si="6"/>
        <v>1.1272727272727272</v>
      </c>
      <c r="K19" s="75"/>
      <c r="L19" s="53" t="s">
        <v>44</v>
      </c>
      <c r="M19" s="76">
        <v>0.6</v>
      </c>
      <c r="N19" s="76">
        <v>0.3</v>
      </c>
      <c r="O19" s="76">
        <v>0.1</v>
      </c>
      <c r="P19" s="55"/>
      <c r="Q19" s="61" t="s">
        <v>45</v>
      </c>
      <c r="R19" s="65">
        <v>500</v>
      </c>
      <c r="S19" s="65">
        <v>300</v>
      </c>
      <c r="T19" s="78" t="s">
        <v>39</v>
      </c>
    </row>
    <row r="20" spans="1:20" x14ac:dyDescent="0.15">
      <c r="A20" s="84"/>
      <c r="B20" s="13" t="s">
        <v>25</v>
      </c>
      <c r="C20" s="14">
        <f t="shared" ref="C20:C23" si="13">D20+E20</f>
        <v>71500</v>
      </c>
      <c r="D20" s="14">
        <f t="shared" ref="D20:D23" si="14">F20</f>
        <v>5500</v>
      </c>
      <c r="E20" s="14">
        <f t="shared" ref="E20:E23" si="15">F20*12</f>
        <v>66000</v>
      </c>
      <c r="F20" s="15">
        <v>5500</v>
      </c>
      <c r="G20" s="14">
        <f t="shared" ref="G20:G23" si="16">F20*0.6</f>
        <v>3300</v>
      </c>
      <c r="H20" s="14">
        <f t="shared" ref="H20:H23" si="17">F20*0.3</f>
        <v>1650</v>
      </c>
      <c r="I20" s="14">
        <f t="shared" ref="I20:I23" si="18">F20*0.1</f>
        <v>550</v>
      </c>
      <c r="J20" s="17">
        <f t="shared" si="6"/>
        <v>1.1458333333333333</v>
      </c>
      <c r="K20" s="75"/>
      <c r="L20" s="53"/>
      <c r="M20" s="77"/>
      <c r="N20" s="77"/>
      <c r="O20" s="77"/>
      <c r="P20" s="55"/>
      <c r="Q20" s="62"/>
      <c r="R20" s="65"/>
      <c r="S20" s="65"/>
      <c r="T20" s="65"/>
    </row>
    <row r="21" spans="1:20" x14ac:dyDescent="0.15">
      <c r="A21" s="84"/>
      <c r="B21" s="13" t="s">
        <v>46</v>
      </c>
      <c r="C21" s="14">
        <f t="shared" si="13"/>
        <v>62400</v>
      </c>
      <c r="D21" s="14">
        <f t="shared" si="14"/>
        <v>4800</v>
      </c>
      <c r="E21" s="14">
        <f t="shared" si="15"/>
        <v>57600</v>
      </c>
      <c r="F21" s="15">
        <v>4800</v>
      </c>
      <c r="G21" s="14">
        <f t="shared" si="16"/>
        <v>2880</v>
      </c>
      <c r="H21" s="14">
        <f t="shared" si="17"/>
        <v>1440</v>
      </c>
      <c r="I21" s="14">
        <f t="shared" si="18"/>
        <v>480</v>
      </c>
      <c r="J21" s="17">
        <f t="shared" si="6"/>
        <v>1.1428571428571428</v>
      </c>
      <c r="K21" s="75"/>
      <c r="L21" s="53"/>
      <c r="M21" s="77"/>
      <c r="N21" s="77"/>
      <c r="O21" s="77"/>
      <c r="P21" s="55"/>
      <c r="Q21" s="62"/>
      <c r="R21" s="65"/>
      <c r="S21" s="65"/>
      <c r="T21" s="65"/>
    </row>
    <row r="22" spans="1:20" x14ac:dyDescent="0.15">
      <c r="A22" s="84"/>
      <c r="B22" s="13" t="s">
        <v>47</v>
      </c>
      <c r="C22" s="14">
        <f t="shared" si="13"/>
        <v>54600</v>
      </c>
      <c r="D22" s="14">
        <f t="shared" si="14"/>
        <v>4200</v>
      </c>
      <c r="E22" s="14">
        <f t="shared" si="15"/>
        <v>50400</v>
      </c>
      <c r="F22" s="15">
        <v>4200</v>
      </c>
      <c r="G22" s="14">
        <f t="shared" si="16"/>
        <v>2520</v>
      </c>
      <c r="H22" s="14">
        <f t="shared" si="17"/>
        <v>1260</v>
      </c>
      <c r="I22" s="14">
        <f t="shared" si="18"/>
        <v>420</v>
      </c>
      <c r="J22" s="17">
        <f t="shared" si="6"/>
        <v>1.1052631578947369</v>
      </c>
      <c r="K22" s="75"/>
      <c r="L22" s="53"/>
      <c r="M22" s="77"/>
      <c r="N22" s="77"/>
      <c r="O22" s="77"/>
      <c r="P22" s="55"/>
      <c r="Q22" s="62"/>
      <c r="R22" s="65"/>
      <c r="S22" s="65"/>
      <c r="T22" s="65"/>
    </row>
    <row r="23" spans="1:20" x14ac:dyDescent="0.15">
      <c r="A23" s="85"/>
      <c r="B23" s="13" t="s">
        <v>48</v>
      </c>
      <c r="C23" s="14">
        <f t="shared" si="13"/>
        <v>49400</v>
      </c>
      <c r="D23" s="14">
        <f t="shared" si="14"/>
        <v>3800</v>
      </c>
      <c r="E23" s="14">
        <f t="shared" si="15"/>
        <v>45600</v>
      </c>
      <c r="F23" s="15">
        <v>3800</v>
      </c>
      <c r="G23" s="14">
        <f t="shared" si="16"/>
        <v>2280</v>
      </c>
      <c r="H23" s="14">
        <f t="shared" si="17"/>
        <v>1140</v>
      </c>
      <c r="I23" s="14">
        <f t="shared" si="18"/>
        <v>380</v>
      </c>
      <c r="J23" s="17">
        <f t="shared" ref="J23:J28" si="19">F23/F24</f>
        <v>0.69090909090909092</v>
      </c>
      <c r="K23" s="75"/>
      <c r="L23" s="53"/>
      <c r="M23" s="77"/>
      <c r="N23" s="77"/>
      <c r="O23" s="77"/>
      <c r="P23" s="56"/>
      <c r="Q23" s="63"/>
      <c r="R23" s="65"/>
      <c r="S23" s="65"/>
      <c r="T23" s="65"/>
    </row>
    <row r="24" spans="1:20" x14ac:dyDescent="0.15">
      <c r="A24" s="70" t="s">
        <v>90</v>
      </c>
      <c r="B24" s="13" t="s">
        <v>43</v>
      </c>
      <c r="C24" s="14">
        <f t="shared" ref="C24:C28" si="20">D24+E24</f>
        <v>71500</v>
      </c>
      <c r="D24" s="14">
        <f t="shared" ref="D24:D28" si="21">F24</f>
        <v>5500</v>
      </c>
      <c r="E24" s="14">
        <f t="shared" ref="E24:E28" si="22">F24*12</f>
        <v>66000</v>
      </c>
      <c r="F24" s="15">
        <v>5500</v>
      </c>
      <c r="G24" s="14">
        <f t="shared" ref="G24:G28" si="23">F24*0.6</f>
        <v>3300</v>
      </c>
      <c r="H24" s="14">
        <f t="shared" ref="H24:H28" si="24">F24*0.3</f>
        <v>1650</v>
      </c>
      <c r="I24" s="14">
        <f t="shared" ref="I24:I28" si="25">F24*0.1</f>
        <v>550</v>
      </c>
      <c r="J24" s="17">
        <f t="shared" si="19"/>
        <v>1.1458333333333333</v>
      </c>
    </row>
    <row r="25" spans="1:20" x14ac:dyDescent="0.15">
      <c r="A25" s="84"/>
      <c r="B25" s="13" t="s">
        <v>25</v>
      </c>
      <c r="C25" s="14">
        <f t="shared" si="20"/>
        <v>62400</v>
      </c>
      <c r="D25" s="14">
        <f t="shared" si="21"/>
        <v>4800</v>
      </c>
      <c r="E25" s="14">
        <f t="shared" si="22"/>
        <v>57600</v>
      </c>
      <c r="F25" s="15">
        <v>4800</v>
      </c>
      <c r="G25" s="14">
        <f t="shared" si="23"/>
        <v>2880</v>
      </c>
      <c r="H25" s="14">
        <f t="shared" si="24"/>
        <v>1440</v>
      </c>
      <c r="I25" s="14">
        <f t="shared" si="25"/>
        <v>480</v>
      </c>
      <c r="J25" s="17">
        <f t="shared" si="19"/>
        <v>1.1428571428571428</v>
      </c>
    </row>
    <row r="26" spans="1:20" x14ac:dyDescent="0.15">
      <c r="A26" s="84"/>
      <c r="B26" s="13" t="s">
        <v>46</v>
      </c>
      <c r="C26" s="14">
        <f t="shared" si="20"/>
        <v>54600</v>
      </c>
      <c r="D26" s="14">
        <f t="shared" si="21"/>
        <v>4200</v>
      </c>
      <c r="E26" s="14">
        <f t="shared" si="22"/>
        <v>50400</v>
      </c>
      <c r="F26" s="15">
        <v>4200</v>
      </c>
      <c r="G26" s="14">
        <f t="shared" si="23"/>
        <v>2520</v>
      </c>
      <c r="H26" s="14">
        <f t="shared" si="24"/>
        <v>1260</v>
      </c>
      <c r="I26" s="14">
        <f t="shared" si="25"/>
        <v>420</v>
      </c>
      <c r="J26" s="17">
        <f t="shared" si="19"/>
        <v>1.1052631578947369</v>
      </c>
    </row>
    <row r="27" spans="1:20" x14ac:dyDescent="0.15">
      <c r="A27" s="84"/>
      <c r="B27" s="13" t="s">
        <v>47</v>
      </c>
      <c r="C27" s="14">
        <f t="shared" si="20"/>
        <v>49400</v>
      </c>
      <c r="D27" s="14">
        <f t="shared" si="21"/>
        <v>3800</v>
      </c>
      <c r="E27" s="14">
        <f t="shared" si="22"/>
        <v>45600</v>
      </c>
      <c r="F27" s="15">
        <v>3800</v>
      </c>
      <c r="G27" s="14">
        <f t="shared" si="23"/>
        <v>2280</v>
      </c>
      <c r="H27" s="14">
        <f t="shared" si="24"/>
        <v>1140</v>
      </c>
      <c r="I27" s="14">
        <f t="shared" si="25"/>
        <v>380</v>
      </c>
      <c r="J27" s="17">
        <f t="shared" si="19"/>
        <v>1.2666666666666666</v>
      </c>
    </row>
    <row r="28" spans="1:20" x14ac:dyDescent="0.15">
      <c r="A28" s="85"/>
      <c r="B28" s="13" t="s">
        <v>48</v>
      </c>
      <c r="C28" s="14">
        <f t="shared" si="20"/>
        <v>39000</v>
      </c>
      <c r="D28" s="14">
        <f t="shared" si="21"/>
        <v>3000</v>
      </c>
      <c r="E28" s="14">
        <f t="shared" si="22"/>
        <v>36000</v>
      </c>
      <c r="F28" s="15">
        <v>3000</v>
      </c>
      <c r="G28" s="14">
        <f t="shared" si="23"/>
        <v>1800</v>
      </c>
      <c r="H28" s="14">
        <f t="shared" si="24"/>
        <v>900</v>
      </c>
      <c r="I28" s="14">
        <f t="shared" si="25"/>
        <v>300</v>
      </c>
      <c r="J28" s="17" t="e">
        <f t="shared" si="19"/>
        <v>#DIV/0!</v>
      </c>
    </row>
  </sheetData>
  <mergeCells count="60">
    <mergeCell ref="T2:T3"/>
    <mergeCell ref="T4:T8"/>
    <mergeCell ref="T9:T13"/>
    <mergeCell ref="T14:T18"/>
    <mergeCell ref="T19:T23"/>
    <mergeCell ref="S2:S3"/>
    <mergeCell ref="S4:S8"/>
    <mergeCell ref="S9:S13"/>
    <mergeCell ref="S14:S18"/>
    <mergeCell ref="S19:S23"/>
    <mergeCell ref="R2:R3"/>
    <mergeCell ref="R4:R8"/>
    <mergeCell ref="R9:R13"/>
    <mergeCell ref="R14:R18"/>
    <mergeCell ref="R19:R23"/>
    <mergeCell ref="Q2:Q3"/>
    <mergeCell ref="Q4:Q8"/>
    <mergeCell ref="Q9:Q13"/>
    <mergeCell ref="Q14:Q18"/>
    <mergeCell ref="Q19:Q23"/>
    <mergeCell ref="O4:O8"/>
    <mergeCell ref="O9:O13"/>
    <mergeCell ref="O14:O18"/>
    <mergeCell ref="O19:O23"/>
    <mergeCell ref="P2:P3"/>
    <mergeCell ref="P4:P13"/>
    <mergeCell ref="P14:P23"/>
    <mergeCell ref="M14:M18"/>
    <mergeCell ref="M19:M23"/>
    <mergeCell ref="N4:N8"/>
    <mergeCell ref="N9:N13"/>
    <mergeCell ref="N14:N18"/>
    <mergeCell ref="N19:N23"/>
    <mergeCell ref="K14:K23"/>
    <mergeCell ref="L2:L3"/>
    <mergeCell ref="L4:L8"/>
    <mergeCell ref="L9:L13"/>
    <mergeCell ref="L14:L18"/>
    <mergeCell ref="L19:L23"/>
    <mergeCell ref="A14:A18"/>
    <mergeCell ref="A19:A23"/>
    <mergeCell ref="A24:A28"/>
    <mergeCell ref="B2:B3"/>
    <mergeCell ref="C2:C3"/>
    <mergeCell ref="A1:T1"/>
    <mergeCell ref="M2:O2"/>
    <mergeCell ref="A2:A3"/>
    <mergeCell ref="A4:A8"/>
    <mergeCell ref="A9:A13"/>
    <mergeCell ref="D2:D3"/>
    <mergeCell ref="E2:E3"/>
    <mergeCell ref="F2:F3"/>
    <mergeCell ref="G2:G3"/>
    <mergeCell ref="H2:H3"/>
    <mergeCell ref="I2:I3"/>
    <mergeCell ref="J2:J3"/>
    <mergeCell ref="K2:K3"/>
    <mergeCell ref="K4:K13"/>
    <mergeCell ref="M4:M8"/>
    <mergeCell ref="M9:M13"/>
  </mergeCells>
  <phoneticPr fontId="9" type="noConversion"/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T27"/>
  <sheetViews>
    <sheetView topLeftCell="H1" workbookViewId="0">
      <selection activeCell="G23" sqref="G23:I23"/>
    </sheetView>
  </sheetViews>
  <sheetFormatPr defaultColWidth="9" defaultRowHeight="14.25" x14ac:dyDescent="0.15"/>
  <cols>
    <col min="1" max="1" width="11.375" customWidth="1"/>
    <col min="2" max="4" width="10.375" customWidth="1"/>
    <col min="10" max="10" width="7.875" style="1" customWidth="1"/>
    <col min="11" max="11" width="11.625" customWidth="1"/>
    <col min="12" max="12" width="12.875" customWidth="1"/>
    <col min="15" max="15" width="11.5" customWidth="1"/>
    <col min="16" max="16" width="12.5" customWidth="1"/>
    <col min="17" max="17" width="13.375" style="2" customWidth="1"/>
    <col min="18" max="18" width="12.125" customWidth="1"/>
    <col min="19" max="19" width="13.875" customWidth="1"/>
    <col min="20" max="20" width="10.125" customWidth="1"/>
  </cols>
  <sheetData>
    <row r="1" spans="1:20" ht="27.75" customHeight="1" x14ac:dyDescent="0.1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0" ht="14.25" customHeight="1" x14ac:dyDescent="0.15">
      <c r="A2" s="37" t="s">
        <v>1</v>
      </c>
      <c r="B2" s="44" t="s">
        <v>2</v>
      </c>
      <c r="C2" s="44" t="s">
        <v>3</v>
      </c>
      <c r="D2" s="45" t="s">
        <v>4</v>
      </c>
      <c r="E2" s="44" t="s">
        <v>5</v>
      </c>
      <c r="F2" s="44" t="s">
        <v>6</v>
      </c>
      <c r="G2" s="44" t="s">
        <v>7</v>
      </c>
      <c r="H2" s="44" t="s">
        <v>8</v>
      </c>
      <c r="I2" s="47" t="s">
        <v>9</v>
      </c>
      <c r="J2" s="48" t="s">
        <v>10</v>
      </c>
      <c r="K2" s="44" t="s">
        <v>11</v>
      </c>
      <c r="L2" s="45" t="s">
        <v>12</v>
      </c>
      <c r="M2" s="34" t="s">
        <v>13</v>
      </c>
      <c r="N2" s="35"/>
      <c r="O2" s="36"/>
      <c r="P2" s="44" t="s">
        <v>14</v>
      </c>
      <c r="Q2" s="60" t="s">
        <v>15</v>
      </c>
      <c r="R2" s="64" t="s">
        <v>16</v>
      </c>
      <c r="S2" s="64" t="s">
        <v>17</v>
      </c>
      <c r="T2" s="64" t="s">
        <v>18</v>
      </c>
    </row>
    <row r="3" spans="1:20" x14ac:dyDescent="0.15">
      <c r="A3" s="37"/>
      <c r="B3" s="44"/>
      <c r="C3" s="44"/>
      <c r="D3" s="46"/>
      <c r="E3" s="44"/>
      <c r="F3" s="44"/>
      <c r="G3" s="44"/>
      <c r="H3" s="44"/>
      <c r="I3" s="44"/>
      <c r="J3" s="49"/>
      <c r="K3" s="44"/>
      <c r="L3" s="46"/>
      <c r="M3" s="16" t="s">
        <v>7</v>
      </c>
      <c r="N3" s="16" t="s">
        <v>8</v>
      </c>
      <c r="O3" s="3" t="s">
        <v>9</v>
      </c>
      <c r="P3" s="44"/>
      <c r="Q3" s="60"/>
      <c r="R3" s="64"/>
      <c r="S3" s="64"/>
      <c r="T3" s="64"/>
    </row>
    <row r="4" spans="1:20" ht="14.25" customHeight="1" x14ac:dyDescent="0.15">
      <c r="A4" s="66" t="s">
        <v>91</v>
      </c>
      <c r="B4" s="4" t="s">
        <v>20</v>
      </c>
      <c r="C4" s="5">
        <f t="shared" ref="C4:C19" si="0">D4+E4</f>
        <v>386400</v>
      </c>
      <c r="D4" s="5">
        <f t="shared" ref="D4:D8" si="1">F4*1.8</f>
        <v>50400</v>
      </c>
      <c r="E4" s="5">
        <f t="shared" ref="E4:E19" si="2">F4*12</f>
        <v>336000</v>
      </c>
      <c r="F4" s="6">
        <v>28000</v>
      </c>
      <c r="G4" s="5">
        <f t="shared" ref="G4:G19" si="3">F4*0.6</f>
        <v>16800</v>
      </c>
      <c r="H4" s="5">
        <f t="shared" ref="H4:H8" si="4">F4*0.15</f>
        <v>4200</v>
      </c>
      <c r="I4" s="5">
        <f t="shared" ref="I4:I8" si="5">F4*0.25</f>
        <v>7000</v>
      </c>
      <c r="J4" s="17">
        <f t="shared" ref="J4:J22" si="6">F4/F5</f>
        <v>1.2173913043478262</v>
      </c>
      <c r="K4" s="50" t="s">
        <v>21</v>
      </c>
      <c r="L4" s="53" t="s">
        <v>22</v>
      </c>
      <c r="M4" s="54">
        <v>0.6</v>
      </c>
      <c r="N4" s="54">
        <v>0.15</v>
      </c>
      <c r="O4" s="54">
        <v>0.25</v>
      </c>
      <c r="P4" s="57" t="s">
        <v>23</v>
      </c>
      <c r="Q4" s="61" t="s">
        <v>24</v>
      </c>
      <c r="R4" s="65">
        <v>3000</v>
      </c>
      <c r="S4" s="65">
        <v>1500</v>
      </c>
      <c r="T4" s="65">
        <v>2000</v>
      </c>
    </row>
    <row r="5" spans="1:20" x14ac:dyDescent="0.15">
      <c r="A5" s="39"/>
      <c r="B5" s="4" t="s">
        <v>25</v>
      </c>
      <c r="C5" s="5">
        <f t="shared" si="0"/>
        <v>317400</v>
      </c>
      <c r="D5" s="5">
        <f t="shared" si="1"/>
        <v>41400</v>
      </c>
      <c r="E5" s="5">
        <f t="shared" si="2"/>
        <v>276000</v>
      </c>
      <c r="F5" s="6">
        <v>23000</v>
      </c>
      <c r="G5" s="5">
        <f t="shared" si="3"/>
        <v>13800</v>
      </c>
      <c r="H5" s="5">
        <f t="shared" si="4"/>
        <v>3450</v>
      </c>
      <c r="I5" s="5">
        <f t="shared" si="5"/>
        <v>5750</v>
      </c>
      <c r="J5" s="17">
        <f t="shared" si="6"/>
        <v>1.1499999999999999</v>
      </c>
      <c r="K5" s="51"/>
      <c r="L5" s="53"/>
      <c r="M5" s="55"/>
      <c r="N5" s="55"/>
      <c r="O5" s="55"/>
      <c r="P5" s="58"/>
      <c r="Q5" s="62"/>
      <c r="R5" s="65"/>
      <c r="S5" s="65"/>
      <c r="T5" s="65"/>
    </row>
    <row r="6" spans="1:20" x14ac:dyDescent="0.15">
      <c r="A6" s="39"/>
      <c r="B6" s="4" t="s">
        <v>26</v>
      </c>
      <c r="C6" s="5">
        <f t="shared" si="0"/>
        <v>276000</v>
      </c>
      <c r="D6" s="5">
        <f t="shared" si="1"/>
        <v>36000</v>
      </c>
      <c r="E6" s="5">
        <f t="shared" si="2"/>
        <v>240000</v>
      </c>
      <c r="F6" s="6">
        <v>20000</v>
      </c>
      <c r="G6" s="5">
        <f t="shared" si="3"/>
        <v>12000</v>
      </c>
      <c r="H6" s="5">
        <f t="shared" si="4"/>
        <v>3000</v>
      </c>
      <c r="I6" s="5">
        <f t="shared" si="5"/>
        <v>5000</v>
      </c>
      <c r="J6" s="17">
        <f t="shared" si="6"/>
        <v>1.1111111111111112</v>
      </c>
      <c r="K6" s="51"/>
      <c r="L6" s="53"/>
      <c r="M6" s="55"/>
      <c r="N6" s="55"/>
      <c r="O6" s="55"/>
      <c r="P6" s="58"/>
      <c r="Q6" s="62"/>
      <c r="R6" s="65"/>
      <c r="S6" s="65"/>
      <c r="T6" s="65"/>
    </row>
    <row r="7" spans="1:20" x14ac:dyDescent="0.15">
      <c r="A7" s="39"/>
      <c r="B7" s="4" t="s">
        <v>27</v>
      </c>
      <c r="C7" s="5">
        <f t="shared" si="0"/>
        <v>248400</v>
      </c>
      <c r="D7" s="5">
        <f t="shared" si="1"/>
        <v>32400</v>
      </c>
      <c r="E7" s="5">
        <f t="shared" si="2"/>
        <v>216000</v>
      </c>
      <c r="F7" s="6">
        <v>18000</v>
      </c>
      <c r="G7" s="5">
        <f t="shared" si="3"/>
        <v>10800</v>
      </c>
      <c r="H7" s="5">
        <f t="shared" si="4"/>
        <v>2700</v>
      </c>
      <c r="I7" s="5">
        <f t="shared" si="5"/>
        <v>4500</v>
      </c>
      <c r="J7" s="17">
        <f t="shared" si="6"/>
        <v>1.2</v>
      </c>
      <c r="K7" s="51"/>
      <c r="L7" s="53"/>
      <c r="M7" s="55"/>
      <c r="N7" s="55"/>
      <c r="O7" s="55"/>
      <c r="P7" s="58"/>
      <c r="Q7" s="62"/>
      <c r="R7" s="65"/>
      <c r="S7" s="65"/>
      <c r="T7" s="65"/>
    </row>
    <row r="8" spans="1:20" x14ac:dyDescent="0.15">
      <c r="A8" s="40"/>
      <c r="B8" s="4" t="s">
        <v>28</v>
      </c>
      <c r="C8" s="5">
        <f t="shared" si="0"/>
        <v>207000</v>
      </c>
      <c r="D8" s="5">
        <f t="shared" si="1"/>
        <v>27000</v>
      </c>
      <c r="E8" s="5">
        <f t="shared" si="2"/>
        <v>180000</v>
      </c>
      <c r="F8" s="6">
        <v>15000</v>
      </c>
      <c r="G8" s="5">
        <f t="shared" si="3"/>
        <v>9000</v>
      </c>
      <c r="H8" s="5">
        <f t="shared" si="4"/>
        <v>2250</v>
      </c>
      <c r="I8" s="5">
        <f t="shared" si="5"/>
        <v>3750</v>
      </c>
      <c r="J8" s="17">
        <f t="shared" si="6"/>
        <v>1</v>
      </c>
      <c r="K8" s="51"/>
      <c r="L8" s="53"/>
      <c r="M8" s="56"/>
      <c r="N8" s="56"/>
      <c r="O8" s="56"/>
      <c r="P8" s="58"/>
      <c r="Q8" s="63"/>
      <c r="R8" s="65"/>
      <c r="S8" s="65"/>
      <c r="T8" s="65"/>
    </row>
    <row r="9" spans="1:20" x14ac:dyDescent="0.15">
      <c r="A9" s="41" t="s">
        <v>92</v>
      </c>
      <c r="B9" s="7" t="s">
        <v>20</v>
      </c>
      <c r="C9" s="8">
        <f t="shared" si="0"/>
        <v>202500</v>
      </c>
      <c r="D9" s="8">
        <f t="shared" ref="D9:D13" si="7">F9*1.5</f>
        <v>22500</v>
      </c>
      <c r="E9" s="8">
        <f t="shared" si="2"/>
        <v>180000</v>
      </c>
      <c r="F9" s="9">
        <v>15000</v>
      </c>
      <c r="G9" s="8">
        <f t="shared" si="3"/>
        <v>9000</v>
      </c>
      <c r="H9" s="8">
        <f t="shared" ref="H9:H13" si="8">F9*0.2</f>
        <v>3000</v>
      </c>
      <c r="I9" s="8">
        <f>F9*0.2</f>
        <v>3000</v>
      </c>
      <c r="J9" s="17">
        <f t="shared" si="6"/>
        <v>1.1111111111111112</v>
      </c>
      <c r="K9" s="51"/>
      <c r="L9" s="53" t="s">
        <v>30</v>
      </c>
      <c r="M9" s="54">
        <v>0.6</v>
      </c>
      <c r="N9" s="54">
        <v>0.2</v>
      </c>
      <c r="O9" s="54">
        <v>0.2</v>
      </c>
      <c r="P9" s="58"/>
      <c r="Q9" s="61" t="s">
        <v>31</v>
      </c>
      <c r="R9" s="65">
        <v>2000</v>
      </c>
      <c r="S9" s="65">
        <v>1000</v>
      </c>
      <c r="T9" s="65">
        <v>1000</v>
      </c>
    </row>
    <row r="10" spans="1:20" x14ac:dyDescent="0.15">
      <c r="A10" s="42"/>
      <c r="B10" s="7" t="s">
        <v>25</v>
      </c>
      <c r="C10" s="8">
        <f t="shared" si="0"/>
        <v>182250</v>
      </c>
      <c r="D10" s="8">
        <f t="shared" si="7"/>
        <v>20250</v>
      </c>
      <c r="E10" s="8">
        <f t="shared" si="2"/>
        <v>162000</v>
      </c>
      <c r="F10" s="9">
        <v>13500</v>
      </c>
      <c r="G10" s="8">
        <f t="shared" si="3"/>
        <v>8100</v>
      </c>
      <c r="H10" s="8">
        <f t="shared" si="8"/>
        <v>2700</v>
      </c>
      <c r="I10" s="8">
        <f t="shared" ref="I10:I13" si="9">F10*0.2</f>
        <v>2700</v>
      </c>
      <c r="J10" s="17">
        <f t="shared" si="6"/>
        <v>1.125</v>
      </c>
      <c r="K10" s="51"/>
      <c r="L10" s="53"/>
      <c r="M10" s="55"/>
      <c r="N10" s="55"/>
      <c r="O10" s="55"/>
      <c r="P10" s="58"/>
      <c r="Q10" s="62"/>
      <c r="R10" s="65"/>
      <c r="S10" s="65"/>
      <c r="T10" s="65"/>
    </row>
    <row r="11" spans="1:20" x14ac:dyDescent="0.15">
      <c r="A11" s="42"/>
      <c r="B11" s="7" t="s">
        <v>26</v>
      </c>
      <c r="C11" s="8">
        <f t="shared" si="0"/>
        <v>162000</v>
      </c>
      <c r="D11" s="8">
        <f t="shared" si="7"/>
        <v>18000</v>
      </c>
      <c r="E11" s="8">
        <f t="shared" si="2"/>
        <v>144000</v>
      </c>
      <c r="F11" s="9">
        <v>12000</v>
      </c>
      <c r="G11" s="8">
        <f t="shared" si="3"/>
        <v>7200</v>
      </c>
      <c r="H11" s="8">
        <f t="shared" si="8"/>
        <v>2400</v>
      </c>
      <c r="I11" s="8">
        <f t="shared" si="9"/>
        <v>2400</v>
      </c>
      <c r="J11" s="17">
        <f t="shared" si="6"/>
        <v>1.1428571428571428</v>
      </c>
      <c r="K11" s="51"/>
      <c r="L11" s="53"/>
      <c r="M11" s="55"/>
      <c r="N11" s="55"/>
      <c r="O11" s="55"/>
      <c r="P11" s="58"/>
      <c r="Q11" s="62"/>
      <c r="R11" s="65"/>
      <c r="S11" s="65"/>
      <c r="T11" s="65"/>
    </row>
    <row r="12" spans="1:20" x14ac:dyDescent="0.15">
      <c r="A12" s="42"/>
      <c r="B12" s="7" t="s">
        <v>27</v>
      </c>
      <c r="C12" s="8">
        <f t="shared" si="0"/>
        <v>141750</v>
      </c>
      <c r="D12" s="8">
        <f t="shared" si="7"/>
        <v>15750</v>
      </c>
      <c r="E12" s="8">
        <f t="shared" si="2"/>
        <v>126000</v>
      </c>
      <c r="F12" s="9">
        <v>10500</v>
      </c>
      <c r="G12" s="8">
        <f t="shared" si="3"/>
        <v>6300</v>
      </c>
      <c r="H12" s="8">
        <f t="shared" si="8"/>
        <v>2100</v>
      </c>
      <c r="I12" s="8">
        <f t="shared" si="9"/>
        <v>2100</v>
      </c>
      <c r="J12" s="17">
        <f t="shared" si="6"/>
        <v>1.1666666666666667</v>
      </c>
      <c r="K12" s="51"/>
      <c r="L12" s="53"/>
      <c r="M12" s="55"/>
      <c r="N12" s="55"/>
      <c r="O12" s="55"/>
      <c r="P12" s="58"/>
      <c r="Q12" s="62"/>
      <c r="R12" s="65"/>
      <c r="S12" s="65"/>
      <c r="T12" s="65"/>
    </row>
    <row r="13" spans="1:20" x14ac:dyDescent="0.15">
      <c r="A13" s="43"/>
      <c r="B13" s="7" t="s">
        <v>28</v>
      </c>
      <c r="C13" s="8">
        <f t="shared" si="0"/>
        <v>121500</v>
      </c>
      <c r="D13" s="8">
        <f t="shared" si="7"/>
        <v>13500</v>
      </c>
      <c r="E13" s="8">
        <f t="shared" si="2"/>
        <v>108000</v>
      </c>
      <c r="F13" s="9">
        <v>9000</v>
      </c>
      <c r="G13" s="8">
        <f t="shared" si="3"/>
        <v>5400</v>
      </c>
      <c r="H13" s="8">
        <f t="shared" si="8"/>
        <v>1800</v>
      </c>
      <c r="I13" s="8">
        <f t="shared" si="9"/>
        <v>1800</v>
      </c>
      <c r="J13" s="17">
        <f t="shared" si="6"/>
        <v>1</v>
      </c>
      <c r="K13" s="52"/>
      <c r="L13" s="53"/>
      <c r="M13" s="56"/>
      <c r="N13" s="56"/>
      <c r="O13" s="56"/>
      <c r="P13" s="59"/>
      <c r="Q13" s="63"/>
      <c r="R13" s="65"/>
      <c r="S13" s="65"/>
      <c r="T13" s="65"/>
    </row>
    <row r="14" spans="1:20" ht="14.25" customHeight="1" x14ac:dyDescent="0.15">
      <c r="A14" s="116" t="s">
        <v>93</v>
      </c>
      <c r="B14" s="10" t="s">
        <v>20</v>
      </c>
      <c r="C14" s="11">
        <f t="shared" si="0"/>
        <v>118800</v>
      </c>
      <c r="D14" s="11">
        <f t="shared" ref="D14:D18" si="10">F14*1.2</f>
        <v>10800</v>
      </c>
      <c r="E14" s="11">
        <f t="shared" si="2"/>
        <v>108000</v>
      </c>
      <c r="F14" s="12">
        <v>9000</v>
      </c>
      <c r="G14" s="11">
        <f t="shared" si="3"/>
        <v>5400</v>
      </c>
      <c r="H14" s="11">
        <f t="shared" ref="H14:H18" si="11">F14*0.25</f>
        <v>2250</v>
      </c>
      <c r="I14" s="11">
        <f t="shared" ref="I14:I18" si="12">F14*0.15</f>
        <v>1350</v>
      </c>
      <c r="J14" s="17">
        <f t="shared" si="6"/>
        <v>1.2</v>
      </c>
      <c r="K14" s="75" t="s">
        <v>35</v>
      </c>
      <c r="L14" s="53" t="s">
        <v>36</v>
      </c>
      <c r="M14" s="54">
        <v>0.6</v>
      </c>
      <c r="N14" s="54">
        <v>0.25</v>
      </c>
      <c r="O14" s="54">
        <v>0.15</v>
      </c>
      <c r="P14" s="57" t="s">
        <v>37</v>
      </c>
      <c r="Q14" s="61" t="s">
        <v>38</v>
      </c>
      <c r="R14" s="65">
        <v>1000</v>
      </c>
      <c r="S14" s="65">
        <v>500</v>
      </c>
      <c r="T14" s="78" t="s">
        <v>39</v>
      </c>
    </row>
    <row r="15" spans="1:20" ht="14.25" customHeight="1" x14ac:dyDescent="0.15">
      <c r="A15" s="68"/>
      <c r="B15" s="10" t="s">
        <v>25</v>
      </c>
      <c r="C15" s="11">
        <f t="shared" si="0"/>
        <v>99000</v>
      </c>
      <c r="D15" s="11">
        <f t="shared" si="10"/>
        <v>9000</v>
      </c>
      <c r="E15" s="11">
        <f t="shared" si="2"/>
        <v>90000</v>
      </c>
      <c r="F15" s="12">
        <v>7500</v>
      </c>
      <c r="G15" s="11">
        <f t="shared" si="3"/>
        <v>4500</v>
      </c>
      <c r="H15" s="11">
        <f t="shared" si="11"/>
        <v>1875</v>
      </c>
      <c r="I15" s="11">
        <f t="shared" si="12"/>
        <v>1125</v>
      </c>
      <c r="J15" s="17">
        <f t="shared" si="6"/>
        <v>1.1538461538461537</v>
      </c>
      <c r="K15" s="75"/>
      <c r="L15" s="53"/>
      <c r="M15" s="55"/>
      <c r="N15" s="55"/>
      <c r="O15" s="55"/>
      <c r="P15" s="55"/>
      <c r="Q15" s="62"/>
      <c r="R15" s="65"/>
      <c r="S15" s="65"/>
      <c r="T15" s="65"/>
    </row>
    <row r="16" spans="1:20" x14ac:dyDescent="0.15">
      <c r="A16" s="68"/>
      <c r="B16" s="10" t="s">
        <v>26</v>
      </c>
      <c r="C16" s="11">
        <f t="shared" si="0"/>
        <v>85800</v>
      </c>
      <c r="D16" s="11">
        <f t="shared" si="10"/>
        <v>7800</v>
      </c>
      <c r="E16" s="11">
        <f t="shared" si="2"/>
        <v>78000</v>
      </c>
      <c r="F16" s="12">
        <v>6500</v>
      </c>
      <c r="G16" s="11">
        <f t="shared" si="3"/>
        <v>3900</v>
      </c>
      <c r="H16" s="11">
        <f t="shared" si="11"/>
        <v>1625</v>
      </c>
      <c r="I16" s="11">
        <f t="shared" si="12"/>
        <v>975</v>
      </c>
      <c r="J16" s="17">
        <f t="shared" si="6"/>
        <v>1.1206896551724137</v>
      </c>
      <c r="K16" s="75"/>
      <c r="L16" s="53"/>
      <c r="M16" s="55"/>
      <c r="N16" s="55"/>
      <c r="O16" s="55"/>
      <c r="P16" s="55"/>
      <c r="Q16" s="62"/>
      <c r="R16" s="65"/>
      <c r="S16" s="65"/>
      <c r="T16" s="65"/>
    </row>
    <row r="17" spans="1:20" x14ac:dyDescent="0.15">
      <c r="A17" s="68"/>
      <c r="B17" s="10" t="s">
        <v>27</v>
      </c>
      <c r="C17" s="11">
        <f t="shared" si="0"/>
        <v>76560</v>
      </c>
      <c r="D17" s="11">
        <f t="shared" si="10"/>
        <v>6960</v>
      </c>
      <c r="E17" s="11">
        <f t="shared" si="2"/>
        <v>69600</v>
      </c>
      <c r="F17" s="12">
        <v>5800</v>
      </c>
      <c r="G17" s="11">
        <f t="shared" si="3"/>
        <v>3480</v>
      </c>
      <c r="H17" s="11">
        <f t="shared" si="11"/>
        <v>1450</v>
      </c>
      <c r="I17" s="11">
        <f t="shared" si="12"/>
        <v>870</v>
      </c>
      <c r="J17" s="17">
        <f t="shared" si="6"/>
        <v>1.1153846153846154</v>
      </c>
      <c r="K17" s="75"/>
      <c r="L17" s="53"/>
      <c r="M17" s="55"/>
      <c r="N17" s="55"/>
      <c r="O17" s="55"/>
      <c r="P17" s="55"/>
      <c r="Q17" s="62"/>
      <c r="R17" s="65"/>
      <c r="S17" s="65"/>
      <c r="T17" s="65"/>
    </row>
    <row r="18" spans="1:20" x14ac:dyDescent="0.15">
      <c r="A18" s="69"/>
      <c r="B18" s="10" t="s">
        <v>28</v>
      </c>
      <c r="C18" s="11">
        <f t="shared" si="0"/>
        <v>68640</v>
      </c>
      <c r="D18" s="11">
        <f t="shared" si="10"/>
        <v>6240</v>
      </c>
      <c r="E18" s="11">
        <f t="shared" si="2"/>
        <v>62400</v>
      </c>
      <c r="F18" s="12">
        <v>5200</v>
      </c>
      <c r="G18" s="11">
        <f t="shared" si="3"/>
        <v>3120</v>
      </c>
      <c r="H18" s="11">
        <f t="shared" si="11"/>
        <v>1300</v>
      </c>
      <c r="I18" s="11">
        <f t="shared" si="12"/>
        <v>780</v>
      </c>
      <c r="J18" s="17">
        <f t="shared" si="6"/>
        <v>1</v>
      </c>
      <c r="K18" s="75"/>
      <c r="L18" s="53"/>
      <c r="M18" s="56"/>
      <c r="N18" s="56"/>
      <c r="O18" s="56"/>
      <c r="P18" s="55"/>
      <c r="Q18" s="63"/>
      <c r="R18" s="65"/>
      <c r="S18" s="65"/>
      <c r="T18" s="65"/>
    </row>
    <row r="19" spans="1:20" x14ac:dyDescent="0.15">
      <c r="A19" s="70" t="s">
        <v>94</v>
      </c>
      <c r="B19" s="13" t="s">
        <v>43</v>
      </c>
      <c r="C19" s="14">
        <f t="shared" si="0"/>
        <v>67600</v>
      </c>
      <c r="D19" s="14">
        <f>F19</f>
        <v>5200</v>
      </c>
      <c r="E19" s="14">
        <f t="shared" si="2"/>
        <v>62400</v>
      </c>
      <c r="F19" s="15">
        <v>5200</v>
      </c>
      <c r="G19" s="14">
        <f t="shared" si="3"/>
        <v>3120</v>
      </c>
      <c r="H19" s="14">
        <f>F19*0.3</f>
        <v>1560</v>
      </c>
      <c r="I19" s="14">
        <f>F19*0.1</f>
        <v>520</v>
      </c>
      <c r="J19" s="17">
        <f t="shared" si="6"/>
        <v>1.1304347826086956</v>
      </c>
      <c r="K19" s="75"/>
      <c r="L19" s="53" t="s">
        <v>44</v>
      </c>
      <c r="M19" s="76">
        <v>0.6</v>
      </c>
      <c r="N19" s="76">
        <v>0.3</v>
      </c>
      <c r="O19" s="76">
        <v>0.1</v>
      </c>
      <c r="P19" s="55"/>
      <c r="Q19" s="61" t="s">
        <v>45</v>
      </c>
      <c r="R19" s="65">
        <v>500</v>
      </c>
      <c r="S19" s="65">
        <v>300</v>
      </c>
      <c r="T19" s="78" t="s">
        <v>39</v>
      </c>
    </row>
    <row r="20" spans="1:20" x14ac:dyDescent="0.15">
      <c r="A20" s="84"/>
      <c r="B20" s="13" t="s">
        <v>25</v>
      </c>
      <c r="C20" s="14">
        <f t="shared" ref="C20:C23" si="13">D20+E20</f>
        <v>59800</v>
      </c>
      <c r="D20" s="14">
        <f t="shared" ref="D20:D23" si="14">F20</f>
        <v>4600</v>
      </c>
      <c r="E20" s="14">
        <f t="shared" ref="E20:E23" si="15">F20*12</f>
        <v>55200</v>
      </c>
      <c r="F20" s="15">
        <v>4600</v>
      </c>
      <c r="G20" s="14">
        <f t="shared" ref="G20:G23" si="16">F20*0.6</f>
        <v>2760</v>
      </c>
      <c r="H20" s="14">
        <f t="shared" ref="H20:H23" si="17">F20*0.3</f>
        <v>1380</v>
      </c>
      <c r="I20" s="14">
        <f t="shared" ref="I20:I23" si="18">F20*0.1</f>
        <v>460</v>
      </c>
      <c r="J20" s="17">
        <f t="shared" si="6"/>
        <v>1.1499999999999999</v>
      </c>
      <c r="K20" s="75"/>
      <c r="L20" s="53"/>
      <c r="M20" s="77"/>
      <c r="N20" s="77"/>
      <c r="O20" s="77"/>
      <c r="P20" s="55"/>
      <c r="Q20" s="62"/>
      <c r="R20" s="65"/>
      <c r="S20" s="65"/>
      <c r="T20" s="65"/>
    </row>
    <row r="21" spans="1:20" x14ac:dyDescent="0.15">
      <c r="A21" s="84"/>
      <c r="B21" s="13" t="s">
        <v>46</v>
      </c>
      <c r="C21" s="14">
        <f t="shared" si="13"/>
        <v>52000</v>
      </c>
      <c r="D21" s="14">
        <f t="shared" si="14"/>
        <v>4000</v>
      </c>
      <c r="E21" s="14">
        <f t="shared" si="15"/>
        <v>48000</v>
      </c>
      <c r="F21" s="15">
        <v>4000</v>
      </c>
      <c r="G21" s="14">
        <f t="shared" si="16"/>
        <v>2400</v>
      </c>
      <c r="H21" s="14">
        <f t="shared" si="17"/>
        <v>1200</v>
      </c>
      <c r="I21" s="14">
        <f t="shared" si="18"/>
        <v>400</v>
      </c>
      <c r="J21" s="17">
        <f t="shared" si="6"/>
        <v>1.1428571428571428</v>
      </c>
      <c r="K21" s="75"/>
      <c r="L21" s="53"/>
      <c r="M21" s="77"/>
      <c r="N21" s="77"/>
      <c r="O21" s="77"/>
      <c r="P21" s="55"/>
      <c r="Q21" s="62"/>
      <c r="R21" s="65"/>
      <c r="S21" s="65"/>
      <c r="T21" s="65"/>
    </row>
    <row r="22" spans="1:20" x14ac:dyDescent="0.15">
      <c r="A22" s="84"/>
      <c r="B22" s="13" t="s">
        <v>47</v>
      </c>
      <c r="C22" s="14">
        <f t="shared" si="13"/>
        <v>45500</v>
      </c>
      <c r="D22" s="14">
        <f t="shared" si="14"/>
        <v>3500</v>
      </c>
      <c r="E22" s="14">
        <f t="shared" si="15"/>
        <v>42000</v>
      </c>
      <c r="F22" s="15">
        <v>3500</v>
      </c>
      <c r="G22" s="14">
        <f t="shared" si="16"/>
        <v>2100</v>
      </c>
      <c r="H22" s="14">
        <f t="shared" si="17"/>
        <v>1050</v>
      </c>
      <c r="I22" s="14">
        <f t="shared" si="18"/>
        <v>350</v>
      </c>
      <c r="J22" s="17">
        <f t="shared" si="6"/>
        <v>1.1666666666666667</v>
      </c>
      <c r="K22" s="75"/>
      <c r="L22" s="53"/>
      <c r="M22" s="77"/>
      <c r="N22" s="77"/>
      <c r="O22" s="77"/>
      <c r="P22" s="55"/>
      <c r="Q22" s="62"/>
      <c r="R22" s="65"/>
      <c r="S22" s="65"/>
      <c r="T22" s="65"/>
    </row>
    <row r="23" spans="1:20" x14ac:dyDescent="0.15">
      <c r="A23" s="85"/>
      <c r="B23" s="13" t="s">
        <v>48</v>
      </c>
      <c r="C23" s="14">
        <f t="shared" si="13"/>
        <v>39000</v>
      </c>
      <c r="D23" s="14">
        <f t="shared" si="14"/>
        <v>3000</v>
      </c>
      <c r="E23" s="14">
        <f t="shared" si="15"/>
        <v>36000</v>
      </c>
      <c r="F23" s="15">
        <v>3000</v>
      </c>
      <c r="G23" s="14">
        <f t="shared" si="16"/>
        <v>1800</v>
      </c>
      <c r="H23" s="14">
        <f t="shared" si="17"/>
        <v>900</v>
      </c>
      <c r="I23" s="14">
        <f t="shared" si="18"/>
        <v>300</v>
      </c>
      <c r="J23" s="17"/>
      <c r="K23" s="75"/>
      <c r="L23" s="53"/>
      <c r="M23" s="77"/>
      <c r="N23" s="77"/>
      <c r="O23" s="77"/>
      <c r="P23" s="56"/>
      <c r="Q23" s="63"/>
      <c r="R23" s="65"/>
      <c r="S23" s="65"/>
      <c r="T23" s="65"/>
    </row>
    <row r="27" spans="1:20" x14ac:dyDescent="0.15">
      <c r="E27">
        <f>E4/C4</f>
        <v>0.86956521739130432</v>
      </c>
      <c r="F27">
        <f>E23/C23</f>
        <v>0.92307692307692313</v>
      </c>
    </row>
  </sheetData>
  <mergeCells count="59">
    <mergeCell ref="T2:T3"/>
    <mergeCell ref="T4:T8"/>
    <mergeCell ref="T9:T13"/>
    <mergeCell ref="T14:T18"/>
    <mergeCell ref="T19:T23"/>
    <mergeCell ref="S2:S3"/>
    <mergeCell ref="S4:S8"/>
    <mergeCell ref="S9:S13"/>
    <mergeCell ref="S14:S18"/>
    <mergeCell ref="S19:S23"/>
    <mergeCell ref="R2:R3"/>
    <mergeCell ref="R4:R8"/>
    <mergeCell ref="R9:R13"/>
    <mergeCell ref="R14:R18"/>
    <mergeCell ref="R19:R23"/>
    <mergeCell ref="Q2:Q3"/>
    <mergeCell ref="Q4:Q8"/>
    <mergeCell ref="Q9:Q13"/>
    <mergeCell ref="Q14:Q18"/>
    <mergeCell ref="Q19:Q23"/>
    <mergeCell ref="O9:O13"/>
    <mergeCell ref="O14:O18"/>
    <mergeCell ref="O19:O23"/>
    <mergeCell ref="P2:P3"/>
    <mergeCell ref="P4:P13"/>
    <mergeCell ref="P14:P23"/>
    <mergeCell ref="M14:M18"/>
    <mergeCell ref="M19:M23"/>
    <mergeCell ref="N4:N8"/>
    <mergeCell ref="N9:N13"/>
    <mergeCell ref="N14:N18"/>
    <mergeCell ref="N19:N23"/>
    <mergeCell ref="K14:K23"/>
    <mergeCell ref="L2:L3"/>
    <mergeCell ref="L4:L8"/>
    <mergeCell ref="L9:L13"/>
    <mergeCell ref="L14:L18"/>
    <mergeCell ref="L19:L23"/>
    <mergeCell ref="A14:A18"/>
    <mergeCell ref="A19:A23"/>
    <mergeCell ref="B2:B3"/>
    <mergeCell ref="C2:C3"/>
    <mergeCell ref="D2:D3"/>
    <mergeCell ref="A1:T1"/>
    <mergeCell ref="M2:O2"/>
    <mergeCell ref="A2:A3"/>
    <mergeCell ref="A4:A8"/>
    <mergeCell ref="A9:A13"/>
    <mergeCell ref="E2:E3"/>
    <mergeCell ref="F2:F3"/>
    <mergeCell ref="G2:G3"/>
    <mergeCell ref="H2:H3"/>
    <mergeCell ref="I2:I3"/>
    <mergeCell ref="J2:J3"/>
    <mergeCell ref="K2:K3"/>
    <mergeCell ref="K4:K13"/>
    <mergeCell ref="M4:M8"/>
    <mergeCell ref="M9:M13"/>
    <mergeCell ref="O4:O8"/>
  </mergeCells>
  <phoneticPr fontId="9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总经办</vt:lpstr>
      <vt:lpstr>销售部</vt:lpstr>
      <vt:lpstr>网站运营部</vt:lpstr>
      <vt:lpstr>财务部</vt:lpstr>
      <vt:lpstr>美工部</vt:lpstr>
      <vt:lpstr>OA部</vt:lpstr>
      <vt:lpstr>采购部</vt:lpstr>
      <vt:lpstr>物流部</vt:lpstr>
      <vt:lpstr>技术部</vt:lpstr>
      <vt:lpstr>客服部</vt:lpstr>
      <vt:lpstr>人力资源部</vt:lpstr>
    </vt:vector>
  </TitlesOfParts>
  <Company>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祝进忠</dc:creator>
  <cp:keywords>工资草案</cp:keywords>
  <cp:lastModifiedBy>123</cp:lastModifiedBy>
  <cp:lastPrinted>2011-04-22T01:18:00Z</cp:lastPrinted>
  <dcterms:created xsi:type="dcterms:W3CDTF">2007-12-26T07:50:00Z</dcterms:created>
  <dcterms:modified xsi:type="dcterms:W3CDTF">2021-10-21T02:51:15Z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65740E3173C24FB1AEDF7684F9207F3B</vt:lpwstr>
  </property>
</Properties>
</file>