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080" windowHeight="13050" activeTab="1"/>
  </bookViews>
  <sheets>
    <sheet name="运营组长" sheetId="1" r:id="rId1"/>
    <sheet name="评分标准" sheetId="2" r:id="rId2"/>
  </sheets>
  <calcPr calcId="144525"/>
</workbook>
</file>

<file path=xl/sharedStrings.xml><?xml version="1.0" encoding="utf-8"?>
<sst xmlns="http://schemas.openxmlformats.org/spreadsheetml/2006/main" count="111">
  <si>
    <r>
      <rPr>
        <b/>
        <u/>
        <sz val="18"/>
        <rFont val="宋体"/>
        <charset val="134"/>
      </rPr>
      <t>运营组长</t>
    </r>
    <r>
      <rPr>
        <b/>
        <sz val="18"/>
        <rFont val="宋体"/>
        <charset val="134"/>
      </rPr>
      <t>岗位考核绩效表</t>
    </r>
  </si>
  <si>
    <t>姓名：</t>
  </si>
  <si>
    <t>部门：运营部</t>
  </si>
  <si>
    <t>岗位：运营组长</t>
  </si>
  <si>
    <t>职责</t>
  </si>
  <si>
    <t>数据来源</t>
  </si>
  <si>
    <t>考评</t>
  </si>
  <si>
    <t>权重占比</t>
  </si>
  <si>
    <t>工作内容</t>
  </si>
  <si>
    <t>考核标准</t>
  </si>
  <si>
    <t>评分</t>
  </si>
  <si>
    <t>扣分原因</t>
  </si>
  <si>
    <t>账号维护</t>
  </si>
  <si>
    <t>后台账号绩效</t>
  </si>
  <si>
    <t>主管</t>
  </si>
  <si>
    <t>维护账号表现各项指标健康安全，处理账号异常情况</t>
  </si>
  <si>
    <t>账号绩效及处理情况</t>
  </si>
  <si>
    <t>小组管理</t>
  </si>
  <si>
    <t>各店铺数据</t>
  </si>
  <si>
    <t>维护团队账号安全,规避及处理各类安全问题</t>
  </si>
  <si>
    <t>组员的管理、培训、工作安排</t>
  </si>
  <si>
    <t>组员的培训进度，指导实操，合理安排工作</t>
  </si>
  <si>
    <t>审核组员的文案和上架/同步情况</t>
  </si>
  <si>
    <t>上架文案不过关，同步不符合规范</t>
  </si>
  <si>
    <t>跟进补货情况，审核发货计划</t>
  </si>
  <si>
    <t>补货未跟进，计划安排不合理</t>
  </si>
  <si>
    <t>监看小组广告</t>
  </si>
  <si>
    <t>针对广告提出优化建议</t>
  </si>
  <si>
    <t>对各店铺提出运营建议，提升业绩</t>
  </si>
  <si>
    <t>监看各店铺运营情况</t>
  </si>
  <si>
    <t>产品维护与推广</t>
  </si>
  <si>
    <t>产品页面/费用收取</t>
  </si>
  <si>
    <t>保证产品可售</t>
  </si>
  <si>
    <t>及时处理不可售产品</t>
  </si>
  <si>
    <t>核对价格和利润率，检查listing的亚马逊各项费用是有误</t>
  </si>
  <si>
    <t>及时发现费用有误并处理</t>
  </si>
  <si>
    <t>收集分析市场状况及竞争对手状况，制定推广与销售计划</t>
  </si>
  <si>
    <t>不出单进行优化调整，不合理售价，执行推广计划</t>
  </si>
  <si>
    <t>库存监控与盘点</t>
  </si>
  <si>
    <t>冗余库存/货件</t>
  </si>
  <si>
    <t>产品日常销售情况分析，分析库存周转所需时间，制定补货计划，保持较好的库存周转率和库存量</t>
  </si>
  <si>
    <t>在售库存及补货情况</t>
  </si>
  <si>
    <t>合理安排红单/空派/海运，降低运输成本</t>
  </si>
  <si>
    <t>发货计划是否合理安排</t>
  </si>
  <si>
    <t>冗余库存：及时查看并制定促销计划</t>
  </si>
  <si>
    <t>清货计划执行情况，冗余库存数量变化</t>
  </si>
  <si>
    <t>货件检查，差异处理</t>
  </si>
  <si>
    <t>及时处理有差异的货件</t>
  </si>
  <si>
    <t>广告监控与优化</t>
  </si>
  <si>
    <t>广告数据</t>
  </si>
  <si>
    <t>广告开设：新品广告（自动+低竞价）/手动广告（关键词+商品投放）/品牌广告/展示广告</t>
  </si>
  <si>
    <t>广告开设情况</t>
  </si>
  <si>
    <t>优化广告，按时下载广告报表分析优化</t>
  </si>
  <si>
    <t>调整效果</t>
  </si>
  <si>
    <t>开发</t>
  </si>
  <si>
    <t>4款一个月，协助组员开发</t>
  </si>
  <si>
    <t>开发数量</t>
  </si>
  <si>
    <t>部门协作</t>
  </si>
  <si>
    <t>配合临时安排的其他工作</t>
  </si>
  <si>
    <t>完成上级安排的工作</t>
  </si>
  <si>
    <t>其他加减分</t>
  </si>
  <si>
    <t>1.月度内若员工在工作中有突出表现或进行了额外的工作，可由部门负责人根据实际情况酌情给予一定的加分，此项加分不高于10分；
2.针对公司的管理及其他提出合理性工作建议和解决方案，被公司采纳并推广实行的，可根据情况在总分的基础上加分，上限为10分；
3.在工作过程中，凡不服从工作安排，引起各部门间矛盾的，根据事态严重程度在绩效考核得分中扣除不高于10分；
4.产品出现侵权，或者因为个人不严谨出错，导致来差评的，根据事态严重程度在绩效考核得分中扣除不高于10分。</t>
  </si>
  <si>
    <t>评分规则</t>
  </si>
  <si>
    <t>评分区间</t>
  </si>
  <si>
    <t>总评分</t>
  </si>
  <si>
    <t>小红旗、政策合规性有问题的产品需要当天处理，否则扣50一次。需要跟进到产品恢复或者移除，没有及时跟进扣50一次</t>
  </si>
  <si>
    <t>得分</t>
  </si>
  <si>
    <t>评级</t>
  </si>
  <si>
    <t>绩效比例</t>
  </si>
  <si>
    <t>监督并协助组员处理，未跟进处理扣50分一次</t>
  </si>
  <si>
    <t>95-100</t>
  </si>
  <si>
    <t>A+</t>
  </si>
  <si>
    <t>按培训计划进行培训和指导实操</t>
  </si>
  <si>
    <t>85-94</t>
  </si>
  <si>
    <t>A</t>
  </si>
  <si>
    <t>审核组员的文案和上架/同步</t>
  </si>
  <si>
    <t>组员文案有不过关或者有问题，组长对应扣5分一次</t>
  </si>
  <si>
    <t>75-84</t>
  </si>
  <si>
    <t>B</t>
  </si>
  <si>
    <t>组员补货有问题，组长对应扣10分一次</t>
  </si>
  <si>
    <t>60-74</t>
  </si>
  <si>
    <t>C</t>
  </si>
  <si>
    <t>各店铺未开设对应的广告和不优化调整广告，扣5分一次</t>
  </si>
  <si>
    <t>&lt;60</t>
  </si>
  <si>
    <t>D</t>
  </si>
  <si>
    <t>未对小组店铺进行运营指导和监看，扣5分一次</t>
  </si>
  <si>
    <t>扣5分一次</t>
  </si>
  <si>
    <t>未及时补货产品扣5分一个</t>
  </si>
  <si>
    <t>根据发货泡重和实重搭配，运输时间搭配安排发货计划，未能合理分配扣10分一个货件</t>
  </si>
  <si>
    <t>清货计划执行情况，冗余库存数量变化
(月销量低于30的产品，库存天数181-365+参加考核，新品前2个月不参加考核)
注：1.清货产品设置错促销折扣导致的亏损的配送费和佣金，店铺负责人需要承担配送费和佣金的50%
2.普货设置错促销折扣导致亏损，店铺负责人需承担除利润以外，头程+成本+佣金+配送费的40%</t>
  </si>
  <si>
    <t>（上月库存-本月库存）/上月库存的百分比（其中本月库存为上月库存冗余产品的库存，不包括新满足库存天数181-365+的产品库存）</t>
  </si>
  <si>
    <t>&gt;10%</t>
  </si>
  <si>
    <t>91-100</t>
  </si>
  <si>
    <t>6%-10%</t>
  </si>
  <si>
    <t>81-90</t>
  </si>
  <si>
    <t>1%-5%</t>
  </si>
  <si>
    <t>61-80</t>
  </si>
  <si>
    <t>&lt;1%</t>
  </si>
  <si>
    <t>扣10分一次</t>
  </si>
  <si>
    <t>调整效果，以ACOS为标准
（新品前2个月不参加考核）</t>
  </si>
  <si>
    <t>&lt;25%</t>
  </si>
  <si>
    <t>25%-35%</t>
  </si>
  <si>
    <t>36%-45%</t>
  </si>
  <si>
    <t>&gt;45</t>
  </si>
  <si>
    <t>41-60</t>
  </si>
  <si>
    <t>少一款扣25</t>
  </si>
  <si>
    <t>完成率≥95%</t>
  </si>
  <si>
    <t>95%≥完成率＞90%</t>
  </si>
  <si>
    <t>90%≥完成率＞85%</t>
  </si>
  <si>
    <t>完成率≤80%</t>
  </si>
  <si>
    <t>0-40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</si>
</sst>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3">
    <font>
      <sz val="12"/>
      <name val="宋体"/>
      <charset val="134"/>
    </font>
    <font>
      <b/>
      <sz val="12"/>
      <name val="宋体"/>
      <charset val="134"/>
    </font>
    <font>
      <sz val="11"/>
      <name val="宋体"/>
      <charset val="134"/>
    </font>
    <font>
      <sz val="9"/>
      <color rgb="FFFF0000"/>
      <name val="微软雅黑"/>
      <charset val="134"/>
    </font>
    <font>
      <sz val="9"/>
      <color rgb="FFFF0000"/>
      <name val="Microsoft YaHei"/>
      <charset val="134"/>
    </font>
    <font>
      <sz val="10"/>
      <color rgb="FFFF0000"/>
      <name val="微软雅黑"/>
      <charset val="134"/>
    </font>
    <font>
      <sz val="11"/>
      <color rgb="FFFF0000"/>
      <name val="宋体"/>
      <charset val="134"/>
    </font>
    <font>
      <sz val="10"/>
      <name val="宋体"/>
      <charset val="134"/>
    </font>
    <font>
      <sz val="14"/>
      <name val="宋体"/>
      <charset val="134"/>
    </font>
    <font>
      <sz val="11"/>
      <color theme="1"/>
      <name val="宋体"/>
      <charset val="134"/>
      <scheme val="minor"/>
    </font>
    <font>
      <b/>
      <u/>
      <sz val="18"/>
      <name val="宋体"/>
      <charset val="134"/>
    </font>
    <font>
      <b/>
      <sz val="14"/>
      <name val="宋体"/>
      <charset val="134"/>
    </font>
    <font>
      <sz val="10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8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4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42" fontId="9" fillId="0" borderId="0" applyFont="0" applyFill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4" fillId="5" borderId="8" applyNumberFormat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43" fontId="9" fillId="0" borderId="0" applyFont="0" applyFill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9" fillId="16" borderId="12" applyNumberFormat="0" applyFont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5" fillId="0" borderId="13" applyNumberFormat="0" applyFill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8" fillId="26" borderId="15" applyNumberFormat="0" applyAlignment="0" applyProtection="0">
      <alignment vertical="center"/>
    </xf>
    <xf numFmtId="0" fontId="29" fillId="26" borderId="8" applyNumberFormat="0" applyAlignment="0" applyProtection="0">
      <alignment vertical="center"/>
    </xf>
    <xf numFmtId="0" fontId="27" fillId="24" borderId="14" applyNumberFormat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>
      <alignment vertical="center"/>
    </xf>
    <xf numFmtId="0" fontId="0" fillId="0" borderId="1" xfId="0" applyBorder="1">
      <alignment vertical="center"/>
    </xf>
    <xf numFmtId="0" fontId="3" fillId="0" borderId="1" xfId="0" applyFont="1" applyFill="1" applyBorder="1" applyAlignment="1">
      <alignment horizontal="center" vertical="center"/>
    </xf>
    <xf numFmtId="9" fontId="3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9" fontId="3" fillId="0" borderId="1" xfId="0" applyNumberFormat="1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left" vertical="center" wrapText="1"/>
    </xf>
    <xf numFmtId="0" fontId="6" fillId="0" borderId="1" xfId="0" applyFont="1" applyBorder="1">
      <alignment vertical="center"/>
    </xf>
    <xf numFmtId="0" fontId="2" fillId="0" borderId="6" xfId="0" applyFont="1" applyBorder="1" applyAlignment="1">
      <alignment horizontal="left" vertical="center" wrapText="1"/>
    </xf>
    <xf numFmtId="0" fontId="7" fillId="0" borderId="1" xfId="0" applyFont="1" applyFill="1" applyBorder="1" applyAlignment="1">
      <alignment horizontal="center" vertical="center" wrapText="1"/>
    </xf>
    <xf numFmtId="58" fontId="2" fillId="0" borderId="1" xfId="0" applyNumberFormat="1" applyFont="1" applyBorder="1">
      <alignment vertical="center"/>
    </xf>
    <xf numFmtId="0" fontId="2" fillId="0" borderId="1" xfId="0" applyFont="1" applyBorder="1" applyAlignment="1">
      <alignment horizontal="left" vertical="center"/>
    </xf>
    <xf numFmtId="9" fontId="0" fillId="0" borderId="0" xfId="0" applyNumberFormat="1">
      <alignment vertical="center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9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 wrapText="1"/>
    </xf>
    <xf numFmtId="0" fontId="10" fillId="0" borderId="0" xfId="0" applyFont="1" applyAlignment="1">
      <alignment horizontal="center" vertical="center"/>
    </xf>
    <xf numFmtId="0" fontId="11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9" fillId="0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Border="1">
      <alignment vertical="center"/>
    </xf>
    <xf numFmtId="0" fontId="12" fillId="0" borderId="0" xfId="0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workbookViewId="0">
      <pane ySplit="3" topLeftCell="A4" activePane="bottomLeft" state="frozen"/>
      <selection/>
      <selection pane="bottomLeft" activeCell="K23" sqref="K23"/>
    </sheetView>
  </sheetViews>
  <sheetFormatPr defaultColWidth="9" defaultRowHeight="14.25"/>
  <cols>
    <col min="1" max="1" width="18.75" style="30" customWidth="1"/>
    <col min="2" max="2" width="14.125" customWidth="1"/>
    <col min="3" max="3" width="9.375" customWidth="1"/>
    <col min="4" max="4" width="9.5" customWidth="1"/>
    <col min="5" max="5" width="51.375" style="31" customWidth="1"/>
    <col min="6" max="6" width="46" customWidth="1"/>
    <col min="7" max="8" width="12.5" customWidth="1"/>
    <col min="9" max="9" width="29.125" customWidth="1"/>
    <col min="10" max="10" width="12.5" customWidth="1"/>
  </cols>
  <sheetData>
    <row r="1" ht="39" customHeight="1" spans="1:10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</row>
    <row r="2" s="27" customFormat="1" ht="34" customHeight="1" spans="1:8">
      <c r="A2" s="33" t="s">
        <v>1</v>
      </c>
      <c r="B2" s="33"/>
      <c r="C2" s="33"/>
      <c r="D2" s="33"/>
      <c r="E2" s="33" t="s">
        <v>2</v>
      </c>
      <c r="F2" s="33" t="s">
        <v>3</v>
      </c>
      <c r="G2" s="33"/>
      <c r="H2" s="34"/>
    </row>
    <row r="3" s="28" customFormat="1" ht="42" customHeight="1" spans="1:10">
      <c r="A3" s="35" t="s">
        <v>4</v>
      </c>
      <c r="B3" s="36" t="s">
        <v>5</v>
      </c>
      <c r="C3" s="36" t="s">
        <v>6</v>
      </c>
      <c r="D3" s="36" t="s">
        <v>7</v>
      </c>
      <c r="E3" s="36" t="s">
        <v>8</v>
      </c>
      <c r="F3" s="36" t="s">
        <v>9</v>
      </c>
      <c r="G3" s="36" t="s">
        <v>7</v>
      </c>
      <c r="H3" s="36" t="s">
        <v>10</v>
      </c>
      <c r="I3" s="43" t="s">
        <v>11</v>
      </c>
      <c r="J3" s="36"/>
    </row>
    <row r="4" ht="22" customHeight="1" spans="1:10">
      <c r="A4" s="37" t="s">
        <v>12</v>
      </c>
      <c r="B4" s="38" t="s">
        <v>13</v>
      </c>
      <c r="C4" s="38" t="s">
        <v>14</v>
      </c>
      <c r="D4" s="39">
        <v>0.1</v>
      </c>
      <c r="E4" s="5" t="s">
        <v>15</v>
      </c>
      <c r="F4" s="5" t="s">
        <v>16</v>
      </c>
      <c r="G4" s="39">
        <v>1</v>
      </c>
      <c r="H4" s="40">
        <v>100</v>
      </c>
      <c r="I4" s="7"/>
      <c r="J4" s="40">
        <f>G4*H4*D4</f>
        <v>10</v>
      </c>
    </row>
    <row r="5" ht="22" customHeight="1" spans="1:10">
      <c r="A5" s="37" t="s">
        <v>17</v>
      </c>
      <c r="B5" s="38" t="s">
        <v>18</v>
      </c>
      <c r="C5" s="38" t="s">
        <v>14</v>
      </c>
      <c r="D5" s="39">
        <v>0.2</v>
      </c>
      <c r="E5" s="5" t="s">
        <v>19</v>
      </c>
      <c r="F5" s="5" t="s">
        <v>16</v>
      </c>
      <c r="G5" s="39">
        <v>0.15</v>
      </c>
      <c r="H5" s="40">
        <v>100</v>
      </c>
      <c r="I5" s="7"/>
      <c r="J5" s="40">
        <f>G5*H5*D5</f>
        <v>3</v>
      </c>
    </row>
    <row r="6" ht="22" customHeight="1" spans="1:10">
      <c r="A6" s="37"/>
      <c r="B6" s="38"/>
      <c r="C6" s="38"/>
      <c r="D6" s="39"/>
      <c r="E6" s="5" t="s">
        <v>20</v>
      </c>
      <c r="F6" s="5" t="s">
        <v>21</v>
      </c>
      <c r="G6" s="39">
        <v>0.2</v>
      </c>
      <c r="H6" s="40">
        <v>100</v>
      </c>
      <c r="I6" s="7"/>
      <c r="J6" s="40">
        <f>G6*H6*D5</f>
        <v>4</v>
      </c>
    </row>
    <row r="7" ht="22" customHeight="1" spans="1:10">
      <c r="A7" s="37"/>
      <c r="B7" s="38"/>
      <c r="C7" s="38"/>
      <c r="D7" s="39"/>
      <c r="E7" s="5" t="s">
        <v>22</v>
      </c>
      <c r="F7" s="5" t="s">
        <v>23</v>
      </c>
      <c r="G7" s="39">
        <v>0.1</v>
      </c>
      <c r="H7" s="40">
        <v>100</v>
      </c>
      <c r="I7" s="7"/>
      <c r="J7" s="40">
        <f>G7*H7*D5</f>
        <v>2</v>
      </c>
    </row>
    <row r="8" ht="22" customHeight="1" spans="1:10">
      <c r="A8" s="37"/>
      <c r="B8" s="38"/>
      <c r="C8" s="38"/>
      <c r="D8" s="39"/>
      <c r="E8" s="5" t="s">
        <v>24</v>
      </c>
      <c r="F8" s="5" t="s">
        <v>25</v>
      </c>
      <c r="G8" s="39">
        <v>0.2</v>
      </c>
      <c r="H8" s="40">
        <v>100</v>
      </c>
      <c r="I8" s="7"/>
      <c r="J8" s="40">
        <f>G8*H8*D5</f>
        <v>4</v>
      </c>
    </row>
    <row r="9" ht="22" customHeight="1" spans="1:10">
      <c r="A9" s="37"/>
      <c r="B9" s="38"/>
      <c r="C9" s="38"/>
      <c r="D9" s="39"/>
      <c r="E9" s="5" t="s">
        <v>26</v>
      </c>
      <c r="F9" s="5" t="s">
        <v>27</v>
      </c>
      <c r="G9" s="39">
        <v>0.2</v>
      </c>
      <c r="H9" s="40">
        <v>100</v>
      </c>
      <c r="I9" s="7"/>
      <c r="J9" s="40">
        <f>G9*H9*D5</f>
        <v>4</v>
      </c>
    </row>
    <row r="10" ht="22" customHeight="1" spans="1:10">
      <c r="A10" s="37"/>
      <c r="B10" s="38"/>
      <c r="C10" s="38"/>
      <c r="D10" s="39"/>
      <c r="E10" s="5" t="s">
        <v>28</v>
      </c>
      <c r="F10" s="5" t="s">
        <v>29</v>
      </c>
      <c r="G10" s="39">
        <v>0.15</v>
      </c>
      <c r="H10" s="40">
        <v>100</v>
      </c>
      <c r="I10" s="7"/>
      <c r="J10" s="40">
        <f>G10*H10*D5</f>
        <v>3</v>
      </c>
    </row>
    <row r="11" ht="22" customHeight="1" spans="1:10">
      <c r="A11" s="37" t="s">
        <v>30</v>
      </c>
      <c r="B11" s="38" t="s">
        <v>31</v>
      </c>
      <c r="C11" s="38" t="s">
        <v>14</v>
      </c>
      <c r="D11" s="39">
        <v>0.15</v>
      </c>
      <c r="E11" s="5" t="s">
        <v>32</v>
      </c>
      <c r="F11" s="5" t="s">
        <v>33</v>
      </c>
      <c r="G11" s="39">
        <v>0.3</v>
      </c>
      <c r="H11" s="40">
        <v>100</v>
      </c>
      <c r="I11" s="5"/>
      <c r="J11" s="40">
        <f>G11*H11*D11</f>
        <v>4.5</v>
      </c>
    </row>
    <row r="12" ht="22" customHeight="1" spans="1:10">
      <c r="A12" s="37"/>
      <c r="B12" s="38"/>
      <c r="C12" s="38"/>
      <c r="D12" s="39"/>
      <c r="E12" s="5" t="s">
        <v>34</v>
      </c>
      <c r="F12" s="5" t="s">
        <v>35</v>
      </c>
      <c r="G12" s="39">
        <v>0.3</v>
      </c>
      <c r="H12" s="40">
        <v>100</v>
      </c>
      <c r="I12" s="5"/>
      <c r="J12" s="40">
        <f>G12*H12*D11</f>
        <v>4.5</v>
      </c>
    </row>
    <row r="13" ht="26" customHeight="1" spans="1:10">
      <c r="A13" s="37"/>
      <c r="B13" s="38"/>
      <c r="C13" s="38"/>
      <c r="D13" s="39"/>
      <c r="E13" s="5" t="s">
        <v>36</v>
      </c>
      <c r="F13" s="5" t="s">
        <v>37</v>
      </c>
      <c r="G13" s="39">
        <v>0.4</v>
      </c>
      <c r="H13" s="40">
        <v>100</v>
      </c>
      <c r="I13" s="5"/>
      <c r="J13" s="40">
        <f>G13*H13*D11</f>
        <v>6</v>
      </c>
    </row>
    <row r="14" ht="31" customHeight="1" spans="1:10">
      <c r="A14" s="37" t="s">
        <v>38</v>
      </c>
      <c r="B14" s="38" t="s">
        <v>39</v>
      </c>
      <c r="C14" s="38" t="s">
        <v>14</v>
      </c>
      <c r="D14" s="39">
        <v>0.2</v>
      </c>
      <c r="E14" s="5" t="s">
        <v>40</v>
      </c>
      <c r="F14" s="5" t="s">
        <v>41</v>
      </c>
      <c r="G14" s="39">
        <v>0.35</v>
      </c>
      <c r="H14" s="40">
        <v>100</v>
      </c>
      <c r="I14" s="5"/>
      <c r="J14" s="40">
        <f>G14*H14*D14</f>
        <v>7</v>
      </c>
    </row>
    <row r="15" ht="22" customHeight="1" spans="1:10">
      <c r="A15" s="37"/>
      <c r="B15" s="38"/>
      <c r="C15" s="38"/>
      <c r="D15" s="39"/>
      <c r="E15" s="5" t="s">
        <v>42</v>
      </c>
      <c r="F15" s="5" t="s">
        <v>43</v>
      </c>
      <c r="G15" s="39">
        <v>0.2</v>
      </c>
      <c r="H15" s="40">
        <v>100</v>
      </c>
      <c r="I15" s="5"/>
      <c r="J15" s="40">
        <f>G15*H15*D14</f>
        <v>4</v>
      </c>
    </row>
    <row r="16" ht="22" customHeight="1" spans="1:10">
      <c r="A16" s="37"/>
      <c r="B16" s="38"/>
      <c r="C16" s="38"/>
      <c r="D16" s="39"/>
      <c r="E16" s="5" t="s">
        <v>44</v>
      </c>
      <c r="F16" s="5" t="s">
        <v>45</v>
      </c>
      <c r="G16" s="39">
        <v>0.35</v>
      </c>
      <c r="H16" s="40">
        <v>100</v>
      </c>
      <c r="I16" s="5"/>
      <c r="J16" s="40">
        <f>G16*H16*D14</f>
        <v>7</v>
      </c>
    </row>
    <row r="17" ht="22" customHeight="1" spans="1:10">
      <c r="A17" s="37"/>
      <c r="B17" s="38"/>
      <c r="C17" s="38"/>
      <c r="D17" s="39"/>
      <c r="E17" s="5" t="s">
        <v>46</v>
      </c>
      <c r="F17" s="5" t="s">
        <v>47</v>
      </c>
      <c r="G17" s="39">
        <v>0.1</v>
      </c>
      <c r="H17" s="40">
        <v>100</v>
      </c>
      <c r="I17" s="5"/>
      <c r="J17" s="40">
        <f>G17*H17*D14</f>
        <v>2</v>
      </c>
    </row>
    <row r="18" ht="31" customHeight="1" spans="1:10">
      <c r="A18" s="37" t="s">
        <v>48</v>
      </c>
      <c r="B18" s="39" t="s">
        <v>49</v>
      </c>
      <c r="C18" s="39" t="s">
        <v>14</v>
      </c>
      <c r="D18" s="39">
        <v>0.2</v>
      </c>
      <c r="E18" s="5" t="s">
        <v>50</v>
      </c>
      <c r="F18" s="5" t="s">
        <v>51</v>
      </c>
      <c r="G18" s="39">
        <v>0.5</v>
      </c>
      <c r="H18" s="40">
        <v>100</v>
      </c>
      <c r="I18" s="5"/>
      <c r="J18" s="40">
        <f>G18*H18*D18</f>
        <v>10</v>
      </c>
    </row>
    <row r="19" ht="22" customHeight="1" spans="1:10">
      <c r="A19" s="37"/>
      <c r="B19" s="39"/>
      <c r="C19" s="39"/>
      <c r="D19" s="39"/>
      <c r="E19" s="5" t="s">
        <v>52</v>
      </c>
      <c r="F19" s="5" t="s">
        <v>53</v>
      </c>
      <c r="G19" s="39">
        <v>0.5</v>
      </c>
      <c r="H19" s="40">
        <v>100</v>
      </c>
      <c r="I19" s="5"/>
      <c r="J19" s="40">
        <f>G19*H19*D18</f>
        <v>10</v>
      </c>
    </row>
    <row r="20" ht="22" customHeight="1" spans="1:10">
      <c r="A20" s="37" t="s">
        <v>54</v>
      </c>
      <c r="B20" s="38" t="s">
        <v>14</v>
      </c>
      <c r="C20" s="38" t="s">
        <v>14</v>
      </c>
      <c r="D20" s="39">
        <v>0.1</v>
      </c>
      <c r="E20" s="5" t="s">
        <v>55</v>
      </c>
      <c r="F20" s="5" t="s">
        <v>56</v>
      </c>
      <c r="G20" s="41">
        <v>1</v>
      </c>
      <c r="H20" s="40">
        <v>100</v>
      </c>
      <c r="I20" s="5"/>
      <c r="J20" s="40">
        <f>G20*H20*D20</f>
        <v>10</v>
      </c>
    </row>
    <row r="21" ht="22" customHeight="1" spans="1:10">
      <c r="A21" s="37" t="s">
        <v>57</v>
      </c>
      <c r="B21" s="38" t="s">
        <v>14</v>
      </c>
      <c r="C21" s="38" t="s">
        <v>14</v>
      </c>
      <c r="D21" s="41">
        <v>0.05</v>
      </c>
      <c r="E21" s="19" t="s">
        <v>58</v>
      </c>
      <c r="F21" s="19" t="s">
        <v>59</v>
      </c>
      <c r="G21" s="41">
        <v>1</v>
      </c>
      <c r="H21" s="40">
        <v>100</v>
      </c>
      <c r="I21" s="19"/>
      <c r="J21" s="40">
        <f>G21*H21*D21</f>
        <v>5</v>
      </c>
    </row>
    <row r="22" ht="21" customHeight="1" spans="10:10">
      <c r="J22" s="44">
        <f>SUM(J4:J21)</f>
        <v>100</v>
      </c>
    </row>
    <row r="23" s="29" customFormat="1" ht="129" customHeight="1" spans="1:15">
      <c r="A23" s="37" t="s">
        <v>60</v>
      </c>
      <c r="B23" s="42" t="s">
        <v>61</v>
      </c>
      <c r="C23" s="42"/>
      <c r="D23" s="42"/>
      <c r="E23" s="42"/>
      <c r="F23" s="42"/>
      <c r="G23" s="42"/>
      <c r="H23" s="42"/>
      <c r="I23" s="42"/>
      <c r="J23" s="42"/>
      <c r="K23" s="45"/>
      <c r="L23" s="45"/>
      <c r="M23" s="45"/>
      <c r="N23" s="46"/>
      <c r="O23" s="46"/>
    </row>
  </sheetData>
  <mergeCells count="18">
    <mergeCell ref="A1:J1"/>
    <mergeCell ref="B23:J23"/>
    <mergeCell ref="A5:A10"/>
    <mergeCell ref="A11:A13"/>
    <mergeCell ref="A14:A17"/>
    <mergeCell ref="A18:A19"/>
    <mergeCell ref="B5:B10"/>
    <mergeCell ref="B11:B13"/>
    <mergeCell ref="B14:B17"/>
    <mergeCell ref="B18:B19"/>
    <mergeCell ref="C5:C10"/>
    <mergeCell ref="C11:C13"/>
    <mergeCell ref="C14:C17"/>
    <mergeCell ref="C18:C19"/>
    <mergeCell ref="D5:D10"/>
    <mergeCell ref="D11:D13"/>
    <mergeCell ref="D14:D17"/>
    <mergeCell ref="D18:D19"/>
  </mergeCells>
  <pageMargins left="0.75" right="0.75" top="1" bottom="1" header="0.509027777777778" footer="0.509027777777778"/>
  <pageSetup paperSize="9" orientation="landscape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0"/>
  <sheetViews>
    <sheetView tabSelected="1" workbookViewId="0">
      <selection activeCell="E15" sqref="E15"/>
    </sheetView>
  </sheetViews>
  <sheetFormatPr defaultColWidth="9" defaultRowHeight="14.25" outlineLevelCol="6"/>
  <cols>
    <col min="1" max="1" width="46.125" customWidth="1"/>
    <col min="2" max="2" width="113.125" customWidth="1"/>
  </cols>
  <sheetData>
    <row r="1" ht="27" customHeight="1" spans="1:7">
      <c r="A1" s="1" t="s">
        <v>9</v>
      </c>
      <c r="B1" s="1" t="s">
        <v>62</v>
      </c>
      <c r="C1" s="1" t="s">
        <v>63</v>
      </c>
      <c r="D1" s="2" t="s">
        <v>64</v>
      </c>
      <c r="E1" s="3"/>
      <c r="F1" s="3"/>
      <c r="G1" s="4"/>
    </row>
    <row r="2" ht="21" customHeight="1" spans="1:7">
      <c r="A2" s="5" t="s">
        <v>16</v>
      </c>
      <c r="B2" s="6" t="s">
        <v>65</v>
      </c>
      <c r="C2" s="7"/>
      <c r="D2" s="8" t="s">
        <v>66</v>
      </c>
      <c r="E2" s="8"/>
      <c r="F2" s="8" t="s">
        <v>67</v>
      </c>
      <c r="G2" s="8" t="s">
        <v>68</v>
      </c>
    </row>
    <row r="3" ht="21" customHeight="1" spans="1:7">
      <c r="A3" s="5" t="s">
        <v>19</v>
      </c>
      <c r="B3" s="6" t="s">
        <v>69</v>
      </c>
      <c r="C3" s="7"/>
      <c r="D3" s="8" t="s">
        <v>70</v>
      </c>
      <c r="E3" s="8"/>
      <c r="F3" s="8" t="s">
        <v>71</v>
      </c>
      <c r="G3" s="9">
        <v>1.2</v>
      </c>
    </row>
    <row r="4" ht="21" customHeight="1" spans="1:7">
      <c r="A4" s="5" t="s">
        <v>21</v>
      </c>
      <c r="B4" s="6" t="s">
        <v>72</v>
      </c>
      <c r="C4" s="7"/>
      <c r="D4" s="8" t="s">
        <v>73</v>
      </c>
      <c r="E4" s="8"/>
      <c r="F4" s="8" t="s">
        <v>74</v>
      </c>
      <c r="G4" s="9">
        <v>1</v>
      </c>
    </row>
    <row r="5" ht="21" customHeight="1" spans="1:7">
      <c r="A5" s="5" t="s">
        <v>75</v>
      </c>
      <c r="B5" s="6" t="s">
        <v>76</v>
      </c>
      <c r="C5" s="7"/>
      <c r="D5" s="8" t="s">
        <v>77</v>
      </c>
      <c r="E5" s="8"/>
      <c r="F5" s="10" t="s">
        <v>78</v>
      </c>
      <c r="G5" s="11">
        <v>0.8</v>
      </c>
    </row>
    <row r="6" ht="21" customHeight="1" spans="1:7">
      <c r="A6" s="5" t="s">
        <v>24</v>
      </c>
      <c r="B6" s="6" t="s">
        <v>79</v>
      </c>
      <c r="C6" s="7"/>
      <c r="D6" s="8" t="s">
        <v>80</v>
      </c>
      <c r="E6" s="8"/>
      <c r="F6" s="10" t="s">
        <v>81</v>
      </c>
      <c r="G6" s="11">
        <v>0.6</v>
      </c>
    </row>
    <row r="7" ht="21" customHeight="1" spans="1:7">
      <c r="A7" s="5" t="s">
        <v>27</v>
      </c>
      <c r="B7" s="6" t="s">
        <v>82</v>
      </c>
      <c r="C7" s="7"/>
      <c r="D7" s="12" t="s">
        <v>83</v>
      </c>
      <c r="E7" s="8"/>
      <c r="F7" s="13" t="s">
        <v>84</v>
      </c>
      <c r="G7" s="13">
        <v>0</v>
      </c>
    </row>
    <row r="8" ht="21" customHeight="1" spans="1:3">
      <c r="A8" s="5" t="s">
        <v>28</v>
      </c>
      <c r="B8" s="6" t="s">
        <v>85</v>
      </c>
      <c r="C8" s="7"/>
    </row>
    <row r="9" ht="21" customHeight="1" spans="1:3">
      <c r="A9" s="5" t="s">
        <v>33</v>
      </c>
      <c r="B9" s="6" t="s">
        <v>86</v>
      </c>
      <c r="C9" s="7"/>
    </row>
    <row r="10" ht="21" customHeight="1" spans="1:3">
      <c r="A10" s="5" t="s">
        <v>35</v>
      </c>
      <c r="B10" s="6" t="s">
        <v>86</v>
      </c>
      <c r="C10" s="7"/>
    </row>
    <row r="11" ht="21" customHeight="1" spans="1:3">
      <c r="A11" s="5" t="s">
        <v>37</v>
      </c>
      <c r="B11" s="6" t="s">
        <v>86</v>
      </c>
      <c r="C11" s="7"/>
    </row>
    <row r="12" ht="21" customHeight="1" spans="1:3">
      <c r="A12" s="5" t="s">
        <v>41</v>
      </c>
      <c r="B12" s="6" t="s">
        <v>87</v>
      </c>
      <c r="C12" s="7"/>
    </row>
    <row r="13" ht="21" customHeight="1" spans="1:3">
      <c r="A13" s="5" t="s">
        <v>43</v>
      </c>
      <c r="B13" s="6" t="s">
        <v>88</v>
      </c>
      <c r="C13" s="7"/>
    </row>
    <row r="14" ht="26" customHeight="1" spans="1:3">
      <c r="A14" s="14" t="s">
        <v>89</v>
      </c>
      <c r="B14" s="15" t="s">
        <v>90</v>
      </c>
      <c r="C14" s="7"/>
    </row>
    <row r="15" ht="26" customHeight="1" spans="1:3">
      <c r="A15" s="16"/>
      <c r="B15" s="6" t="s">
        <v>91</v>
      </c>
      <c r="C15" s="17" t="s">
        <v>92</v>
      </c>
    </row>
    <row r="16" ht="26" customHeight="1" spans="1:3">
      <c r="A16" s="16"/>
      <c r="B16" s="6" t="s">
        <v>93</v>
      </c>
      <c r="C16" s="17" t="s">
        <v>94</v>
      </c>
    </row>
    <row r="17" ht="26" customHeight="1" spans="1:3">
      <c r="A17" s="16"/>
      <c r="B17" s="18" t="s">
        <v>95</v>
      </c>
      <c r="C17" s="17" t="s">
        <v>96</v>
      </c>
    </row>
    <row r="18" ht="26" customHeight="1" spans="1:3">
      <c r="A18" s="16"/>
      <c r="B18" s="19" t="s">
        <v>97</v>
      </c>
      <c r="C18" s="17">
        <v>0</v>
      </c>
    </row>
    <row r="19" ht="21" customHeight="1" spans="1:5">
      <c r="A19" s="5" t="s">
        <v>47</v>
      </c>
      <c r="B19" s="6" t="s">
        <v>98</v>
      </c>
      <c r="C19" s="7"/>
      <c r="E19" s="20"/>
    </row>
    <row r="20" ht="21" customHeight="1" spans="1:3">
      <c r="A20" s="5" t="s">
        <v>51</v>
      </c>
      <c r="B20" s="6" t="s">
        <v>98</v>
      </c>
      <c r="C20" s="7"/>
    </row>
    <row r="21" ht="21" customHeight="1" spans="1:3">
      <c r="A21" s="21" t="s">
        <v>99</v>
      </c>
      <c r="B21" s="6" t="s">
        <v>100</v>
      </c>
      <c r="C21" s="17" t="s">
        <v>92</v>
      </c>
    </row>
    <row r="22" ht="21" customHeight="1" spans="1:3">
      <c r="A22" s="22"/>
      <c r="B22" s="6" t="s">
        <v>101</v>
      </c>
      <c r="C22" s="17" t="s">
        <v>94</v>
      </c>
    </row>
    <row r="23" ht="21" customHeight="1" spans="1:3">
      <c r="A23" s="22"/>
      <c r="B23" s="6" t="s">
        <v>102</v>
      </c>
      <c r="C23" s="17" t="s">
        <v>96</v>
      </c>
    </row>
    <row r="24" ht="21" customHeight="1" spans="1:3">
      <c r="A24" s="23"/>
      <c r="B24" s="6" t="s">
        <v>103</v>
      </c>
      <c r="C24" s="17" t="s">
        <v>104</v>
      </c>
    </row>
    <row r="25" ht="24" customHeight="1" spans="1:3">
      <c r="A25" s="5" t="s">
        <v>56</v>
      </c>
      <c r="B25" s="6" t="s">
        <v>105</v>
      </c>
      <c r="C25" s="17"/>
    </row>
    <row r="26" ht="21" customHeight="1" spans="1:3">
      <c r="A26" s="24" t="s">
        <v>59</v>
      </c>
      <c r="B26" s="6" t="s">
        <v>106</v>
      </c>
      <c r="C26" s="17" t="s">
        <v>92</v>
      </c>
    </row>
    <row r="27" ht="21" customHeight="1" spans="1:3">
      <c r="A27" s="25"/>
      <c r="B27" s="6" t="s">
        <v>107</v>
      </c>
      <c r="C27" s="17" t="s">
        <v>94</v>
      </c>
    </row>
    <row r="28" ht="21" customHeight="1" spans="1:3">
      <c r="A28" s="25"/>
      <c r="B28" s="6" t="s">
        <v>108</v>
      </c>
      <c r="C28" s="17" t="s">
        <v>96</v>
      </c>
    </row>
    <row r="29" ht="21" customHeight="1" spans="1:3">
      <c r="A29" s="25"/>
      <c r="B29" s="6" t="s">
        <v>108</v>
      </c>
      <c r="C29" s="17" t="s">
        <v>104</v>
      </c>
    </row>
    <row r="30" ht="21" customHeight="1" spans="1:3">
      <c r="A30" s="26"/>
      <c r="B30" s="6" t="s">
        <v>109</v>
      </c>
      <c r="C30" s="17" t="s">
        <v>110</v>
      </c>
    </row>
  </sheetData>
  <mergeCells count="10">
    <mergeCell ref="D1:G1"/>
    <mergeCell ref="D2:E2"/>
    <mergeCell ref="D3:E3"/>
    <mergeCell ref="D4:E4"/>
    <mergeCell ref="D5:E5"/>
    <mergeCell ref="D6:E6"/>
    <mergeCell ref="D7:E7"/>
    <mergeCell ref="A14:A18"/>
    <mergeCell ref="A21:A24"/>
    <mergeCell ref="A26:A30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运营组长</vt:lpstr>
      <vt:lpstr>评分标准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Mis  simple</cp:lastModifiedBy>
  <dcterms:created xsi:type="dcterms:W3CDTF">2021-05-08T08:26:00Z</dcterms:created>
  <dcterms:modified xsi:type="dcterms:W3CDTF">2021-05-13T01:55:00Z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2052-10.1.0.7698</vt:lpwstr>
  </property>
</Properties>
</file>