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40"/>
  </bookViews>
  <sheets>
    <sheet name="5月份绩效评估表" sheetId="1" r:id="rId1"/>
    <sheet name="5月目标值" sheetId="2" r:id="rId2"/>
  </sheets>
  <calcPr calcId="144525" concurrentCalc="0"/>
</workbook>
</file>

<file path=xl/sharedStrings.xml><?xml version="1.0" encoding="utf-8"?>
<sst xmlns="http://schemas.openxmlformats.org/spreadsheetml/2006/main" count="99" uniqueCount="97">
  <si>
    <t>2020年4月员工绩效评估表</t>
  </si>
  <si>
    <t>员工姓名</t>
  </si>
  <si>
    <t>XXX</t>
  </si>
  <si>
    <t>职位</t>
  </si>
  <si>
    <t>亚马逊运营</t>
  </si>
  <si>
    <t>所属部门</t>
  </si>
  <si>
    <t>第三运营中心-运营十一部</t>
  </si>
  <si>
    <t>员工入职时间</t>
  </si>
  <si>
    <t>评估日期</t>
  </si>
  <si>
    <t>2020年4月1日至2020年4月30日</t>
  </si>
  <si>
    <r>
      <rPr>
        <b/>
        <sz val="11"/>
        <color theme="1"/>
        <rFont val="宋体"/>
        <charset val="134"/>
      </rPr>
      <t>说明：
1、评估目的：</t>
    </r>
    <r>
      <rPr>
        <sz val="11"/>
        <color theme="1"/>
        <rFont val="宋体"/>
        <charset val="134"/>
      </rPr>
      <t>对员工各方面的工作表现，工作能力进行全面鉴定，以作为员工淘汰、转正，调薪，升职依据；</t>
    </r>
    <r>
      <rPr>
        <b/>
        <sz val="11"/>
        <color theme="1"/>
        <rFont val="宋体"/>
        <charset val="134"/>
      </rPr>
      <t xml:space="preserve">
2、分值对应：</t>
    </r>
    <r>
      <rPr>
        <sz val="11"/>
        <color theme="1"/>
        <rFont val="宋体"/>
        <charset val="134"/>
      </rPr>
      <t>卓越（90分以上）优秀（80-90分） 良好（70-79分）  合格（60-69分）待改进（50-60分），不合格（50分以下）。</t>
    </r>
  </si>
  <si>
    <t>导师/主管姓名</t>
  </si>
  <si>
    <t>向磊</t>
  </si>
  <si>
    <t>员工成绩</t>
  </si>
  <si>
    <t>最终结论</t>
  </si>
  <si>
    <r>
      <rPr>
        <sz val="11"/>
        <color theme="1"/>
        <rFont val="Wingdings 2"/>
        <charset val="2"/>
      </rPr>
      <t>£</t>
    </r>
    <r>
      <rPr>
        <sz val="11"/>
        <color theme="1"/>
        <rFont val="宋体"/>
        <charset val="134"/>
      </rPr>
      <t>优秀</t>
    </r>
    <r>
      <rPr>
        <sz val="11"/>
        <color theme="1"/>
        <rFont val="Wingdings 2"/>
        <charset val="2"/>
      </rPr>
      <t xml:space="preserve"> £</t>
    </r>
    <r>
      <rPr>
        <sz val="11"/>
        <color theme="1"/>
        <rFont val="宋体"/>
        <charset val="134"/>
      </rPr>
      <t>良好</t>
    </r>
    <r>
      <rPr>
        <sz val="11"/>
        <color theme="1"/>
        <rFont val="Wingdings 2"/>
        <charset val="2"/>
      </rPr>
      <t xml:space="preserve"> £</t>
    </r>
    <r>
      <rPr>
        <sz val="11"/>
        <color theme="1"/>
        <rFont val="宋体"/>
        <charset val="134"/>
      </rPr>
      <t>合格</t>
    </r>
    <r>
      <rPr>
        <sz val="11"/>
        <color theme="1"/>
        <rFont val="Wingdings 2"/>
        <charset val="2"/>
      </rPr>
      <t xml:space="preserve"> £</t>
    </r>
    <r>
      <rPr>
        <sz val="11"/>
        <color theme="1"/>
        <rFont val="宋体"/>
        <charset val="134"/>
      </rPr>
      <t>其他原因按期转正</t>
    </r>
    <r>
      <rPr>
        <sz val="11"/>
        <color theme="1"/>
        <rFont val="Wingdings 2"/>
        <charset val="2"/>
      </rPr>
      <t xml:space="preserve"> £</t>
    </r>
    <r>
      <rPr>
        <sz val="11"/>
        <color theme="1"/>
        <rFont val="宋体"/>
        <charset val="134"/>
      </rPr>
      <t>延长试用期</t>
    </r>
    <r>
      <rPr>
        <u/>
        <sz val="11"/>
        <color theme="1"/>
        <rFont val="Wingdings 2"/>
        <charset val="2"/>
      </rPr>
      <t xml:space="preserve">  </t>
    </r>
    <r>
      <rPr>
        <sz val="11"/>
        <color theme="1"/>
        <rFont val="宋体"/>
        <charset val="134"/>
      </rPr>
      <t>个月</t>
    </r>
    <r>
      <rPr>
        <sz val="11"/>
        <color theme="1"/>
        <rFont val="Wingdings 2"/>
        <charset val="2"/>
      </rPr>
      <t xml:space="preserve"> £</t>
    </r>
    <r>
      <rPr>
        <sz val="11"/>
        <color theme="1"/>
        <rFont val="宋体"/>
        <charset val="134"/>
      </rPr>
      <t>不合格转岗</t>
    </r>
    <r>
      <rPr>
        <sz val="11"/>
        <color theme="1"/>
        <rFont val="Wingdings 2"/>
        <charset val="2"/>
      </rPr>
      <t xml:space="preserve"> £</t>
    </r>
    <r>
      <rPr>
        <sz val="11"/>
        <color theme="1"/>
        <rFont val="宋体"/>
        <charset val="134"/>
      </rPr>
      <t>不合格辞退</t>
    </r>
  </si>
  <si>
    <t>考核项目及分值</t>
  </si>
  <si>
    <t>考核维度</t>
  </si>
  <si>
    <t>说明</t>
  </si>
  <si>
    <t>总分值</t>
  </si>
  <si>
    <t>考核指标</t>
  </si>
  <si>
    <t>得分</t>
  </si>
  <si>
    <t>直属主管
评分</t>
  </si>
  <si>
    <t>定量指标
工作能力
80</t>
  </si>
  <si>
    <t>销售额目标完成率</t>
  </si>
  <si>
    <t>销售目标完成率=考核期内所负责listing的月度总销售额/目标销售额的百分比</t>
  </si>
  <si>
    <t>完成率＜65%</t>
  </si>
  <si>
    <t>65%≤完成率＜70%</t>
  </si>
  <si>
    <t>70%≤完成率＜75%</t>
  </si>
  <si>
    <t>75%≤完成率＜80%</t>
  </si>
  <si>
    <t>80%≤完成率＜85%</t>
  </si>
  <si>
    <t>85%≤完成率＜90%</t>
  </si>
  <si>
    <t>90%≤完成率＜95%</t>
  </si>
  <si>
    <t>95%≤完成率＜100%</t>
  </si>
  <si>
    <t>完成率≥100%</t>
  </si>
  <si>
    <t>广告占销比</t>
  </si>
  <si>
    <t>广告占销比=考核期内总广告费/总销售额</t>
  </si>
  <si>
    <t>广告占销比≥50%</t>
  </si>
  <si>
    <t>40%≤广告占销比＜50%</t>
  </si>
  <si>
    <t>30%≤广告占销比＜40%</t>
  </si>
  <si>
    <t>20%≤广告占销比＜30%</t>
  </si>
  <si>
    <t>10%≤广告占销比＜20%</t>
  </si>
  <si>
    <t>5%≤广告占销比＜10%</t>
  </si>
  <si>
    <t>转化率</t>
  </si>
  <si>
    <t>考核期内所负责ASIN的转化率=总成交订单数量/总流量</t>
  </si>
  <si>
    <t>转化率≤10%</t>
  </si>
  <si>
    <t>10%＜转化率≤20%</t>
  </si>
  <si>
    <t>20%＜转化率≤25%</t>
  </si>
  <si>
    <t>25%＜转化率≤30%</t>
  </si>
  <si>
    <t>30%＜转化率≤35%</t>
  </si>
  <si>
    <t>35%＜转化率≤40%</t>
  </si>
  <si>
    <t>转化率＞40%</t>
  </si>
  <si>
    <t>来评总数量</t>
  </si>
  <si>
    <t>考核期所负责ASIN的好评review总数量</t>
  </si>
  <si>
    <t>总来评数量＜10</t>
  </si>
  <si>
    <t>10≤总来评数量≤30</t>
  </si>
  <si>
    <t>30＜总来评数量≤40</t>
  </si>
  <si>
    <t>40＜总来评数量≤50</t>
  </si>
  <si>
    <t>总来评数量＞50</t>
  </si>
  <si>
    <t>定性指标
工作态度
20</t>
  </si>
  <si>
    <t>责任心</t>
  </si>
  <si>
    <t>除右边描述外，其他行为不得分；</t>
  </si>
  <si>
    <t>承认错误，而不是说我以为</t>
  </si>
  <si>
    <t>承担责任，不推卸责任</t>
  </si>
  <si>
    <t>开始着手解决问题</t>
  </si>
  <si>
    <t>举一反三，改进业务流程</t>
  </si>
  <si>
    <t>做事有预见，有防误设计</t>
  </si>
  <si>
    <t>主动性</t>
  </si>
  <si>
    <t>等待指示</t>
  </si>
  <si>
    <t>询问有何工作可分配</t>
  </si>
  <si>
    <t>每次提问都准备好方案</t>
  </si>
  <si>
    <t>行动，定时汇报结果</t>
  </si>
  <si>
    <t>带动其他人员主动</t>
  </si>
  <si>
    <t>专业学习力</t>
  </si>
  <si>
    <t>遇到不懂的问题放任不管</t>
  </si>
  <si>
    <t>遇到不懂的问题且积极提出来寻求解决</t>
  </si>
  <si>
    <t>遇到不懂的问题自行百度未果后积极寻找解决办法</t>
  </si>
  <si>
    <t>在公司工作范围外寻找机会以提高自己Amazon技能的水平</t>
  </si>
  <si>
    <t>充当最新技术的倡导者与传教士的角色</t>
  </si>
  <si>
    <t>工作反馈超时次数</t>
  </si>
  <si>
    <t>工作反馈超时次数：异常情况未及时反馈的次数、数据未及时汇报的次数、周报未及时发送次数等未及时处理上级安排其他文件或者数据提交工作次数</t>
  </si>
  <si>
    <t>超时次数≥5</t>
  </si>
  <si>
    <t>3＜超时次数＜5</t>
  </si>
  <si>
    <t>2≤超时次数＜3</t>
  </si>
  <si>
    <t>0＜超时次数＜2</t>
  </si>
  <si>
    <t>超时次数=0</t>
  </si>
  <si>
    <t>否决性指标</t>
  </si>
  <si>
    <t>1.因个人问题（不看店铺邮件、违规操作）导致封店；
2.因个人问题给公司造成超1万元以上损失；</t>
  </si>
  <si>
    <t>合计</t>
  </si>
  <si>
    <r>
      <t>员工自我评估：</t>
    </r>
    <r>
      <rPr>
        <sz val="11"/>
        <color theme="1"/>
        <rFont val="宋体"/>
        <charset val="134"/>
      </rPr>
      <t xml:space="preserve">
优点：心态积极，工作认真，勤奋学习，
缺点：心态浮躁，想法很多
自我建议：努力，加油，好好做业绩，
                                                  员工签字：                  日期：2020年5月7日</t>
    </r>
  </si>
  <si>
    <r>
      <rPr>
        <b/>
        <sz val="11"/>
        <color theme="1"/>
        <rFont val="宋体"/>
        <charset val="134"/>
      </rPr>
      <t>部门负责人面谈综述：</t>
    </r>
    <r>
      <rPr>
        <sz val="11"/>
        <color theme="1"/>
        <rFont val="宋体"/>
        <charset val="134"/>
      </rPr>
      <t xml:space="preserve">
                                                 部门负责人签字：            日期：20XX年XX月XX日</t>
    </r>
  </si>
  <si>
    <t>中文名字</t>
  </si>
  <si>
    <t>英文名字</t>
  </si>
  <si>
    <t>部门</t>
  </si>
  <si>
    <t>5月目标值</t>
  </si>
  <si>
    <t>XX</t>
  </si>
  <si>
    <t>运营一部</t>
  </si>
</sst>
</file>

<file path=xl/styles.xml><?xml version="1.0" encoding="utf-8"?>
<styleSheet xmlns="http://schemas.openxmlformats.org/spreadsheetml/2006/main">
  <numFmts count="5">
    <numFmt numFmtId="41" formatCode="_ * #,##0_ ;_ * \-#,##0_ ;_ * &quot;-&quot;_ ;_ @_ "/>
    <numFmt numFmtId="44" formatCode="_ &quot;￥&quot;* #,##0.00_ ;_ &quot;￥&quot;* \-#,##0.00_ ;_ &quot;￥&quot;* &quot;-&quot;??_ ;_ @_ "/>
    <numFmt numFmtId="43" formatCode="_ * #,##0.00_ ;_ * \-#,##0.00_ ;_ * &quot;-&quot;??_ ;_ @_ "/>
    <numFmt numFmtId="42" formatCode="_ &quot;￥&quot;* #,##0_ ;_ &quot;￥&quot;* \-#,##0_ ;_ &quot;￥&quot;* &quot;-&quot;_ ;_ @_ "/>
    <numFmt numFmtId="176" formatCode="0.00_ "/>
  </numFmts>
  <fonts count="28">
    <font>
      <sz val="11"/>
      <color theme="1"/>
      <name val="宋体"/>
      <charset val="134"/>
      <scheme val="minor"/>
    </font>
    <font>
      <sz val="11"/>
      <name val="宋体"/>
      <charset val="134"/>
      <scheme val="minor"/>
    </font>
    <font>
      <b/>
      <sz val="12"/>
      <color theme="1"/>
      <name val="宋体"/>
      <charset val="134"/>
      <scheme val="minor"/>
    </font>
    <font>
      <b/>
      <sz val="11"/>
      <color theme="1"/>
      <name val="宋体"/>
      <charset val="134"/>
    </font>
    <font>
      <sz val="11"/>
      <color theme="1"/>
      <name val="宋体"/>
      <charset val="134"/>
    </font>
    <font>
      <sz val="11"/>
      <color theme="1"/>
      <name val="Wingdings 2"/>
      <charset val="2"/>
    </font>
    <font>
      <b/>
      <sz val="11"/>
      <color theme="1"/>
      <name val="宋体"/>
      <charset val="134"/>
      <scheme val="minor"/>
    </font>
    <font>
      <sz val="11"/>
      <name val="宋体"/>
      <charset val="134"/>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
      <u/>
      <sz val="11"/>
      <color theme="1"/>
      <name val="Wingdings 2"/>
      <charset val="2"/>
    </font>
  </fonts>
  <fills count="34">
    <fill>
      <patternFill patternType="none"/>
    </fill>
    <fill>
      <patternFill patternType="gray125"/>
    </fill>
    <fill>
      <patternFill patternType="solid">
        <fgColor theme="4" tint="0.4"/>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style="thin">
        <color theme="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26" borderId="0" applyNumberFormat="0" applyBorder="0" applyAlignment="0" applyProtection="0">
      <alignment vertical="center"/>
    </xf>
    <xf numFmtId="0" fontId="23" fillId="23" borderId="1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6" borderId="0" applyNumberFormat="0" applyBorder="0" applyAlignment="0" applyProtection="0">
      <alignment vertical="center"/>
    </xf>
    <xf numFmtId="0" fontId="15" fillId="10" borderId="0" applyNumberFormat="0" applyBorder="0" applyAlignment="0" applyProtection="0">
      <alignment vertical="center"/>
    </xf>
    <xf numFmtId="43" fontId="0" fillId="0" borderId="0" applyFont="0" applyFill="0" applyBorder="0" applyAlignment="0" applyProtection="0">
      <alignment vertical="center"/>
    </xf>
    <xf numFmtId="0" fontId="16" fillId="29" borderId="0" applyNumberFormat="0" applyBorder="0" applyAlignment="0" applyProtection="0">
      <alignment vertical="center"/>
    </xf>
    <xf numFmtId="0" fontId="21"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15" borderId="15" applyNumberFormat="0" applyFont="0" applyAlignment="0" applyProtection="0">
      <alignment vertical="center"/>
    </xf>
    <xf numFmtId="0" fontId="16" fillId="22" borderId="0" applyNumberFormat="0" applyBorder="0" applyAlignment="0" applyProtection="0">
      <alignment vertical="center"/>
    </xf>
    <xf numFmtId="0" fontId="13"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8" fillId="0" borderId="13" applyNumberFormat="0" applyFill="0" applyAlignment="0" applyProtection="0">
      <alignment vertical="center"/>
    </xf>
    <xf numFmtId="0" fontId="10" fillId="0" borderId="13" applyNumberFormat="0" applyFill="0" applyAlignment="0" applyProtection="0">
      <alignment vertical="center"/>
    </xf>
    <xf numFmtId="0" fontId="16" fillId="28" borderId="0" applyNumberFormat="0" applyBorder="0" applyAlignment="0" applyProtection="0">
      <alignment vertical="center"/>
    </xf>
    <xf numFmtId="0" fontId="13" fillId="0" borderId="17" applyNumberFormat="0" applyFill="0" applyAlignment="0" applyProtection="0">
      <alignment vertical="center"/>
    </xf>
    <xf numFmtId="0" fontId="16" fillId="21" borderId="0" applyNumberFormat="0" applyBorder="0" applyAlignment="0" applyProtection="0">
      <alignment vertical="center"/>
    </xf>
    <xf numFmtId="0" fontId="17" fillId="14" borderId="14" applyNumberFormat="0" applyAlignment="0" applyProtection="0">
      <alignment vertical="center"/>
    </xf>
    <xf numFmtId="0" fontId="24" fillId="14" borderId="18" applyNumberFormat="0" applyAlignment="0" applyProtection="0">
      <alignment vertical="center"/>
    </xf>
    <xf numFmtId="0" fontId="9" fillId="5" borderId="12" applyNumberFormat="0" applyAlignment="0" applyProtection="0">
      <alignment vertical="center"/>
    </xf>
    <xf numFmtId="0" fontId="8" fillId="33" borderId="0" applyNumberFormat="0" applyBorder="0" applyAlignment="0" applyProtection="0">
      <alignment vertical="center"/>
    </xf>
    <xf numFmtId="0" fontId="16" fillId="18" borderId="0" applyNumberFormat="0" applyBorder="0" applyAlignment="0" applyProtection="0">
      <alignment vertical="center"/>
    </xf>
    <xf numFmtId="0" fontId="25" fillId="0" borderId="19" applyNumberFormat="0" applyFill="0" applyAlignment="0" applyProtection="0">
      <alignment vertical="center"/>
    </xf>
    <xf numFmtId="0" fontId="19" fillId="0" borderId="16" applyNumberFormat="0" applyFill="0" applyAlignment="0" applyProtection="0">
      <alignment vertical="center"/>
    </xf>
    <xf numFmtId="0" fontId="26" fillId="32" borderId="0" applyNumberFormat="0" applyBorder="0" applyAlignment="0" applyProtection="0">
      <alignment vertical="center"/>
    </xf>
    <xf numFmtId="0" fontId="22" fillId="20" borderId="0" applyNumberFormat="0" applyBorder="0" applyAlignment="0" applyProtection="0">
      <alignment vertical="center"/>
    </xf>
    <xf numFmtId="0" fontId="8" fillId="25" borderId="0" applyNumberFormat="0" applyBorder="0" applyAlignment="0" applyProtection="0">
      <alignment vertical="center"/>
    </xf>
    <xf numFmtId="0" fontId="16" fillId="13" borderId="0" applyNumberFormat="0" applyBorder="0" applyAlignment="0" applyProtection="0">
      <alignment vertical="center"/>
    </xf>
    <xf numFmtId="0" fontId="8" fillId="24" borderId="0" applyNumberFormat="0" applyBorder="0" applyAlignment="0" applyProtection="0">
      <alignment vertical="center"/>
    </xf>
    <xf numFmtId="0" fontId="8" fillId="4" borderId="0" applyNumberFormat="0" applyBorder="0" applyAlignment="0" applyProtection="0">
      <alignment vertical="center"/>
    </xf>
    <xf numFmtId="0" fontId="8" fillId="31" borderId="0" applyNumberFormat="0" applyBorder="0" applyAlignment="0" applyProtection="0">
      <alignment vertical="center"/>
    </xf>
    <xf numFmtId="0" fontId="8" fillId="9" borderId="0" applyNumberFormat="0" applyBorder="0" applyAlignment="0" applyProtection="0">
      <alignment vertical="center"/>
    </xf>
    <xf numFmtId="0" fontId="16" fillId="12" borderId="0" applyNumberFormat="0" applyBorder="0" applyAlignment="0" applyProtection="0">
      <alignment vertical="center"/>
    </xf>
    <xf numFmtId="0" fontId="16" fillId="17" borderId="0" applyNumberFormat="0" applyBorder="0" applyAlignment="0" applyProtection="0">
      <alignment vertical="center"/>
    </xf>
    <xf numFmtId="0" fontId="8" fillId="30" borderId="0" applyNumberFormat="0" applyBorder="0" applyAlignment="0" applyProtection="0">
      <alignment vertical="center"/>
    </xf>
    <xf numFmtId="0" fontId="8" fillId="8" borderId="0" applyNumberFormat="0" applyBorder="0" applyAlignment="0" applyProtection="0">
      <alignment vertical="center"/>
    </xf>
    <xf numFmtId="0" fontId="16" fillId="11" borderId="0" applyNumberFormat="0" applyBorder="0" applyAlignment="0" applyProtection="0">
      <alignment vertical="center"/>
    </xf>
    <xf numFmtId="0" fontId="8" fillId="3" borderId="0" applyNumberFormat="0" applyBorder="0" applyAlignment="0" applyProtection="0">
      <alignment vertical="center"/>
    </xf>
    <xf numFmtId="0" fontId="16" fillId="27" borderId="0" applyNumberFormat="0" applyBorder="0" applyAlignment="0" applyProtection="0">
      <alignment vertical="center"/>
    </xf>
    <xf numFmtId="0" fontId="16" fillId="16" borderId="0" applyNumberFormat="0" applyBorder="0" applyAlignment="0" applyProtection="0">
      <alignment vertical="center"/>
    </xf>
    <xf numFmtId="0" fontId="8" fillId="7" borderId="0" applyNumberFormat="0" applyBorder="0" applyAlignment="0" applyProtection="0">
      <alignment vertical="center"/>
    </xf>
    <xf numFmtId="0" fontId="16" fillId="19" borderId="0" applyNumberFormat="0" applyBorder="0" applyAlignment="0" applyProtection="0">
      <alignment vertical="center"/>
    </xf>
  </cellStyleXfs>
  <cellXfs count="61">
    <xf numFmtId="0" fontId="0" fillId="0" borderId="0" xfId="0">
      <alignment vertical="center"/>
    </xf>
    <xf numFmtId="0" fontId="0" fillId="0" borderId="0" xfId="0"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1" fillId="0" borderId="2" xfId="0" applyFont="1" applyFill="1" applyBorder="1" applyAlignment="1">
      <alignment horizontal="center" vertical="center"/>
    </xf>
    <xf numFmtId="0" fontId="0" fillId="0" borderId="0" xfId="0" applyFont="1">
      <alignment vertical="center"/>
    </xf>
    <xf numFmtId="0" fontId="0" fillId="0" borderId="0" xfId="0" applyFont="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31" fontId="4" fillId="0" borderId="3" xfId="0" applyNumberFormat="1" applyFont="1" applyBorder="1" applyAlignment="1">
      <alignment horizontal="center" vertical="center" wrapText="1"/>
    </xf>
    <xf numFmtId="31" fontId="4" fillId="0" borderId="5" xfId="0" applyNumberFormat="1" applyFont="1" applyBorder="1" applyAlignment="1">
      <alignment horizontal="center" vertical="center" wrapText="1"/>
    </xf>
    <xf numFmtId="31" fontId="4" fillId="0" borderId="4"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5" fillId="0" borderId="1" xfId="0" applyFont="1" applyBorder="1" applyAlignment="1">
      <alignment horizontal="left" vertical="center" wrapText="1"/>
    </xf>
    <xf numFmtId="0" fontId="6" fillId="0" borderId="1" xfId="0" applyFont="1" applyBorder="1" applyAlignment="1">
      <alignment horizontal="center" vertical="center"/>
    </xf>
    <xf numFmtId="0" fontId="0" fillId="0" borderId="6"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Font="1" applyBorder="1" applyAlignment="1">
      <alignment horizontal="center" vertical="center"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4" fillId="0" borderId="1" xfId="0" applyFont="1" applyFill="1" applyBorder="1" applyAlignment="1">
      <alignment horizontal="center" vertical="center" wrapText="1"/>
    </xf>
    <xf numFmtId="0" fontId="0" fillId="0" borderId="7" xfId="0" applyFont="1" applyFill="1" applyBorder="1" applyAlignment="1">
      <alignment horizontal="center" vertical="center" wrapText="1"/>
    </xf>
    <xf numFmtId="0" fontId="0" fillId="0" borderId="3" xfId="0" applyFont="1" applyFill="1" applyBorder="1" applyAlignment="1">
      <alignment horizontal="left" vertical="center" wrapText="1"/>
    </xf>
    <xf numFmtId="0" fontId="0" fillId="0" borderId="5" xfId="0" applyFont="1" applyFill="1" applyBorder="1" applyAlignment="1">
      <alignment horizontal="left" vertical="center" wrapText="1"/>
    </xf>
    <xf numFmtId="0" fontId="0" fillId="0" borderId="6"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1" fillId="0" borderId="3"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9" xfId="0" applyFont="1" applyFill="1" applyBorder="1" applyAlignment="1">
      <alignment horizontal="left" vertical="center" wrapText="1"/>
    </xf>
    <xf numFmtId="0" fontId="1" fillId="0" borderId="10" xfId="0" applyFont="1" applyFill="1" applyBorder="1" applyAlignment="1">
      <alignment horizontal="left" vertical="center" wrapText="1"/>
    </xf>
    <xf numFmtId="0" fontId="0" fillId="0" borderId="7" xfId="0" applyFont="1" applyBorder="1" applyAlignment="1">
      <alignment horizontal="center" vertical="center" wrapText="1"/>
    </xf>
    <xf numFmtId="0" fontId="4" fillId="0" borderId="7" xfId="0" applyFont="1" applyBorder="1" applyAlignment="1">
      <alignment horizontal="center" vertical="center" wrapText="1"/>
    </xf>
    <xf numFmtId="0" fontId="7" fillId="0" borderId="7" xfId="0" applyFont="1" applyBorder="1" applyAlignment="1">
      <alignment horizontal="center" vertical="center" wrapText="1"/>
    </xf>
    <xf numFmtId="0" fontId="0"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4" fillId="0" borderId="6" xfId="0" applyFont="1" applyBorder="1" applyAlignment="1">
      <alignment horizontal="center" vertical="center" wrapText="1"/>
    </xf>
    <xf numFmtId="0" fontId="7" fillId="0" borderId="6" xfId="0" applyFont="1" applyBorder="1" applyAlignment="1">
      <alignment horizontal="center" vertical="center" wrapText="1"/>
    </xf>
    <xf numFmtId="0" fontId="4" fillId="0" borderId="8" xfId="0" applyFont="1" applyBorder="1" applyAlignment="1">
      <alignment horizontal="center" vertical="center" wrapText="1"/>
    </xf>
    <xf numFmtId="0" fontId="7" fillId="0" borderId="8" xfId="0" applyFont="1" applyBorder="1" applyAlignment="1">
      <alignment horizontal="center" vertical="center" wrapText="1"/>
    </xf>
    <xf numFmtId="0" fontId="4" fillId="0" borderId="3" xfId="0" applyFont="1" applyBorder="1" applyAlignment="1">
      <alignment horizontal="left" vertical="center" wrapText="1"/>
    </xf>
    <xf numFmtId="0" fontId="4" fillId="0" borderId="5" xfId="0" applyFont="1" applyBorder="1" applyAlignment="1">
      <alignment horizontal="left" vertical="center" wrapText="1"/>
    </xf>
    <xf numFmtId="0" fontId="0" fillId="0" borderId="1" xfId="0" applyFont="1" applyBorder="1" applyAlignment="1">
      <alignment horizontal="center" vertical="center"/>
    </xf>
    <xf numFmtId="0" fontId="3" fillId="0" borderId="1" xfId="0" applyFont="1" applyBorder="1" applyAlignment="1">
      <alignment horizontal="left" vertical="top" wrapText="1"/>
    </xf>
    <xf numFmtId="0" fontId="0" fillId="0" borderId="1" xfId="0" applyFont="1" applyBorder="1" applyAlignment="1">
      <alignment horizontal="left" vertical="top"/>
    </xf>
    <xf numFmtId="0" fontId="6" fillId="0" borderId="1" xfId="0" applyFont="1" applyBorder="1" applyAlignment="1">
      <alignment horizontal="left" vertical="top" wrapText="1"/>
    </xf>
    <xf numFmtId="57" fontId="4" fillId="0" borderId="1" xfId="0" applyNumberFormat="1" applyFont="1" applyBorder="1" applyAlignment="1">
      <alignment horizontal="center" vertical="center" wrapText="1"/>
    </xf>
    <xf numFmtId="0" fontId="0" fillId="0" borderId="4" xfId="0" applyFont="1" applyBorder="1" applyAlignment="1">
      <alignment horizontal="left" vertical="center" wrapText="1"/>
    </xf>
    <xf numFmtId="0" fontId="0" fillId="0" borderId="5" xfId="0" applyFont="1" applyBorder="1" applyAlignment="1">
      <alignment horizontal="center" vertical="center" wrapText="1"/>
    </xf>
    <xf numFmtId="176" fontId="0" fillId="0" borderId="0" xfId="0" applyNumberFormat="1" applyFont="1" applyAlignment="1">
      <alignment horizontal="center" vertical="center"/>
    </xf>
    <xf numFmtId="10" fontId="0" fillId="0" borderId="0" xfId="0" applyNumberFormat="1" applyFont="1" applyAlignment="1">
      <alignment horizontal="center" vertical="center"/>
    </xf>
    <xf numFmtId="0" fontId="0" fillId="0" borderId="4" xfId="0" applyFont="1" applyFill="1" applyBorder="1" applyAlignment="1">
      <alignment horizontal="left" vertical="center" wrapText="1"/>
    </xf>
    <xf numFmtId="0" fontId="1" fillId="0" borderId="4" xfId="0" applyFont="1" applyFill="1" applyBorder="1" applyAlignment="1">
      <alignment horizontal="left" vertical="center" wrapText="1"/>
    </xf>
    <xf numFmtId="0" fontId="1" fillId="0" borderId="11" xfId="0" applyFont="1" applyFill="1" applyBorder="1" applyAlignment="1">
      <alignment horizontal="left" vertical="center" wrapText="1"/>
    </xf>
    <xf numFmtId="0" fontId="0" fillId="0" borderId="3" xfId="0" applyFont="1" applyBorder="1" applyAlignment="1">
      <alignment horizontal="center" vertical="center" wrapText="1"/>
    </xf>
    <xf numFmtId="0" fontId="7" fillId="0" borderId="1" xfId="0" applyFont="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7"/>
  <sheetViews>
    <sheetView tabSelected="1" zoomScale="80" zoomScaleNormal="80" workbookViewId="0">
      <pane xSplit="4" ySplit="6" topLeftCell="E7" activePane="bottomRight" state="frozen"/>
      <selection/>
      <selection pane="topRight"/>
      <selection pane="bottomLeft"/>
      <selection pane="bottomRight" activeCell="U18" sqref="U18"/>
    </sheetView>
  </sheetViews>
  <sheetFormatPr defaultColWidth="9" defaultRowHeight="13.5"/>
  <cols>
    <col min="1" max="1" width="14.0666666666667" style="5" customWidth="1"/>
    <col min="2" max="2" width="10.7833333333333" style="5" customWidth="1"/>
    <col min="3" max="3" width="21.4083333333333" style="5" customWidth="1"/>
    <col min="4" max="4" width="9" style="5"/>
    <col min="5" max="5" width="7.5" style="5" customWidth="1"/>
    <col min="6" max="6" width="9.375" style="5" customWidth="1"/>
    <col min="7" max="7" width="10.625" style="5" customWidth="1"/>
    <col min="8" max="10" width="11.375" style="5" customWidth="1"/>
    <col min="11" max="11" width="12.1833333333333" style="5" customWidth="1"/>
    <col min="12" max="12" width="10.9416666666667" style="6" customWidth="1"/>
    <col min="13" max="13" width="9.375" style="6"/>
    <col min="14" max="16371" width="9" style="5"/>
  </cols>
  <sheetData>
    <row r="1" ht="27.75" customHeight="1" spans="1:11">
      <c r="A1" s="7" t="s">
        <v>0</v>
      </c>
      <c r="B1" s="7"/>
      <c r="C1" s="7"/>
      <c r="D1" s="7"/>
      <c r="E1" s="7"/>
      <c r="F1" s="7"/>
      <c r="G1" s="7"/>
      <c r="H1" s="7"/>
      <c r="I1" s="7"/>
      <c r="J1" s="7"/>
      <c r="K1" s="7"/>
    </row>
    <row r="2" ht="27" customHeight="1" spans="1:11">
      <c r="A2" s="8" t="s">
        <v>1</v>
      </c>
      <c r="B2" s="9" t="s">
        <v>2</v>
      </c>
      <c r="C2" s="10"/>
      <c r="D2" s="8" t="s">
        <v>3</v>
      </c>
      <c r="E2" s="9" t="s">
        <v>4</v>
      </c>
      <c r="F2" s="10"/>
      <c r="G2" s="8" t="s">
        <v>5</v>
      </c>
      <c r="H2" s="8"/>
      <c r="I2" s="19" t="s">
        <v>6</v>
      </c>
      <c r="J2" s="19"/>
      <c r="K2" s="19"/>
    </row>
    <row r="3" ht="32.1" customHeight="1" spans="1:11">
      <c r="A3" s="8" t="s">
        <v>7</v>
      </c>
      <c r="B3" s="8"/>
      <c r="C3" s="11">
        <v>43600</v>
      </c>
      <c r="D3" s="12"/>
      <c r="E3" s="12"/>
      <c r="F3" s="13"/>
      <c r="G3" s="8" t="s">
        <v>8</v>
      </c>
      <c r="H3" s="8"/>
      <c r="I3" s="51" t="s">
        <v>9</v>
      </c>
      <c r="J3" s="19"/>
      <c r="K3" s="19"/>
    </row>
    <row r="4" ht="56.1" customHeight="1" spans="1:11">
      <c r="A4" s="14" t="s">
        <v>10</v>
      </c>
      <c r="B4" s="14"/>
      <c r="C4" s="14"/>
      <c r="D4" s="14"/>
      <c r="E4" s="14"/>
      <c r="F4" s="14"/>
      <c r="G4" s="14"/>
      <c r="H4" s="14"/>
      <c r="I4" s="14"/>
      <c r="J4" s="14"/>
      <c r="K4" s="14"/>
    </row>
    <row r="5" ht="32.1" customHeight="1" spans="1:11">
      <c r="A5" s="8" t="s">
        <v>11</v>
      </c>
      <c r="B5" s="9" t="s">
        <v>12</v>
      </c>
      <c r="C5" s="10"/>
      <c r="D5" s="8" t="s">
        <v>13</v>
      </c>
      <c r="E5" s="6"/>
      <c r="F5" s="15" t="s">
        <v>14</v>
      </c>
      <c r="G5" s="16" t="s">
        <v>15</v>
      </c>
      <c r="H5" s="16"/>
      <c r="I5" s="16"/>
      <c r="J5" s="16"/>
      <c r="K5" s="16"/>
    </row>
    <row r="6" ht="30" customHeight="1" spans="1:11">
      <c r="A6" s="8" t="s">
        <v>16</v>
      </c>
      <c r="B6" s="8" t="s">
        <v>17</v>
      </c>
      <c r="C6" s="17" t="s">
        <v>18</v>
      </c>
      <c r="D6" s="8" t="s">
        <v>19</v>
      </c>
      <c r="E6" s="17" t="s">
        <v>20</v>
      </c>
      <c r="F6" s="17"/>
      <c r="G6" s="17"/>
      <c r="H6" s="17"/>
      <c r="I6" s="17"/>
      <c r="J6" s="17" t="s">
        <v>21</v>
      </c>
      <c r="K6" s="8" t="s">
        <v>22</v>
      </c>
    </row>
    <row r="7" s="5" customFormat="1" ht="19" customHeight="1" spans="1:13">
      <c r="A7" s="18" t="s">
        <v>23</v>
      </c>
      <c r="B7" s="19" t="s">
        <v>24</v>
      </c>
      <c r="C7" s="20" t="s">
        <v>25</v>
      </c>
      <c r="D7" s="19">
        <v>20</v>
      </c>
      <c r="E7" s="21" t="s">
        <v>26</v>
      </c>
      <c r="F7" s="22"/>
      <c r="G7" s="22"/>
      <c r="H7" s="22"/>
      <c r="I7" s="52"/>
      <c r="J7" s="53">
        <v>0</v>
      </c>
      <c r="K7" s="19">
        <v>20</v>
      </c>
      <c r="L7" s="6"/>
      <c r="M7" s="6"/>
    </row>
    <row r="8" s="5" customFormat="1" ht="19" customHeight="1" spans="1:13">
      <c r="A8" s="18"/>
      <c r="B8" s="19"/>
      <c r="C8" s="20"/>
      <c r="D8" s="19"/>
      <c r="E8" s="21" t="s">
        <v>27</v>
      </c>
      <c r="F8" s="22"/>
      <c r="G8" s="22"/>
      <c r="H8" s="22"/>
      <c r="I8" s="52"/>
      <c r="J8" s="53">
        <v>6</v>
      </c>
      <c r="K8" s="19"/>
      <c r="L8" s="6"/>
      <c r="M8" s="6"/>
    </row>
    <row r="9" s="5" customFormat="1" ht="19" customHeight="1" spans="1:13">
      <c r="A9" s="18"/>
      <c r="B9" s="19"/>
      <c r="C9" s="20"/>
      <c r="D9" s="19"/>
      <c r="E9" s="21" t="s">
        <v>28</v>
      </c>
      <c r="F9" s="22"/>
      <c r="G9" s="22"/>
      <c r="H9" s="22"/>
      <c r="I9" s="52"/>
      <c r="J9" s="53">
        <v>8</v>
      </c>
      <c r="K9" s="19"/>
      <c r="L9" s="6"/>
      <c r="M9" s="6"/>
    </row>
    <row r="10" s="5" customFormat="1" ht="19" customHeight="1" spans="1:13">
      <c r="A10" s="18"/>
      <c r="B10" s="19"/>
      <c r="C10" s="20"/>
      <c r="D10" s="19"/>
      <c r="E10" s="21" t="s">
        <v>29</v>
      </c>
      <c r="F10" s="22"/>
      <c r="G10" s="22"/>
      <c r="H10" s="22"/>
      <c r="I10" s="52"/>
      <c r="J10" s="53">
        <v>10</v>
      </c>
      <c r="K10" s="19"/>
      <c r="L10" s="6"/>
      <c r="M10" s="6"/>
    </row>
    <row r="11" s="5" customFormat="1" ht="19" customHeight="1" spans="1:13">
      <c r="A11" s="18"/>
      <c r="B11" s="19"/>
      <c r="C11" s="20"/>
      <c r="D11" s="19"/>
      <c r="E11" s="21" t="s">
        <v>30</v>
      </c>
      <c r="F11" s="22"/>
      <c r="G11" s="22"/>
      <c r="H11" s="22"/>
      <c r="I11" s="52"/>
      <c r="J11" s="53">
        <v>12</v>
      </c>
      <c r="K11" s="19"/>
      <c r="L11" s="54">
        <v>75295.95</v>
      </c>
      <c r="M11" s="6">
        <v>46293.6</v>
      </c>
    </row>
    <row r="12" s="5" customFormat="1" ht="19" customHeight="1" spans="1:13">
      <c r="A12" s="18"/>
      <c r="B12" s="19"/>
      <c r="C12" s="20"/>
      <c r="D12" s="19"/>
      <c r="E12" s="21" t="s">
        <v>31</v>
      </c>
      <c r="F12" s="22"/>
      <c r="G12" s="22"/>
      <c r="H12" s="22"/>
      <c r="I12" s="52"/>
      <c r="J12" s="53">
        <v>14</v>
      </c>
      <c r="K12" s="19"/>
      <c r="L12" s="55">
        <f>L11/M11</f>
        <v>1.62648724661724</v>
      </c>
      <c r="M12" s="6"/>
    </row>
    <row r="13" s="5" customFormat="1" ht="19" customHeight="1" spans="1:13">
      <c r="A13" s="18"/>
      <c r="B13" s="19"/>
      <c r="C13" s="20"/>
      <c r="D13" s="19"/>
      <c r="E13" s="21" t="s">
        <v>32</v>
      </c>
      <c r="F13" s="22"/>
      <c r="G13" s="22"/>
      <c r="H13" s="22"/>
      <c r="I13" s="52"/>
      <c r="J13" s="53">
        <v>16</v>
      </c>
      <c r="K13" s="19"/>
      <c r="L13" s="6"/>
      <c r="M13" s="6"/>
    </row>
    <row r="14" s="5" customFormat="1" ht="19" customHeight="1" spans="1:13">
      <c r="A14" s="18"/>
      <c r="B14" s="19"/>
      <c r="C14" s="20"/>
      <c r="D14" s="19"/>
      <c r="E14" s="21" t="s">
        <v>33</v>
      </c>
      <c r="F14" s="22"/>
      <c r="G14" s="22"/>
      <c r="H14" s="22"/>
      <c r="I14" s="52"/>
      <c r="J14" s="53">
        <v>18</v>
      </c>
      <c r="K14" s="19"/>
      <c r="L14" s="6"/>
      <c r="M14" s="6"/>
    </row>
    <row r="15" s="5" customFormat="1" ht="19" customHeight="1" spans="1:13">
      <c r="A15" s="18"/>
      <c r="B15" s="19"/>
      <c r="C15" s="20"/>
      <c r="D15" s="19"/>
      <c r="E15" s="21" t="s">
        <v>34</v>
      </c>
      <c r="F15" s="22"/>
      <c r="G15" s="22"/>
      <c r="H15" s="22"/>
      <c r="I15" s="52"/>
      <c r="J15" s="53">
        <v>20</v>
      </c>
      <c r="K15" s="19"/>
      <c r="L15" s="6"/>
      <c r="M15" s="6"/>
    </row>
    <row r="16" s="5" customFormat="1" ht="19" customHeight="1" spans="1:13">
      <c r="A16" s="18"/>
      <c r="B16" s="23" t="s">
        <v>35</v>
      </c>
      <c r="C16" s="24" t="s">
        <v>36</v>
      </c>
      <c r="D16" s="23">
        <v>20</v>
      </c>
      <c r="E16" s="25" t="s">
        <v>37</v>
      </c>
      <c r="F16" s="26"/>
      <c r="G16" s="26"/>
      <c r="H16" s="26"/>
      <c r="I16" s="56"/>
      <c r="J16" s="53">
        <v>0</v>
      </c>
      <c r="K16" s="19">
        <v>16</v>
      </c>
      <c r="L16" s="6"/>
      <c r="M16" s="6"/>
    </row>
    <row r="17" s="5" customFormat="1" ht="19" customHeight="1" spans="1:13">
      <c r="A17" s="18"/>
      <c r="B17" s="23"/>
      <c r="C17" s="27"/>
      <c r="D17" s="23"/>
      <c r="E17" s="25" t="s">
        <v>38</v>
      </c>
      <c r="F17" s="26"/>
      <c r="G17" s="26"/>
      <c r="H17" s="26"/>
      <c r="I17" s="56"/>
      <c r="J17" s="53">
        <v>4</v>
      </c>
      <c r="K17" s="19"/>
      <c r="L17" s="6"/>
      <c r="M17" s="6"/>
    </row>
    <row r="18" s="5" customFormat="1" ht="19" customHeight="1" spans="1:13">
      <c r="A18" s="18"/>
      <c r="B18" s="23"/>
      <c r="C18" s="27"/>
      <c r="D18" s="23"/>
      <c r="E18" s="25" t="s">
        <v>39</v>
      </c>
      <c r="F18" s="26"/>
      <c r="G18" s="26"/>
      <c r="H18" s="26"/>
      <c r="I18" s="56"/>
      <c r="J18" s="53">
        <v>8</v>
      </c>
      <c r="K18" s="19"/>
      <c r="L18" s="55">
        <f>M18/L11</f>
        <v>0.160423900621481</v>
      </c>
      <c r="M18" s="1">
        <v>12079.27</v>
      </c>
    </row>
    <row r="19" s="5" customFormat="1" ht="19" customHeight="1" spans="1:13">
      <c r="A19" s="18"/>
      <c r="B19" s="23"/>
      <c r="C19" s="27"/>
      <c r="D19" s="23"/>
      <c r="E19" s="25" t="s">
        <v>40</v>
      </c>
      <c r="F19" s="26"/>
      <c r="G19" s="26"/>
      <c r="H19" s="26"/>
      <c r="I19" s="56"/>
      <c r="J19" s="53">
        <v>12</v>
      </c>
      <c r="K19" s="19"/>
      <c r="L19" s="6"/>
      <c r="M19" s="6"/>
    </row>
    <row r="20" s="5" customFormat="1" ht="19" customHeight="1" spans="1:13">
      <c r="A20" s="18"/>
      <c r="B20" s="23"/>
      <c r="C20" s="27"/>
      <c r="D20" s="23"/>
      <c r="E20" s="25" t="s">
        <v>41</v>
      </c>
      <c r="F20" s="26"/>
      <c r="G20" s="26"/>
      <c r="H20" s="26"/>
      <c r="I20" s="56"/>
      <c r="J20" s="53">
        <v>16</v>
      </c>
      <c r="K20" s="19"/>
      <c r="L20" s="6"/>
      <c r="M20" s="6"/>
    </row>
    <row r="21" s="5" customFormat="1" ht="19" customHeight="1" spans="1:13">
      <c r="A21" s="18"/>
      <c r="B21" s="28"/>
      <c r="C21" s="27"/>
      <c r="D21" s="23"/>
      <c r="E21" s="25" t="s">
        <v>42</v>
      </c>
      <c r="F21" s="26"/>
      <c r="G21" s="26"/>
      <c r="H21" s="26"/>
      <c r="I21" s="56"/>
      <c r="J21" s="53">
        <v>20</v>
      </c>
      <c r="K21" s="19"/>
      <c r="L21" s="6"/>
      <c r="M21" s="6"/>
    </row>
    <row r="22" s="5" customFormat="1" ht="19" customHeight="1" spans="1:13">
      <c r="A22" s="18"/>
      <c r="B22" s="23" t="s">
        <v>43</v>
      </c>
      <c r="C22" s="29" t="s">
        <v>44</v>
      </c>
      <c r="D22" s="30">
        <v>20</v>
      </c>
      <c r="E22" s="25" t="s">
        <v>45</v>
      </c>
      <c r="F22" s="26"/>
      <c r="G22" s="26"/>
      <c r="H22" s="26"/>
      <c r="I22" s="56"/>
      <c r="J22" s="53">
        <v>0</v>
      </c>
      <c r="K22" s="19">
        <v>20</v>
      </c>
      <c r="L22" s="6"/>
      <c r="M22" s="6"/>
    </row>
    <row r="23" s="5" customFormat="1" ht="19" customHeight="1" spans="1:13">
      <c r="A23" s="18"/>
      <c r="B23" s="23"/>
      <c r="C23" s="29"/>
      <c r="D23" s="30"/>
      <c r="E23" s="25" t="s">
        <v>46</v>
      </c>
      <c r="F23" s="26"/>
      <c r="G23" s="26"/>
      <c r="H23" s="26"/>
      <c r="I23" s="56"/>
      <c r="J23" s="53">
        <v>6</v>
      </c>
      <c r="K23" s="19"/>
      <c r="L23" s="6"/>
      <c r="M23" s="6"/>
    </row>
    <row r="24" s="5" customFormat="1" ht="19" customHeight="1" spans="1:13">
      <c r="A24" s="18"/>
      <c r="B24" s="23"/>
      <c r="C24" s="29"/>
      <c r="D24" s="30"/>
      <c r="E24" s="25" t="s">
        <v>47</v>
      </c>
      <c r="F24" s="26"/>
      <c r="G24" s="26"/>
      <c r="H24" s="26"/>
      <c r="I24" s="56"/>
      <c r="J24" s="53">
        <v>12</v>
      </c>
      <c r="K24" s="19"/>
      <c r="L24" s="6"/>
      <c r="M24" s="6"/>
    </row>
    <row r="25" s="5" customFormat="1" ht="19" customHeight="1" spans="1:13">
      <c r="A25" s="18"/>
      <c r="B25" s="23"/>
      <c r="C25" s="29"/>
      <c r="D25" s="30"/>
      <c r="E25" s="25" t="s">
        <v>48</v>
      </c>
      <c r="F25" s="26"/>
      <c r="G25" s="26"/>
      <c r="H25" s="26"/>
      <c r="I25" s="56"/>
      <c r="J25" s="53">
        <v>14</v>
      </c>
      <c r="K25" s="19"/>
      <c r="L25" s="55">
        <v>0.472523419635613</v>
      </c>
      <c r="M25" s="6"/>
    </row>
    <row r="26" s="5" customFormat="1" ht="19" customHeight="1" spans="1:13">
      <c r="A26" s="18"/>
      <c r="B26" s="23"/>
      <c r="C26" s="29"/>
      <c r="D26" s="30"/>
      <c r="E26" s="25" t="s">
        <v>49</v>
      </c>
      <c r="F26" s="26"/>
      <c r="G26" s="26"/>
      <c r="H26" s="26"/>
      <c r="I26" s="56"/>
      <c r="J26" s="53">
        <v>16</v>
      </c>
      <c r="K26" s="19"/>
      <c r="L26" s="6"/>
      <c r="M26" s="6"/>
    </row>
    <row r="27" s="5" customFormat="1" ht="19" customHeight="1" spans="1:13">
      <c r="A27" s="18"/>
      <c r="B27" s="23"/>
      <c r="C27" s="29"/>
      <c r="D27" s="30"/>
      <c r="E27" s="25" t="s">
        <v>50</v>
      </c>
      <c r="F27" s="26"/>
      <c r="G27" s="26"/>
      <c r="H27" s="26"/>
      <c r="I27" s="56"/>
      <c r="J27" s="53">
        <v>18</v>
      </c>
      <c r="K27" s="19"/>
      <c r="L27" s="6"/>
      <c r="M27" s="6"/>
    </row>
    <row r="28" s="5" customFormat="1" ht="19" customHeight="1" spans="1:13">
      <c r="A28" s="18"/>
      <c r="B28" s="23"/>
      <c r="C28" s="29"/>
      <c r="D28" s="31"/>
      <c r="E28" s="25" t="s">
        <v>51</v>
      </c>
      <c r="F28" s="26"/>
      <c r="G28" s="26"/>
      <c r="H28" s="26"/>
      <c r="I28" s="56"/>
      <c r="J28" s="53">
        <v>20</v>
      </c>
      <c r="K28" s="19"/>
      <c r="L28" s="6"/>
      <c r="M28" s="6"/>
    </row>
    <row r="29" s="5" customFormat="1" ht="19" customHeight="1" spans="1:13">
      <c r="A29" s="18"/>
      <c r="B29" s="28" t="s">
        <v>52</v>
      </c>
      <c r="C29" s="24" t="s">
        <v>53</v>
      </c>
      <c r="D29" s="30">
        <v>20</v>
      </c>
      <c r="E29" s="32" t="s">
        <v>54</v>
      </c>
      <c r="F29" s="33"/>
      <c r="G29" s="33"/>
      <c r="H29" s="33"/>
      <c r="I29" s="57"/>
      <c r="J29" s="53">
        <v>0</v>
      </c>
      <c r="K29" s="19">
        <v>20</v>
      </c>
      <c r="L29" s="6"/>
      <c r="M29" s="6"/>
    </row>
    <row r="30" s="5" customFormat="1" ht="19" customHeight="1" spans="1:13">
      <c r="A30" s="18"/>
      <c r="B30" s="30"/>
      <c r="C30" s="27"/>
      <c r="D30" s="30"/>
      <c r="E30" s="32" t="s">
        <v>55</v>
      </c>
      <c r="F30" s="33"/>
      <c r="G30" s="33"/>
      <c r="H30" s="33"/>
      <c r="I30" s="57"/>
      <c r="J30" s="53">
        <v>5</v>
      </c>
      <c r="K30" s="19"/>
      <c r="L30" s="6"/>
      <c r="M30" s="6"/>
    </row>
    <row r="31" s="5" customFormat="1" ht="19" customHeight="1" spans="1:13">
      <c r="A31" s="18"/>
      <c r="B31" s="30"/>
      <c r="C31" s="27"/>
      <c r="D31" s="30"/>
      <c r="E31" s="32" t="s">
        <v>56</v>
      </c>
      <c r="F31" s="33"/>
      <c r="G31" s="33"/>
      <c r="H31" s="33"/>
      <c r="I31" s="57"/>
      <c r="J31" s="53">
        <v>10</v>
      </c>
      <c r="K31" s="19"/>
      <c r="L31" s="6">
        <v>119</v>
      </c>
      <c r="M31" s="6"/>
    </row>
    <row r="32" s="5" customFormat="1" ht="19" customHeight="1" spans="1:13">
      <c r="A32" s="18"/>
      <c r="B32" s="30"/>
      <c r="C32" s="27"/>
      <c r="D32" s="30"/>
      <c r="E32" s="32" t="s">
        <v>57</v>
      </c>
      <c r="F32" s="33"/>
      <c r="G32" s="33"/>
      <c r="H32" s="33"/>
      <c r="I32" s="57"/>
      <c r="J32" s="53">
        <v>15</v>
      </c>
      <c r="K32" s="19"/>
      <c r="L32" s="6"/>
      <c r="M32" s="6"/>
    </row>
    <row r="33" s="5" customFormat="1" ht="19" customHeight="1" spans="1:13">
      <c r="A33" s="18"/>
      <c r="B33" s="31"/>
      <c r="C33" s="27"/>
      <c r="D33" s="30"/>
      <c r="E33" s="34" t="s">
        <v>58</v>
      </c>
      <c r="F33" s="35"/>
      <c r="G33" s="35"/>
      <c r="H33" s="35"/>
      <c r="I33" s="58"/>
      <c r="J33" s="53">
        <v>20</v>
      </c>
      <c r="K33" s="19"/>
      <c r="L33" s="6"/>
      <c r="M33" s="6"/>
    </row>
    <row r="34" ht="19" customHeight="1" spans="1:11">
      <c r="A34" s="36" t="s">
        <v>59</v>
      </c>
      <c r="B34" s="37" t="s">
        <v>60</v>
      </c>
      <c r="C34" s="20" t="s">
        <v>61</v>
      </c>
      <c r="D34" s="38">
        <v>5</v>
      </c>
      <c r="E34" s="39" t="s">
        <v>62</v>
      </c>
      <c r="F34" s="40"/>
      <c r="G34" s="39"/>
      <c r="H34" s="39"/>
      <c r="I34" s="39"/>
      <c r="J34" s="59">
        <v>1</v>
      </c>
      <c r="K34" s="60">
        <v>4</v>
      </c>
    </row>
    <row r="35" ht="19" customHeight="1" spans="1:11">
      <c r="A35" s="18"/>
      <c r="B35" s="41"/>
      <c r="C35" s="20"/>
      <c r="D35" s="42"/>
      <c r="E35" s="25" t="s">
        <v>63</v>
      </c>
      <c r="F35" s="26"/>
      <c r="G35" s="26"/>
      <c r="H35" s="26"/>
      <c r="I35" s="56"/>
      <c r="J35" s="53">
        <v>2</v>
      </c>
      <c r="K35" s="60"/>
    </row>
    <row r="36" ht="19" customHeight="1" spans="1:11">
      <c r="A36" s="18"/>
      <c r="B36" s="41"/>
      <c r="C36" s="20"/>
      <c r="D36" s="42"/>
      <c r="E36" s="25" t="s">
        <v>64</v>
      </c>
      <c r="F36" s="26"/>
      <c r="G36" s="26"/>
      <c r="H36" s="26"/>
      <c r="I36" s="56"/>
      <c r="J36" s="59">
        <v>3</v>
      </c>
      <c r="K36" s="60"/>
    </row>
    <row r="37" ht="19" customHeight="1" spans="1:11">
      <c r="A37" s="18"/>
      <c r="B37" s="41"/>
      <c r="C37" s="20"/>
      <c r="D37" s="42"/>
      <c r="E37" s="25" t="s">
        <v>65</v>
      </c>
      <c r="F37" s="26"/>
      <c r="G37" s="26"/>
      <c r="H37" s="26"/>
      <c r="I37" s="56"/>
      <c r="J37" s="53">
        <v>4</v>
      </c>
      <c r="K37" s="60"/>
    </row>
    <row r="38" ht="19" customHeight="1" spans="1:11">
      <c r="A38" s="18"/>
      <c r="B38" s="43"/>
      <c r="C38" s="20"/>
      <c r="D38" s="44"/>
      <c r="E38" s="25" t="s">
        <v>66</v>
      </c>
      <c r="F38" s="26"/>
      <c r="G38" s="26"/>
      <c r="H38" s="26"/>
      <c r="I38" s="56"/>
      <c r="J38" s="59">
        <v>5</v>
      </c>
      <c r="K38" s="60"/>
    </row>
    <row r="39" s="5" customFormat="1" ht="19" customHeight="1" spans="1:13">
      <c r="A39" s="36"/>
      <c r="B39" s="37" t="s">
        <v>67</v>
      </c>
      <c r="C39" s="20"/>
      <c r="D39" s="38">
        <v>5</v>
      </c>
      <c r="E39" s="39" t="s">
        <v>68</v>
      </c>
      <c r="F39" s="40"/>
      <c r="G39" s="39"/>
      <c r="H39" s="39"/>
      <c r="I39" s="39"/>
      <c r="J39" s="59">
        <v>1</v>
      </c>
      <c r="K39" s="60">
        <v>4</v>
      </c>
      <c r="L39" s="6"/>
      <c r="M39" s="6"/>
    </row>
    <row r="40" s="5" customFormat="1" ht="19" customHeight="1" spans="1:13">
      <c r="A40" s="18"/>
      <c r="B40" s="41"/>
      <c r="C40" s="20"/>
      <c r="D40" s="42"/>
      <c r="E40" s="25" t="s">
        <v>69</v>
      </c>
      <c r="F40" s="26"/>
      <c r="G40" s="26"/>
      <c r="H40" s="26"/>
      <c r="I40" s="56"/>
      <c r="J40" s="53">
        <v>2</v>
      </c>
      <c r="K40" s="60"/>
      <c r="L40" s="6"/>
      <c r="M40" s="6"/>
    </row>
    <row r="41" s="5" customFormat="1" ht="19" customHeight="1" spans="1:13">
      <c r="A41" s="18"/>
      <c r="B41" s="41"/>
      <c r="C41" s="20"/>
      <c r="D41" s="42"/>
      <c r="E41" s="25" t="s">
        <v>70</v>
      </c>
      <c r="F41" s="26"/>
      <c r="G41" s="26"/>
      <c r="H41" s="26"/>
      <c r="I41" s="56"/>
      <c r="J41" s="59">
        <v>3</v>
      </c>
      <c r="K41" s="60"/>
      <c r="L41" s="6"/>
      <c r="M41" s="6"/>
    </row>
    <row r="42" s="5" customFormat="1" ht="19" customHeight="1" spans="1:13">
      <c r="A42" s="18"/>
      <c r="B42" s="41"/>
      <c r="C42" s="20"/>
      <c r="D42" s="42"/>
      <c r="E42" s="25" t="s">
        <v>71</v>
      </c>
      <c r="F42" s="26"/>
      <c r="G42" s="26"/>
      <c r="H42" s="26"/>
      <c r="I42" s="56"/>
      <c r="J42" s="53">
        <v>4</v>
      </c>
      <c r="K42" s="60"/>
      <c r="L42" s="6"/>
      <c r="M42" s="6"/>
    </row>
    <row r="43" s="5" customFormat="1" ht="19" customHeight="1" spans="1:13">
      <c r="A43" s="18"/>
      <c r="B43" s="43"/>
      <c r="C43" s="20"/>
      <c r="D43" s="44"/>
      <c r="E43" s="25" t="s">
        <v>72</v>
      </c>
      <c r="F43" s="26"/>
      <c r="G43" s="26"/>
      <c r="H43" s="26"/>
      <c r="I43" s="56"/>
      <c r="J43" s="53">
        <v>5</v>
      </c>
      <c r="K43" s="60"/>
      <c r="L43" s="6"/>
      <c r="M43" s="6"/>
    </row>
    <row r="44" s="5" customFormat="1" ht="19" customHeight="1" spans="1:13">
      <c r="A44" s="18"/>
      <c r="B44" s="41" t="s">
        <v>73</v>
      </c>
      <c r="C44" s="20"/>
      <c r="D44" s="42">
        <v>5</v>
      </c>
      <c r="E44" s="39" t="s">
        <v>74</v>
      </c>
      <c r="F44" s="40"/>
      <c r="G44" s="39"/>
      <c r="H44" s="39"/>
      <c r="I44" s="39"/>
      <c r="J44" s="59">
        <v>1</v>
      </c>
      <c r="K44" s="60">
        <v>4</v>
      </c>
      <c r="L44" s="6"/>
      <c r="M44" s="6"/>
    </row>
    <row r="45" s="5" customFormat="1" ht="19" customHeight="1" spans="1:13">
      <c r="A45" s="18"/>
      <c r="B45" s="41"/>
      <c r="C45" s="20"/>
      <c r="D45" s="42"/>
      <c r="E45" s="39" t="s">
        <v>75</v>
      </c>
      <c r="F45" s="40"/>
      <c r="G45" s="39"/>
      <c r="H45" s="39"/>
      <c r="I45" s="39"/>
      <c r="J45" s="53">
        <v>2</v>
      </c>
      <c r="K45" s="60"/>
      <c r="L45" s="6"/>
      <c r="M45" s="6"/>
    </row>
    <row r="46" s="5" customFormat="1" ht="19" customHeight="1" spans="1:13">
      <c r="A46" s="18"/>
      <c r="B46" s="41"/>
      <c r="C46" s="20"/>
      <c r="D46" s="42"/>
      <c r="E46" s="25" t="s">
        <v>76</v>
      </c>
      <c r="F46" s="26"/>
      <c r="G46" s="26"/>
      <c r="H46" s="26"/>
      <c r="I46" s="56"/>
      <c r="J46" s="59">
        <v>3</v>
      </c>
      <c r="K46" s="60"/>
      <c r="L46" s="6"/>
      <c r="M46" s="6"/>
    </row>
    <row r="47" s="5" customFormat="1" ht="19" customHeight="1" spans="1:13">
      <c r="A47" s="18"/>
      <c r="B47" s="41"/>
      <c r="C47" s="20"/>
      <c r="D47" s="42"/>
      <c r="E47" s="25" t="s">
        <v>77</v>
      </c>
      <c r="F47" s="26"/>
      <c r="G47" s="26"/>
      <c r="H47" s="26"/>
      <c r="I47" s="56"/>
      <c r="J47" s="53">
        <v>4</v>
      </c>
      <c r="K47" s="60"/>
      <c r="L47" s="6"/>
      <c r="M47" s="6"/>
    </row>
    <row r="48" s="5" customFormat="1" ht="19" customHeight="1" spans="1:13">
      <c r="A48" s="18"/>
      <c r="B48" s="41"/>
      <c r="C48" s="20"/>
      <c r="D48" s="42"/>
      <c r="E48" s="25" t="s">
        <v>78</v>
      </c>
      <c r="F48" s="26"/>
      <c r="G48" s="26"/>
      <c r="H48" s="26"/>
      <c r="I48" s="56"/>
      <c r="J48" s="59">
        <v>5</v>
      </c>
      <c r="K48" s="60"/>
      <c r="L48" s="6"/>
      <c r="M48" s="6"/>
    </row>
    <row r="49" s="5" customFormat="1" ht="19" customHeight="1" spans="1:13">
      <c r="A49" s="36"/>
      <c r="B49" s="37" t="s">
        <v>79</v>
      </c>
      <c r="C49" s="20" t="s">
        <v>80</v>
      </c>
      <c r="D49" s="38">
        <v>5</v>
      </c>
      <c r="E49" s="21" t="s">
        <v>81</v>
      </c>
      <c r="F49" s="22"/>
      <c r="G49" s="22"/>
      <c r="H49" s="22"/>
      <c r="I49" s="52"/>
      <c r="J49" s="59">
        <v>1</v>
      </c>
      <c r="K49" s="60">
        <v>5</v>
      </c>
      <c r="L49" s="6"/>
      <c r="M49" s="6"/>
    </row>
    <row r="50" s="5" customFormat="1" ht="19" customHeight="1" spans="1:13">
      <c r="A50" s="18"/>
      <c r="B50" s="41"/>
      <c r="C50" s="20"/>
      <c r="D50" s="42"/>
      <c r="E50" s="21" t="s">
        <v>82</v>
      </c>
      <c r="F50" s="22"/>
      <c r="G50" s="22"/>
      <c r="H50" s="22"/>
      <c r="I50" s="52"/>
      <c r="J50" s="53">
        <v>2</v>
      </c>
      <c r="K50" s="60"/>
      <c r="L50" s="6"/>
      <c r="M50" s="6"/>
    </row>
    <row r="51" s="5" customFormat="1" ht="19" customHeight="1" spans="1:13">
      <c r="A51" s="18"/>
      <c r="B51" s="41"/>
      <c r="C51" s="20"/>
      <c r="D51" s="42"/>
      <c r="E51" s="21" t="s">
        <v>83</v>
      </c>
      <c r="F51" s="22"/>
      <c r="G51" s="22"/>
      <c r="H51" s="22"/>
      <c r="I51" s="52"/>
      <c r="J51" s="59">
        <v>3</v>
      </c>
      <c r="K51" s="60"/>
      <c r="L51" s="6"/>
      <c r="M51" s="6"/>
    </row>
    <row r="52" s="5" customFormat="1" ht="19" customHeight="1" spans="1:13">
      <c r="A52" s="18"/>
      <c r="B52" s="41"/>
      <c r="C52" s="20"/>
      <c r="D52" s="42"/>
      <c r="E52" s="21" t="s">
        <v>84</v>
      </c>
      <c r="F52" s="22"/>
      <c r="G52" s="22"/>
      <c r="H52" s="22"/>
      <c r="I52" s="52"/>
      <c r="J52" s="53">
        <v>4</v>
      </c>
      <c r="K52" s="60"/>
      <c r="L52" s="6"/>
      <c r="M52" s="6"/>
    </row>
    <row r="53" s="5" customFormat="1" ht="19" customHeight="1" spans="1:13">
      <c r="A53" s="18"/>
      <c r="B53" s="41"/>
      <c r="C53" s="20"/>
      <c r="D53" s="42"/>
      <c r="E53" s="21" t="s">
        <v>85</v>
      </c>
      <c r="F53" s="22"/>
      <c r="G53" s="22"/>
      <c r="H53" s="22"/>
      <c r="I53" s="52"/>
      <c r="J53" s="59">
        <v>5</v>
      </c>
      <c r="K53" s="60"/>
      <c r="L53" s="6"/>
      <c r="M53" s="6"/>
    </row>
    <row r="54" s="5" customFormat="1" ht="40" customHeight="1" spans="1:13">
      <c r="A54" s="20" t="s">
        <v>86</v>
      </c>
      <c r="B54" s="45" t="s">
        <v>87</v>
      </c>
      <c r="C54" s="46"/>
      <c r="D54" s="46"/>
      <c r="E54" s="46"/>
      <c r="F54" s="46"/>
      <c r="G54" s="46"/>
      <c r="H54" s="46"/>
      <c r="I54" s="46"/>
      <c r="J54" s="46"/>
      <c r="K54" s="19"/>
      <c r="L54" s="6"/>
      <c r="M54" s="6"/>
    </row>
    <row r="55" ht="31" customHeight="1" spans="1:11">
      <c r="A55" s="8" t="s">
        <v>88</v>
      </c>
      <c r="B55" s="8"/>
      <c r="C55" s="47"/>
      <c r="D55" s="19">
        <v>100</v>
      </c>
      <c r="E55" s="47"/>
      <c r="F55" s="47"/>
      <c r="G55" s="47"/>
      <c r="H55" s="47"/>
      <c r="I55" s="47"/>
      <c r="J55" s="47"/>
      <c r="K55" s="19">
        <f>SUM(K7:K53)</f>
        <v>93</v>
      </c>
    </row>
    <row r="56" ht="122.1" customHeight="1" spans="1:11">
      <c r="A56" s="48" t="s">
        <v>89</v>
      </c>
      <c r="B56" s="49"/>
      <c r="C56" s="49"/>
      <c r="D56" s="49"/>
      <c r="E56" s="49"/>
      <c r="F56" s="49"/>
      <c r="G56" s="49"/>
      <c r="H56" s="49"/>
      <c r="I56" s="49"/>
      <c r="J56" s="49"/>
      <c r="K56" s="49"/>
    </row>
    <row r="57" ht="131.1" customHeight="1" spans="1:11">
      <c r="A57" s="50" t="s">
        <v>90</v>
      </c>
      <c r="B57" s="49"/>
      <c r="C57" s="49"/>
      <c r="D57" s="49"/>
      <c r="E57" s="49"/>
      <c r="F57" s="49"/>
      <c r="G57" s="49"/>
      <c r="H57" s="49"/>
      <c r="I57" s="49"/>
      <c r="J57" s="49"/>
      <c r="K57" s="49"/>
    </row>
  </sheetData>
  <mergeCells count="97">
    <mergeCell ref="A1:K1"/>
    <mergeCell ref="B2:C2"/>
    <mergeCell ref="E2:F2"/>
    <mergeCell ref="G2:H2"/>
    <mergeCell ref="I2:K2"/>
    <mergeCell ref="A3:B3"/>
    <mergeCell ref="C3:F3"/>
    <mergeCell ref="G3:H3"/>
    <mergeCell ref="I3:K3"/>
    <mergeCell ref="A4:K4"/>
    <mergeCell ref="B5:C5"/>
    <mergeCell ref="G5:K5"/>
    <mergeCell ref="E6:I6"/>
    <mergeCell ref="E7:I7"/>
    <mergeCell ref="E8:I8"/>
    <mergeCell ref="E9:I9"/>
    <mergeCell ref="E10:I10"/>
    <mergeCell ref="E11:I11"/>
    <mergeCell ref="E12:I12"/>
    <mergeCell ref="E13:I13"/>
    <mergeCell ref="E14:I14"/>
    <mergeCell ref="E15:I15"/>
    <mergeCell ref="E16:I16"/>
    <mergeCell ref="E17:I17"/>
    <mergeCell ref="E18:I18"/>
    <mergeCell ref="E19:I19"/>
    <mergeCell ref="E20:I20"/>
    <mergeCell ref="E21:I21"/>
    <mergeCell ref="E22:I22"/>
    <mergeCell ref="E23:I23"/>
    <mergeCell ref="E24:I24"/>
    <mergeCell ref="E25:I25"/>
    <mergeCell ref="E26:I26"/>
    <mergeCell ref="E27:I27"/>
    <mergeCell ref="E28:I28"/>
    <mergeCell ref="E29:I29"/>
    <mergeCell ref="E30:I30"/>
    <mergeCell ref="E31:I31"/>
    <mergeCell ref="E32:I32"/>
    <mergeCell ref="E33:I33"/>
    <mergeCell ref="E34:I34"/>
    <mergeCell ref="E35:I35"/>
    <mergeCell ref="E36:I36"/>
    <mergeCell ref="E37:I37"/>
    <mergeCell ref="E38:I38"/>
    <mergeCell ref="E39:I39"/>
    <mergeCell ref="E40:I40"/>
    <mergeCell ref="E41:I41"/>
    <mergeCell ref="E42:I42"/>
    <mergeCell ref="E43:I43"/>
    <mergeCell ref="E44:I44"/>
    <mergeCell ref="E45:I45"/>
    <mergeCell ref="E46:I46"/>
    <mergeCell ref="E47:I47"/>
    <mergeCell ref="E48:I48"/>
    <mergeCell ref="E49:I49"/>
    <mergeCell ref="E50:I50"/>
    <mergeCell ref="E51:I51"/>
    <mergeCell ref="E52:I52"/>
    <mergeCell ref="E53:I53"/>
    <mergeCell ref="B54:J54"/>
    <mergeCell ref="A55:B55"/>
    <mergeCell ref="E55:I55"/>
    <mergeCell ref="A56:K56"/>
    <mergeCell ref="A57:K57"/>
    <mergeCell ref="A7:A33"/>
    <mergeCell ref="A34:A53"/>
    <mergeCell ref="B7:B15"/>
    <mergeCell ref="B16:B21"/>
    <mergeCell ref="B22:B28"/>
    <mergeCell ref="B29:B33"/>
    <mergeCell ref="B34:B38"/>
    <mergeCell ref="B39:B43"/>
    <mergeCell ref="B44:B48"/>
    <mergeCell ref="B49:B53"/>
    <mergeCell ref="C7:C15"/>
    <mergeCell ref="C16:C21"/>
    <mergeCell ref="C22:C28"/>
    <mergeCell ref="C29:C33"/>
    <mergeCell ref="C34:C48"/>
    <mergeCell ref="C49:C53"/>
    <mergeCell ref="D7:D15"/>
    <mergeCell ref="D16:D21"/>
    <mergeCell ref="D22:D28"/>
    <mergeCell ref="D29:D33"/>
    <mergeCell ref="D34:D38"/>
    <mergeCell ref="D39:D43"/>
    <mergeCell ref="D44:D48"/>
    <mergeCell ref="D49:D53"/>
    <mergeCell ref="K7:K15"/>
    <mergeCell ref="K16:K21"/>
    <mergeCell ref="K22:K28"/>
    <mergeCell ref="K29:K33"/>
    <mergeCell ref="K34:K38"/>
    <mergeCell ref="K39:K43"/>
    <mergeCell ref="K44:K48"/>
    <mergeCell ref="K49:K53"/>
  </mergeCells>
  <pageMargins left="0.235416666666667" right="0.0777777777777778" top="0.196527777777778" bottom="0.0777777777777778" header="0.5" footer="0.196527777777778"/>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D2" sqref="D2"/>
    </sheetView>
  </sheetViews>
  <sheetFormatPr defaultColWidth="9" defaultRowHeight="13.5" outlineLevelRow="1" outlineLevelCol="3"/>
  <cols>
    <col min="3" max="3" width="11" customWidth="1"/>
    <col min="4" max="4" width="10.375" customWidth="1"/>
  </cols>
  <sheetData>
    <row r="1" s="1" customFormat="1" ht="32" customHeight="1" spans="1:4">
      <c r="A1" s="2" t="s">
        <v>91</v>
      </c>
      <c r="B1" s="2" t="s">
        <v>92</v>
      </c>
      <c r="C1" s="2" t="s">
        <v>93</v>
      </c>
      <c r="D1" s="2" t="s">
        <v>94</v>
      </c>
    </row>
    <row r="2" s="1" customFormat="1" ht="32" customHeight="1" spans="1:4">
      <c r="A2" s="3" t="s">
        <v>2</v>
      </c>
      <c r="B2" s="3" t="s">
        <v>95</v>
      </c>
      <c r="C2" s="3" t="s">
        <v>96</v>
      </c>
      <c r="D2" s="4" t="s">
        <v>2</v>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5月份绩效评估表</vt:lpstr>
      <vt:lpstr>5月目标值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E450-03</dc:creator>
  <cp:lastModifiedBy>E450-03</cp:lastModifiedBy>
  <dcterms:created xsi:type="dcterms:W3CDTF">2020-02-12T02:41:00Z</dcterms:created>
  <dcterms:modified xsi:type="dcterms:W3CDTF">2021-07-08T02:32:35Z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2052-10.8.2.6726</vt:lpwstr>
  </property>
</Properties>
</file>