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ruiqi\Desktop\【20个文件】全套亚马逊公司运营、主管、开发、美工绩效考核标准及其KPI表格\KPI\"/>
    </mc:Choice>
  </mc:AlternateContent>
  <xr:revisionPtr revIDLastSave="0" documentId="13_ncr:1_{BE389596-8DA4-4C03-A039-D3B7FF8447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开发人员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E10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<sst xmlns="http://schemas.openxmlformats.org/spreadsheetml/2006/main" count="27" uniqueCount="27">
  <si>
    <t>产品开发人员 - KPI考核目标表（含公式）</t>
  </si>
  <si>
    <t>说明：
1、“考核得分”项已设置公式，蓝色项“实际值”的数字可以相应进行调整，考核得分会随之变动；
2、以下案例仅为举例，供参考，评分细则可以根据各个公司的情况进行调整，如：（1）采用比值的方式；（2）将加分或扣分作为额外的加减分项，在计算完后整体相加；（3）设置底线目标和超越目标，根据达成的程度计算；（4）单项还可以设置最高分；
3、调整的方式需根据公司的绩效导向以及单项指标的性质设定，各项的计算方式可以保持一致，也可以采用不一致的。</t>
  </si>
  <si>
    <t>序号</t>
  </si>
  <si>
    <t>KPI指标</t>
  </si>
  <si>
    <t>KPI指标说明（定义/计算公式）</t>
  </si>
  <si>
    <t>目标值</t>
  </si>
  <si>
    <t>权重</t>
  </si>
  <si>
    <t>评分细则</t>
  </si>
  <si>
    <t>实际值</t>
  </si>
  <si>
    <t>考核得分</t>
  </si>
  <si>
    <t>每月开发产品数量</t>
  </si>
  <si>
    <t>每月开发产品数量大于4款</t>
  </si>
  <si>
    <r>
      <rPr>
        <sz val="11"/>
        <color theme="1"/>
        <rFont val="微软雅黑"/>
        <charset val="134"/>
      </rPr>
      <t xml:space="preserve">多一款加5分
</t>
    </r>
    <r>
      <rPr>
        <sz val="11"/>
        <color rgb="FFFF0000"/>
        <rFont val="微软雅黑"/>
        <charset val="134"/>
      </rPr>
      <t>未达成则为0</t>
    </r>
  </si>
  <si>
    <t>开发产品市场调研表和市场分析报告</t>
  </si>
  <si>
    <t>调研表数据准确，全面。分析报告条理清晰，可行性强。</t>
  </si>
  <si>
    <t>报告少达标一个扣8分
多达标一个加5分</t>
  </si>
  <si>
    <t>产品侵权分析</t>
  </si>
  <si>
    <t>确保产品无专利等侵权信息，或可根据专利品痛点做出5点以上的改进计划。</t>
  </si>
  <si>
    <t>侵权一个扣8分</t>
  </si>
  <si>
    <t>产品差评数量</t>
  </si>
  <si>
    <t>1,2星评论，提示客户不认可产品的为差评。</t>
  </si>
  <si>
    <t>多一个扣8分</t>
  </si>
  <si>
    <t>执行力及团队协作</t>
  </si>
  <si>
    <t>1、本职位对本质工作及上级临时安排的相关事务能按时、保质保量完成
2、积极配合团队及其它部门工作</t>
  </si>
  <si>
    <t>其它安排的各项工作未按时保质保量完成，每被投诉一次扣2分，少执行一次扣5分</t>
  </si>
  <si>
    <t>合计</t>
  </si>
  <si>
    <t>一年内考核得分三次低于90分，绩效工资降20%。5次低于90分，解除合同。
一年内考核得分三次高于100分，绩效工资涨10%。5次高于100分，提高一个薪资等级。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</si>
</sst>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少执行次数:&quot;0"/>
    <numFmt numFmtId="178" formatCode="0&quot;个&quot;"/>
    <numFmt numFmtId="180" formatCode="0&quot;分&quot;"/>
    <numFmt numFmtId="181" formatCode="&quot;投诉次数:&quot;0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9" fontId="1" fillId="0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 wrapText="1"/>
    </xf>
    <xf numFmtId="178" fontId="1" fillId="0" borderId="8" xfId="0" applyNumberFormat="1" applyFont="1" applyFill="1" applyBorder="1" applyAlignment="1">
      <alignment horizontal="center" vertical="center" wrapText="1"/>
    </xf>
    <xf numFmtId="181" fontId="1" fillId="4" borderId="8" xfId="0" applyNumberFormat="1" applyFont="1" applyFill="1" applyBorder="1" applyAlignment="1">
      <alignment horizontal="center" vertical="center" wrapText="1"/>
    </xf>
    <xf numFmtId="176" fontId="1" fillId="4" borderId="11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9" fontId="3" fillId="0" borderId="15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180" fontId="1" fillId="0" borderId="8" xfId="0" applyNumberFormat="1" applyFont="1" applyFill="1" applyBorder="1" applyAlignment="1">
      <alignment horizontal="center" vertical="center" wrapText="1"/>
    </xf>
    <xf numFmtId="180" fontId="1" fillId="0" borderId="11" xfId="0" applyNumberFormat="1" applyFont="1" applyFill="1" applyBorder="1" applyAlignment="1">
      <alignment horizontal="center" vertical="center" wrapText="1"/>
    </xf>
    <xf numFmtId="9" fontId="1" fillId="0" borderId="8" xfId="0" applyNumberFormat="1" applyFont="1" applyFill="1" applyBorder="1" applyAlignment="1">
      <alignment horizontal="center" vertical="center" wrapText="1"/>
    </xf>
    <xf numFmtId="9" fontId="1" fillId="0" borderId="11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14"/>
  <sheetViews>
    <sheetView tabSelected="1" workbookViewId="0">
      <selection activeCell="E17" sqref="E17"/>
    </sheetView>
  </sheetViews>
  <sheetFormatPr defaultColWidth="9" defaultRowHeight="16.5" x14ac:dyDescent="0.15"/>
  <cols>
    <col min="1" max="1" width="6.25" style="1" customWidth="1"/>
    <col min="2" max="2" width="20.75" style="1" customWidth="1"/>
    <col min="3" max="3" width="48" style="1" customWidth="1"/>
    <col min="4" max="5" width="10.75" style="1" customWidth="1"/>
    <col min="6" max="6" width="25.75" style="1" customWidth="1"/>
    <col min="7" max="7" width="14.5" style="1" customWidth="1"/>
    <col min="8" max="8" width="12.375" style="1" customWidth="1"/>
    <col min="9" max="9" width="9.25" style="1"/>
    <col min="10" max="16375" width="9" style="1"/>
    <col min="16376" max="16384" width="9" style="2"/>
  </cols>
  <sheetData>
    <row r="1" spans="1:8" s="1" customFormat="1" ht="33.7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</row>
    <row r="2" spans="1:8" s="1" customFormat="1" ht="101.25" customHeight="1" x14ac:dyDescent="0.15">
      <c r="A2" s="21" t="s">
        <v>1</v>
      </c>
      <c r="B2" s="22"/>
      <c r="C2" s="22"/>
      <c r="D2" s="22"/>
      <c r="E2" s="22"/>
      <c r="F2" s="22"/>
      <c r="G2" s="22"/>
      <c r="H2" s="23"/>
    </row>
    <row r="3" spans="1:8" s="1" customFormat="1" ht="30" customHeight="1" x14ac:dyDescent="0.1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spans="1:8" s="1" customFormat="1" ht="36" customHeight="1" x14ac:dyDescent="0.15">
      <c r="A4" s="6">
        <v>1</v>
      </c>
      <c r="B4" s="7" t="s">
        <v>10</v>
      </c>
      <c r="C4" s="8" t="s">
        <v>11</v>
      </c>
      <c r="D4" s="9">
        <v>4</v>
      </c>
      <c r="E4" s="10">
        <v>0.2</v>
      </c>
      <c r="F4" s="7" t="s">
        <v>12</v>
      </c>
      <c r="G4" s="11">
        <v>4</v>
      </c>
      <c r="H4" s="12">
        <f>IF(G4&gt;=D4,20+5*(G4-D4)*0.2,0)</f>
        <v>20</v>
      </c>
    </row>
    <row r="5" spans="1:8" ht="33" x14ac:dyDescent="0.15">
      <c r="A5" s="6">
        <v>2</v>
      </c>
      <c r="B5" s="7" t="s">
        <v>13</v>
      </c>
      <c r="C5" s="13" t="s">
        <v>14</v>
      </c>
      <c r="D5" s="9">
        <v>4</v>
      </c>
      <c r="E5" s="10">
        <v>0.3</v>
      </c>
      <c r="F5" s="7" t="s">
        <v>15</v>
      </c>
      <c r="G5" s="11">
        <v>2</v>
      </c>
      <c r="H5" s="12">
        <f>IF(G5&lt;=D5,MAX(100-(D5-G5)*8,0),(100+(G5-D5)*5))*E5</f>
        <v>25.2</v>
      </c>
    </row>
    <row r="6" spans="1:8" s="1" customFormat="1" ht="35.25" customHeight="1" x14ac:dyDescent="0.15">
      <c r="A6" s="6">
        <v>2</v>
      </c>
      <c r="B6" s="7" t="s">
        <v>16</v>
      </c>
      <c r="C6" s="8" t="s">
        <v>17</v>
      </c>
      <c r="D6" s="14">
        <v>0</v>
      </c>
      <c r="E6" s="10">
        <v>0.3</v>
      </c>
      <c r="F6" s="7" t="s">
        <v>18</v>
      </c>
      <c r="G6" s="11">
        <v>1</v>
      </c>
      <c r="H6" s="12">
        <f>IF(G6&gt;=D6,MAX(100-(G6-D6)*8,0))*E6</f>
        <v>27.599999999999998</v>
      </c>
    </row>
    <row r="7" spans="1:8" s="1" customFormat="1" ht="35.25" customHeight="1" x14ac:dyDescent="0.15">
      <c r="A7" s="6">
        <v>3</v>
      </c>
      <c r="B7" s="7" t="s">
        <v>19</v>
      </c>
      <c r="C7" s="8" t="s">
        <v>20</v>
      </c>
      <c r="D7" s="14">
        <v>0</v>
      </c>
      <c r="E7" s="10">
        <v>0.1</v>
      </c>
      <c r="F7" s="7" t="s">
        <v>21</v>
      </c>
      <c r="G7" s="11">
        <v>2</v>
      </c>
      <c r="H7" s="12">
        <f>IF(G7&gt;=D7,MAX(100-(G7-D7)*8,0))*E7</f>
        <v>8.4</v>
      </c>
    </row>
    <row r="8" spans="1:8" s="1" customFormat="1" ht="36" customHeight="1" x14ac:dyDescent="0.15">
      <c r="A8" s="26">
        <v>5</v>
      </c>
      <c r="B8" s="28" t="s">
        <v>22</v>
      </c>
      <c r="C8" s="30" t="s">
        <v>23</v>
      </c>
      <c r="D8" s="32">
        <v>100</v>
      </c>
      <c r="E8" s="34">
        <v>0.1</v>
      </c>
      <c r="F8" s="36" t="s">
        <v>24</v>
      </c>
      <c r="G8" s="15">
        <v>1</v>
      </c>
      <c r="H8" s="38">
        <f>(100-G8*2-G9*5)*E8</f>
        <v>8.8000000000000007</v>
      </c>
    </row>
    <row r="9" spans="1:8" s="1" customFormat="1" ht="36" customHeight="1" x14ac:dyDescent="0.15">
      <c r="A9" s="27"/>
      <c r="B9" s="29"/>
      <c r="C9" s="31"/>
      <c r="D9" s="33"/>
      <c r="E9" s="35"/>
      <c r="F9" s="37"/>
      <c r="G9" s="16">
        <v>2</v>
      </c>
      <c r="H9" s="39"/>
    </row>
    <row r="10" spans="1:8" s="1" customFormat="1" x14ac:dyDescent="0.15">
      <c r="A10" s="17" t="s">
        <v>25</v>
      </c>
      <c r="B10" s="24"/>
      <c r="C10" s="25"/>
      <c r="D10" s="25"/>
      <c r="E10" s="18">
        <f>SUM(E4:E9)</f>
        <v>1</v>
      </c>
      <c r="F10" s="25"/>
      <c r="G10" s="25"/>
      <c r="H10" s="19">
        <f>SUM(H4:H9)</f>
        <v>90</v>
      </c>
    </row>
    <row r="13" spans="1:8" ht="27" customHeight="1" x14ac:dyDescent="0.15">
      <c r="A13" s="40" t="s">
        <v>26</v>
      </c>
      <c r="B13" s="40"/>
      <c r="C13" s="40"/>
    </row>
    <row r="14" spans="1:8" ht="20.100000000000001" customHeight="1" x14ac:dyDescent="0.15">
      <c r="A14" s="40"/>
      <c r="B14" s="40"/>
      <c r="C14" s="40"/>
    </row>
  </sheetData>
  <mergeCells count="12">
    <mergeCell ref="A13:C14"/>
    <mergeCell ref="A1:H1"/>
    <mergeCell ref="A2:H2"/>
    <mergeCell ref="B10:D10"/>
    <mergeCell ref="F10:G10"/>
    <mergeCell ref="A8:A9"/>
    <mergeCell ref="B8:B9"/>
    <mergeCell ref="C8:C9"/>
    <mergeCell ref="D8:D9"/>
    <mergeCell ref="E8:E9"/>
    <mergeCell ref="F8:F9"/>
    <mergeCell ref="H8:H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开发人员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123</cp:lastModifiedBy>
  <dcterms:created xsi:type="dcterms:W3CDTF">2021-09-03T02:30:00Z</dcterms:created>
  <dcterms:modified xsi:type="dcterms:W3CDTF">2021-10-20T02:04:43Z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50C1C9EF51574DB884E589C25376B333</vt:lpwstr>
  </property>
  <property fmtid="{D5CDD505-2E9C-101B-9397-08002B2CF9AE}" pid="3" name="KSOProductBuildVer">
    <vt:lpwstr>2052-11.1.0.10938</vt:lpwstr>
  </property>
</Properties>
</file>