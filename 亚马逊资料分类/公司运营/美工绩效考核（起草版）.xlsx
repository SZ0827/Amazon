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Print_Area" localSheetId="0">Sheet1!$A$1:$I$25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<sst xmlns="http://schemas.openxmlformats.org/spreadsheetml/2006/main" count="77" uniqueCount="61">
  <si>
    <t>设计部（美工）月度绩效考核表</t>
  </si>
  <si>
    <t>部门：设计部                                          被考核人：                                        考核月份：</t>
  </si>
  <si>
    <t>设计及时率</t>
  </si>
  <si>
    <t>运营满意度</t>
  </si>
  <si>
    <t>考核维度</t>
  </si>
  <si>
    <t>KPI指标</t>
  </si>
  <si>
    <t>KPI分解</t>
  </si>
  <si>
    <t>分值</t>
  </si>
  <si>
    <t>数据来源</t>
  </si>
  <si>
    <t>考评人</t>
  </si>
  <si>
    <t>考评分值</t>
  </si>
  <si>
    <t>加减分说明</t>
  </si>
  <si>
    <t>需完成图片张数</t>
  </si>
  <si>
    <t>及时处理图片张数</t>
  </si>
  <si>
    <t>需求量</t>
  </si>
  <si>
    <t>做图次数</t>
  </si>
  <si>
    <t>工作能力
（85分）</t>
  </si>
  <si>
    <t>设计及时率=及时处理图片张数/需完成图片张数*40分，如出现产品已在FBA上架，但是没有图片，该项直接为0分。</t>
  </si>
  <si>
    <t>排单登记表</t>
  </si>
  <si>
    <t>人事统计</t>
  </si>
  <si>
    <t>运营满意度（质）</t>
  </si>
  <si>
    <t>Σ=需求量/做图次数*45分，一量一次；Σ=一次性通过数量/需求量*45分；</t>
  </si>
  <si>
    <t>工作态度
（15分）</t>
  </si>
  <si>
    <t>工作态度</t>
  </si>
  <si>
    <t>积极面对工作困难，主动思考解决方案</t>
  </si>
  <si>
    <t>亚马逊销售
部门负责人</t>
  </si>
  <si>
    <t>运营</t>
  </si>
  <si>
    <t>点击增长率</t>
  </si>
  <si>
    <t>有正确的工作态度，时而有些工作情绪</t>
  </si>
  <si>
    <t>实际点击量（UV）</t>
  </si>
  <si>
    <t>初始点击量（UV）</t>
  </si>
  <si>
    <t>有发牢骚现象，需要领导的不断教导</t>
  </si>
  <si>
    <t>消极怠工，工作延误或拒绝接受工作</t>
  </si>
  <si>
    <t>工作责任心</t>
  </si>
  <si>
    <t>对本职工作责任心强，积极主动完成工作，并能督促他人共同完成工作</t>
  </si>
  <si>
    <t>工作责任心较强，无推诿现象，能积极主动完成工作</t>
  </si>
  <si>
    <t>有工作责任心，偶尔疏忽但及时补救</t>
  </si>
  <si>
    <t>无责任心、麻木，工作中屡犯错误</t>
  </si>
  <si>
    <t>工作能力的改进和改善</t>
  </si>
  <si>
    <t>善于总结，工作能力大幅度提升，能对公司发展提出建设性建议</t>
  </si>
  <si>
    <t>通过锻炼，工作能力持续提升</t>
  </si>
  <si>
    <t>经过指导和锻炼，能力有所改进，但改进缓慢</t>
  </si>
  <si>
    <t>毫无改进</t>
  </si>
  <si>
    <t>公司规章制度执行</t>
  </si>
  <si>
    <t>严格遵守公司规章制度</t>
  </si>
  <si>
    <t>/</t>
  </si>
  <si>
    <t>人事</t>
  </si>
  <si>
    <t>加分项目</t>
  </si>
  <si>
    <t>爆款</t>
  </si>
  <si>
    <t xml:space="preserve">每一款新产品(不同颜色、尺寸）日出单达到XXX单，奖励200元；日出单达到XXX单后，再奖励300元，每款产品奖励上限为500元，奖励以现金发放。日出单需稳定出单在一周以上，该产品参加秒杀或平台大型活动不纳入奖励范围内。
</t>
  </si>
  <si>
    <t>亚马逊销售</t>
  </si>
  <si>
    <t>点击次数/UV量:即每单位UV点击页面的次数，点击率越高，说明受欢迎度越高，该值可以考评整体设计水平及关键点表现水平。点击增长率（X）=实际点击量/初始点击量；</t>
  </si>
  <si>
    <t>1.5﹥X≥1.2</t>
  </si>
  <si>
    <t>+5</t>
  </si>
  <si>
    <t>2﹥X≥1.5</t>
  </si>
  <si>
    <t>+10</t>
  </si>
  <si>
    <t>X≥2</t>
  </si>
  <si>
    <t>+20</t>
  </si>
  <si>
    <t>（工作能力+工作态度+加分项） 实际得分</t>
  </si>
  <si>
    <r>
      <rPr>
        <sz val="11"/>
        <rFont val="宋体"/>
        <charset val="134"/>
      </rPr>
      <t xml:space="preserve">                                              考核人：</t>
    </r>
    <r>
      <rPr>
        <sz val="11"/>
        <rFont val="Tahoma"/>
        <charset val="134"/>
      </rPr>
      <t xml:space="preserve">                                                                         2020</t>
    </r>
    <r>
      <rPr>
        <sz val="11"/>
        <rFont val="宋体"/>
        <charset val="134"/>
      </rPr>
      <t>年</t>
    </r>
    <r>
      <rPr>
        <sz val="11"/>
        <rFont val="Tahoma"/>
        <charset val="134"/>
      </rPr>
      <t xml:space="preserve">  </t>
    </r>
    <r>
      <rPr>
        <sz val="11"/>
        <rFont val="宋体"/>
        <charset val="134"/>
      </rPr>
      <t>月</t>
    </r>
    <r>
      <rPr>
        <sz val="11"/>
        <rFont val="Tahoma"/>
        <charset val="134"/>
      </rPr>
      <t xml:space="preserve">     </t>
    </r>
    <r>
      <rPr>
        <sz val="11"/>
        <rFont val="宋体"/>
        <charset val="134"/>
      </rPr>
      <t>日</t>
    </r>
  </si>
  <si>
    <r>
      <rPr>
        <sz val="11"/>
        <rFont val="宋体"/>
        <charset val="134"/>
      </rPr>
      <t xml:space="preserve">备注：
</t>
    </r>
    <r>
      <rPr>
        <sz val="11"/>
        <rFont val="Tahoma"/>
        <charset val="134"/>
      </rPr>
      <t>1</t>
    </r>
    <r>
      <rPr>
        <sz val="11"/>
        <rFont val="宋体"/>
        <charset val="134"/>
      </rPr>
      <t xml:space="preserve">、 美工工作能力分数评分标准参考每月美工拍照修图排单登记表，并由人事每月5号前进行统计；                                                                               
2、如有特殊情况需加急拍摄图片的，需立即配合；                                                                                                                                                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</si>
</sst>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9">
    <font>
      <sz val="11"/>
      <color theme="1"/>
      <name val="宋体"/>
      <charset val="134"/>
      <scheme val="minor"/>
    </font>
    <font>
      <sz val="11"/>
      <name val="Tahoma"/>
      <charset val="134"/>
    </font>
    <font>
      <b/>
      <sz val="12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</font>
    <font>
      <sz val="11"/>
      <color theme="1"/>
      <name val="Tahom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6" tint="0.3999450666829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8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49" applyNumberFormat="1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3" fillId="0" borderId="1" xfId="50" applyNumberFormat="1" applyFont="1" applyBorder="1" applyAlignment="1">
      <alignment horizontal="left" vertical="center" wrapText="1"/>
    </xf>
    <xf numFmtId="0" fontId="3" fillId="0" borderId="2" xfId="50" applyNumberFormat="1" applyFont="1" applyBorder="1" applyAlignment="1">
      <alignment horizontal="center" vertical="center" wrapText="1"/>
    </xf>
    <xf numFmtId="0" fontId="3" fillId="0" borderId="3" xfId="50" applyNumberFormat="1" applyFont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3" fillId="0" borderId="4" xfId="50" applyNumberFormat="1" applyFont="1" applyBorder="1" applyAlignment="1">
      <alignment horizontal="left" vertical="center" wrapText="1"/>
    </xf>
    <xf numFmtId="0" fontId="3" fillId="0" borderId="1" xfId="50" applyNumberFormat="1" applyFont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176" fontId="0" fillId="0" borderId="4" xfId="0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3" fillId="0" borderId="5" xfId="50" applyNumberFormat="1" applyFont="1" applyBorder="1" applyAlignment="1">
      <alignment horizontal="left" vertical="center" wrapText="1"/>
    </xf>
    <xf numFmtId="176" fontId="0" fillId="0" borderId="5" xfId="0" applyNumberFormat="1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3" fillId="0" borderId="6" xfId="50" applyNumberFormat="1" applyFont="1" applyBorder="1" applyAlignment="1">
      <alignment horizontal="left" vertical="center" wrapText="1"/>
    </xf>
    <xf numFmtId="176" fontId="0" fillId="0" borderId="6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right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4" fillId="0" borderId="0" xfId="0" applyFont="1" applyFill="1" applyBorder="1" applyAlignment="1">
      <alignment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5"/>
  <sheetViews>
    <sheetView tabSelected="1" workbookViewId="0">
      <pane xSplit="1" ySplit="3" topLeftCell="B24" activePane="bottomRight" state="frozen"/>
      <selection/>
      <selection pane="topRight"/>
      <selection pane="bottomLeft"/>
      <selection pane="bottomRight" activeCell="C36" sqref="C36"/>
    </sheetView>
  </sheetViews>
  <sheetFormatPr defaultColWidth="9" defaultRowHeight="14.25"/>
  <cols>
    <col min="1" max="1" width="10.625" style="4" customWidth="1"/>
    <col min="2" max="2" width="17.375" style="4" customWidth="1"/>
    <col min="3" max="3" width="62" style="4" customWidth="1"/>
    <col min="4" max="4" width="11.7583333333333" style="1" customWidth="1"/>
    <col min="5" max="5" width="3.625" style="1" customWidth="1"/>
    <col min="6" max="6" width="12.625" style="1" customWidth="1"/>
    <col min="7" max="7" width="10.125" style="4" customWidth="1"/>
    <col min="8" max="8" width="10.625" style="4" customWidth="1"/>
    <col min="9" max="9" width="18.625" style="4" customWidth="1"/>
    <col min="10" max="10" width="4.75833333333333" style="5" customWidth="1"/>
    <col min="11" max="11" width="16" style="5" customWidth="1"/>
    <col min="12" max="12" width="16.2583333333333" style="5" customWidth="1"/>
    <col min="13" max="37" width="9" style="5"/>
    <col min="38" max="16384" width="9" style="1"/>
  </cols>
  <sheetData>
    <row r="1" s="1" customFormat="1" ht="29" customHeight="1" spans="1:37">
      <c r="A1" s="6" t="s">
        <v>0</v>
      </c>
      <c r="B1" s="6"/>
      <c r="C1" s="6"/>
      <c r="D1" s="6"/>
      <c r="E1" s="6"/>
      <c r="F1" s="6"/>
      <c r="G1" s="6"/>
      <c r="H1" s="6"/>
      <c r="I1" s="6"/>
      <c r="J1" s="42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="1" customFormat="1" ht="20.1" customHeight="1" spans="1:37">
      <c r="A2" s="7" t="s">
        <v>1</v>
      </c>
      <c r="B2" s="7"/>
      <c r="C2" s="7"/>
      <c r="D2" s="7"/>
      <c r="E2" s="7"/>
      <c r="F2" s="7"/>
      <c r="G2" s="7"/>
      <c r="H2" s="7"/>
      <c r="I2" s="7"/>
      <c r="J2" s="5"/>
      <c r="K2" s="38" t="s">
        <v>2</v>
      </c>
      <c r="L2" s="38"/>
      <c r="M2" s="5"/>
      <c r="N2" s="38" t="s">
        <v>3</v>
      </c>
      <c r="O2" s="38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="2" customFormat="1" ht="28" customHeight="1" spans="1:37">
      <c r="A3" s="8" t="s">
        <v>4</v>
      </c>
      <c r="B3" s="8" t="s">
        <v>5</v>
      </c>
      <c r="C3" s="8" t="s">
        <v>6</v>
      </c>
      <c r="D3" s="9" t="s">
        <v>7</v>
      </c>
      <c r="E3" s="10"/>
      <c r="F3" s="8" t="s">
        <v>8</v>
      </c>
      <c r="G3" s="8" t="s">
        <v>9</v>
      </c>
      <c r="H3" s="8" t="s">
        <v>10</v>
      </c>
      <c r="I3" s="8" t="s">
        <v>11</v>
      </c>
      <c r="J3" s="5"/>
      <c r="K3" s="38" t="s">
        <v>12</v>
      </c>
      <c r="L3" s="38" t="s">
        <v>13</v>
      </c>
      <c r="M3" s="5"/>
      <c r="N3" s="38" t="s">
        <v>14</v>
      </c>
      <c r="O3" s="38" t="s">
        <v>15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="1" customFormat="1" ht="40" customHeight="1" spans="1:37">
      <c r="A4" s="11" t="s">
        <v>16</v>
      </c>
      <c r="B4" s="12" t="s">
        <v>2</v>
      </c>
      <c r="C4" s="7" t="s">
        <v>17</v>
      </c>
      <c r="D4" s="13">
        <v>40</v>
      </c>
      <c r="E4" s="14"/>
      <c r="F4" s="12" t="s">
        <v>18</v>
      </c>
      <c r="G4" s="12" t="s">
        <v>19</v>
      </c>
      <c r="H4" s="15">
        <f>L4/K4*D4</f>
        <v>38.6666666666667</v>
      </c>
      <c r="I4" s="39"/>
      <c r="J4" s="5"/>
      <c r="K4" s="38">
        <v>150</v>
      </c>
      <c r="L4" s="38">
        <v>145</v>
      </c>
      <c r="M4" s="5"/>
      <c r="N4" s="38">
        <v>150</v>
      </c>
      <c r="O4" s="38">
        <v>160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="1" customFormat="1" ht="40" customHeight="1" spans="1:37">
      <c r="A5" s="11"/>
      <c r="B5" s="12" t="s">
        <v>20</v>
      </c>
      <c r="C5" s="7" t="s">
        <v>21</v>
      </c>
      <c r="D5" s="13">
        <v>45</v>
      </c>
      <c r="E5" s="14"/>
      <c r="F5" s="12" t="s">
        <v>18</v>
      </c>
      <c r="G5" s="12" t="s">
        <v>19</v>
      </c>
      <c r="H5" s="15">
        <f>N4/O4*D5</f>
        <v>42.1875</v>
      </c>
      <c r="I5" s="39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="1" customFormat="1" ht="20" customHeight="1" spans="1:37">
      <c r="A6" s="11" t="s">
        <v>22</v>
      </c>
      <c r="B6" s="12" t="s">
        <v>23</v>
      </c>
      <c r="C6" s="7" t="s">
        <v>24</v>
      </c>
      <c r="D6" s="13">
        <v>5</v>
      </c>
      <c r="E6" s="14"/>
      <c r="F6" s="12" t="s">
        <v>25</v>
      </c>
      <c r="G6" s="12" t="s">
        <v>26</v>
      </c>
      <c r="H6" s="15"/>
      <c r="I6" s="39"/>
      <c r="J6" s="5"/>
      <c r="K6" s="38" t="s">
        <v>27</v>
      </c>
      <c r="L6" s="38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="1" customFormat="1" ht="20" customHeight="1" spans="1:37">
      <c r="A7" s="11"/>
      <c r="B7" s="12"/>
      <c r="C7" s="7" t="s">
        <v>28</v>
      </c>
      <c r="D7" s="13">
        <v>4</v>
      </c>
      <c r="E7" s="14"/>
      <c r="F7" s="12"/>
      <c r="G7" s="12"/>
      <c r="H7" s="15"/>
      <c r="I7" s="39"/>
      <c r="J7" s="5"/>
      <c r="K7" s="38" t="s">
        <v>29</v>
      </c>
      <c r="L7" s="38" t="s">
        <v>30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="1" customFormat="1" ht="20" customHeight="1" spans="1:37">
      <c r="A8" s="11"/>
      <c r="B8" s="12"/>
      <c r="C8" s="7" t="s">
        <v>31</v>
      </c>
      <c r="D8" s="13">
        <v>3</v>
      </c>
      <c r="E8" s="14"/>
      <c r="F8" s="12"/>
      <c r="G8" s="12"/>
      <c r="H8" s="15"/>
      <c r="I8" s="39"/>
      <c r="J8" s="5"/>
      <c r="K8" s="38">
        <v>180</v>
      </c>
      <c r="L8" s="38">
        <v>120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="1" customFormat="1" ht="20" customHeight="1" spans="1:37">
      <c r="A9" s="11"/>
      <c r="B9" s="12"/>
      <c r="C9" s="7" t="s">
        <v>32</v>
      </c>
      <c r="D9" s="13">
        <v>0</v>
      </c>
      <c r="E9" s="14"/>
      <c r="F9" s="12"/>
      <c r="G9" s="12"/>
      <c r="H9" s="15"/>
      <c r="I9" s="39"/>
      <c r="J9" s="5"/>
      <c r="K9" s="43">
        <f>K8/L8</f>
        <v>1.5</v>
      </c>
      <c r="L9" s="43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="1" customFormat="1" ht="20" customHeight="1" spans="1:37">
      <c r="A10" s="11"/>
      <c r="B10" s="12" t="s">
        <v>33</v>
      </c>
      <c r="C10" s="7" t="s">
        <v>34</v>
      </c>
      <c r="D10" s="13">
        <v>5</v>
      </c>
      <c r="E10" s="14"/>
      <c r="F10" s="12" t="s">
        <v>25</v>
      </c>
      <c r="G10" s="12" t="s">
        <v>26</v>
      </c>
      <c r="H10" s="15"/>
      <c r="I10" s="39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="1" customFormat="1" ht="20" customHeight="1" spans="1:37">
      <c r="A11" s="11"/>
      <c r="B11" s="12"/>
      <c r="C11" s="7" t="s">
        <v>35</v>
      </c>
      <c r="D11" s="13">
        <v>4</v>
      </c>
      <c r="E11" s="14"/>
      <c r="F11" s="12"/>
      <c r="G11" s="12"/>
      <c r="H11" s="15"/>
      <c r="I11" s="39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="1" customFormat="1" ht="20" customHeight="1" spans="1:37">
      <c r="A12" s="11"/>
      <c r="B12" s="12"/>
      <c r="C12" s="7" t="s">
        <v>36</v>
      </c>
      <c r="D12" s="13">
        <v>3</v>
      </c>
      <c r="E12" s="14"/>
      <c r="F12" s="12"/>
      <c r="G12" s="12"/>
      <c r="H12" s="15"/>
      <c r="I12" s="39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="1" customFormat="1" ht="20" customHeight="1" spans="1:37">
      <c r="A13" s="11"/>
      <c r="B13" s="12"/>
      <c r="C13" s="7" t="s">
        <v>37</v>
      </c>
      <c r="D13" s="13">
        <v>0</v>
      </c>
      <c r="E13" s="14"/>
      <c r="F13" s="12"/>
      <c r="G13" s="12"/>
      <c r="H13" s="15"/>
      <c r="I13" s="39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="1" customFormat="1" ht="20" customHeight="1" spans="1:37">
      <c r="A14" s="11"/>
      <c r="B14" s="12" t="s">
        <v>38</v>
      </c>
      <c r="C14" s="7" t="s">
        <v>39</v>
      </c>
      <c r="D14" s="13">
        <v>3</v>
      </c>
      <c r="E14" s="14"/>
      <c r="F14" s="12" t="s">
        <v>25</v>
      </c>
      <c r="G14" s="12" t="s">
        <v>26</v>
      </c>
      <c r="H14" s="15"/>
      <c r="I14" s="39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s="1" customFormat="1" ht="20" customHeight="1" spans="1:37">
      <c r="A15" s="11"/>
      <c r="B15" s="12"/>
      <c r="C15" s="7" t="s">
        <v>40</v>
      </c>
      <c r="D15" s="13">
        <v>2</v>
      </c>
      <c r="E15" s="14"/>
      <c r="F15" s="12"/>
      <c r="G15" s="12"/>
      <c r="H15" s="15"/>
      <c r="I15" s="39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s="1" customFormat="1" ht="20" customHeight="1" spans="1:37">
      <c r="A16" s="11"/>
      <c r="B16" s="12"/>
      <c r="C16" s="16" t="s">
        <v>41</v>
      </c>
      <c r="D16" s="13">
        <v>1</v>
      </c>
      <c r="E16" s="14"/>
      <c r="F16" s="12"/>
      <c r="G16" s="12"/>
      <c r="H16" s="15"/>
      <c r="I16" s="39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="1" customFormat="1" ht="20" customHeight="1" spans="1:37">
      <c r="A17" s="11"/>
      <c r="B17" s="12"/>
      <c r="C17" s="16" t="s">
        <v>42</v>
      </c>
      <c r="D17" s="13">
        <v>0</v>
      </c>
      <c r="E17" s="14"/>
      <c r="F17" s="12"/>
      <c r="G17" s="12"/>
      <c r="H17" s="15"/>
      <c r="I17" s="39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="1" customFormat="1" ht="20" customHeight="1" spans="1:37">
      <c r="A18" s="11"/>
      <c r="B18" s="17" t="s">
        <v>43</v>
      </c>
      <c r="C18" s="16" t="s">
        <v>44</v>
      </c>
      <c r="D18" s="13">
        <v>2</v>
      </c>
      <c r="E18" s="14"/>
      <c r="F18" s="12" t="s">
        <v>45</v>
      </c>
      <c r="G18" s="12" t="s">
        <v>46</v>
      </c>
      <c r="H18" s="15"/>
      <c r="I18" s="39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s="3" customFormat="1" ht="60" customHeight="1" spans="1:37">
      <c r="A19" s="18" t="s">
        <v>47</v>
      </c>
      <c r="B19" s="17" t="s">
        <v>48</v>
      </c>
      <c r="C19" s="19" t="s">
        <v>49</v>
      </c>
      <c r="D19" s="20" t="s">
        <v>45</v>
      </c>
      <c r="E19" s="21"/>
      <c r="F19" s="17" t="s">
        <v>50</v>
      </c>
      <c r="G19" s="17" t="s">
        <v>26</v>
      </c>
      <c r="H19" s="22"/>
      <c r="I19" s="4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s="3" customFormat="1" ht="20" customHeight="1" spans="1:37">
      <c r="A20" s="23"/>
      <c r="B20" s="24" t="s">
        <v>27</v>
      </c>
      <c r="C20" s="25" t="s">
        <v>51</v>
      </c>
      <c r="D20" s="26" t="s">
        <v>52</v>
      </c>
      <c r="E20" s="27" t="s">
        <v>53</v>
      </c>
      <c r="F20" s="17" t="s">
        <v>50</v>
      </c>
      <c r="G20" s="17" t="s">
        <v>26</v>
      </c>
      <c r="H20" s="28" t="str">
        <f>IF(K9&gt;=2,"20",IF(K9&gt;=1.5,"10",IF(K9&gt;=1.2,"5",IF(K9&lt;1.2,"0",))))</f>
        <v>10</v>
      </c>
      <c r="I20" s="4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s="3" customFormat="1" ht="20" customHeight="1" spans="1:37">
      <c r="A21" s="23"/>
      <c r="B21" s="29"/>
      <c r="C21" s="30"/>
      <c r="D21" s="26" t="s">
        <v>54</v>
      </c>
      <c r="E21" s="27" t="s">
        <v>55</v>
      </c>
      <c r="F21" s="17" t="s">
        <v>50</v>
      </c>
      <c r="G21" s="17" t="s">
        <v>26</v>
      </c>
      <c r="H21" s="31"/>
      <c r="I21" s="4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s="3" customFormat="1" ht="20" customHeight="1" spans="1:37">
      <c r="A22" s="32"/>
      <c r="B22" s="33"/>
      <c r="C22" s="34"/>
      <c r="D22" s="26" t="s">
        <v>56</v>
      </c>
      <c r="E22" s="27" t="s">
        <v>57</v>
      </c>
      <c r="F22" s="17" t="s">
        <v>50</v>
      </c>
      <c r="G22" s="17" t="s">
        <v>26</v>
      </c>
      <c r="H22" s="35"/>
      <c r="I22" s="47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s="3" customFormat="1" ht="20.1" customHeight="1" spans="1:37">
      <c r="A23" s="36" t="s">
        <v>58</v>
      </c>
      <c r="B23" s="36"/>
      <c r="C23" s="36"/>
      <c r="D23" s="36"/>
      <c r="E23" s="36"/>
      <c r="F23" s="36"/>
      <c r="G23" s="36"/>
      <c r="H23" s="37">
        <f>SUM(H4:H22)</f>
        <v>80.8541666666667</v>
      </c>
      <c r="I23" s="48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="1" customFormat="1" ht="22" customHeight="1" spans="1:37">
      <c r="A24" s="38" t="s">
        <v>59</v>
      </c>
      <c r="B24" s="39"/>
      <c r="C24" s="39"/>
      <c r="D24" s="39"/>
      <c r="E24" s="39"/>
      <c r="F24" s="39"/>
      <c r="G24" s="39"/>
      <c r="H24" s="39"/>
      <c r="I24" s="39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ht="45" customHeight="1" spans="1:9">
      <c r="A25" s="40" t="s">
        <v>60</v>
      </c>
      <c r="B25" s="41"/>
      <c r="C25" s="41"/>
      <c r="D25" s="41"/>
      <c r="E25" s="41"/>
      <c r="F25" s="41"/>
      <c r="G25" s="41"/>
      <c r="H25" s="41"/>
      <c r="I25" s="41"/>
    </row>
  </sheetData>
  <mergeCells count="48">
    <mergeCell ref="A1:I1"/>
    <mergeCell ref="A2:I2"/>
    <mergeCell ref="K2:L2"/>
    <mergeCell ref="N2:O2"/>
    <mergeCell ref="D3:E3"/>
    <mergeCell ref="D4:E4"/>
    <mergeCell ref="D5:E5"/>
    <mergeCell ref="D6:E6"/>
    <mergeCell ref="K6:L6"/>
    <mergeCell ref="D7:E7"/>
    <mergeCell ref="D8:E8"/>
    <mergeCell ref="D9:E9"/>
    <mergeCell ref="K9:L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A23:G23"/>
    <mergeCell ref="A24:I24"/>
    <mergeCell ref="A25:I25"/>
    <mergeCell ref="A4:A5"/>
    <mergeCell ref="A6:A18"/>
    <mergeCell ref="A19:A22"/>
    <mergeCell ref="B6:B9"/>
    <mergeCell ref="B10:B13"/>
    <mergeCell ref="B14:B17"/>
    <mergeCell ref="B20:B22"/>
    <mergeCell ref="C20:C22"/>
    <mergeCell ref="F6:F9"/>
    <mergeCell ref="F10:F13"/>
    <mergeCell ref="F14:F17"/>
    <mergeCell ref="G6:G9"/>
    <mergeCell ref="G10:G13"/>
    <mergeCell ref="G14:G17"/>
    <mergeCell ref="H6:H9"/>
    <mergeCell ref="H10:H13"/>
    <mergeCell ref="H14:H17"/>
    <mergeCell ref="H20:H22"/>
    <mergeCell ref="I6:I9"/>
    <mergeCell ref="I10:I13"/>
    <mergeCell ref="I14:I17"/>
    <mergeCell ref="I20:I22"/>
  </mergeCells>
  <pageMargins left="0.275" right="0.156944444444444" top="0.15625" bottom="0.196527777777778" header="0.15625" footer="0.0388888888888889"/>
  <pageSetup paperSize="9" scale="90" orientation="landscape"/>
  <headerFooter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恩乙</cp:lastModifiedBy>
  <dcterms:created xsi:type="dcterms:W3CDTF">2018-04-10T03:01:00Z</dcterms:created>
  <dcterms:modified xsi:type="dcterms:W3CDTF">2024-06-28T06:09:41Z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KSORubyTemplateID" linkTarget="0">
    <vt:lpwstr>20</vt:lpwstr>
  </property>
  <property fmtid="{D5CDD505-2E9C-101B-9397-08002B2CF9AE}" pid="4" name="ICV">
    <vt:lpwstr>DB8D511BC0C24DA283529E8E61367CE2_13</vt:lpwstr>
  </property>
</Properties>
</file>