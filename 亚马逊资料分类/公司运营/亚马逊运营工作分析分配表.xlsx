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mc:AlternateContent xmlns:mc="http://schemas.openxmlformats.org/markup-compatibility/2006">
    <mc:Choice Requires="x15">
      <x15ac:absPath xmlns:x15ac="http://schemas.microsoft.com/office/spreadsheetml/2010/11/ac" url="C:\Users\ruiqi\Desktop\跨境电商公司不同规模的公司组织架构，运营规划，运营细则要求和绩效提成(1)\"/>
    </mc:Choice>
  </mc:AlternateContent>
  <xr:revisionPtr revIDLastSave="0" documentId="13_ncr:1_{64AA2A4B-2D34-474E-AA5E-BA8A46E5450D}" xr6:coauthVersionLast="47" xr6:coauthVersionMax="47" xr10:uidLastSave="{00000000-0000-0000-0000-000000000000}"/>
  <bookViews>
    <workbookView xWindow="-120" yWindow="-120" windowWidth="29040" windowHeight="15840" xr2:uid="{00000000-000D-0000-FFFF-FFFF00000000}"/>
  </bookViews>
  <sheets>
    <sheet name="责任比" sheetId="1" r:id="rId1"/>
    <sheet name="数据分析表" sheetId="2" r:id="rId2"/>
    <sheet name="运营规划" sheetId="3" r:id="rId3"/>
    <sheet name="评价追踪表" sheetId="4" r:id="rId4"/>
    <sheet name="日常跟进 月结" sheetId="5" r:id="rId5"/>
  </sheets>
  <externalReferences>
    <externalReference r:id="rId6"/>
  </externalReferenc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R174" i="2" l="1"/>
  <c r="N174" i="2"/>
  <c r="K174" i="2"/>
  <c r="M174" i="2" s="1"/>
  <c r="G174" i="2"/>
  <c r="I38" i="2"/>
  <c r="C36" i="2"/>
  <c r="I33" i="2"/>
  <c r="C31" i="2"/>
  <c r="I28" i="2"/>
  <c r="G6" i="2"/>
  <c r="G5" i="2"/>
  <c r="G4" i="2"/>
  <c r="G3" i="2"/>
  <c r="S174" i="2" l="1"/>
  <c r="T174" i="2" s="1"/>
  <c r="O174" i="2"/>
  <c r="P174" i="2" s="1"/>
  <c r="Q174" i="2" s="1"/>
  <c r="V174" i="2" l="1"/>
  <c r="U1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B173" authorId="0" shapeId="0" xr:uid="{00000000-0006-0000-0100-000001000000}">
      <text>
        <r>
          <rPr>
            <b/>
            <sz val="9"/>
            <rFont val="宋体"/>
            <family val="3"/>
            <charset val="134"/>
          </rPr>
          <t>作者:</t>
        </r>
        <r>
          <rPr>
            <sz val="9"/>
            <rFont val="宋体"/>
            <family val="3"/>
            <charset val="134"/>
          </rPr>
          <t xml:space="preserve">
根据1：6刷评比例估算
</t>
        </r>
      </text>
    </comment>
  </commentList>
</comments>
</file>

<file path=xl/sharedStrings.xml><?xml version="1.0" encoding="utf-8"?>
<sst xmlns="http://schemas.openxmlformats.org/spreadsheetml/2006/main" count="527" uniqueCount="380">
  <si>
    <t>开发运营责任规划</t>
  </si>
  <si>
    <t>开发职责责任承担百分比</t>
  </si>
  <si>
    <t>职责</t>
  </si>
  <si>
    <t>职责内容</t>
  </si>
  <si>
    <t>责任比</t>
  </si>
  <si>
    <t>责任比例签署</t>
  </si>
  <si>
    <t>备注流程承担嫁接</t>
  </si>
  <si>
    <t>流程</t>
  </si>
  <si>
    <t>特殊性</t>
  </si>
  <si>
    <t>产品开发分析</t>
  </si>
  <si>
    <t>市场调研报告内容：整体市场变化，平台市场变化，平台销售占比，品牌占比，竞争对手，产品实际情况，产品弱点，产品特性，产品市场价格比例。</t>
  </si>
  <si>
    <t>开发承担整个产品百分比35</t>
  </si>
  <si>
    <t>开发确认产品所有信息之后给予开发总监核实，确定是否网采以及开发新产品磨具，核实签字后承担责任比百分之30嫁接。</t>
  </si>
  <si>
    <t>开发提交表格后说明具体情况，给予运营部门。</t>
  </si>
  <si>
    <t>如果产品运营团队不接受的情况下，可以通过要求制，让运营上架产品并且运营产品，并且要求运营团队提供出运营分析内容表，此操作承受责任比为百分之75，如果运营未按照运营分析操作表进行操作，分摊百分之25责任比</t>
  </si>
  <si>
    <t>运营分析内容</t>
  </si>
  <si>
    <t>产品平台变动，产品推广方式，产品市场估算，产品备货，产品销量预估</t>
  </si>
  <si>
    <t>开发承担整个产品百分比40</t>
  </si>
  <si>
    <t>开会确定运营主管核实运营操作内容后，制定实施计划，签字后转接百分之30责任比。</t>
  </si>
  <si>
    <t>运营部门有权拒绝产品是否进行上架运营。</t>
  </si>
  <si>
    <t>指定性要求产品开发开发指定性产品，之后提供产品开发分析，此操作运营承担责任比百分之70，如开发所开发产品，分析中出现偏差，分担责任比25</t>
  </si>
  <si>
    <t>产品供应链</t>
  </si>
  <si>
    <t>私模产品，还是网采，还是指定性独家供应链.</t>
  </si>
  <si>
    <t>开发承担整个产品百分比25</t>
  </si>
  <si>
    <t>确定产品价格质量包装全部核实，能够达到开发及运营要求转接20责任比给予开发运营，产品出现严重质量问题时，承担责任比百分之45，开发部门，运营部门转接各10责任比。</t>
  </si>
  <si>
    <t>采购样品之后提交开发运营，之后大货质量核实，确定没批货不会出现运营开发所指定问题，以及产品本身问题。</t>
  </si>
  <si>
    <t>Air Fryer Accessories的市场需求</t>
  </si>
  <si>
    <t>类目</t>
  </si>
  <si>
    <t>产品</t>
  </si>
  <si>
    <t>关键词</t>
  </si>
  <si>
    <t>月搜索量</t>
  </si>
  <si>
    <t>在线listing数量</t>
  </si>
  <si>
    <t>关键词首页预估销量</t>
  </si>
  <si>
    <t>关键词竞争度</t>
  </si>
  <si>
    <t>Home &amp; Kitchen</t>
  </si>
  <si>
    <t>air fryer accessories</t>
  </si>
  <si>
    <t>8 air fryer accessories</t>
  </si>
  <si>
    <t>7 air fryer accessories</t>
  </si>
  <si>
    <t>5.8 air fryer accessories</t>
  </si>
  <si>
    <t>关键词竞争度公式：主关键词月均搜索量/产品在线数量/30（仅供参考）</t>
  </si>
  <si>
    <t>解析</t>
  </si>
  <si>
    <t>从关键词的搜索结果可以看出apeman action camera、vivitar action camera竞争度比值分别是160、22。4k action camera的比值为3.03相对较大而action camera比值为1.39竞争相对较小。从整体来分析，市场竞争较为激烈</t>
  </si>
  <si>
    <t>市场生命周期</t>
  </si>
  <si>
    <t>市场：（美国）</t>
  </si>
  <si>
    <t>搜索时间：(12月)</t>
  </si>
  <si>
    <t>从谷歌趋势关键词搜索来看产品全年趋势相对偏低，关键词的搜索高峰期主要从10月初开始搜索热度持续上升到12月份低，1月份才开始出现衰退，关键词搜索最低谷主要集中在5月份，从全年的搜索热度看产品偏向季节性，从产品的使用角度产品属于无季节性产品</t>
  </si>
  <si>
    <t>市场竞争数据分析</t>
  </si>
  <si>
    <t>关键词action camera、4k action camera前3页的数据统计和分析如下。</t>
  </si>
  <si>
    <t>页面</t>
  </si>
  <si>
    <t>预估月均销量</t>
  </si>
  <si>
    <t>平均价格</t>
  </si>
  <si>
    <t>平均评价</t>
  </si>
  <si>
    <t>平均评分</t>
  </si>
  <si>
    <t>新品占比</t>
  </si>
  <si>
    <t>预估前三页月均订单量</t>
  </si>
  <si>
    <t>预估前三页日均订单量</t>
  </si>
  <si>
    <t>Air Fryer Accessories</t>
  </si>
  <si>
    <t>第一页</t>
  </si>
  <si>
    <t>23占14</t>
  </si>
  <si>
    <t>第二页</t>
  </si>
  <si>
    <t>27占20</t>
  </si>
  <si>
    <t>第三页</t>
  </si>
  <si>
    <t>20占17</t>
  </si>
  <si>
    <t>预估销量</t>
  </si>
  <si>
    <t>17占1个</t>
  </si>
  <si>
    <t>20占12个</t>
  </si>
  <si>
    <t>17占15</t>
  </si>
  <si>
    <t>19占11</t>
  </si>
  <si>
    <t>13占10</t>
  </si>
  <si>
    <t>17占13</t>
  </si>
  <si>
    <t>17占7</t>
  </si>
  <si>
    <t>19占16</t>
  </si>
  <si>
    <t>17占11</t>
  </si>
  <si>
    <t>评论50以下算新品</t>
  </si>
  <si>
    <t>在亚马逊前台分别以action camera、4k action camera关键词前三页的数据进行分析。</t>
  </si>
  <si>
    <t>前三页的预估平均月订单量分别为13768/10698/7256。预估前三页月均订单量10574件，预估前三页日均销量为352件。</t>
  </si>
  <si>
    <t>前三页的预估平均月订单量分别为8853/10048/7939。预估前三页月均订单量8946件，预估前三页日均销量为298件。</t>
  </si>
  <si>
    <t>前三页的预估平均月订单量分别为7882/2976/5732。预估前三页月均订单量5530件，预估前三页日均销量为184件。</t>
  </si>
  <si>
    <t>前三页的预估平均月订单量分别为15229/4241/4367。预估前三页月均订单量7945件，预估前三页日均销量为265件。</t>
  </si>
  <si>
    <t>从这四组数据可以看出，7 air fryer accessories的市场日订单了量为184属于低需求，8 air fryer accessories与5.8 air fryer accessories前三页日订单量298、265属于中等需求，Air Fryer Accessories的市场日订单了量为352属于高需求。</t>
  </si>
  <si>
    <t>Air Fryer Accessories前三页品牌占比</t>
  </si>
  <si>
    <r>
      <rPr>
        <sz val="12"/>
        <color theme="1"/>
        <rFont val="等线"/>
        <family val="3"/>
        <charset val="134"/>
        <scheme val="minor"/>
      </rPr>
      <t>针对Air Fryer Accessories统计前三页品牌分析发现市场占比量分别为</t>
    </r>
    <r>
      <rPr>
        <sz val="12"/>
        <color rgb="FFFF0000"/>
        <rFont val="等线"/>
        <family val="3"/>
        <charset val="134"/>
        <scheme val="minor"/>
      </rPr>
      <t>GoWISE USA（6%）、Power AirFryer XL、Cozyna各占（5%）、KINDEN、Intel Kitchen、DEMEDO各占3%，其余品牌均在2%以下</t>
    </r>
    <r>
      <rPr>
        <sz val="12"/>
        <color theme="1"/>
        <rFont val="等线"/>
        <family val="3"/>
        <charset val="134"/>
        <scheme val="minor"/>
      </rPr>
      <t>，从占比数量角度分析，分布较为平均，无个别特别明显突出，因此说明，该品类无明显的品牌量垄断性质。</t>
    </r>
  </si>
  <si>
    <t>品牌</t>
  </si>
  <si>
    <t>销量</t>
  </si>
  <si>
    <t>数量</t>
  </si>
  <si>
    <t>AmazonBasics</t>
  </si>
  <si>
    <t>空白</t>
  </si>
  <si>
    <t>GoWISE USA</t>
  </si>
  <si>
    <t>Cozyna</t>
  </si>
  <si>
    <t>Vancens</t>
  </si>
  <si>
    <t>Misto</t>
  </si>
  <si>
    <t>Besego</t>
  </si>
  <si>
    <t>Philips</t>
  </si>
  <si>
    <t>Power AirFryer XL</t>
  </si>
  <si>
    <t>DEMEDO</t>
  </si>
  <si>
    <t>NUMARDA</t>
  </si>
  <si>
    <t>INFRAOVENS</t>
  </si>
  <si>
    <t>YEDI HOUSEWARE</t>
  </si>
  <si>
    <t>KINDEN</t>
  </si>
  <si>
    <t>Best Choice Products</t>
  </si>
  <si>
    <t>LATTCURE</t>
  </si>
  <si>
    <t>LeanKing</t>
  </si>
  <si>
    <t>Bellagione</t>
  </si>
  <si>
    <t>Philips Kitchen</t>
  </si>
  <si>
    <t>US PIEDLE</t>
  </si>
  <si>
    <t>RJUN</t>
  </si>
  <si>
    <t>COSORI</t>
  </si>
  <si>
    <t>T&amp;B</t>
  </si>
  <si>
    <t>aayu</t>
  </si>
  <si>
    <t>注：因为系统原因使用JS抓取出来的ASIN的部分销量数据缺失，可能与实际存在偏差。因此涉及到销量方面的分析仅做参考。（部分信息隐藏）</t>
  </si>
  <si>
    <t>Avalon Bay</t>
  </si>
  <si>
    <t>Simple Living Products</t>
  </si>
  <si>
    <t>SIMPLETASTE</t>
  </si>
  <si>
    <t>Apluskis</t>
  </si>
  <si>
    <t>MASGALACC</t>
  </si>
  <si>
    <t>YONGFENG</t>
  </si>
  <si>
    <t>HomeMarvel</t>
  </si>
  <si>
    <t>CAXXA</t>
  </si>
  <si>
    <t>amzdeal</t>
  </si>
  <si>
    <t>YooGui</t>
  </si>
  <si>
    <t>Air Fryer Accessories XIAN</t>
  </si>
  <si>
    <t>Sonyabecca</t>
  </si>
  <si>
    <t>StillCool</t>
  </si>
  <si>
    <t>MFW</t>
  </si>
  <si>
    <t>Holica</t>
  </si>
  <si>
    <t>kaviatek</t>
  </si>
  <si>
    <t>HOMENOTE</t>
  </si>
  <si>
    <t>Gelinzon</t>
  </si>
  <si>
    <t>Anver</t>
  </si>
  <si>
    <t>Greensen</t>
  </si>
  <si>
    <t>GraceFINE</t>
  </si>
  <si>
    <t>Mecete</t>
  </si>
  <si>
    <t>Findingdream</t>
  </si>
  <si>
    <t>YOEDAF</t>
  </si>
  <si>
    <t>Yetaha</t>
  </si>
  <si>
    <t>WYCY</t>
  </si>
  <si>
    <t>BeFound</t>
  </si>
  <si>
    <t>3hproducts</t>
  </si>
  <si>
    <t>Copper Chef</t>
  </si>
  <si>
    <t>MySit</t>
  </si>
  <si>
    <t>uyoyous</t>
  </si>
  <si>
    <t>NuWave</t>
  </si>
  <si>
    <t>Qisheng</t>
  </si>
  <si>
    <t>Hiware</t>
  </si>
  <si>
    <t>Haofy</t>
  </si>
  <si>
    <t>CMJLBM</t>
  </si>
  <si>
    <t>EBIGIC</t>
  </si>
  <si>
    <t>BESTEK</t>
  </si>
  <si>
    <t>Ruyiot</t>
  </si>
  <si>
    <t>markkee</t>
  </si>
  <si>
    <t>Fdit</t>
  </si>
  <si>
    <t>Molla</t>
  </si>
  <si>
    <t>①综合数据可以看出，无品牌垄断市场。BSR榜中共有65个品牌，品牌相对分散。
②从销量前5名分别GoWISE USA（美国）、Cozyna（美国）Vancens（深圳）、Misto（美国）、Besego（中国）。前5的品牌销量分别在3K以上，其余品牌相对比较低月均销量均在1K以下，呈现依次接近等比例的、平稳的变化趋势。
③从AISN前5名分别为GoWISE USA（美国）、Cozyna（美国）、Power AirFryer XL（香港）、DEMEDO（深圳）、KINDEN（深圳）、INFRAOVENS（美国）、LATTCURE（深圳），其余品牌均在2以下，相对比较均匀</t>
  </si>
  <si>
    <t>价格区间</t>
  </si>
  <si>
    <t>14.99以下</t>
  </si>
  <si>
    <t>15.99-29.99</t>
  </si>
  <si>
    <t>30.99-45.99</t>
  </si>
  <si>
    <t>50以上</t>
  </si>
  <si>
    <t>根据价格区间段的划分为四个阶段：
①14.99以下以下区间价格数量占市场19%、15.99-29.99占据市场44%，30.99-45.99占据市场21%、50以上占据23%</t>
  </si>
  <si>
    <t>②该类目产品市场售价处于15.99-29.99美金，总占比量达到44%，此时也反映了这个价格区间价格相对比较集中。该数据说明，市场存在一定的价格，由于产品是属于DIY组合产品，相对市场可以根据产品的组合去搭配产品走市场差异化路线</t>
  </si>
  <si>
    <t>③50美金以上的产品占23%，品牌集中在Power AirFryer XL，依靠产品的自身品牌，产品组合了油炸锅，相对于价格就比较高，说明该类产品销量同样不错，顾客除了注重经济适中型（的产品之外，仍有三分之一的买家客户更加注重产品性能和品质</t>
  </si>
  <si>
    <t>发货模式分析</t>
  </si>
  <si>
    <t>发货模式</t>
  </si>
  <si>
    <t>AMZ</t>
  </si>
  <si>
    <t>从发货模式角度分析市场占比最大的集中在FBA发货占据市场77%，自发货占据16%，AMZ发货占据5%，由于产品是属于DIY组合产品，产品数量相对比较多，属于抛货的性质，所以有小部分卖家选择FBM自发货</t>
  </si>
  <si>
    <t>FBA</t>
  </si>
  <si>
    <t>FBM</t>
  </si>
  <si>
    <t>Air Fryer Accessories痛点分析</t>
  </si>
  <si>
    <t>痛点分析</t>
  </si>
  <si>
    <t>解决方案</t>
  </si>
  <si>
    <t>油炸锅配件</t>
  </si>
  <si>
    <t>①产品数量缺少</t>
  </si>
  <si>
    <t>针对具体产品具体问题具体针对</t>
  </si>
  <si>
    <t>②产品脆弱，容易弯曲，质量差</t>
  </si>
  <si>
    <t>③配件太小，看起来像玩具</t>
  </si>
  <si>
    <t>④产品生锈</t>
  </si>
  <si>
    <t>⑤描述跟实际产品不符合</t>
  </si>
  <si>
    <t>6.产品风险</t>
  </si>
  <si>
    <t>①产品市场容量相对较小，属于配件产品，建议前期先小批量组合测试产品，因为是常年款，发货数量比较容易掌控</t>
  </si>
  <si>
    <t>②产品数量多容易缺少，而且是组合产品属于抛货，建议定制包装，高避免产品压坏变形，导致高退货率</t>
  </si>
  <si>
    <t>③产品无售后，主要针对油炸锅的尺寸不同，建议评论维护，防止差评</t>
  </si>
  <si>
    <r>
      <rPr>
        <b/>
        <sz val="12"/>
        <color rgb="FFFF0000"/>
        <rFont val="none"/>
        <family val="1"/>
      </rPr>
      <t>5.</t>
    </r>
    <r>
      <rPr>
        <b/>
        <sz val="12"/>
        <color rgb="FFFF0000"/>
        <rFont val="宋体"/>
        <family val="3"/>
        <charset val="134"/>
      </rPr>
      <t>产品机会</t>
    </r>
  </si>
  <si>
    <t>①产品目前品牌垄断不明显，只要产品组合搭配符合市场，能快速进入市场。</t>
  </si>
  <si>
    <t>②产品属于常年款的产品，涉及到铁质，如果走海运时间长会因为潮湿导致氧化生锈，可以根据产品实际重量搭配来选择物流</t>
  </si>
  <si>
    <t>③产品市场竞争程度响度较低，进入市场机会大，建议根据市场组合产品，根据竞争对手的搭配组合利用统计分析来分析市场什么搭配的产品出现频率高，根据频率高的产品进行组合搭配</t>
  </si>
  <si>
    <t>FBA利润=售价-采购价-FBA仓储配送费-平台费-国际运费（40元/kg)</t>
  </si>
  <si>
    <t>Asin</t>
  </si>
  <si>
    <t>链接</t>
  </si>
  <si>
    <t>图片</t>
  </si>
  <si>
    <t>产品名称</t>
  </si>
  <si>
    <t>1688链接</t>
  </si>
  <si>
    <t>采购成本RMB</t>
  </si>
  <si>
    <t>进价dollars</t>
  </si>
  <si>
    <t>尺寸</t>
  </si>
  <si>
    <t>英文链接重量（三件套）重量g</t>
  </si>
  <si>
    <t>售价($)</t>
  </si>
  <si>
    <t>佣金</t>
  </si>
  <si>
    <t>FBA利润表</t>
  </si>
  <si>
    <t>FBA费用($)</t>
  </si>
  <si>
    <t>FBA总fee($)</t>
  </si>
  <si>
    <t>CN发FBA空运运费($)</t>
  </si>
  <si>
    <t>空运成本($)</t>
  </si>
  <si>
    <t>空运利润（美金）</t>
  </si>
  <si>
    <t>空运利润率</t>
  </si>
  <si>
    <t>CN发FBA 海运运费</t>
  </si>
  <si>
    <t>海运成本</t>
  </si>
  <si>
    <t>海运利润(美金)</t>
  </si>
  <si>
    <t>海运利润RMB</t>
  </si>
  <si>
    <t>海运利润率</t>
  </si>
  <si>
    <t>汇率</t>
  </si>
  <si>
    <t>汇损</t>
  </si>
  <si>
    <t>空气炸锅配件</t>
  </si>
  <si>
    <t>https://detail.1688.com/offer/583917889723.html?spm=b26110380.sw1688.mof001.13.2ba04919T6YVQV</t>
  </si>
  <si>
    <t>蛋糕篮</t>
  </si>
  <si>
    <t>6寸（7元）</t>
  </si>
  <si>
    <t>七寸（8元）</t>
  </si>
  <si>
    <t>8寸（8.9元）</t>
  </si>
  <si>
    <t>https://detail.1688.com/offer/568524179620.html?spm=b26110380.sw1688.mof001.17.34f464ddRjTB3G</t>
  </si>
  <si>
    <t>披萨盘</t>
  </si>
  <si>
    <t>黑色04厚度】
6寸披萨盘 3.60元</t>
  </si>
  <si>
    <t>【黑色04厚度】
8寸披萨盘 4.30元</t>
  </si>
  <si>
    <t>【黑色04厚度】
9寸披萨盘 4.50元</t>
  </si>
  <si>
    <t>【黑色03厚度】
9寸披萨盘 3.00元</t>
  </si>
  <si>
    <t>【黑色04厚度】
10寸披萨盘 4.60元</t>
  </si>
  <si>
    <t>https://detail.1688.com/offer/539688634306.html?spm=b26110380.sw1688.mof001.1.6a02176eywefcS</t>
  </si>
  <si>
    <t>锅垫</t>
  </si>
  <si>
    <t>https://detail.1688.com/offer/584023596064.html?spm=b26110380.sw1688.mof001.39.372751aaeHMtzr</t>
  </si>
  <si>
    <t>双层烤架</t>
  </si>
  <si>
    <t>https://detail.1688.com/offer/544002363245.html?spm=b26110380.sw1688.mof001.32.76de26feYU1TwB</t>
  </si>
  <si>
    <t>https://detail.1688.com/offer/576680358538.html?spm=b26110380.sw1688.mof001.25.76de26feYU1TwB</t>
  </si>
  <si>
    <t>单层烤架</t>
  </si>
  <si>
    <t>蒸架</t>
  </si>
  <si>
    <t>5寸蒸架 高 1.85元
5寸蒸架 中 1.80元
5寸蒸架 矮 1.75元</t>
  </si>
  <si>
    <t>6寸蒸架 高 1.95元 
6寸蒸架 中 1.90元 
6寸蒸架 矮 1.85元</t>
  </si>
  <si>
    <t>7寸蒸架 高 2.05元 
7寸蒸架 中 2.00元 
7寸蒸架 矮 1.95元</t>
  </si>
  <si>
    <t>8寸蒸架 高 2.65元
8寸蒸架 中 2.60元
8寸蒸架 矮 2.55元</t>
  </si>
  <si>
    <t>https://detail.1688.com/offer/44037036442.html?spm=b26110380.sw1688.mof001.10.416d57e8N7d5S0</t>
  </si>
  <si>
    <t>不锈钢夹子</t>
  </si>
  <si>
    <t>7寸4.9元</t>
  </si>
  <si>
    <t>9寸5.25元</t>
  </si>
  <si>
    <t>12寸5.45元</t>
  </si>
  <si>
    <t>14寸5.8元</t>
  </si>
  <si>
    <t>16寸6.2元</t>
  </si>
  <si>
    <t>https://detail.1688.com/offer/550511048469.html?spm=b26110380.sw1688.mof001.1.398c4b50DpRCR7&amp;tracelog=p4p&amp;clickid=cda72ce8346447c189255fbaba9c8a03&amp;sessionid=7304307e3027902c2aa6fc1aec880648</t>
  </si>
  <si>
    <t>耐高温硅胶夹子</t>
  </si>
  <si>
    <t>https://detail.1688.com/offer/536833195871.html?spm=b26110380.sw1688.mof001.1.735e2a55OiXiEL</t>
  </si>
  <si>
    <t>提盘夹</t>
  </si>
  <si>
    <t>https://detail.1688.com/offer/562210973912.html?spm=b26110380.sw1688.mof001.23.76c46cafV2sQm1</t>
  </si>
  <si>
    <t xml:space="preserve"> </t>
  </si>
  <si>
    <t>蜂巢活底蛋糕模</t>
  </si>
  <si>
    <t>圆形7寸18cm 
6.50元</t>
  </si>
  <si>
    <t>圆形8寸20cm 
7.00元</t>
  </si>
  <si>
    <t>圆形9寸22cm 
8.00元</t>
  </si>
  <si>
    <t>圆形10寸24cm 
8.50元</t>
  </si>
  <si>
    <t>https://detail.1688.com/offer/41847587749.html?spm=b26110380.sw1688.mof001.104.4643c846kO8XhE</t>
  </si>
  <si>
    <t>7孔硅胶冰格带盖</t>
  </si>
  <si>
    <t>手提篮（2.3）</t>
  </si>
  <si>
    <t>https://detail.1688.com/offer/565591796333.html?spm=b26110380.sw1688.mof001.32.b0ec6461fX1LJN</t>
  </si>
  <si>
    <t>5件套7寸</t>
  </si>
  <si>
    <t>https://detail.1688.com/offer/568436294565.html?spm=a261y.7663282.1998411376.2.1a292013NjxUwi&amp;scm=1007.19151.114112.0</t>
  </si>
  <si>
    <t>空气炸锅模</t>
  </si>
  <si>
    <t>6寸手提模 
7.00元</t>
  </si>
  <si>
    <t>7寸手提模 
8.00元</t>
  </si>
  <si>
    <t>8寸手提模 
8.90元</t>
  </si>
  <si>
    <t>https://detail.1688.com/offer/568524179620.html?spm=b26110380.8015204.tkhy006.2.5b2261efPFEtDy</t>
  </si>
  <si>
    <t>面包架</t>
  </si>
  <si>
    <t>https://detail.1688.com/offer/569075401491.html?spm=b26110380.sw1688.mof001.17.14417a28mgzQV3</t>
  </si>
  <si>
    <t>运营规划表格 月表格</t>
  </si>
  <si>
    <t>产品运营模式</t>
  </si>
  <si>
    <t>1：该产品会试用变体运营多SKU。。。。。。。此地描述运营计划准备怎么去做该产品。</t>
  </si>
  <si>
    <t>产品编辑</t>
  </si>
  <si>
    <t>标题</t>
  </si>
  <si>
    <t>描述</t>
  </si>
  <si>
    <t>价格</t>
  </si>
  <si>
    <t>备货计划</t>
  </si>
  <si>
    <t>产品链接上传时间</t>
  </si>
  <si>
    <t>运输模式</t>
  </si>
  <si>
    <t>备货周期</t>
  </si>
  <si>
    <t>是否先发海外仓后再编辑链接</t>
  </si>
  <si>
    <t>备货数量</t>
  </si>
  <si>
    <t>站内广告</t>
  </si>
  <si>
    <t>主推关键词</t>
  </si>
  <si>
    <t>关键词定价</t>
  </si>
  <si>
    <t>CPC执行时间</t>
  </si>
  <si>
    <t>广泛精准</t>
  </si>
  <si>
    <t>CPC最大预算值</t>
  </si>
  <si>
    <t>广告模式</t>
  </si>
  <si>
    <t>推广辅助计划</t>
  </si>
  <si>
    <t>辅助名称</t>
  </si>
  <si>
    <t>内容</t>
  </si>
  <si>
    <t>实施日期</t>
  </si>
  <si>
    <t>费用</t>
  </si>
  <si>
    <t>最慢估算</t>
  </si>
  <si>
    <t>渠道（内部，第三方）</t>
  </si>
  <si>
    <t>QA</t>
  </si>
  <si>
    <t>销量单</t>
  </si>
  <si>
    <t>reviews</t>
  </si>
  <si>
    <t>站内直播计划</t>
  </si>
  <si>
    <t>站外推广计划</t>
  </si>
  <si>
    <t>网站名称</t>
  </si>
  <si>
    <t>推广模式</t>
  </si>
  <si>
    <t>预计时间</t>
  </si>
  <si>
    <t>推广方式</t>
  </si>
  <si>
    <t>推广内容</t>
  </si>
  <si>
    <t>持续时间</t>
  </si>
  <si>
    <t>站内活动计划</t>
  </si>
  <si>
    <t>名称</t>
  </si>
  <si>
    <t>最小折扣</t>
  </si>
  <si>
    <t>最大折扣</t>
  </si>
  <si>
    <t>第三方配合</t>
  </si>
  <si>
    <t>配合方式</t>
  </si>
  <si>
    <t>LD</t>
  </si>
  <si>
    <t>加购</t>
  </si>
  <si>
    <t>BD</t>
  </si>
  <si>
    <t>上报</t>
  </si>
  <si>
    <t>联系日期</t>
  </si>
  <si>
    <t>产品名</t>
  </si>
  <si>
    <t>reviewer亚马逊名称</t>
  </si>
  <si>
    <t>reviewer内容</t>
  </si>
  <si>
    <t>订单号</t>
  </si>
  <si>
    <t>视频</t>
  </si>
  <si>
    <t>购买日期</t>
  </si>
  <si>
    <t>第三方供应商</t>
  </si>
  <si>
    <t>公司</t>
  </si>
  <si>
    <t>几星评价</t>
  </si>
  <si>
    <t>是否完成</t>
  </si>
  <si>
    <t>推广超链</t>
  </si>
  <si>
    <t>推广要求</t>
  </si>
  <si>
    <t>Code</t>
  </si>
  <si>
    <t>xxxx/xx/xx</t>
  </si>
  <si>
    <t>xxx</t>
  </si>
  <si>
    <t>xxxxxxx</t>
  </si>
  <si>
    <t>xxx-xxxxxxx-xxxxxxx(范例)</t>
  </si>
  <si>
    <t>主推关键词排名</t>
  </si>
  <si>
    <t>类目排名</t>
  </si>
  <si>
    <t>流量</t>
  </si>
  <si>
    <t>增长</t>
  </si>
  <si>
    <t>点击</t>
  </si>
  <si>
    <t>自然订单订单</t>
  </si>
  <si>
    <t>刷单</t>
  </si>
  <si>
    <t>评价数量</t>
  </si>
  <si>
    <t>评价分数</t>
  </si>
  <si>
    <t>CPC曝光</t>
  </si>
  <si>
    <t>CPC流量</t>
  </si>
  <si>
    <t>CPC ACOS</t>
  </si>
  <si>
    <t>活动</t>
  </si>
  <si>
    <t>退货</t>
  </si>
  <si>
    <t>库存</t>
  </si>
  <si>
    <t>进仓上架后第1天数据</t>
  </si>
  <si>
    <t>进仓上架后第2天数据</t>
  </si>
  <si>
    <t>进仓上架后第3天数据</t>
  </si>
  <si>
    <t>进仓上架后第4天数据</t>
  </si>
  <si>
    <t>进仓上架后第5天数据</t>
  </si>
  <si>
    <t>进仓上架后第6天数据</t>
  </si>
  <si>
    <t>进仓上架后第7天数据</t>
  </si>
  <si>
    <t>进仓上架后第8天数据</t>
  </si>
  <si>
    <t>进仓上架后第9天数据</t>
  </si>
  <si>
    <t>进仓上架后第10天数据</t>
  </si>
  <si>
    <t>进仓上架后第11天数据</t>
  </si>
  <si>
    <t>进仓上架后第12天数据</t>
  </si>
  <si>
    <t>进仓上架后第13天数据</t>
  </si>
  <si>
    <t>进仓上架后第14天数据</t>
  </si>
  <si>
    <t>进仓上架后第15天数据</t>
  </si>
  <si>
    <t>进仓上架后第16天数据</t>
  </si>
  <si>
    <t>进仓上架后第17天数据</t>
  </si>
  <si>
    <t>进仓上架后第18天数据</t>
  </si>
  <si>
    <t>进仓上架后第19天数据</t>
  </si>
  <si>
    <t>进仓上架后第20天数据</t>
  </si>
  <si>
    <t>进仓上架后第21天数据</t>
  </si>
  <si>
    <t>进仓上架后第22天数据</t>
  </si>
  <si>
    <t>进仓上架后第23天数据</t>
  </si>
  <si>
    <t>进仓上架后第24天数据</t>
  </si>
  <si>
    <t>进仓上架后第25天数据</t>
  </si>
  <si>
    <t>进仓上架后第26天数据</t>
  </si>
  <si>
    <t>进仓上架后第27天数据</t>
  </si>
  <si>
    <t>进仓上架后第28天数据</t>
  </si>
  <si>
    <t>进仓上架后第29天数据</t>
  </si>
  <si>
    <t>进仓上架后第30天数据</t>
  </si>
  <si>
    <t>进仓上架后第31天数据</t>
  </si>
  <si>
    <t>每月总结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</si>
</sst>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24" formatCode="\$#,##0_);[Red]\(\$#,##0\)"/>
    <numFmt numFmtId="178" formatCode="0_ "/>
    <numFmt numFmtId="179" formatCode="0.00_ "/>
    <numFmt numFmtId="180" formatCode="\$#,##0.00;\-\$#,##0.00"/>
    <numFmt numFmtId="181" formatCode="\$#,##0.00;[Red]\$#,##0.00"/>
    <numFmt numFmtId="182" formatCode="&quot;￥&quot;#,##0.00;[Red]&quot;￥&quot;#,##0.00"/>
    <numFmt numFmtId="183" formatCode="0.00_);[Red]\(0.00\)"/>
  </numFmts>
  <fonts count="32">
    <font>
      <sz val="11"/>
      <color theme="1"/>
      <name val="等线"/>
      <charset val="134"/>
      <scheme val="minor"/>
    </font>
    <font>
      <sz val="11"/>
      <color indexed="8"/>
      <name val="宋体"/>
      <charset val="134"/>
    </font>
    <font>
      <sz val="11"/>
      <color indexed="10"/>
      <name val="宋体"/>
      <charset val="134"/>
    </font>
    <font>
      <u/>
      <sz val="11"/>
      <color indexed="10"/>
      <name val="宋体"/>
      <charset val="134"/>
    </font>
    <font>
      <b/>
      <sz val="11"/>
      <color indexed="8"/>
      <name val="宋体"/>
      <charset val="134"/>
    </font>
    <font>
      <b/>
      <sz val="11"/>
      <color theme="1"/>
      <name val="等线"/>
      <charset val="134"/>
      <scheme val="minor"/>
    </font>
    <font>
      <b/>
      <sz val="11"/>
      <color rgb="FFFF0000"/>
      <name val="等线"/>
      <charset val="134"/>
      <scheme val="minor"/>
    </font>
    <font>
      <sz val="11"/>
      <color rgb="FFFF0000"/>
      <name val="等线"/>
      <charset val="134"/>
      <scheme val="minor"/>
    </font>
    <font>
      <sz val="10"/>
      <color theme="1"/>
      <name val="等线"/>
      <charset val="134"/>
      <scheme val="minor"/>
    </font>
    <font>
      <b/>
      <sz val="12"/>
      <color rgb="FFFF0000"/>
      <name val="等线"/>
      <charset val="134"/>
      <scheme val="minor"/>
    </font>
    <font>
      <sz val="12"/>
      <color theme="1"/>
      <name val="等线"/>
      <charset val="134"/>
      <scheme val="minor"/>
    </font>
    <font>
      <b/>
      <sz val="12"/>
      <color rgb="FFFF0000"/>
      <name val="none"/>
      <family val="1"/>
    </font>
    <font>
      <b/>
      <sz val="10"/>
      <name val="宋体"/>
      <family val="3"/>
      <charset val="134"/>
    </font>
    <font>
      <u/>
      <sz val="11"/>
      <color rgb="FF800080"/>
      <name val="等线"/>
      <family val="3"/>
      <charset val="134"/>
      <scheme val="minor"/>
    </font>
    <font>
      <u/>
      <sz val="11"/>
      <color rgb="FF0000FF"/>
      <name val="等线"/>
      <family val="3"/>
      <charset val="134"/>
      <scheme val="minor"/>
    </font>
    <font>
      <u/>
      <sz val="11"/>
      <color rgb="FF0000FF"/>
      <name val="等线"/>
      <family val="3"/>
      <charset val="134"/>
      <scheme val="minor"/>
    </font>
    <font>
      <u/>
      <sz val="11"/>
      <color rgb="FF800080"/>
      <name val="等线"/>
      <family val="3"/>
      <charset val="134"/>
      <scheme val="minor"/>
    </font>
    <font>
      <sz val="10"/>
      <name val="宋体"/>
      <family val="3"/>
      <charset val="134"/>
    </font>
    <font>
      <sz val="11"/>
      <name val="等线"/>
      <family val="3"/>
      <charset val="134"/>
      <scheme val="minor"/>
    </font>
    <font>
      <b/>
      <sz val="10"/>
      <color rgb="FFC00000"/>
      <name val="宋体"/>
      <family val="3"/>
      <charset val="134"/>
    </font>
    <font>
      <b/>
      <sz val="10"/>
      <color rgb="FF002060"/>
      <name val="宋体"/>
      <family val="3"/>
      <charset val="134"/>
    </font>
    <font>
      <b/>
      <sz val="10"/>
      <color rgb="FFFF0000"/>
      <name val="宋体"/>
      <family val="3"/>
      <charset val="134"/>
    </font>
    <font>
      <sz val="10"/>
      <color theme="1"/>
      <name val="宋体"/>
      <family val="3"/>
      <charset val="134"/>
    </font>
    <font>
      <sz val="12"/>
      <color rgb="FFFF0000"/>
      <name val="宋体"/>
      <family val="3"/>
      <charset val="134"/>
    </font>
    <font>
      <u/>
      <sz val="11"/>
      <color theme="10"/>
      <name val="等线"/>
      <family val="3"/>
      <charset val="134"/>
      <scheme val="minor"/>
    </font>
    <font>
      <sz val="12"/>
      <color rgb="FFFF0000"/>
      <name val="等线"/>
      <family val="3"/>
      <charset val="134"/>
      <scheme val="minor"/>
    </font>
    <font>
      <b/>
      <sz val="12"/>
      <color rgb="FFFF0000"/>
      <name val="宋体"/>
      <family val="3"/>
      <charset val="134"/>
    </font>
    <font>
      <b/>
      <sz val="9"/>
      <name val="宋体"/>
      <family val="3"/>
      <charset val="134"/>
    </font>
    <font>
      <sz val="9"/>
      <name val="宋体"/>
      <family val="3"/>
      <charset val="134"/>
    </font>
    <font>
      <sz val="11"/>
      <color theme="1"/>
      <name val="等线"/>
      <family val="3"/>
      <charset val="134"/>
      <scheme val="minor"/>
    </font>
    <font>
      <sz val="12"/>
      <color theme="1"/>
      <name val="等线"/>
      <family val="3"/>
      <charset val="134"/>
      <scheme val="minor"/>
    </font>
    <font>
      <sz val="9"/>
      <name val="等线"/>
      <family val="3"/>
      <charset val="134"/>
      <scheme val="minor"/>
    </font>
  </fonts>
  <fills count="14">
    <fill>
      <patternFill patternType="none"/>
    </fill>
    <fill>
      <patternFill patternType="gray125"/>
    </fill>
    <fill>
      <patternFill patternType="solid">
        <fgColor rgb="FFFF000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4"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8" tint="0.59999389629810485"/>
        <bgColor indexed="64"/>
      </patternFill>
    </fill>
  </fills>
  <borders count="14">
    <border>
      <left/>
      <right/>
      <top/>
      <bottom/>
      <diagonal/>
    </border>
    <border diagonalUp="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theme="4" tint="0.39994506668294322"/>
      </bottom>
      <diagonal/>
    </border>
  </borders>
  <cellStyleXfs count="4">
    <xf numFmtId="0" fontId="0" fillId="0" borderId="0"/>
    <xf numFmtId="0" fontId="15" fillId="0" borderId="0" applyNumberFormat="0" applyFill="0" applyBorder="0" applyAlignment="0" applyProtection="0">
      <alignment vertical="center"/>
    </xf>
    <xf numFmtId="0" fontId="29" fillId="0" borderId="0">
      <alignment vertical="center"/>
    </xf>
    <xf numFmtId="0" fontId="24" fillId="0" borderId="0" applyNumberFormat="0" applyFill="0" applyBorder="0" applyAlignment="0" applyProtection="0"/>
  </cellStyleXfs>
  <cellXfs count="145">
    <xf numFmtId="0" fontId="0" fillId="0" borderId="0" xfId="0"/>
    <xf numFmtId="49" fontId="0" fillId="0" borderId="1" xfId="0" applyNumberFormat="1" applyFill="1" applyBorder="1" applyAlignment="1">
      <alignment horizontal="left" vertical="center" wrapText="1"/>
    </xf>
    <xf numFmtId="49" fontId="0" fillId="2" borderId="2" xfId="0" applyNumberFormat="1" applyFill="1" applyBorder="1" applyAlignment="1">
      <alignment horizontal="center" vertical="center" wrapText="1"/>
    </xf>
    <xf numFmtId="49" fontId="0" fillId="3" borderId="2" xfId="0" applyNumberFormat="1" applyFill="1" applyBorder="1" applyAlignment="1">
      <alignment horizontal="left" vertical="center"/>
    </xf>
    <xf numFmtId="0" fontId="0" fillId="4"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4" borderId="2" xfId="0" applyFill="1" applyBorder="1" applyAlignment="1">
      <alignment horizontal="center" vertical="center" wrapText="1"/>
    </xf>
    <xf numFmtId="0" fontId="0" fillId="7" borderId="0" xfId="0" applyFill="1"/>
    <xf numFmtId="0" fontId="0" fillId="2" borderId="3" xfId="0" applyFill="1" applyBorder="1" applyAlignment="1">
      <alignment horizontal="center" vertical="center"/>
    </xf>
    <xf numFmtId="0" fontId="0" fillId="2" borderId="4" xfId="0" applyFill="1" applyBorder="1" applyAlignment="1">
      <alignment horizontal="center" vertical="center" shrinkToFit="1"/>
    </xf>
    <xf numFmtId="0" fontId="1" fillId="2" borderId="4" xfId="0" applyFont="1" applyFill="1" applyBorder="1" applyAlignment="1">
      <alignment horizontal="center" vertical="center" shrinkToFit="1"/>
    </xf>
    <xf numFmtId="0" fontId="0" fillId="2" borderId="4" xfId="0" applyFill="1" applyBorder="1" applyAlignment="1">
      <alignment horizontal="center" vertical="center"/>
    </xf>
    <xf numFmtId="0" fontId="2" fillId="8" borderId="2" xfId="0" applyFont="1" applyFill="1" applyBorder="1" applyAlignment="1">
      <alignment horizontal="center" vertical="center"/>
    </xf>
    <xf numFmtId="0" fontId="2" fillId="8" borderId="2" xfId="0" applyFont="1" applyFill="1" applyBorder="1" applyAlignment="1">
      <alignment horizontal="center" vertical="center" shrinkToFit="1"/>
    </xf>
    <xf numFmtId="0" fontId="3" fillId="8" borderId="2" xfId="3"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8" borderId="2" xfId="0" applyFont="1" applyFill="1" applyBorder="1" applyAlignment="1">
      <alignment horizontal="center" vertical="center" shrinkToFit="1"/>
    </xf>
    <xf numFmtId="0" fontId="0" fillId="8" borderId="2" xfId="0" applyFill="1" applyBorder="1" applyAlignment="1">
      <alignment horizontal="center" vertical="center" shrinkToFit="1"/>
    </xf>
    <xf numFmtId="0" fontId="0" fillId="8" borderId="2" xfId="0" applyFill="1" applyBorder="1" applyAlignment="1">
      <alignment horizontal="center" vertical="center"/>
    </xf>
    <xf numFmtId="0" fontId="0" fillId="10" borderId="2" xfId="0" applyFill="1" applyBorder="1" applyAlignment="1">
      <alignment horizontal="center" vertical="center" wrapText="1"/>
    </xf>
    <xf numFmtId="0" fontId="0" fillId="11" borderId="2" xfId="0" applyFill="1" applyBorder="1" applyAlignment="1">
      <alignment horizontal="center" vertical="center" wrapText="1"/>
    </xf>
    <xf numFmtId="0" fontId="0" fillId="10" borderId="2" xfId="0" applyFill="1" applyBorder="1"/>
    <xf numFmtId="0" fontId="0" fillId="12" borderId="2" xfId="0" applyFill="1" applyBorder="1" applyAlignment="1">
      <alignment horizontal="center" vertical="center" wrapText="1"/>
    </xf>
    <xf numFmtId="0" fontId="0" fillId="9" borderId="2" xfId="0" applyFill="1" applyBorder="1" applyAlignment="1">
      <alignment horizontal="center" vertical="center" wrapText="1"/>
    </xf>
    <xf numFmtId="0" fontId="0" fillId="12" borderId="2" xfId="0" applyFill="1" applyBorder="1"/>
    <xf numFmtId="0" fontId="0" fillId="9" borderId="2" xfId="0" applyFill="1" applyBorder="1"/>
    <xf numFmtId="0" fontId="0" fillId="9" borderId="2" xfId="0" applyFill="1" applyBorder="1" applyAlignment="1">
      <alignment horizontal="center" vertical="center"/>
    </xf>
    <xf numFmtId="0" fontId="0" fillId="0" borderId="2" xfId="0" applyBorder="1" applyAlignment="1">
      <alignment horizontal="center" vertical="center" wrapText="1"/>
    </xf>
    <xf numFmtId="0" fontId="0" fillId="0" borderId="0" xfId="0" applyFont="1" applyFill="1" applyAlignment="1">
      <alignment vertical="center"/>
    </xf>
    <xf numFmtId="0" fontId="0" fillId="0" borderId="0" xfId="0" applyFont="1" applyFill="1" applyAlignment="1">
      <alignment horizontal="left" vertical="center"/>
    </xf>
    <xf numFmtId="0" fontId="0" fillId="0" borderId="0" xfId="0" applyFont="1" applyFill="1" applyBorder="1" applyAlignment="1">
      <alignment vertical="center"/>
    </xf>
    <xf numFmtId="0" fontId="5" fillId="0" borderId="0" xfId="0" applyFont="1" applyFill="1" applyBorder="1" applyAlignment="1">
      <alignment vertical="center" wrapText="1"/>
    </xf>
    <xf numFmtId="0" fontId="0" fillId="0" borderId="0" xfId="0" applyFont="1" applyFill="1" applyBorder="1" applyAlignment="1">
      <alignment horizontal="center" vertical="center" wrapText="1"/>
    </xf>
    <xf numFmtId="0" fontId="0" fillId="0" borderId="0" xfId="0" applyFont="1" applyFill="1" applyAlignment="1">
      <alignment vertical="center" wrapText="1"/>
    </xf>
    <xf numFmtId="0" fontId="0" fillId="0" borderId="0" xfId="0" applyFont="1" applyFill="1" applyAlignment="1">
      <alignment horizontal="center" vertical="center"/>
    </xf>
    <xf numFmtId="0" fontId="5" fillId="0" borderId="2"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xf>
    <xf numFmtId="3" fontId="0" fillId="0" borderId="2" xfId="0" applyNumberFormat="1" applyFont="1" applyFill="1" applyBorder="1" applyAlignment="1">
      <alignment horizontal="center" vertical="center"/>
    </xf>
    <xf numFmtId="179" fontId="0" fillId="0" borderId="2" xfId="0" applyNumberFormat="1" applyFont="1" applyFill="1" applyBorder="1" applyAlignment="1">
      <alignment horizontal="center" vertical="center"/>
    </xf>
    <xf numFmtId="0" fontId="0" fillId="0" borderId="2" xfId="0" applyFont="1" applyFill="1" applyBorder="1" applyAlignment="1">
      <alignment horizontal="center" vertical="center" wrapText="1"/>
    </xf>
    <xf numFmtId="0" fontId="0" fillId="0" borderId="0" xfId="0" applyFont="1" applyFill="1" applyAlignment="1">
      <alignment horizontal="center" vertical="center" wrapText="1"/>
    </xf>
    <xf numFmtId="180" fontId="0" fillId="0" borderId="2" xfId="0" applyNumberFormat="1" applyFont="1" applyFill="1" applyBorder="1" applyAlignment="1">
      <alignment horizontal="center" vertical="center"/>
    </xf>
    <xf numFmtId="9" fontId="0" fillId="0" borderId="2" xfId="0" applyNumberFormat="1" applyFont="1" applyFill="1" applyBorder="1" applyAlignment="1">
      <alignment horizontal="center" vertical="center"/>
    </xf>
    <xf numFmtId="0" fontId="0" fillId="0" borderId="2" xfId="0" applyNumberFormat="1" applyFont="1" applyFill="1" applyBorder="1" applyAlignment="1" applyProtection="1">
      <alignment horizontal="center" vertical="center"/>
    </xf>
    <xf numFmtId="0" fontId="8" fillId="0" borderId="0" xfId="0" applyFont="1" applyFill="1" applyAlignment="1">
      <alignment horizontal="center" vertical="center"/>
    </xf>
    <xf numFmtId="180" fontId="0" fillId="0" borderId="0" xfId="0" applyNumberFormat="1" applyFont="1" applyFill="1" applyAlignment="1">
      <alignment horizontal="center" vertical="center"/>
    </xf>
    <xf numFmtId="9" fontId="0" fillId="0" borderId="0" xfId="0" applyNumberFormat="1" applyFont="1" applyFill="1" applyAlignment="1">
      <alignment horizontal="center" vertical="center"/>
    </xf>
    <xf numFmtId="0" fontId="8" fillId="0" borderId="2" xfId="0" applyFont="1" applyFill="1" applyBorder="1" applyAlignment="1">
      <alignment horizontal="center" vertical="center" wrapText="1"/>
    </xf>
    <xf numFmtId="0" fontId="5" fillId="0" borderId="0" xfId="0" applyFont="1" applyFill="1" applyAlignment="1">
      <alignment vertical="center"/>
    </xf>
    <xf numFmtId="0" fontId="5" fillId="0" borderId="0" xfId="0" applyFont="1" applyFill="1" applyAlignment="1">
      <alignment horizontal="center" vertical="center"/>
    </xf>
    <xf numFmtId="0" fontId="0" fillId="0" borderId="13" xfId="0" applyFont="1" applyFill="1" applyBorder="1" applyAlignment="1">
      <alignment vertical="center"/>
    </xf>
    <xf numFmtId="0" fontId="9" fillId="0" borderId="2" xfId="0" applyFont="1" applyFill="1" applyBorder="1" applyAlignment="1">
      <alignment vertical="center"/>
    </xf>
    <xf numFmtId="0" fontId="11" fillId="0" borderId="2" xfId="0" applyFont="1" applyFill="1" applyBorder="1" applyAlignment="1">
      <alignment vertical="center"/>
    </xf>
    <xf numFmtId="0" fontId="13" fillId="0" borderId="2" xfId="1" applyFont="1" applyFill="1" applyBorder="1" applyAlignment="1">
      <alignment horizontal="center" vertical="center" wrapText="1"/>
    </xf>
    <xf numFmtId="0" fontId="14" fillId="0" borderId="2" xfId="1" applyFont="1" applyFill="1" applyBorder="1" applyAlignment="1">
      <alignment horizontal="center" vertical="center" wrapText="1"/>
    </xf>
    <xf numFmtId="182" fontId="15" fillId="0" borderId="2" xfId="1" applyNumberFormat="1" applyFill="1" applyBorder="1" applyAlignment="1">
      <alignment horizontal="center" vertical="center" wrapText="1"/>
    </xf>
    <xf numFmtId="182" fontId="0" fillId="0" borderId="2" xfId="0" applyNumberFormat="1" applyFont="1" applyFill="1" applyBorder="1" applyAlignment="1">
      <alignment horizontal="center" vertical="center" wrapText="1"/>
    </xf>
    <xf numFmtId="181" fontId="0" fillId="0" borderId="2" xfId="0" applyNumberFormat="1" applyFont="1" applyFill="1" applyBorder="1" applyAlignment="1">
      <alignment horizontal="center" vertical="center" wrapText="1"/>
    </xf>
    <xf numFmtId="0" fontId="15" fillId="0" borderId="0" xfId="1" applyAlignment="1">
      <alignment vertical="center" wrapText="1"/>
    </xf>
    <xf numFmtId="0" fontId="16" fillId="0" borderId="0" xfId="1" applyFont="1" applyAlignment="1">
      <alignment vertical="center" wrapText="1"/>
    </xf>
    <xf numFmtId="0" fontId="15" fillId="0" borderId="0" xfId="1" applyAlignment="1">
      <alignment horizontal="center" vertical="center" wrapText="1"/>
    </xf>
    <xf numFmtId="181" fontId="12" fillId="13" borderId="2" xfId="0" applyNumberFormat="1" applyFont="1" applyFill="1" applyBorder="1" applyAlignment="1">
      <alignment horizontal="center" vertical="center" wrapText="1"/>
    </xf>
    <xf numFmtId="183" fontId="17" fillId="0" borderId="2" xfId="0" applyNumberFormat="1" applyFont="1" applyFill="1" applyBorder="1" applyAlignment="1">
      <alignment horizontal="center" vertical="center" wrapText="1"/>
    </xf>
    <xf numFmtId="180" fontId="0" fillId="0" borderId="2" xfId="0" applyNumberFormat="1" applyFont="1" applyFill="1" applyBorder="1" applyAlignment="1">
      <alignment horizontal="center" vertical="center" wrapText="1"/>
    </xf>
    <xf numFmtId="180" fontId="17" fillId="0" borderId="2" xfId="0" applyNumberFormat="1" applyFont="1" applyFill="1" applyBorder="1" applyAlignment="1">
      <alignment horizontal="center" vertical="center" wrapText="1"/>
    </xf>
    <xf numFmtId="181" fontId="18" fillId="13" borderId="2" xfId="0" applyNumberFormat="1" applyFont="1" applyFill="1" applyBorder="1" applyAlignment="1">
      <alignment horizontal="center" vertical="center" wrapText="1"/>
    </xf>
    <xf numFmtId="181" fontId="17" fillId="13" borderId="2" xfId="0" applyNumberFormat="1" applyFont="1" applyFill="1" applyBorder="1" applyAlignment="1">
      <alignment horizontal="center" vertical="center" wrapText="1"/>
    </xf>
    <xf numFmtId="0" fontId="15" fillId="0" borderId="0" xfId="1">
      <alignment vertical="center"/>
    </xf>
    <xf numFmtId="0" fontId="0" fillId="0" borderId="2" xfId="0" applyFont="1" applyFill="1" applyBorder="1" applyAlignment="1">
      <alignment vertical="center"/>
    </xf>
    <xf numFmtId="0" fontId="19" fillId="13" borderId="2" xfId="0" applyFont="1" applyFill="1" applyBorder="1" applyAlignment="1">
      <alignment horizontal="center" vertical="center" wrapText="1"/>
    </xf>
    <xf numFmtId="179" fontId="20" fillId="0" borderId="2" xfId="0" applyNumberFormat="1" applyFont="1" applyFill="1" applyBorder="1" applyAlignment="1">
      <alignment horizontal="center" vertical="center" wrapText="1"/>
    </xf>
    <xf numFmtId="10" fontId="19" fillId="0" borderId="2" xfId="0" applyNumberFormat="1" applyFont="1" applyFill="1" applyBorder="1" applyAlignment="1">
      <alignment horizontal="center" vertical="center" wrapText="1"/>
    </xf>
    <xf numFmtId="0" fontId="21" fillId="0" borderId="2" xfId="0" applyFont="1" applyFill="1" applyBorder="1" applyAlignment="1">
      <alignment horizontal="center" vertical="center" wrapText="1"/>
    </xf>
    <xf numFmtId="10" fontId="22" fillId="13" borderId="2" xfId="0" applyNumberFormat="1" applyFont="1" applyFill="1" applyBorder="1" applyAlignment="1">
      <alignment horizontal="center" vertical="center" wrapText="1"/>
    </xf>
    <xf numFmtId="179" fontId="22" fillId="0" borderId="2" xfId="0" applyNumberFormat="1" applyFont="1" applyFill="1" applyBorder="1" applyAlignment="1">
      <alignment horizontal="center" vertical="center" wrapText="1"/>
    </xf>
    <xf numFmtId="10" fontId="22" fillId="0" borderId="2" xfId="0" applyNumberFormat="1" applyFont="1" applyFill="1" applyBorder="1" applyAlignment="1">
      <alignment horizontal="center" vertical="center" wrapText="1"/>
    </xf>
    <xf numFmtId="183" fontId="23" fillId="0" borderId="2" xfId="0" applyNumberFormat="1" applyFont="1" applyFill="1" applyBorder="1" applyAlignment="1">
      <alignment horizontal="center" vertical="center" wrapText="1"/>
    </xf>
    <xf numFmtId="0" fontId="5" fillId="0" borderId="0" xfId="2" applyFont="1" applyFill="1" applyBorder="1" applyAlignment="1">
      <alignment horizontal="center" vertical="center" wrapText="1"/>
    </xf>
    <xf numFmtId="0" fontId="5" fillId="0" borderId="0" xfId="0" applyFont="1" applyFill="1" applyBorder="1" applyAlignment="1">
      <alignment horizontal="center" vertical="center" wrapText="1"/>
    </xf>
    <xf numFmtId="24" fontId="0" fillId="0" borderId="0" xfId="0" applyNumberFormat="1" applyFont="1" applyFill="1" applyBorder="1" applyAlignment="1">
      <alignment horizontal="center" vertical="center" wrapText="1"/>
    </xf>
    <xf numFmtId="31" fontId="0" fillId="0" borderId="0" xfId="0" applyNumberFormat="1" applyFont="1" applyFill="1" applyBorder="1" applyAlignment="1">
      <alignment horizontal="center" vertical="center" wrapText="1"/>
    </xf>
    <xf numFmtId="0" fontId="0" fillId="0" borderId="0" xfId="0" applyFont="1" applyFill="1" applyBorder="1" applyAlignment="1">
      <alignment horizontal="left" vertical="center" wrapText="1"/>
    </xf>
    <xf numFmtId="58" fontId="0" fillId="0" borderId="0" xfId="0" applyNumberFormat="1" applyFont="1" applyFill="1" applyBorder="1" applyAlignment="1">
      <alignment horizontal="center" vertical="center" wrapText="1"/>
    </xf>
    <xf numFmtId="0" fontId="0" fillId="6" borderId="2" xfId="0" applyFill="1" applyBorder="1" applyAlignment="1">
      <alignment vertical="center" wrapText="1"/>
    </xf>
    <xf numFmtId="0" fontId="0" fillId="2" borderId="2" xfId="0" applyFill="1" applyBorder="1" applyAlignment="1">
      <alignment vertical="center"/>
    </xf>
    <xf numFmtId="0" fontId="0" fillId="0" borderId="2" xfId="0" applyBorder="1" applyAlignment="1">
      <alignment horizontal="center" vertical="center"/>
    </xf>
    <xf numFmtId="0" fontId="0" fillId="6" borderId="2" xfId="0" applyFill="1" applyBorder="1" applyAlignment="1">
      <alignment horizontal="center"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6" fillId="0" borderId="0" xfId="0" applyFont="1" applyFill="1" applyAlignment="1">
      <alignment horizontal="left" vertical="center"/>
    </xf>
    <xf numFmtId="0" fontId="7"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center" vertical="center" wrapText="1"/>
    </xf>
    <xf numFmtId="0" fontId="0" fillId="0" borderId="0" xfId="0" applyFont="1" applyFill="1" applyAlignment="1">
      <alignment horizontal="center" vertical="center" wrapText="1"/>
    </xf>
    <xf numFmtId="0" fontId="0" fillId="0" borderId="0" xfId="0" applyFont="1" applyFill="1" applyAlignment="1">
      <alignment horizontal="left" vertical="center"/>
    </xf>
    <xf numFmtId="0" fontId="7" fillId="0" borderId="2" xfId="0" applyFont="1" applyFill="1" applyBorder="1" applyAlignment="1">
      <alignment horizontal="left" vertical="center"/>
    </xf>
    <xf numFmtId="0" fontId="0" fillId="0" borderId="2" xfId="0" applyFont="1" applyFill="1" applyBorder="1" applyAlignment="1">
      <alignment horizontal="left" vertical="center"/>
    </xf>
    <xf numFmtId="0" fontId="5" fillId="0" borderId="0" xfId="0" applyFont="1" applyFill="1" applyAlignment="1">
      <alignment horizontal="left" vertical="center"/>
    </xf>
    <xf numFmtId="0" fontId="9" fillId="0" borderId="0" xfId="0" applyFont="1" applyFill="1" applyAlignment="1">
      <alignment horizontal="left" vertical="center"/>
    </xf>
    <xf numFmtId="0" fontId="0" fillId="0" borderId="0" xfId="0" applyFont="1" applyFill="1" applyAlignment="1">
      <alignment horizontal="left" vertical="center" wrapText="1"/>
    </xf>
    <xf numFmtId="0" fontId="0" fillId="0" borderId="2" xfId="0" applyFont="1" applyFill="1" applyBorder="1" applyAlignment="1">
      <alignment horizontal="center" vertical="center"/>
    </xf>
    <xf numFmtId="181" fontId="0" fillId="0" borderId="0" xfId="0" applyNumberFormat="1" applyFont="1" applyFill="1" applyBorder="1" applyAlignment="1">
      <alignment horizontal="left" vertical="center" wrapText="1"/>
    </xf>
    <xf numFmtId="181" fontId="0" fillId="13" borderId="2" xfId="0" applyNumberFormat="1" applyFont="1" applyFill="1" applyBorder="1" applyAlignment="1">
      <alignment horizontal="center" vertical="center"/>
    </xf>
    <xf numFmtId="0" fontId="0" fillId="13" borderId="2" xfId="0" applyFont="1" applyFill="1" applyBorder="1" applyAlignment="1">
      <alignment horizontal="center" vertical="center"/>
    </xf>
    <xf numFmtId="0" fontId="8" fillId="0" borderId="1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2" xfId="0" applyNumberFormat="1" applyFont="1" applyFill="1" applyBorder="1" applyAlignment="1">
      <alignment horizontal="center" vertical="center" wrapText="1" shrinkToFit="1"/>
    </xf>
    <xf numFmtId="182" fontId="12" fillId="0" borderId="2" xfId="0" applyNumberFormat="1" applyFont="1" applyFill="1" applyBorder="1" applyAlignment="1">
      <alignment horizontal="center" vertical="center" wrapText="1"/>
    </xf>
    <xf numFmtId="0" fontId="0" fillId="0" borderId="10"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12" xfId="0" applyFont="1" applyFill="1" applyBorder="1" applyAlignment="1">
      <alignment horizontal="center" vertical="center" wrapText="1"/>
    </xf>
    <xf numFmtId="181" fontId="12" fillId="0" borderId="2" xfId="0" applyNumberFormat="1" applyFont="1" applyFill="1" applyBorder="1" applyAlignment="1">
      <alignment horizontal="center" vertical="center" wrapText="1"/>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5" fillId="0" borderId="2" xfId="2" applyFont="1" applyFill="1" applyBorder="1" applyAlignment="1">
      <alignment horizontal="center" vertical="center" wrapText="1"/>
    </xf>
    <xf numFmtId="178" fontId="0" fillId="0" borderId="10" xfId="0" applyNumberFormat="1" applyFont="1" applyFill="1" applyBorder="1" applyAlignment="1">
      <alignment horizontal="center" vertical="center"/>
    </xf>
    <xf numFmtId="178" fontId="0" fillId="0" borderId="11" xfId="0" applyNumberFormat="1" applyFont="1" applyFill="1" applyBorder="1" applyAlignment="1">
      <alignment horizontal="center" vertical="center"/>
    </xf>
    <xf numFmtId="178" fontId="0" fillId="0" borderId="12" xfId="0" applyNumberFormat="1" applyFont="1" applyFill="1" applyBorder="1" applyAlignment="1">
      <alignment horizontal="center" vertical="center"/>
    </xf>
    <xf numFmtId="0" fontId="12" fillId="0" borderId="2" xfId="0" applyFont="1" applyFill="1" applyBorder="1" applyAlignment="1">
      <alignment horizontal="center" vertical="center" wrapText="1"/>
    </xf>
    <xf numFmtId="180" fontId="12" fillId="0" borderId="2"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7" fillId="0" borderId="0" xfId="0" applyFont="1" applyFill="1" applyAlignment="1">
      <alignment horizontal="center" vertical="center" wrapText="1"/>
    </xf>
    <xf numFmtId="0" fontId="10" fillId="0" borderId="0" xfId="0" applyFont="1" applyFill="1" applyAlignment="1">
      <alignment horizontal="left" vertical="center" wrapText="1"/>
    </xf>
    <xf numFmtId="0" fontId="0" fillId="2" borderId="2" xfId="0" applyFill="1" applyBorder="1" applyAlignment="1">
      <alignment horizontal="center" vertical="center"/>
    </xf>
    <xf numFmtId="0" fontId="0" fillId="0" borderId="0" xfId="0" applyAlignment="1">
      <alignment horizontal="center" vertical="center"/>
    </xf>
    <xf numFmtId="0" fontId="0" fillId="2" borderId="2"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0"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xf>
    <xf numFmtId="0" fontId="0" fillId="9" borderId="2" xfId="0" applyFill="1" applyBorder="1" applyAlignment="1">
      <alignment horizontal="left" vertical="top" wrapText="1"/>
    </xf>
    <xf numFmtId="0" fontId="0" fillId="5" borderId="2" xfId="0" applyFill="1" applyBorder="1" applyAlignment="1">
      <alignment horizontal="center" vertical="center" wrapText="1"/>
    </xf>
  </cellXfs>
  <cellStyles count="4">
    <cellStyle name="常规" xfId="0" builtinId="0"/>
    <cellStyle name="常规 2" xfId="2" xr:uid="{00000000-0005-0000-0000-000031000000}"/>
    <cellStyle name="超链接" xfId="1" builtinId="8"/>
    <cellStyle name="超链接 2" xfId="3"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600" b="1" i="0" u="none" strike="noStrike" kern="1200" cap="all" spc="120" normalizeH="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4037517698347396E-2"/>
          <c:y val="0.109894969596462"/>
          <c:w val="0.91819418095126204"/>
          <c:h val="0.66542841348811499"/>
        </c:manualLayout>
      </c:layout>
      <c:barChart>
        <c:barDir val="col"/>
        <c:grouping val="clustered"/>
        <c:varyColors val="0"/>
        <c:ser>
          <c:idx val="0"/>
          <c:order val="0"/>
          <c:tx>
            <c:strRef>
              <c:f>[1]Sheet4!$B$60:$B$61</c:f>
              <c:strCache>
                <c:ptCount val="1"/>
                <c:pt idx="0">
                  <c:v>销量 空白</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zh-CN" sz="800" b="0" i="0" u="none" strike="noStrike" kern="1200" baseline="0">
                    <a:solidFill>
                      <a:schemeClr val="tx1">
                        <a:lumMod val="50000"/>
                        <a:lumOff val="50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[1]Sheet4!$A$62:$A$125</c:f>
              <c:strCache>
                <c:ptCount val="64"/>
                <c:pt idx="0">
                  <c:v>GoWISE USA</c:v>
                </c:pt>
                <c:pt idx="1">
                  <c:v>Cozyna</c:v>
                </c:pt>
                <c:pt idx="2">
                  <c:v>Vancens</c:v>
                </c:pt>
                <c:pt idx="3">
                  <c:v>Misto</c:v>
                </c:pt>
                <c:pt idx="4">
                  <c:v>Besego</c:v>
                </c:pt>
                <c:pt idx="5">
                  <c:v>Philips</c:v>
                </c:pt>
                <c:pt idx="6">
                  <c:v>Power AirFryer XL</c:v>
                </c:pt>
                <c:pt idx="7">
                  <c:v>DEMEDO</c:v>
                </c:pt>
                <c:pt idx="8">
                  <c:v>NUMARDA</c:v>
                </c:pt>
                <c:pt idx="9">
                  <c:v>INFRAOVENS</c:v>
                </c:pt>
                <c:pt idx="10">
                  <c:v>YEDI HOUSEWARE</c:v>
                </c:pt>
                <c:pt idx="11">
                  <c:v>KINDEN</c:v>
                </c:pt>
                <c:pt idx="12">
                  <c:v>Best Choice Products</c:v>
                </c:pt>
                <c:pt idx="13">
                  <c:v>LATTCURE</c:v>
                </c:pt>
                <c:pt idx="14">
                  <c:v>LeanKing</c:v>
                </c:pt>
                <c:pt idx="15">
                  <c:v>Bellagione</c:v>
                </c:pt>
                <c:pt idx="16">
                  <c:v>Philips Kitchen</c:v>
                </c:pt>
                <c:pt idx="17">
                  <c:v>US PIEDLE</c:v>
                </c:pt>
                <c:pt idx="18">
                  <c:v>RJUN</c:v>
                </c:pt>
                <c:pt idx="19">
                  <c:v>COSORI</c:v>
                </c:pt>
                <c:pt idx="20">
                  <c:v>T&amp;B</c:v>
                </c:pt>
                <c:pt idx="21">
                  <c:v>aayu</c:v>
                </c:pt>
                <c:pt idx="22">
                  <c:v>Avalon Bay</c:v>
                </c:pt>
                <c:pt idx="23">
                  <c:v>Simple Living Products</c:v>
                </c:pt>
                <c:pt idx="24">
                  <c:v>SIMPLETASTE</c:v>
                </c:pt>
                <c:pt idx="25">
                  <c:v>Apluskis</c:v>
                </c:pt>
                <c:pt idx="26">
                  <c:v>MASGALACC</c:v>
                </c:pt>
                <c:pt idx="27">
                  <c:v>YONGFENG</c:v>
                </c:pt>
                <c:pt idx="28">
                  <c:v>HomeMarvel</c:v>
                </c:pt>
                <c:pt idx="29">
                  <c:v>CAXXA</c:v>
                </c:pt>
                <c:pt idx="30">
                  <c:v>amzdeal</c:v>
                </c:pt>
                <c:pt idx="31">
                  <c:v>YooGui</c:v>
                </c:pt>
                <c:pt idx="32">
                  <c:v>Air Fryer Accessories XIAN</c:v>
                </c:pt>
                <c:pt idx="33">
                  <c:v>Sonyabecca</c:v>
                </c:pt>
                <c:pt idx="34">
                  <c:v>StillCool</c:v>
                </c:pt>
                <c:pt idx="35">
                  <c:v>MFW</c:v>
                </c:pt>
                <c:pt idx="36">
                  <c:v>Holica</c:v>
                </c:pt>
                <c:pt idx="37">
                  <c:v>kaviatek</c:v>
                </c:pt>
                <c:pt idx="38">
                  <c:v>HOMENOTE</c:v>
                </c:pt>
                <c:pt idx="39">
                  <c:v>Gelinzon</c:v>
                </c:pt>
                <c:pt idx="40">
                  <c:v>Anver</c:v>
                </c:pt>
                <c:pt idx="41">
                  <c:v>Greensen</c:v>
                </c:pt>
                <c:pt idx="42">
                  <c:v>GraceFINE</c:v>
                </c:pt>
                <c:pt idx="43">
                  <c:v>Mecete</c:v>
                </c:pt>
                <c:pt idx="44">
                  <c:v>Findingdream</c:v>
                </c:pt>
                <c:pt idx="45">
                  <c:v>YOEDAF</c:v>
                </c:pt>
                <c:pt idx="46">
                  <c:v>Yetaha</c:v>
                </c:pt>
                <c:pt idx="47">
                  <c:v>WYCY</c:v>
                </c:pt>
                <c:pt idx="48">
                  <c:v>BeFound</c:v>
                </c:pt>
                <c:pt idx="49">
                  <c:v>3hproducts</c:v>
                </c:pt>
                <c:pt idx="50">
                  <c:v>Copper Chef</c:v>
                </c:pt>
                <c:pt idx="51">
                  <c:v>MySit</c:v>
                </c:pt>
                <c:pt idx="52">
                  <c:v>uyoyous</c:v>
                </c:pt>
                <c:pt idx="53">
                  <c:v>NuWave</c:v>
                </c:pt>
                <c:pt idx="54">
                  <c:v>Qisheng</c:v>
                </c:pt>
                <c:pt idx="55">
                  <c:v>Hiware</c:v>
                </c:pt>
                <c:pt idx="56">
                  <c:v>Haofy</c:v>
                </c:pt>
                <c:pt idx="57">
                  <c:v>CMJLBM</c:v>
                </c:pt>
                <c:pt idx="58">
                  <c:v>EBIGIC</c:v>
                </c:pt>
                <c:pt idx="59">
                  <c:v>BESTEK</c:v>
                </c:pt>
                <c:pt idx="60">
                  <c:v>Ruyiot</c:v>
                </c:pt>
                <c:pt idx="61">
                  <c:v>markkee</c:v>
                </c:pt>
                <c:pt idx="62">
                  <c:v>Fdit</c:v>
                </c:pt>
                <c:pt idx="63">
                  <c:v>Molla</c:v>
                </c:pt>
              </c:strCache>
            </c:strRef>
          </c:cat>
          <c:val>
            <c:numRef>
              <c:f>[1]Sheet4!$B$62:$B$125</c:f>
              <c:numCache>
                <c:formatCode>General</c:formatCode>
                <c:ptCount val="64"/>
                <c:pt idx="0">
                  <c:v>14590</c:v>
                </c:pt>
                <c:pt idx="1">
                  <c:v>7121</c:v>
                </c:pt>
                <c:pt idx="2">
                  <c:v>5288</c:v>
                </c:pt>
                <c:pt idx="3">
                  <c:v>5072</c:v>
                </c:pt>
                <c:pt idx="4">
                  <c:v>3659</c:v>
                </c:pt>
                <c:pt idx="5">
                  <c:v>2782</c:v>
                </c:pt>
                <c:pt idx="6">
                  <c:v>2754</c:v>
                </c:pt>
                <c:pt idx="7">
                  <c:v>2458</c:v>
                </c:pt>
                <c:pt idx="8">
                  <c:v>2019</c:v>
                </c:pt>
                <c:pt idx="9">
                  <c:v>1737</c:v>
                </c:pt>
                <c:pt idx="10">
                  <c:v>1714</c:v>
                </c:pt>
                <c:pt idx="11">
                  <c:v>1585</c:v>
                </c:pt>
                <c:pt idx="12">
                  <c:v>1317</c:v>
                </c:pt>
                <c:pt idx="13">
                  <c:v>1018</c:v>
                </c:pt>
                <c:pt idx="14">
                  <c:v>702</c:v>
                </c:pt>
                <c:pt idx="15">
                  <c:v>673</c:v>
                </c:pt>
                <c:pt idx="16">
                  <c:v>574</c:v>
                </c:pt>
                <c:pt idx="17">
                  <c:v>573</c:v>
                </c:pt>
                <c:pt idx="18">
                  <c:v>528</c:v>
                </c:pt>
                <c:pt idx="19">
                  <c:v>504</c:v>
                </c:pt>
                <c:pt idx="20">
                  <c:v>411</c:v>
                </c:pt>
                <c:pt idx="21">
                  <c:v>356</c:v>
                </c:pt>
                <c:pt idx="22">
                  <c:v>349</c:v>
                </c:pt>
                <c:pt idx="23">
                  <c:v>324</c:v>
                </c:pt>
                <c:pt idx="24">
                  <c:v>237</c:v>
                </c:pt>
                <c:pt idx="25">
                  <c:v>221</c:v>
                </c:pt>
                <c:pt idx="26">
                  <c:v>216</c:v>
                </c:pt>
                <c:pt idx="27">
                  <c:v>210</c:v>
                </c:pt>
                <c:pt idx="28">
                  <c:v>207</c:v>
                </c:pt>
                <c:pt idx="29">
                  <c:v>204</c:v>
                </c:pt>
                <c:pt idx="30">
                  <c:v>140</c:v>
                </c:pt>
                <c:pt idx="31">
                  <c:v>135</c:v>
                </c:pt>
                <c:pt idx="32">
                  <c:v>120</c:v>
                </c:pt>
                <c:pt idx="33">
                  <c:v>115</c:v>
                </c:pt>
                <c:pt idx="34">
                  <c:v>114</c:v>
                </c:pt>
                <c:pt idx="35">
                  <c:v>103</c:v>
                </c:pt>
                <c:pt idx="36">
                  <c:v>101</c:v>
                </c:pt>
                <c:pt idx="37">
                  <c:v>98</c:v>
                </c:pt>
                <c:pt idx="38">
                  <c:v>98</c:v>
                </c:pt>
                <c:pt idx="39">
                  <c:v>98</c:v>
                </c:pt>
                <c:pt idx="40">
                  <c:v>96</c:v>
                </c:pt>
                <c:pt idx="41">
                  <c:v>93</c:v>
                </c:pt>
                <c:pt idx="42">
                  <c:v>84</c:v>
                </c:pt>
                <c:pt idx="43">
                  <c:v>81</c:v>
                </c:pt>
                <c:pt idx="44">
                  <c:v>81</c:v>
                </c:pt>
                <c:pt idx="45">
                  <c:v>79</c:v>
                </c:pt>
                <c:pt idx="46">
                  <c:v>79</c:v>
                </c:pt>
                <c:pt idx="47">
                  <c:v>60</c:v>
                </c:pt>
                <c:pt idx="48">
                  <c:v>54</c:v>
                </c:pt>
                <c:pt idx="49">
                  <c:v>49</c:v>
                </c:pt>
                <c:pt idx="50">
                  <c:v>48</c:v>
                </c:pt>
                <c:pt idx="51">
                  <c:v>47</c:v>
                </c:pt>
                <c:pt idx="52">
                  <c:v>40</c:v>
                </c:pt>
                <c:pt idx="53">
                  <c:v>35</c:v>
                </c:pt>
                <c:pt idx="54">
                  <c:v>30</c:v>
                </c:pt>
                <c:pt idx="55">
                  <c:v>30</c:v>
                </c:pt>
                <c:pt idx="56">
                  <c:v>30</c:v>
                </c:pt>
                <c:pt idx="57">
                  <c:v>30</c:v>
                </c:pt>
                <c:pt idx="58">
                  <c:v>26</c:v>
                </c:pt>
                <c:pt idx="59">
                  <c:v>18</c:v>
                </c:pt>
                <c:pt idx="60">
                  <c:v>17</c:v>
                </c:pt>
                <c:pt idx="61">
                  <c:v>17</c:v>
                </c:pt>
                <c:pt idx="62">
                  <c:v>15</c:v>
                </c:pt>
                <c:pt idx="63">
                  <c:v>5</c:v>
                </c:pt>
              </c:numCache>
            </c:numRef>
          </c:val>
          <c:extLst>
            <c:ext xmlns:c16="http://schemas.microsoft.com/office/drawing/2014/chart" uri="{C3380CC4-5D6E-409C-BE32-E72D297353CC}">
              <c16:uniqueId val="{00000000-6C8C-4F12-B4E2-C2FC81068231}"/>
            </c:ext>
          </c:extLst>
        </c:ser>
        <c:dLbls>
          <c:showLegendKey val="0"/>
          <c:showVal val="1"/>
          <c:showCatName val="0"/>
          <c:showSerName val="0"/>
          <c:showPercent val="0"/>
          <c:showBubbleSize val="0"/>
        </c:dLbls>
        <c:gapWidth val="444"/>
        <c:overlap val="-90"/>
        <c:axId val="179354100"/>
        <c:axId val="261055369"/>
      </c:barChart>
      <c:catAx>
        <c:axId val="1793541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800" b="0" i="0" u="none" strike="noStrike" kern="1200" cap="all" spc="120" normalizeH="0" baseline="0">
                <a:solidFill>
                  <a:schemeClr val="tx1">
                    <a:lumMod val="65000"/>
                    <a:lumOff val="35000"/>
                  </a:schemeClr>
                </a:solidFill>
                <a:latin typeface="+mn-lt"/>
                <a:ea typeface="+mn-ea"/>
                <a:cs typeface="+mn-cs"/>
              </a:defRPr>
            </a:pPr>
            <a:endParaRPr lang="zh-CN"/>
          </a:p>
        </c:txPr>
        <c:crossAx val="261055369"/>
        <c:crosses val="autoZero"/>
        <c:auto val="1"/>
        <c:lblAlgn val="ctr"/>
        <c:lblOffset val="100"/>
        <c:noMultiLvlLbl val="0"/>
      </c:catAx>
      <c:valAx>
        <c:axId val="261055369"/>
        <c:scaling>
          <c:orientation val="minMax"/>
        </c:scaling>
        <c:delete val="1"/>
        <c:axPos val="l"/>
        <c:numFmt formatCode="General" sourceLinked="1"/>
        <c:majorTickMark val="none"/>
        <c:minorTickMark val="none"/>
        <c:tickLblPos val="nextTo"/>
        <c:crossAx val="1793541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[1]Sheet4!$B$146</c:f>
              <c:strCache>
                <c:ptCount val="1"/>
                <c:pt idx="0">
                  <c:v>数量</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3B-4578-8D90-BA2E4329E91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3B-4578-8D90-BA2E4329E91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3B-4578-8D90-BA2E4329E91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3B-4578-8D90-BA2E4329E910}"/>
              </c:ext>
            </c:extLst>
          </c:dPt>
          <c:dLbls>
            <c:dLbl>
              <c:idx val="0"/>
              <c:layout>
                <c:manualLayout>
                  <c:x val="0.15129367051600601"/>
                  <c:y val="5.9944060808907101E-2"/>
                </c:manualLayout>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zh-CN"/>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43B-4578-8D90-BA2E4329E910}"/>
                </c:ext>
              </c:extLst>
            </c:dLbl>
            <c:dLbl>
              <c:idx val="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endParaRPr lang="zh-CN"/>
                </a:p>
              </c:txPr>
              <c:dLblPos val="outEnd"/>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43B-4578-8D90-BA2E4329E910}"/>
                </c:ext>
              </c:extLst>
            </c:dLbl>
            <c:dLbl>
              <c:idx val="2"/>
              <c:layout>
                <c:manualLayout>
                  <c:x val="-0.116211080251425"/>
                  <c:y val="2.7978549778503101E-2"/>
                </c:manualLayout>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endParaRPr lang="zh-CN"/>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43B-4578-8D90-BA2E4329E910}"/>
                </c:ext>
              </c:extLst>
            </c:dLbl>
            <c:dLbl>
              <c:idx val="3"/>
              <c:layout>
                <c:manualLayout>
                  <c:x val="-9.4284461336061998E-2"/>
                  <c:y val="4.8786495909303701E-2"/>
                </c:manualLayout>
              </c:layout>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endParaRPr lang="zh-CN"/>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43B-4578-8D90-BA2E4329E910}"/>
                </c:ext>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endParaRPr lang="zh-CN"/>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[1]Sheet4!$A$147:$A$150</c:f>
              <c:strCache>
                <c:ptCount val="4"/>
                <c:pt idx="0">
                  <c:v>AMZ</c:v>
                </c:pt>
                <c:pt idx="1">
                  <c:v>FBA</c:v>
                </c:pt>
                <c:pt idx="2">
                  <c:v>FBM</c:v>
                </c:pt>
                <c:pt idx="3">
                  <c:v>空白</c:v>
                </c:pt>
              </c:strCache>
            </c:strRef>
          </c:cat>
          <c:val>
            <c:numRef>
              <c:f>[1]Sheet4!$B$147:$B$150</c:f>
              <c:numCache>
                <c:formatCode>General</c:formatCode>
                <c:ptCount val="4"/>
                <c:pt idx="0">
                  <c:v>5</c:v>
                </c:pt>
                <c:pt idx="1">
                  <c:v>83</c:v>
                </c:pt>
                <c:pt idx="2">
                  <c:v>16</c:v>
                </c:pt>
                <c:pt idx="3">
                  <c:v>3</c:v>
                </c:pt>
              </c:numCache>
            </c:numRef>
          </c:val>
          <c:extLst>
            <c:ext xmlns:c16="http://schemas.microsoft.com/office/drawing/2014/chart" uri="{C3380CC4-5D6E-409C-BE32-E72D297353CC}">
              <c16:uniqueId val="{00000008-343B-4578-8D90-BA2E4329E910}"/>
            </c:ext>
          </c:extLst>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image" Target="../media/image4.pn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xdr:colOff>
      <xdr:row>11</xdr:row>
      <xdr:rowOff>7620</xdr:rowOff>
    </xdr:from>
    <xdr:to>
      <xdr:col>6</xdr:col>
      <xdr:colOff>1299210</xdr:colOff>
      <xdr:row>16</xdr:row>
      <xdr:rowOff>514350</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stretch>
          <a:fillRect/>
        </a:stretch>
      </xdr:blipFill>
      <xdr:spPr>
        <a:xfrm>
          <a:off x="635" y="3474720"/>
          <a:ext cx="10729595" cy="3173730"/>
        </a:xfrm>
        <a:prstGeom prst="rect">
          <a:avLst/>
        </a:prstGeom>
        <a:noFill/>
        <a:ln w="9525">
          <a:noFill/>
        </a:ln>
      </xdr:spPr>
    </xdr:pic>
    <xdr:clientData/>
  </xdr:twoCellAnchor>
  <xdr:twoCellAnchor>
    <xdr:from>
      <xdr:col>0</xdr:col>
      <xdr:colOff>9525</xdr:colOff>
      <xdr:row>50</xdr:row>
      <xdr:rowOff>19050</xdr:rowOff>
    </xdr:from>
    <xdr:to>
      <xdr:col>3</xdr:col>
      <xdr:colOff>1275080</xdr:colOff>
      <xdr:row>58</xdr:row>
      <xdr:rowOff>492125</xdr:rowOff>
    </xdr:to>
    <xdr:pic>
      <xdr:nvPicPr>
        <xdr:cNvPr id="10" name="图片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stretch>
          <a:fillRect/>
        </a:stretch>
      </xdr:blipFill>
      <xdr:spPr>
        <a:xfrm>
          <a:off x="9525" y="15894050"/>
          <a:ext cx="6362065" cy="4740275"/>
        </a:xfrm>
        <a:prstGeom prst="rect">
          <a:avLst/>
        </a:prstGeom>
        <a:noFill/>
        <a:ln w="9525">
          <a:noFill/>
        </a:ln>
      </xdr:spPr>
    </xdr:pic>
    <xdr:clientData/>
  </xdr:twoCellAnchor>
  <xdr:twoCellAnchor>
    <xdr:from>
      <xdr:col>0</xdr:col>
      <xdr:colOff>9525</xdr:colOff>
      <xdr:row>125</xdr:row>
      <xdr:rowOff>54610</xdr:rowOff>
    </xdr:from>
    <xdr:to>
      <xdr:col>4</xdr:col>
      <xdr:colOff>1462405</xdr:colOff>
      <xdr:row>132</xdr:row>
      <xdr:rowOff>531495</xdr:rowOff>
    </xdr:to>
    <xdr:pic>
      <xdr:nvPicPr>
        <xdr:cNvPr id="11" name="图片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stretch>
          <a:fillRect/>
        </a:stretch>
      </xdr:blipFill>
      <xdr:spPr>
        <a:xfrm>
          <a:off x="9525" y="27143710"/>
          <a:ext cx="7854950" cy="4210685"/>
        </a:xfrm>
        <a:prstGeom prst="rect">
          <a:avLst/>
        </a:prstGeom>
        <a:noFill/>
        <a:ln w="9525">
          <a:noFill/>
        </a:ln>
      </xdr:spPr>
    </xdr:pic>
    <xdr:clientData/>
  </xdr:twoCellAnchor>
  <xdr:twoCellAnchor>
    <xdr:from>
      <xdr:col>2</xdr:col>
      <xdr:colOff>2098675</xdr:colOff>
      <xdr:row>60</xdr:row>
      <xdr:rowOff>0</xdr:rowOff>
    </xdr:from>
    <xdr:to>
      <xdr:col>8</xdr:col>
      <xdr:colOff>1478280</xdr:colOff>
      <xdr:row>81</xdr:row>
      <xdr:rowOff>216535</xdr:rowOff>
    </xdr:to>
    <xdr:graphicFrame macro="">
      <xdr:nvGraphicFramePr>
        <xdr:cNvPr id="12" name="图表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133</xdr:row>
      <xdr:rowOff>38100</xdr:rowOff>
    </xdr:from>
    <xdr:to>
      <xdr:col>4</xdr:col>
      <xdr:colOff>1516380</xdr:colOff>
      <xdr:row>143</xdr:row>
      <xdr:rowOff>497840</xdr:rowOff>
    </xdr:to>
    <xdr:pic>
      <xdr:nvPicPr>
        <xdr:cNvPr id="13" name="图片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5"/>
        <a:stretch>
          <a:fillRect/>
        </a:stretch>
      </xdr:blipFill>
      <xdr:spPr>
        <a:xfrm>
          <a:off x="9525" y="31394400"/>
          <a:ext cx="7908925" cy="5831840"/>
        </a:xfrm>
        <a:prstGeom prst="rect">
          <a:avLst/>
        </a:prstGeom>
        <a:noFill/>
        <a:ln w="9525">
          <a:noFill/>
        </a:ln>
      </xdr:spPr>
    </xdr:pic>
    <xdr:clientData/>
  </xdr:twoCellAnchor>
  <xdr:twoCellAnchor>
    <xdr:from>
      <xdr:col>2</xdr:col>
      <xdr:colOff>69850</xdr:colOff>
      <xdr:row>145</xdr:row>
      <xdr:rowOff>24130</xdr:rowOff>
    </xdr:from>
    <xdr:to>
      <xdr:col>3</xdr:col>
      <xdr:colOff>1250315</xdr:colOff>
      <xdr:row>150</xdr:row>
      <xdr:rowOff>0</xdr:rowOff>
    </xdr:to>
    <xdr:graphicFrame macro="">
      <xdr:nvGraphicFramePr>
        <xdr:cNvPr id="14" name="图表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685800</xdr:colOff>
      <xdr:row>173</xdr:row>
      <xdr:rowOff>76200</xdr:rowOff>
    </xdr:from>
    <xdr:to>
      <xdr:col>2</xdr:col>
      <xdr:colOff>1495425</xdr:colOff>
      <xdr:row>173</xdr:row>
      <xdr:rowOff>927735</xdr:rowOff>
    </xdr:to>
    <xdr:pic>
      <xdr:nvPicPr>
        <xdr:cNvPr id="15" name="图片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7"/>
        <a:stretch>
          <a:fillRect/>
        </a:stretch>
      </xdr:blipFill>
      <xdr:spPr>
        <a:xfrm>
          <a:off x="3676650" y="47414815"/>
          <a:ext cx="809625" cy="85153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ir%20fryer%20accessories&#24066;&#22330;&#35843;&#30740;&#27169;&#264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三页采集"/>
      <sheetName val="Sheet4"/>
    </sheetNames>
    <sheetDataSet>
      <sheetData sheetId="0"/>
      <sheetData sheetId="1">
        <row r="60">
          <cell r="B60" t="str">
            <v>销量</v>
          </cell>
        </row>
        <row r="61">
          <cell r="B61" t="str">
            <v>空白</v>
          </cell>
        </row>
        <row r="62">
          <cell r="A62" t="str">
            <v>GoWISE USA</v>
          </cell>
          <cell r="B62">
            <v>14590</v>
          </cell>
        </row>
        <row r="63">
          <cell r="A63" t="str">
            <v>Cozyna</v>
          </cell>
          <cell r="B63">
            <v>7121</v>
          </cell>
        </row>
        <row r="64">
          <cell r="A64" t="str">
            <v>Vancens</v>
          </cell>
          <cell r="B64">
            <v>5288</v>
          </cell>
        </row>
        <row r="65">
          <cell r="A65" t="str">
            <v>Misto</v>
          </cell>
          <cell r="B65">
            <v>5072</v>
          </cell>
        </row>
        <row r="66">
          <cell r="A66" t="str">
            <v>Besego</v>
          </cell>
          <cell r="B66">
            <v>3659</v>
          </cell>
        </row>
        <row r="67">
          <cell r="A67" t="str">
            <v>Philips</v>
          </cell>
          <cell r="B67">
            <v>2782</v>
          </cell>
        </row>
        <row r="68">
          <cell r="A68" t="str">
            <v>Power AirFryer XL</v>
          </cell>
          <cell r="B68">
            <v>2754</v>
          </cell>
        </row>
        <row r="69">
          <cell r="A69" t="str">
            <v>DEMEDO</v>
          </cell>
          <cell r="B69">
            <v>2458</v>
          </cell>
        </row>
        <row r="70">
          <cell r="A70" t="str">
            <v>NUMARDA</v>
          </cell>
          <cell r="B70">
            <v>2019</v>
          </cell>
        </row>
        <row r="71">
          <cell r="A71" t="str">
            <v>INFRAOVENS</v>
          </cell>
          <cell r="B71">
            <v>1737</v>
          </cell>
        </row>
        <row r="72">
          <cell r="A72" t="str">
            <v>YEDI HOUSEWARE</v>
          </cell>
          <cell r="B72">
            <v>1714</v>
          </cell>
        </row>
        <row r="73">
          <cell r="A73" t="str">
            <v>KINDEN</v>
          </cell>
          <cell r="B73">
            <v>1585</v>
          </cell>
        </row>
        <row r="74">
          <cell r="A74" t="str">
            <v>Best Choice Products</v>
          </cell>
          <cell r="B74">
            <v>1317</v>
          </cell>
        </row>
        <row r="75">
          <cell r="A75" t="str">
            <v>LATTCURE</v>
          </cell>
          <cell r="B75">
            <v>1018</v>
          </cell>
        </row>
        <row r="76">
          <cell r="A76" t="str">
            <v>LeanKing</v>
          </cell>
          <cell r="B76">
            <v>702</v>
          </cell>
        </row>
        <row r="77">
          <cell r="A77" t="str">
            <v>Bellagione</v>
          </cell>
          <cell r="B77">
            <v>673</v>
          </cell>
        </row>
        <row r="78">
          <cell r="A78" t="str">
            <v>Philips Kitchen</v>
          </cell>
          <cell r="B78">
            <v>574</v>
          </cell>
        </row>
        <row r="79">
          <cell r="A79" t="str">
            <v>US PIEDLE</v>
          </cell>
          <cell r="B79">
            <v>573</v>
          </cell>
        </row>
        <row r="80">
          <cell r="A80" t="str">
            <v>RJUN</v>
          </cell>
          <cell r="B80">
            <v>528</v>
          </cell>
        </row>
        <row r="81">
          <cell r="A81" t="str">
            <v>COSORI</v>
          </cell>
          <cell r="B81">
            <v>504</v>
          </cell>
        </row>
        <row r="82">
          <cell r="A82" t="str">
            <v>T&amp;B</v>
          </cell>
          <cell r="B82">
            <v>411</v>
          </cell>
        </row>
        <row r="83">
          <cell r="A83" t="str">
            <v>aayu</v>
          </cell>
          <cell r="B83">
            <v>356</v>
          </cell>
        </row>
        <row r="84">
          <cell r="A84" t="str">
            <v>Avalon Bay</v>
          </cell>
          <cell r="B84">
            <v>349</v>
          </cell>
        </row>
        <row r="85">
          <cell r="A85" t="str">
            <v>Simple Living Products</v>
          </cell>
          <cell r="B85">
            <v>324</v>
          </cell>
        </row>
        <row r="86">
          <cell r="A86" t="str">
            <v>SIMPLETASTE</v>
          </cell>
          <cell r="B86">
            <v>237</v>
          </cell>
        </row>
        <row r="87">
          <cell r="A87" t="str">
            <v>Apluskis</v>
          </cell>
          <cell r="B87">
            <v>221</v>
          </cell>
        </row>
        <row r="88">
          <cell r="A88" t="str">
            <v>MASGALACC</v>
          </cell>
          <cell r="B88">
            <v>216</v>
          </cell>
        </row>
        <row r="89">
          <cell r="A89" t="str">
            <v>YONGFENG</v>
          </cell>
          <cell r="B89">
            <v>210</v>
          </cell>
        </row>
        <row r="90">
          <cell r="A90" t="str">
            <v>HomeMarvel</v>
          </cell>
          <cell r="B90">
            <v>207</v>
          </cell>
        </row>
        <row r="91">
          <cell r="A91" t="str">
            <v>CAXXA</v>
          </cell>
          <cell r="B91">
            <v>204</v>
          </cell>
        </row>
        <row r="92">
          <cell r="A92" t="str">
            <v>amzdeal</v>
          </cell>
          <cell r="B92">
            <v>140</v>
          </cell>
        </row>
        <row r="93">
          <cell r="A93" t="str">
            <v>YooGui</v>
          </cell>
          <cell r="B93">
            <v>135</v>
          </cell>
        </row>
        <row r="94">
          <cell r="A94" t="str">
            <v>Air Fryer Accessories XIAN</v>
          </cell>
          <cell r="B94">
            <v>120</v>
          </cell>
        </row>
        <row r="95">
          <cell r="A95" t="str">
            <v>Sonyabecca</v>
          </cell>
          <cell r="B95">
            <v>115</v>
          </cell>
        </row>
        <row r="96">
          <cell r="A96" t="str">
            <v>StillCool</v>
          </cell>
          <cell r="B96">
            <v>114</v>
          </cell>
        </row>
        <row r="97">
          <cell r="A97" t="str">
            <v>MFW</v>
          </cell>
          <cell r="B97">
            <v>103</v>
          </cell>
        </row>
        <row r="98">
          <cell r="A98" t="str">
            <v>Holica</v>
          </cell>
          <cell r="B98">
            <v>101</v>
          </cell>
        </row>
        <row r="99">
          <cell r="A99" t="str">
            <v>kaviatek</v>
          </cell>
          <cell r="B99">
            <v>98</v>
          </cell>
        </row>
        <row r="100">
          <cell r="A100" t="str">
            <v>HOMENOTE</v>
          </cell>
          <cell r="B100">
            <v>98</v>
          </cell>
        </row>
        <row r="101">
          <cell r="A101" t="str">
            <v>Gelinzon</v>
          </cell>
          <cell r="B101">
            <v>98</v>
          </cell>
        </row>
        <row r="102">
          <cell r="A102" t="str">
            <v>Anver</v>
          </cell>
          <cell r="B102">
            <v>96</v>
          </cell>
        </row>
        <row r="103">
          <cell r="A103" t="str">
            <v>Greensen</v>
          </cell>
          <cell r="B103">
            <v>93</v>
          </cell>
        </row>
        <row r="104">
          <cell r="A104" t="str">
            <v>GraceFINE</v>
          </cell>
          <cell r="B104">
            <v>84</v>
          </cell>
        </row>
        <row r="105">
          <cell r="A105" t="str">
            <v>Mecete</v>
          </cell>
          <cell r="B105">
            <v>81</v>
          </cell>
        </row>
        <row r="106">
          <cell r="A106" t="str">
            <v>Findingdream</v>
          </cell>
          <cell r="B106">
            <v>81</v>
          </cell>
        </row>
        <row r="107">
          <cell r="A107" t="str">
            <v>YOEDAF</v>
          </cell>
          <cell r="B107">
            <v>79</v>
          </cell>
        </row>
        <row r="108">
          <cell r="A108" t="str">
            <v>Yetaha</v>
          </cell>
          <cell r="B108">
            <v>79</v>
          </cell>
        </row>
        <row r="109">
          <cell r="A109" t="str">
            <v>WYCY</v>
          </cell>
          <cell r="B109">
            <v>60</v>
          </cell>
        </row>
        <row r="110">
          <cell r="A110" t="str">
            <v>BeFound</v>
          </cell>
          <cell r="B110">
            <v>54</v>
          </cell>
        </row>
        <row r="111">
          <cell r="A111" t="str">
            <v>3hproducts</v>
          </cell>
          <cell r="B111">
            <v>49</v>
          </cell>
        </row>
        <row r="112">
          <cell r="A112" t="str">
            <v>Copper Chef</v>
          </cell>
          <cell r="B112">
            <v>48</v>
          </cell>
        </row>
        <row r="113">
          <cell r="A113" t="str">
            <v>MySit</v>
          </cell>
          <cell r="B113">
            <v>47</v>
          </cell>
        </row>
        <row r="114">
          <cell r="A114" t="str">
            <v>uyoyous</v>
          </cell>
          <cell r="B114">
            <v>40</v>
          </cell>
        </row>
        <row r="115">
          <cell r="A115" t="str">
            <v>NuWave</v>
          </cell>
          <cell r="B115">
            <v>35</v>
          </cell>
        </row>
        <row r="116">
          <cell r="A116" t="str">
            <v>Qisheng</v>
          </cell>
          <cell r="B116">
            <v>30</v>
          </cell>
        </row>
        <row r="117">
          <cell r="A117" t="str">
            <v>Hiware</v>
          </cell>
          <cell r="B117">
            <v>30</v>
          </cell>
        </row>
        <row r="118">
          <cell r="A118" t="str">
            <v>Haofy</v>
          </cell>
          <cell r="B118">
            <v>30</v>
          </cell>
        </row>
        <row r="119">
          <cell r="A119" t="str">
            <v>CMJLBM</v>
          </cell>
          <cell r="B119">
            <v>30</v>
          </cell>
        </row>
        <row r="120">
          <cell r="A120" t="str">
            <v>EBIGIC</v>
          </cell>
          <cell r="B120">
            <v>26</v>
          </cell>
        </row>
        <row r="121">
          <cell r="A121" t="str">
            <v>BESTEK</v>
          </cell>
          <cell r="B121">
            <v>18</v>
          </cell>
        </row>
        <row r="122">
          <cell r="A122" t="str">
            <v>Ruyiot</v>
          </cell>
          <cell r="B122">
            <v>17</v>
          </cell>
        </row>
        <row r="123">
          <cell r="A123" t="str">
            <v>markkee</v>
          </cell>
          <cell r="B123">
            <v>17</v>
          </cell>
        </row>
        <row r="124">
          <cell r="A124" t="str">
            <v>Fdit</v>
          </cell>
          <cell r="B124">
            <v>15</v>
          </cell>
        </row>
        <row r="125">
          <cell r="A125" t="str">
            <v>Molla</v>
          </cell>
          <cell r="B125">
            <v>5</v>
          </cell>
        </row>
        <row r="146">
          <cell r="B146" t="str">
            <v>数量</v>
          </cell>
        </row>
        <row r="147">
          <cell r="A147" t="str">
            <v>AMZ</v>
          </cell>
          <cell r="B147">
            <v>5</v>
          </cell>
        </row>
        <row r="148">
          <cell r="A148" t="str">
            <v>FBA</v>
          </cell>
          <cell r="B148">
            <v>83</v>
          </cell>
        </row>
        <row r="149">
          <cell r="A149" t="str">
            <v>FBM</v>
          </cell>
          <cell r="B149">
            <v>16</v>
          </cell>
        </row>
        <row r="150">
          <cell r="A150" t="str">
            <v>空白</v>
          </cell>
          <cell r="B150">
            <v>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tail.1688.com/offer/550511048469.html?spm=b26110380.sw1688.mof001.1.398c4b50DpRCR7&amp;tracelog=p4p&amp;clickid=cda72ce8346447c189255fbaba9c8a03&amp;sessionid=7304307e3027902c2aa6fc1aec880648" TargetMode="External"/><Relationship Id="rId13" Type="http://schemas.openxmlformats.org/officeDocument/2006/relationships/hyperlink" Target="https://detail.1688.com/offer/568524179620.html?spm=b26110380.8015204.tkhy006.2.5b2261efPFEtDy" TargetMode="External"/><Relationship Id="rId18" Type="http://schemas.openxmlformats.org/officeDocument/2006/relationships/comments" Target="../comments1.xml"/><Relationship Id="rId3" Type="http://schemas.openxmlformats.org/officeDocument/2006/relationships/hyperlink" Target="https://detail.1688.com/offer/584023596064.html?spm=b26110380.sw1688.mof001.39.372751aaeHMtzr" TargetMode="External"/><Relationship Id="rId7" Type="http://schemas.openxmlformats.org/officeDocument/2006/relationships/hyperlink" Target="https://detail.1688.com/offer/44037036442.html?spm=b26110380.sw1688.mof001.10.416d57e8N7d5S0" TargetMode="External"/><Relationship Id="rId12" Type="http://schemas.openxmlformats.org/officeDocument/2006/relationships/hyperlink" Target="https://detail.1688.com/offer/565591796333.html?spm=b26110380.sw1688.mof001.32.b0ec6461fX1LJN" TargetMode="External"/><Relationship Id="rId17" Type="http://schemas.openxmlformats.org/officeDocument/2006/relationships/vmlDrawing" Target="../drawings/vmlDrawing1.vml"/><Relationship Id="rId2" Type="http://schemas.openxmlformats.org/officeDocument/2006/relationships/hyperlink" Target="https://detail.1688.com/offer/539688634306.html?spm=b26110380.sw1688.mof001.1.6a02176eywefcS" TargetMode="External"/><Relationship Id="rId16" Type="http://schemas.openxmlformats.org/officeDocument/2006/relationships/drawing" Target="../drawings/drawing1.xml"/><Relationship Id="rId1" Type="http://schemas.openxmlformats.org/officeDocument/2006/relationships/hyperlink" Target="https://detail.1688.com/offer/568524179620.html?spm=b26110380.sw1688.mof001.17.34f464ddRjTB3G" TargetMode="External"/><Relationship Id="rId6" Type="http://schemas.openxmlformats.org/officeDocument/2006/relationships/hyperlink" Target="https://detail.1688.com/offer/576680358538.html?spm=b26110380.sw1688.mof001.25.76de26feYU1TwB" TargetMode="External"/><Relationship Id="rId11" Type="http://schemas.openxmlformats.org/officeDocument/2006/relationships/hyperlink" Target="https://detail.1688.com/offer/41847587749.html?spm=b26110380.sw1688.mof001.104.4643c846kO8XhE" TargetMode="External"/><Relationship Id="rId5" Type="http://schemas.openxmlformats.org/officeDocument/2006/relationships/hyperlink" Target="https://detail.1688.com/offer/544002363245.html?spm=b26110380.sw1688.mof001.32.76de26feYU1TwB" TargetMode="External"/><Relationship Id="rId15" Type="http://schemas.openxmlformats.org/officeDocument/2006/relationships/hyperlink" Target="https://detail.1688.com/offer/569075401491.html?spm=b26110380.sw1688.mof001.17.14417a28mgzQV3" TargetMode="External"/><Relationship Id="rId10" Type="http://schemas.openxmlformats.org/officeDocument/2006/relationships/hyperlink" Target="https://detail.1688.com/offer/562210973912.html?spm=b26110380.sw1688.mof001.23.76c46cafV2sQm1" TargetMode="External"/><Relationship Id="rId4" Type="http://schemas.openxmlformats.org/officeDocument/2006/relationships/hyperlink" Target="https://detail.1688.com/offer/568436294565.html?spm=a261y.7663282.1998411376.2.1a292013NjxUwi&amp;scm=1007.19151.114112.0" TargetMode="External"/><Relationship Id="rId9" Type="http://schemas.openxmlformats.org/officeDocument/2006/relationships/hyperlink" Target="https://detail.1688.com/offer/536833195871.html?spm=b26110380.sw1688.mof001.1.735e2a55OiXiEL" TargetMode="External"/><Relationship Id="rId14" Type="http://schemas.openxmlformats.org/officeDocument/2006/relationships/hyperlink" Target="https://detail.1688.com/offer/583917889723.html?spm=b26110380.sw1688.mof001.13.2ba04919T6YVQ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C5" sqref="C5"/>
    </sheetView>
  </sheetViews>
  <sheetFormatPr defaultColWidth="9" defaultRowHeight="14.25"/>
  <cols>
    <col min="1" max="5" width="31.375" customWidth="1"/>
    <col min="6" max="6" width="22.125" customWidth="1"/>
    <col min="7" max="7" width="25.625" customWidth="1"/>
  </cols>
  <sheetData>
    <row r="1" spans="1:7" ht="42" customHeight="1">
      <c r="A1" s="90" t="s">
        <v>0</v>
      </c>
      <c r="B1" s="90"/>
      <c r="C1" s="90"/>
      <c r="D1" s="90"/>
      <c r="E1" s="90"/>
      <c r="F1" s="87"/>
      <c r="G1" s="87"/>
    </row>
    <row r="2" spans="1:7" ht="33.950000000000003" customHeight="1">
      <c r="A2" s="91" t="s">
        <v>1</v>
      </c>
      <c r="B2" s="92"/>
      <c r="C2" s="92"/>
      <c r="D2" s="92"/>
      <c r="E2" s="93"/>
      <c r="F2" s="88"/>
      <c r="G2" s="88"/>
    </row>
    <row r="3" spans="1:7" ht="33.950000000000003" customHeight="1">
      <c r="A3" s="89" t="s">
        <v>2</v>
      </c>
      <c r="B3" s="89" t="s">
        <v>3</v>
      </c>
      <c r="C3" s="89" t="s">
        <v>4</v>
      </c>
      <c r="D3" s="89" t="s">
        <v>5</v>
      </c>
      <c r="E3" s="89" t="s">
        <v>6</v>
      </c>
      <c r="F3" s="30" t="s">
        <v>7</v>
      </c>
      <c r="G3" s="30" t="s">
        <v>8</v>
      </c>
    </row>
    <row r="4" spans="1:7" ht="119.1" customHeight="1">
      <c r="A4" s="89" t="s">
        <v>9</v>
      </c>
      <c r="B4" s="30" t="s">
        <v>10</v>
      </c>
      <c r="C4" s="30">
        <v>35</v>
      </c>
      <c r="D4" s="30" t="s">
        <v>11</v>
      </c>
      <c r="E4" s="30" t="s">
        <v>12</v>
      </c>
      <c r="F4" s="30" t="s">
        <v>13</v>
      </c>
      <c r="G4" s="30" t="s">
        <v>14</v>
      </c>
    </row>
    <row r="5" spans="1:7" ht="111" customHeight="1">
      <c r="A5" s="89" t="s">
        <v>15</v>
      </c>
      <c r="B5" s="30" t="s">
        <v>16</v>
      </c>
      <c r="C5" s="30">
        <v>40</v>
      </c>
      <c r="D5" s="30" t="s">
        <v>17</v>
      </c>
      <c r="E5" s="30" t="s">
        <v>18</v>
      </c>
      <c r="F5" s="30" t="s">
        <v>19</v>
      </c>
      <c r="G5" s="30" t="s">
        <v>20</v>
      </c>
    </row>
    <row r="6" spans="1:7" ht="111" customHeight="1">
      <c r="A6" s="89" t="s">
        <v>21</v>
      </c>
      <c r="B6" s="30" t="s">
        <v>22</v>
      </c>
      <c r="C6" s="30">
        <v>25</v>
      </c>
      <c r="D6" s="30" t="s">
        <v>23</v>
      </c>
      <c r="E6" s="30" t="s">
        <v>24</v>
      </c>
      <c r="F6" s="30" t="s">
        <v>25</v>
      </c>
      <c r="G6" s="30"/>
    </row>
  </sheetData>
  <mergeCells count="2">
    <mergeCell ref="A1:E1"/>
    <mergeCell ref="A2:E2"/>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89"/>
  <sheetViews>
    <sheetView workbookViewId="0">
      <selection activeCell="C44" sqref="C44:I44"/>
    </sheetView>
  </sheetViews>
  <sheetFormatPr defaultColWidth="17.125" defaultRowHeight="42" customHeight="1"/>
  <cols>
    <col min="1" max="1" width="16.5" style="31" customWidth="1"/>
    <col min="2" max="2" width="22.75" style="31" customWidth="1"/>
    <col min="3" max="3" width="27.625" style="37" customWidth="1"/>
    <col min="4" max="4" width="17.125" style="31" customWidth="1"/>
    <col min="5" max="5" width="20.5" style="31" customWidth="1"/>
    <col min="6" max="6" width="19.25" style="31" customWidth="1"/>
    <col min="7" max="7" width="17.125" style="31" customWidth="1"/>
    <col min="8" max="9" width="19.5" style="31" customWidth="1"/>
    <col min="10" max="11" width="17.125" style="31" customWidth="1"/>
    <col min="12" max="12" width="11.125" style="31" customWidth="1"/>
    <col min="13" max="13" width="10.125" style="31" customWidth="1"/>
    <col min="14" max="14" width="11.125" style="31" customWidth="1"/>
    <col min="15" max="15" width="8" style="31" customWidth="1"/>
    <col min="16" max="16" width="9" style="31" customWidth="1"/>
    <col min="17" max="17" width="13" style="31" customWidth="1"/>
    <col min="18" max="18" width="8.75" style="31" customWidth="1"/>
    <col min="19" max="24" width="8.25" style="31" customWidth="1"/>
    <col min="25" max="25" width="17.125" style="31" customWidth="1"/>
    <col min="26" max="16384" width="17.125" style="31"/>
  </cols>
  <sheetData>
    <row r="1" spans="1:7" ht="24" customHeight="1">
      <c r="A1" s="94" t="s">
        <v>26</v>
      </c>
      <c r="B1" s="94"/>
      <c r="C1" s="31"/>
    </row>
    <row r="2" spans="1:7" ht="29.1" customHeight="1">
      <c r="A2" s="38" t="s">
        <v>27</v>
      </c>
      <c r="B2" s="38" t="s">
        <v>28</v>
      </c>
      <c r="C2" s="38" t="s">
        <v>29</v>
      </c>
      <c r="D2" s="38" t="s">
        <v>30</v>
      </c>
      <c r="E2" s="38" t="s">
        <v>31</v>
      </c>
      <c r="F2" s="38" t="s">
        <v>32</v>
      </c>
      <c r="G2" s="38" t="s">
        <v>33</v>
      </c>
    </row>
    <row r="3" spans="1:7" ht="18.95" customHeight="1">
      <c r="A3" s="105" t="s">
        <v>34</v>
      </c>
      <c r="B3" s="105" t="s">
        <v>35</v>
      </c>
      <c r="C3" s="40" t="s">
        <v>35</v>
      </c>
      <c r="D3" s="41">
        <v>486600</v>
      </c>
      <c r="E3" s="39">
        <v>773</v>
      </c>
      <c r="F3" s="39">
        <v>13768</v>
      </c>
      <c r="G3" s="42">
        <f t="shared" ref="G3:G6" si="0">D3/E3/30</f>
        <v>20.983182406209572</v>
      </c>
    </row>
    <row r="4" spans="1:7" ht="18.95" customHeight="1">
      <c r="A4" s="105"/>
      <c r="B4" s="105"/>
      <c r="C4" s="40" t="s">
        <v>36</v>
      </c>
      <c r="D4" s="41">
        <v>40000</v>
      </c>
      <c r="E4" s="39">
        <v>236</v>
      </c>
      <c r="F4" s="39">
        <v>8853</v>
      </c>
      <c r="G4" s="42">
        <f t="shared" si="0"/>
        <v>5.6497175141242932</v>
      </c>
    </row>
    <row r="5" spans="1:7" ht="18.95" customHeight="1">
      <c r="A5" s="105"/>
      <c r="B5" s="105"/>
      <c r="C5" s="40" t="s">
        <v>37</v>
      </c>
      <c r="D5" s="41">
        <v>27700</v>
      </c>
      <c r="E5" s="39">
        <v>228</v>
      </c>
      <c r="F5" s="39">
        <v>7882</v>
      </c>
      <c r="G5" s="42">
        <f t="shared" si="0"/>
        <v>4.0497076023391809</v>
      </c>
    </row>
    <row r="6" spans="1:7" ht="18.95" customHeight="1">
      <c r="A6" s="105"/>
      <c r="B6" s="105"/>
      <c r="C6" s="40" t="s">
        <v>38</v>
      </c>
      <c r="D6" s="41">
        <v>23900</v>
      </c>
      <c r="E6" s="39">
        <v>205</v>
      </c>
      <c r="F6" s="39">
        <v>15229</v>
      </c>
      <c r="G6" s="42">
        <f t="shared" si="0"/>
        <v>3.8861788617886175</v>
      </c>
    </row>
    <row r="7" spans="1:7" ht="24" customHeight="1">
      <c r="A7" s="95" t="s">
        <v>39</v>
      </c>
      <c r="B7" s="95"/>
      <c r="C7" s="95"/>
      <c r="D7" s="95"/>
      <c r="E7" s="95"/>
      <c r="F7" s="95"/>
      <c r="G7" s="95"/>
    </row>
    <row r="8" spans="1:7" ht="42" customHeight="1">
      <c r="A8" s="38" t="s">
        <v>40</v>
      </c>
      <c r="B8" s="96" t="s">
        <v>41</v>
      </c>
      <c r="C8" s="97"/>
      <c r="D8" s="96"/>
      <c r="E8" s="96"/>
      <c r="F8" s="96"/>
      <c r="G8" s="96"/>
    </row>
    <row r="9" spans="1:7" ht="30" customHeight="1"/>
    <row r="10" spans="1:7" ht="27" customHeight="1">
      <c r="A10" s="94" t="s">
        <v>42</v>
      </c>
      <c r="B10" s="94"/>
    </row>
    <row r="11" spans="1:7" ht="21" customHeight="1">
      <c r="A11" s="31" t="s">
        <v>43</v>
      </c>
      <c r="B11" s="31" t="s">
        <v>44</v>
      </c>
    </row>
    <row r="18" spans="1:9" ht="42" customHeight="1">
      <c r="A18" s="98" t="s">
        <v>45</v>
      </c>
      <c r="B18" s="98"/>
      <c r="C18" s="98"/>
      <c r="D18" s="98"/>
      <c r="E18" s="98"/>
      <c r="F18" s="98"/>
      <c r="G18" s="98"/>
    </row>
    <row r="19" spans="1:9" ht="24" customHeight="1"/>
    <row r="20" spans="1:9" ht="27" customHeight="1">
      <c r="A20" s="94" t="s">
        <v>46</v>
      </c>
      <c r="B20" s="94"/>
      <c r="C20" s="44"/>
      <c r="D20" s="44"/>
      <c r="E20" s="44"/>
      <c r="F20" s="44"/>
      <c r="G20" s="44"/>
    </row>
    <row r="21" spans="1:9" ht="26.1" customHeight="1">
      <c r="A21" s="99" t="s">
        <v>47</v>
      </c>
      <c r="B21" s="99"/>
      <c r="C21" s="99"/>
      <c r="D21" s="99"/>
      <c r="E21" s="99"/>
      <c r="F21" s="99"/>
      <c r="G21" s="99"/>
      <c r="H21" s="99"/>
      <c r="I21" s="99"/>
    </row>
    <row r="22" spans="1:9" ht="23.1" customHeight="1">
      <c r="A22" s="39" t="s">
        <v>29</v>
      </c>
      <c r="B22" s="39" t="s">
        <v>48</v>
      </c>
      <c r="C22" s="39" t="s">
        <v>49</v>
      </c>
      <c r="D22" s="39" t="s">
        <v>50</v>
      </c>
      <c r="E22" s="39" t="s">
        <v>51</v>
      </c>
      <c r="F22" s="39" t="s">
        <v>52</v>
      </c>
      <c r="G22" s="39" t="s">
        <v>53</v>
      </c>
      <c r="H22" s="39" t="s">
        <v>54</v>
      </c>
      <c r="I22" s="39" t="s">
        <v>55</v>
      </c>
    </row>
    <row r="23" spans="1:9" ht="18" customHeight="1">
      <c r="A23" s="109" t="s">
        <v>56</v>
      </c>
      <c r="B23" s="39" t="s">
        <v>57</v>
      </c>
      <c r="C23" s="39">
        <v>13768</v>
      </c>
      <c r="D23" s="45">
        <v>28</v>
      </c>
      <c r="E23" s="39">
        <v>50</v>
      </c>
      <c r="F23" s="39">
        <v>3.3</v>
      </c>
      <c r="G23" s="46" t="s">
        <v>58</v>
      </c>
      <c r="H23" s="119">
        <v>10574</v>
      </c>
      <c r="I23" s="119">
        <v>352</v>
      </c>
    </row>
    <row r="24" spans="1:9" ht="18" customHeight="1">
      <c r="A24" s="110"/>
      <c r="B24" s="39" t="s">
        <v>59</v>
      </c>
      <c r="C24" s="39">
        <v>10698</v>
      </c>
      <c r="D24" s="45">
        <v>28</v>
      </c>
      <c r="E24" s="39">
        <v>47</v>
      </c>
      <c r="F24" s="39">
        <v>3.1</v>
      </c>
      <c r="G24" s="47" t="s">
        <v>60</v>
      </c>
      <c r="H24" s="120"/>
      <c r="I24" s="120"/>
    </row>
    <row r="25" spans="1:9" ht="18" customHeight="1">
      <c r="A25" s="111"/>
      <c r="B25" s="39" t="s">
        <v>61</v>
      </c>
      <c r="C25" s="39">
        <v>7256</v>
      </c>
      <c r="D25" s="45">
        <v>25</v>
      </c>
      <c r="E25" s="39">
        <v>18</v>
      </c>
      <c r="F25" s="39">
        <v>3.9</v>
      </c>
      <c r="G25" s="46" t="s">
        <v>62</v>
      </c>
      <c r="H25" s="121"/>
      <c r="I25" s="121"/>
    </row>
    <row r="26" spans="1:9" ht="18" customHeight="1">
      <c r="A26" s="48"/>
      <c r="B26" s="37"/>
      <c r="D26" s="49"/>
      <c r="E26" s="37"/>
      <c r="F26" s="37"/>
      <c r="G26" s="50"/>
      <c r="H26" s="37"/>
      <c r="I26" s="37"/>
    </row>
    <row r="27" spans="1:9" ht="26.1" customHeight="1">
      <c r="A27" s="39" t="s">
        <v>29</v>
      </c>
      <c r="B27" s="39" t="s">
        <v>48</v>
      </c>
      <c r="C27" s="39" t="s">
        <v>63</v>
      </c>
      <c r="D27" s="45" t="s">
        <v>50</v>
      </c>
      <c r="E27" s="39" t="s">
        <v>51</v>
      </c>
      <c r="F27" s="39" t="s">
        <v>52</v>
      </c>
      <c r="G27" s="39" t="s">
        <v>53</v>
      </c>
      <c r="H27" s="39" t="s">
        <v>54</v>
      </c>
      <c r="I27" s="39" t="s">
        <v>55</v>
      </c>
    </row>
    <row r="28" spans="1:9" ht="18" customHeight="1">
      <c r="A28" s="109" t="s">
        <v>36</v>
      </c>
      <c r="B28" s="39" t="s">
        <v>57</v>
      </c>
      <c r="C28" s="39">
        <v>8853</v>
      </c>
      <c r="D28" s="45">
        <v>29.11</v>
      </c>
      <c r="E28" s="39">
        <v>44</v>
      </c>
      <c r="F28" s="39">
        <v>3.1</v>
      </c>
      <c r="G28" s="46" t="s">
        <v>64</v>
      </c>
      <c r="H28" s="119">
        <v>8946</v>
      </c>
      <c r="I28" s="123">
        <f>H28/30</f>
        <v>298.2</v>
      </c>
    </row>
    <row r="29" spans="1:9" ht="18" customHeight="1">
      <c r="A29" s="110"/>
      <c r="B29" s="39" t="s">
        <v>59</v>
      </c>
      <c r="C29" s="39">
        <v>10048</v>
      </c>
      <c r="D29" s="45">
        <v>28</v>
      </c>
      <c r="E29" s="39">
        <v>55</v>
      </c>
      <c r="F29" s="39">
        <v>3.45</v>
      </c>
      <c r="G29" s="46" t="s">
        <v>65</v>
      </c>
      <c r="H29" s="120"/>
      <c r="I29" s="124"/>
    </row>
    <row r="30" spans="1:9" ht="18" customHeight="1">
      <c r="A30" s="111"/>
      <c r="B30" s="39" t="s">
        <v>61</v>
      </c>
      <c r="C30" s="39">
        <v>7939</v>
      </c>
      <c r="D30" s="45">
        <v>28</v>
      </c>
      <c r="E30" s="39">
        <v>29</v>
      </c>
      <c r="F30" s="39">
        <v>2.7</v>
      </c>
      <c r="G30" s="46" t="s">
        <v>66</v>
      </c>
      <c r="H30" s="121"/>
      <c r="I30" s="125"/>
    </row>
    <row r="31" spans="1:9" ht="18" customHeight="1">
      <c r="A31" s="48"/>
      <c r="B31" s="37"/>
      <c r="C31" s="37">
        <f>SUM(C28:C30)</f>
        <v>26840</v>
      </c>
      <c r="D31" s="49"/>
      <c r="E31" s="37"/>
      <c r="F31" s="37"/>
      <c r="G31" s="50"/>
      <c r="H31" s="37"/>
      <c r="I31" s="37"/>
    </row>
    <row r="32" spans="1:9" ht="29.1" customHeight="1">
      <c r="A32" s="39" t="s">
        <v>29</v>
      </c>
      <c r="B32" s="39" t="s">
        <v>48</v>
      </c>
      <c r="C32" s="39" t="s">
        <v>63</v>
      </c>
      <c r="D32" s="45" t="s">
        <v>50</v>
      </c>
      <c r="E32" s="39" t="s">
        <v>51</v>
      </c>
      <c r="F32" s="39" t="s">
        <v>52</v>
      </c>
      <c r="G32" s="39" t="s">
        <v>53</v>
      </c>
      <c r="H32" s="39" t="s">
        <v>54</v>
      </c>
      <c r="I32" s="39" t="s">
        <v>55</v>
      </c>
    </row>
    <row r="33" spans="1:9" ht="18" customHeight="1">
      <c r="A33" s="109" t="s">
        <v>37</v>
      </c>
      <c r="B33" s="39" t="s">
        <v>57</v>
      </c>
      <c r="C33" s="39">
        <v>7882</v>
      </c>
      <c r="D33" s="45">
        <v>28</v>
      </c>
      <c r="E33" s="39">
        <v>52</v>
      </c>
      <c r="F33" s="39">
        <v>4.3</v>
      </c>
      <c r="G33" s="46" t="s">
        <v>67</v>
      </c>
      <c r="H33" s="119">
        <v>5530</v>
      </c>
      <c r="I33" s="123">
        <f>H33/30</f>
        <v>184.33333333333334</v>
      </c>
    </row>
    <row r="34" spans="1:9" ht="18" customHeight="1">
      <c r="A34" s="110"/>
      <c r="B34" s="39" t="s">
        <v>59</v>
      </c>
      <c r="C34" s="39">
        <v>2976</v>
      </c>
      <c r="D34" s="45">
        <v>41</v>
      </c>
      <c r="E34" s="39">
        <v>28</v>
      </c>
      <c r="F34" s="39">
        <v>2.6</v>
      </c>
      <c r="G34" s="46" t="s">
        <v>68</v>
      </c>
      <c r="H34" s="120"/>
      <c r="I34" s="124"/>
    </row>
    <row r="35" spans="1:9" ht="18" customHeight="1">
      <c r="A35" s="111"/>
      <c r="B35" s="39" t="s">
        <v>61</v>
      </c>
      <c r="C35" s="39">
        <v>5732</v>
      </c>
      <c r="D35" s="45">
        <v>42</v>
      </c>
      <c r="E35" s="39">
        <v>30</v>
      </c>
      <c r="F35" s="39">
        <v>2.2999999999999998</v>
      </c>
      <c r="G35" s="46" t="s">
        <v>69</v>
      </c>
      <c r="H35" s="121"/>
      <c r="I35" s="125"/>
    </row>
    <row r="36" spans="1:9" ht="18" customHeight="1">
      <c r="A36" s="48"/>
      <c r="B36" s="37"/>
      <c r="C36" s="37">
        <f>SUM(C33:C35)</f>
        <v>16590</v>
      </c>
      <c r="D36" s="49"/>
      <c r="E36" s="37"/>
      <c r="F36" s="37"/>
      <c r="G36" s="50"/>
      <c r="H36" s="37"/>
      <c r="I36" s="37"/>
    </row>
    <row r="37" spans="1:9" ht="21" customHeight="1">
      <c r="A37" s="39" t="s">
        <v>29</v>
      </c>
      <c r="B37" s="39" t="s">
        <v>48</v>
      </c>
      <c r="C37" s="39" t="s">
        <v>63</v>
      </c>
      <c r="D37" s="45" t="s">
        <v>50</v>
      </c>
      <c r="E37" s="39" t="s">
        <v>51</v>
      </c>
      <c r="F37" s="39" t="s">
        <v>52</v>
      </c>
      <c r="G37" s="39" t="s">
        <v>53</v>
      </c>
      <c r="H37" s="39" t="s">
        <v>54</v>
      </c>
      <c r="I37" s="39" t="s">
        <v>55</v>
      </c>
    </row>
    <row r="38" spans="1:9" ht="18" customHeight="1">
      <c r="A38" s="109" t="s">
        <v>38</v>
      </c>
      <c r="B38" s="39" t="s">
        <v>57</v>
      </c>
      <c r="C38" s="39">
        <v>15229</v>
      </c>
      <c r="D38" s="45">
        <v>30</v>
      </c>
      <c r="E38" s="39">
        <v>118</v>
      </c>
      <c r="F38" s="39">
        <v>4</v>
      </c>
      <c r="G38" s="46" t="s">
        <v>70</v>
      </c>
      <c r="H38" s="119">
        <v>7945</v>
      </c>
      <c r="I38" s="123">
        <f>H38/30</f>
        <v>264.83333333333331</v>
      </c>
    </row>
    <row r="39" spans="1:9" ht="18" customHeight="1">
      <c r="A39" s="110"/>
      <c r="B39" s="39" t="s">
        <v>59</v>
      </c>
      <c r="C39" s="39">
        <v>4241</v>
      </c>
      <c r="D39" s="45">
        <v>30.54</v>
      </c>
      <c r="E39" s="39">
        <v>22</v>
      </c>
      <c r="F39" s="39">
        <v>3.6</v>
      </c>
      <c r="G39" s="46" t="s">
        <v>71</v>
      </c>
      <c r="H39" s="120"/>
      <c r="I39" s="124"/>
    </row>
    <row r="40" spans="1:9" ht="18" customHeight="1">
      <c r="A40" s="111"/>
      <c r="B40" s="39" t="s">
        <v>61</v>
      </c>
      <c r="C40" s="39">
        <v>4367</v>
      </c>
      <c r="D40" s="45">
        <v>33</v>
      </c>
      <c r="E40" s="39">
        <v>38</v>
      </c>
      <c r="F40" s="39">
        <v>2.2999999999999998</v>
      </c>
      <c r="G40" s="46" t="s">
        <v>72</v>
      </c>
      <c r="H40" s="121"/>
      <c r="I40" s="125"/>
    </row>
    <row r="41" spans="1:9" ht="18" customHeight="1">
      <c r="A41" s="51"/>
      <c r="B41" s="100" t="s">
        <v>73</v>
      </c>
      <c r="C41" s="101"/>
      <c r="D41" s="101"/>
      <c r="E41" s="101"/>
      <c r="F41" s="101"/>
      <c r="G41" s="101"/>
      <c r="H41" s="101"/>
      <c r="I41" s="101"/>
    </row>
    <row r="42" spans="1:9" ht="30.95" customHeight="1">
      <c r="A42" s="102" t="s">
        <v>74</v>
      </c>
      <c r="B42" s="102"/>
      <c r="C42" s="102"/>
      <c r="D42" s="102"/>
      <c r="E42" s="102"/>
      <c r="F42" s="102"/>
      <c r="G42" s="102"/>
      <c r="H42" s="102"/>
      <c r="I42" s="102"/>
    </row>
    <row r="43" spans="1:9" ht="24.95" customHeight="1">
      <c r="A43" s="101" t="s">
        <v>56</v>
      </c>
      <c r="B43" s="101"/>
      <c r="C43" s="101" t="s">
        <v>75</v>
      </c>
      <c r="D43" s="101"/>
      <c r="E43" s="101"/>
      <c r="F43" s="101"/>
      <c r="G43" s="101"/>
      <c r="H43" s="101"/>
      <c r="I43" s="101"/>
    </row>
    <row r="44" spans="1:9" ht="24.95" customHeight="1">
      <c r="A44" s="101" t="s">
        <v>36</v>
      </c>
      <c r="B44" s="101"/>
      <c r="C44" s="101" t="s">
        <v>76</v>
      </c>
      <c r="D44" s="101"/>
      <c r="E44" s="101"/>
      <c r="F44" s="101"/>
      <c r="G44" s="101"/>
      <c r="H44" s="101"/>
      <c r="I44" s="101"/>
    </row>
    <row r="45" spans="1:9" ht="24.95" customHeight="1">
      <c r="A45" s="101" t="s">
        <v>37</v>
      </c>
      <c r="B45" s="101"/>
      <c r="C45" s="101" t="s">
        <v>77</v>
      </c>
      <c r="D45" s="101"/>
      <c r="E45" s="101"/>
      <c r="F45" s="101"/>
      <c r="G45" s="101"/>
      <c r="H45" s="101"/>
      <c r="I45" s="101"/>
    </row>
    <row r="46" spans="1:9" ht="24.95" customHeight="1">
      <c r="A46" s="101" t="s">
        <v>38</v>
      </c>
      <c r="B46" s="101"/>
      <c r="C46" s="101" t="s">
        <v>78</v>
      </c>
      <c r="D46" s="101"/>
      <c r="E46" s="101"/>
      <c r="F46" s="101"/>
      <c r="G46" s="101"/>
      <c r="H46" s="101"/>
      <c r="I46" s="101"/>
    </row>
    <row r="47" spans="1:9" s="32" customFormat="1" ht="15.95" customHeight="1">
      <c r="A47" s="96" t="s">
        <v>79</v>
      </c>
      <c r="B47" s="96"/>
      <c r="C47" s="96"/>
      <c r="D47" s="96"/>
      <c r="E47" s="96"/>
      <c r="F47" s="96"/>
      <c r="G47" s="96"/>
      <c r="H47" s="96"/>
      <c r="I47" s="96"/>
    </row>
    <row r="48" spans="1:9" s="32" customFormat="1" ht="15.95" customHeight="1">
      <c r="A48" s="96"/>
      <c r="B48" s="96"/>
      <c r="C48" s="96"/>
      <c r="D48" s="96"/>
      <c r="E48" s="96"/>
      <c r="F48" s="96"/>
      <c r="G48" s="96"/>
      <c r="H48" s="96"/>
      <c r="I48" s="96"/>
    </row>
    <row r="49" spans="1:7" ht="21" customHeight="1"/>
    <row r="50" spans="1:7" ht="35.1" customHeight="1">
      <c r="A50" s="103" t="s">
        <v>80</v>
      </c>
      <c r="B50" s="103"/>
      <c r="C50" s="103"/>
    </row>
    <row r="54" spans="1:7" ht="42" customHeight="1">
      <c r="E54" s="128" t="s">
        <v>81</v>
      </c>
      <c r="F54" s="128"/>
      <c r="G54" s="128"/>
    </row>
    <row r="55" spans="1:7" ht="42" customHeight="1">
      <c r="E55" s="128"/>
      <c r="F55" s="128"/>
      <c r="G55" s="128"/>
    </row>
    <row r="56" spans="1:7" ht="42" customHeight="1">
      <c r="E56" s="128"/>
      <c r="F56" s="128"/>
      <c r="G56" s="128"/>
    </row>
    <row r="60" spans="1:7" ht="27" customHeight="1">
      <c r="A60" s="52" t="s">
        <v>82</v>
      </c>
      <c r="B60" s="53" t="s">
        <v>83</v>
      </c>
      <c r="C60" s="53" t="s">
        <v>84</v>
      </c>
    </row>
    <row r="61" spans="1:7" ht="18" customHeight="1">
      <c r="A61" s="31" t="s">
        <v>85</v>
      </c>
      <c r="B61" s="37" t="s">
        <v>86</v>
      </c>
      <c r="C61" s="37">
        <v>1</v>
      </c>
    </row>
    <row r="62" spans="1:7" ht="18" customHeight="1">
      <c r="A62" s="31" t="s">
        <v>87</v>
      </c>
      <c r="B62" s="37">
        <v>14590</v>
      </c>
      <c r="C62" s="37">
        <v>7</v>
      </c>
    </row>
    <row r="63" spans="1:7" ht="18" customHeight="1">
      <c r="A63" s="31" t="s">
        <v>88</v>
      </c>
      <c r="B63" s="37">
        <v>7121</v>
      </c>
      <c r="C63" s="37">
        <v>6</v>
      </c>
    </row>
    <row r="64" spans="1:7" ht="18" customHeight="1">
      <c r="A64" s="31" t="s">
        <v>89</v>
      </c>
      <c r="B64" s="37">
        <v>5288</v>
      </c>
      <c r="C64" s="37">
        <v>1</v>
      </c>
    </row>
    <row r="65" spans="1:3" ht="18" customHeight="1">
      <c r="A65" s="31" t="s">
        <v>90</v>
      </c>
      <c r="B65" s="37">
        <v>5072</v>
      </c>
      <c r="C65" s="37">
        <v>1</v>
      </c>
    </row>
    <row r="66" spans="1:3" ht="18" customHeight="1">
      <c r="A66" s="31" t="s">
        <v>91</v>
      </c>
      <c r="B66" s="37">
        <v>3659</v>
      </c>
      <c r="C66" s="37">
        <v>1</v>
      </c>
    </row>
    <row r="67" spans="1:3" ht="18" customHeight="1">
      <c r="A67" s="31" t="s">
        <v>92</v>
      </c>
      <c r="B67" s="37">
        <v>2782</v>
      </c>
      <c r="C67" s="37">
        <v>1</v>
      </c>
    </row>
    <row r="68" spans="1:3" ht="18" customHeight="1">
      <c r="A68" s="31" t="s">
        <v>93</v>
      </c>
      <c r="B68" s="37">
        <v>2754</v>
      </c>
      <c r="C68" s="37">
        <v>6</v>
      </c>
    </row>
    <row r="69" spans="1:3" ht="18" customHeight="1">
      <c r="A69" s="31" t="s">
        <v>94</v>
      </c>
      <c r="B69" s="37">
        <v>2458</v>
      </c>
      <c r="C69" s="37">
        <v>4</v>
      </c>
    </row>
    <row r="70" spans="1:3" ht="18" customHeight="1">
      <c r="A70" s="31" t="s">
        <v>95</v>
      </c>
      <c r="B70" s="37">
        <v>2019</v>
      </c>
      <c r="C70" s="37">
        <v>2</v>
      </c>
    </row>
    <row r="71" spans="1:3" ht="18" customHeight="1">
      <c r="A71" s="31" t="s">
        <v>96</v>
      </c>
      <c r="B71" s="37">
        <v>1737</v>
      </c>
      <c r="C71" s="37">
        <v>3</v>
      </c>
    </row>
    <row r="72" spans="1:3" ht="18" customHeight="1">
      <c r="A72" s="31" t="s">
        <v>97</v>
      </c>
      <c r="B72" s="37">
        <v>1714</v>
      </c>
      <c r="C72" s="37">
        <v>2</v>
      </c>
    </row>
    <row r="73" spans="1:3" ht="18" customHeight="1">
      <c r="A73" s="31" t="s">
        <v>98</v>
      </c>
      <c r="B73" s="37">
        <v>1585</v>
      </c>
      <c r="C73" s="37">
        <v>4</v>
      </c>
    </row>
    <row r="74" spans="1:3" ht="18" customHeight="1">
      <c r="A74" s="31" t="s">
        <v>99</v>
      </c>
      <c r="B74" s="37">
        <v>1317</v>
      </c>
      <c r="C74" s="37">
        <v>1</v>
      </c>
    </row>
    <row r="75" spans="1:3" ht="18" customHeight="1">
      <c r="A75" s="31" t="s">
        <v>100</v>
      </c>
      <c r="B75" s="37">
        <v>1018</v>
      </c>
      <c r="C75" s="37">
        <v>3</v>
      </c>
    </row>
    <row r="76" spans="1:3" ht="18" customHeight="1">
      <c r="A76" s="31" t="s">
        <v>101</v>
      </c>
      <c r="B76" s="37">
        <v>702</v>
      </c>
      <c r="C76" s="37">
        <v>1</v>
      </c>
    </row>
    <row r="77" spans="1:3" ht="18" customHeight="1">
      <c r="A77" s="31" t="s">
        <v>102</v>
      </c>
      <c r="B77" s="37">
        <v>673</v>
      </c>
      <c r="C77" s="37">
        <v>2</v>
      </c>
    </row>
    <row r="78" spans="1:3" ht="18" customHeight="1">
      <c r="A78" s="31" t="s">
        <v>103</v>
      </c>
      <c r="B78" s="37">
        <v>574</v>
      </c>
      <c r="C78" s="37">
        <v>1</v>
      </c>
    </row>
    <row r="79" spans="1:3" ht="18" customHeight="1">
      <c r="A79" s="31" t="s">
        <v>104</v>
      </c>
      <c r="B79" s="37">
        <v>573</v>
      </c>
      <c r="C79" s="37">
        <v>1</v>
      </c>
    </row>
    <row r="80" spans="1:3" ht="18" customHeight="1">
      <c r="A80" s="31" t="s">
        <v>105</v>
      </c>
      <c r="B80" s="37">
        <v>528</v>
      </c>
      <c r="C80" s="37">
        <v>1</v>
      </c>
    </row>
    <row r="81" spans="1:8" ht="18" customHeight="1">
      <c r="A81" s="31" t="s">
        <v>106</v>
      </c>
      <c r="B81" s="37">
        <v>504</v>
      </c>
      <c r="C81" s="37">
        <v>1</v>
      </c>
    </row>
    <row r="82" spans="1:8" ht="18" customHeight="1">
      <c r="A82" s="31" t="s">
        <v>107</v>
      </c>
      <c r="B82" s="37">
        <v>411</v>
      </c>
      <c r="C82" s="37">
        <v>1</v>
      </c>
    </row>
    <row r="83" spans="1:8" ht="18" customHeight="1">
      <c r="A83" s="31" t="s">
        <v>108</v>
      </c>
      <c r="B83" s="37">
        <v>356</v>
      </c>
      <c r="C83" s="37">
        <v>1</v>
      </c>
      <c r="D83" s="129" t="s">
        <v>109</v>
      </c>
      <c r="E83" s="129"/>
      <c r="F83" s="129"/>
      <c r="G83" s="129"/>
      <c r="H83" s="129"/>
    </row>
    <row r="84" spans="1:8" ht="18" customHeight="1">
      <c r="A84" s="31" t="s">
        <v>110</v>
      </c>
      <c r="B84" s="37">
        <v>349</v>
      </c>
      <c r="C84" s="37">
        <v>1</v>
      </c>
      <c r="D84" s="129"/>
      <c r="E84" s="129"/>
      <c r="F84" s="129"/>
      <c r="G84" s="129"/>
      <c r="H84" s="129"/>
    </row>
    <row r="85" spans="1:8" ht="27.95" customHeight="1">
      <c r="A85" s="31" t="s">
        <v>111</v>
      </c>
      <c r="B85" s="37">
        <v>324</v>
      </c>
      <c r="C85" s="37">
        <v>2</v>
      </c>
      <c r="D85" s="129"/>
      <c r="E85" s="129"/>
      <c r="F85" s="129"/>
      <c r="G85" s="129"/>
      <c r="H85" s="129"/>
    </row>
    <row r="86" spans="1:8" ht="18" customHeight="1">
      <c r="A86" s="31" t="s">
        <v>112</v>
      </c>
      <c r="B86" s="37">
        <v>237</v>
      </c>
      <c r="C86" s="37">
        <v>1</v>
      </c>
      <c r="D86" s="129"/>
      <c r="E86" s="129"/>
      <c r="F86" s="129"/>
      <c r="G86" s="129"/>
      <c r="H86" s="129"/>
    </row>
    <row r="87" spans="1:8" ht="18" hidden="1" customHeight="1">
      <c r="A87" s="54" t="s">
        <v>113</v>
      </c>
      <c r="B87" s="37">
        <v>221</v>
      </c>
      <c r="C87" s="37">
        <v>1</v>
      </c>
    </row>
    <row r="88" spans="1:8" ht="18" hidden="1" customHeight="1">
      <c r="A88" s="54" t="s">
        <v>114</v>
      </c>
      <c r="B88" s="37">
        <v>216</v>
      </c>
      <c r="C88" s="37">
        <v>1</v>
      </c>
    </row>
    <row r="89" spans="1:8" ht="18" hidden="1" customHeight="1">
      <c r="A89" s="54" t="s">
        <v>115</v>
      </c>
      <c r="B89" s="37">
        <v>210</v>
      </c>
      <c r="C89" s="37">
        <v>2</v>
      </c>
    </row>
    <row r="90" spans="1:8" ht="18" hidden="1" customHeight="1">
      <c r="A90" s="54" t="s">
        <v>116</v>
      </c>
      <c r="B90" s="37">
        <v>207</v>
      </c>
      <c r="C90" s="37">
        <v>1</v>
      </c>
    </row>
    <row r="91" spans="1:8" ht="18" hidden="1" customHeight="1">
      <c r="A91" s="54" t="s">
        <v>117</v>
      </c>
      <c r="B91" s="37">
        <v>204</v>
      </c>
      <c r="C91" s="37">
        <v>2</v>
      </c>
    </row>
    <row r="92" spans="1:8" ht="18" hidden="1" customHeight="1">
      <c r="A92" s="54" t="s">
        <v>118</v>
      </c>
      <c r="B92" s="37">
        <v>140</v>
      </c>
      <c r="C92" s="37">
        <v>1</v>
      </c>
    </row>
    <row r="93" spans="1:8" ht="18" hidden="1" customHeight="1">
      <c r="A93" s="54" t="s">
        <v>119</v>
      </c>
      <c r="B93" s="37">
        <v>135</v>
      </c>
      <c r="C93" s="37">
        <v>1</v>
      </c>
    </row>
    <row r="94" spans="1:8" ht="18" hidden="1" customHeight="1">
      <c r="A94" s="54" t="s">
        <v>120</v>
      </c>
      <c r="B94" s="37">
        <v>120</v>
      </c>
      <c r="C94" s="37">
        <v>1</v>
      </c>
    </row>
    <row r="95" spans="1:8" ht="18" hidden="1" customHeight="1">
      <c r="A95" s="54" t="s">
        <v>121</v>
      </c>
      <c r="B95" s="37">
        <v>115</v>
      </c>
      <c r="C95" s="37">
        <v>2</v>
      </c>
    </row>
    <row r="96" spans="1:8" ht="18" hidden="1" customHeight="1">
      <c r="A96" s="54" t="s">
        <v>122</v>
      </c>
      <c r="B96" s="37">
        <v>114</v>
      </c>
      <c r="C96" s="37">
        <v>1</v>
      </c>
    </row>
    <row r="97" spans="1:3" ht="18" hidden="1" customHeight="1">
      <c r="A97" s="54" t="s">
        <v>123</v>
      </c>
      <c r="B97" s="37">
        <v>103</v>
      </c>
      <c r="C97" s="37">
        <v>1</v>
      </c>
    </row>
    <row r="98" spans="1:3" ht="18" hidden="1" customHeight="1">
      <c r="A98" s="54" t="s">
        <v>124</v>
      </c>
      <c r="B98" s="37">
        <v>101</v>
      </c>
      <c r="C98" s="37">
        <v>1</v>
      </c>
    </row>
    <row r="99" spans="1:3" ht="18" hidden="1" customHeight="1">
      <c r="A99" s="54" t="s">
        <v>125</v>
      </c>
      <c r="B99" s="37">
        <v>98</v>
      </c>
      <c r="C99" s="37">
        <v>1</v>
      </c>
    </row>
    <row r="100" spans="1:3" ht="18" hidden="1" customHeight="1">
      <c r="A100" s="54" t="s">
        <v>126</v>
      </c>
      <c r="B100" s="37">
        <v>98</v>
      </c>
      <c r="C100" s="37">
        <v>2</v>
      </c>
    </row>
    <row r="101" spans="1:3" ht="18" hidden="1" customHeight="1">
      <c r="A101" s="54" t="s">
        <v>127</v>
      </c>
      <c r="B101" s="37">
        <v>98</v>
      </c>
      <c r="C101" s="37">
        <v>1</v>
      </c>
    </row>
    <row r="102" spans="1:3" ht="18" hidden="1" customHeight="1">
      <c r="A102" s="54" t="s">
        <v>128</v>
      </c>
      <c r="B102" s="37">
        <v>96</v>
      </c>
      <c r="C102" s="37">
        <v>1</v>
      </c>
    </row>
    <row r="103" spans="1:3" ht="18" hidden="1" customHeight="1">
      <c r="A103" s="54" t="s">
        <v>129</v>
      </c>
      <c r="B103" s="37">
        <v>93</v>
      </c>
      <c r="C103" s="37">
        <v>1</v>
      </c>
    </row>
    <row r="104" spans="1:3" ht="18" hidden="1" customHeight="1">
      <c r="A104" s="54" t="s">
        <v>130</v>
      </c>
      <c r="B104" s="37">
        <v>84</v>
      </c>
      <c r="C104" s="37">
        <v>1</v>
      </c>
    </row>
    <row r="105" spans="1:3" ht="18" hidden="1" customHeight="1">
      <c r="A105" s="54" t="s">
        <v>131</v>
      </c>
      <c r="B105" s="37">
        <v>81</v>
      </c>
      <c r="C105" s="37">
        <v>1</v>
      </c>
    </row>
    <row r="106" spans="1:3" ht="18" hidden="1" customHeight="1">
      <c r="A106" s="54" t="s">
        <v>132</v>
      </c>
      <c r="B106" s="37">
        <v>81</v>
      </c>
      <c r="C106" s="37">
        <v>1</v>
      </c>
    </row>
    <row r="107" spans="1:3" ht="18" hidden="1" customHeight="1">
      <c r="A107" s="54" t="s">
        <v>133</v>
      </c>
      <c r="B107" s="37">
        <v>79</v>
      </c>
      <c r="C107" s="37">
        <v>1</v>
      </c>
    </row>
    <row r="108" spans="1:3" ht="18" hidden="1" customHeight="1">
      <c r="A108" s="54" t="s">
        <v>134</v>
      </c>
      <c r="B108" s="37">
        <v>79</v>
      </c>
      <c r="C108" s="37">
        <v>2</v>
      </c>
    </row>
    <row r="109" spans="1:3" ht="18" hidden="1" customHeight="1">
      <c r="A109" s="54" t="s">
        <v>135</v>
      </c>
      <c r="B109" s="37">
        <v>60</v>
      </c>
      <c r="C109" s="37">
        <v>1</v>
      </c>
    </row>
    <row r="110" spans="1:3" ht="18" hidden="1" customHeight="1">
      <c r="A110" s="54" t="s">
        <v>136</v>
      </c>
      <c r="B110" s="37">
        <v>54</v>
      </c>
      <c r="C110" s="37">
        <v>1</v>
      </c>
    </row>
    <row r="111" spans="1:3" ht="18" hidden="1" customHeight="1">
      <c r="A111" s="54" t="s">
        <v>137</v>
      </c>
      <c r="B111" s="37">
        <v>49</v>
      </c>
      <c r="C111" s="37">
        <v>1</v>
      </c>
    </row>
    <row r="112" spans="1:3" ht="18" hidden="1" customHeight="1">
      <c r="A112" s="54" t="s">
        <v>138</v>
      </c>
      <c r="B112" s="37">
        <v>48</v>
      </c>
      <c r="C112" s="37">
        <v>1</v>
      </c>
    </row>
    <row r="113" spans="1:8" ht="18" hidden="1" customHeight="1">
      <c r="A113" s="54" t="s">
        <v>139</v>
      </c>
      <c r="B113" s="37">
        <v>47</v>
      </c>
      <c r="C113" s="37">
        <v>1</v>
      </c>
    </row>
    <row r="114" spans="1:8" ht="18" hidden="1" customHeight="1">
      <c r="A114" s="54" t="s">
        <v>140</v>
      </c>
      <c r="B114" s="37">
        <v>40</v>
      </c>
      <c r="C114" s="37">
        <v>1</v>
      </c>
    </row>
    <row r="115" spans="1:8" ht="18" hidden="1" customHeight="1">
      <c r="A115" s="54" t="s">
        <v>141</v>
      </c>
      <c r="B115" s="37">
        <v>35</v>
      </c>
      <c r="C115" s="37">
        <v>1</v>
      </c>
    </row>
    <row r="116" spans="1:8" ht="18" hidden="1" customHeight="1">
      <c r="A116" s="54" t="s">
        <v>142</v>
      </c>
      <c r="B116" s="37">
        <v>30</v>
      </c>
      <c r="C116" s="37">
        <v>1</v>
      </c>
    </row>
    <row r="117" spans="1:8" ht="18" hidden="1" customHeight="1">
      <c r="A117" s="54" t="s">
        <v>143</v>
      </c>
      <c r="B117" s="37">
        <v>30</v>
      </c>
      <c r="C117" s="37">
        <v>1</v>
      </c>
    </row>
    <row r="118" spans="1:8" ht="18" hidden="1" customHeight="1">
      <c r="A118" s="54" t="s">
        <v>144</v>
      </c>
      <c r="B118" s="37">
        <v>30</v>
      </c>
      <c r="C118" s="37">
        <v>1</v>
      </c>
    </row>
    <row r="119" spans="1:8" ht="18" hidden="1" customHeight="1">
      <c r="A119" s="54" t="s">
        <v>145</v>
      </c>
      <c r="B119" s="37">
        <v>30</v>
      </c>
      <c r="C119" s="37">
        <v>1</v>
      </c>
    </row>
    <row r="120" spans="1:8" ht="18" hidden="1" customHeight="1">
      <c r="A120" s="54" t="s">
        <v>146</v>
      </c>
      <c r="B120" s="37">
        <v>26</v>
      </c>
      <c r="C120" s="37">
        <v>1</v>
      </c>
    </row>
    <row r="121" spans="1:8" ht="18" hidden="1" customHeight="1">
      <c r="A121" s="54" t="s">
        <v>147</v>
      </c>
      <c r="B121" s="37">
        <v>18</v>
      </c>
      <c r="C121" s="37">
        <v>2</v>
      </c>
    </row>
    <row r="122" spans="1:8" ht="18" hidden="1" customHeight="1">
      <c r="A122" s="54" t="s">
        <v>148</v>
      </c>
      <c r="B122" s="37">
        <v>17</v>
      </c>
      <c r="C122" s="37">
        <v>1</v>
      </c>
    </row>
    <row r="123" spans="1:8" ht="18" hidden="1" customHeight="1">
      <c r="A123" s="54" t="s">
        <v>149</v>
      </c>
      <c r="B123" s="37">
        <v>17</v>
      </c>
      <c r="C123" s="37">
        <v>1</v>
      </c>
    </row>
    <row r="124" spans="1:8" ht="18" hidden="1" customHeight="1">
      <c r="A124" s="54" t="s">
        <v>150</v>
      </c>
      <c r="B124" s="37">
        <v>15</v>
      </c>
      <c r="C124" s="37">
        <v>2</v>
      </c>
    </row>
    <row r="125" spans="1:8" ht="18" hidden="1" customHeight="1">
      <c r="A125" s="54" t="s">
        <v>151</v>
      </c>
      <c r="B125" s="37">
        <v>5</v>
      </c>
      <c r="C125" s="37">
        <v>1</v>
      </c>
    </row>
    <row r="126" spans="1:8" ht="42" customHeight="1">
      <c r="F126" s="130" t="s">
        <v>152</v>
      </c>
      <c r="G126" s="130"/>
      <c r="H126" s="130"/>
    </row>
    <row r="127" spans="1:8" ht="42" customHeight="1">
      <c r="F127" s="130"/>
      <c r="G127" s="130"/>
      <c r="H127" s="130"/>
    </row>
    <row r="128" spans="1:8" ht="42" customHeight="1">
      <c r="F128" s="130"/>
      <c r="G128" s="130"/>
      <c r="H128" s="130"/>
    </row>
    <row r="129" spans="6:10" ht="42" customHeight="1">
      <c r="F129" s="130"/>
      <c r="G129" s="130"/>
      <c r="H129" s="130"/>
    </row>
    <row r="130" spans="6:10" ht="42" customHeight="1">
      <c r="F130" s="130"/>
      <c r="G130" s="130"/>
      <c r="H130" s="130"/>
    </row>
    <row r="131" spans="6:10" ht="42" customHeight="1">
      <c r="F131" s="130"/>
      <c r="G131" s="130"/>
      <c r="H131" s="130"/>
    </row>
    <row r="135" spans="6:10" ht="42" customHeight="1">
      <c r="F135" s="39" t="s">
        <v>153</v>
      </c>
      <c r="G135" s="39" t="s">
        <v>154</v>
      </c>
      <c r="H135" s="39" t="s">
        <v>155</v>
      </c>
      <c r="I135" s="39" t="s">
        <v>156</v>
      </c>
      <c r="J135" s="39" t="s">
        <v>157</v>
      </c>
    </row>
    <row r="136" spans="6:10" ht="42" customHeight="1">
      <c r="F136" s="39" t="s">
        <v>84</v>
      </c>
      <c r="G136" s="39">
        <v>19</v>
      </c>
      <c r="H136" s="39">
        <v>44</v>
      </c>
      <c r="I136" s="39">
        <v>21</v>
      </c>
      <c r="J136" s="39">
        <v>23</v>
      </c>
    </row>
    <row r="137" spans="6:10" ht="45" customHeight="1">
      <c r="F137" s="104" t="s">
        <v>158</v>
      </c>
      <c r="G137" s="104"/>
      <c r="H137" s="104"/>
    </row>
    <row r="138" spans="6:10" ht="42" customHeight="1">
      <c r="F138" s="104" t="s">
        <v>159</v>
      </c>
      <c r="G138" s="104"/>
      <c r="H138" s="104"/>
    </row>
    <row r="139" spans="6:10" ht="42" customHeight="1">
      <c r="F139" s="104"/>
      <c r="G139" s="104"/>
      <c r="H139" s="104"/>
    </row>
    <row r="140" spans="6:10" ht="42" customHeight="1">
      <c r="F140" s="104" t="s">
        <v>160</v>
      </c>
      <c r="G140" s="104"/>
      <c r="H140" s="104"/>
    </row>
    <row r="141" spans="6:10" ht="42" customHeight="1">
      <c r="F141" s="104"/>
      <c r="G141" s="104"/>
      <c r="H141" s="104"/>
    </row>
    <row r="145" spans="1:8" ht="42" customHeight="1">
      <c r="A145" s="94" t="s">
        <v>161</v>
      </c>
      <c r="B145" s="99"/>
    </row>
    <row r="146" spans="1:8" ht="24.95" customHeight="1">
      <c r="A146" s="53" t="s">
        <v>162</v>
      </c>
      <c r="B146" s="53" t="s">
        <v>84</v>
      </c>
    </row>
    <row r="147" spans="1:8" ht="27" customHeight="1">
      <c r="A147" s="37" t="s">
        <v>163</v>
      </c>
      <c r="B147" s="37">
        <v>5</v>
      </c>
      <c r="E147" s="98" t="s">
        <v>164</v>
      </c>
      <c r="F147" s="98"/>
      <c r="G147" s="36"/>
      <c r="H147" s="36"/>
    </row>
    <row r="148" spans="1:8" ht="27" customHeight="1">
      <c r="A148" s="37" t="s">
        <v>165</v>
      </c>
      <c r="B148" s="37">
        <v>83</v>
      </c>
      <c r="E148" s="98"/>
      <c r="F148" s="98"/>
      <c r="G148" s="36"/>
      <c r="H148" s="36"/>
    </row>
    <row r="149" spans="1:8" ht="27" customHeight="1">
      <c r="A149" s="37" t="s">
        <v>166</v>
      </c>
      <c r="B149" s="37">
        <v>16</v>
      </c>
      <c r="E149" s="98"/>
      <c r="F149" s="98"/>
      <c r="G149" s="36"/>
      <c r="H149" s="36"/>
    </row>
    <row r="150" spans="1:8" ht="27" customHeight="1">
      <c r="A150" s="37" t="s">
        <v>86</v>
      </c>
      <c r="B150" s="37">
        <v>3</v>
      </c>
    </row>
    <row r="152" spans="1:8" ht="42" customHeight="1">
      <c r="A152" s="94" t="s">
        <v>167</v>
      </c>
      <c r="B152" s="94"/>
    </row>
    <row r="153" spans="1:8" ht="24" customHeight="1">
      <c r="A153" s="39" t="s">
        <v>29</v>
      </c>
      <c r="B153" s="39" t="s">
        <v>28</v>
      </c>
      <c r="C153" s="105" t="s">
        <v>168</v>
      </c>
      <c r="D153" s="105"/>
      <c r="E153" s="105"/>
      <c r="F153" s="39" t="s">
        <v>169</v>
      </c>
    </row>
    <row r="154" spans="1:8" ht="18" customHeight="1">
      <c r="A154" s="97" t="s">
        <v>56</v>
      </c>
      <c r="B154" s="105" t="s">
        <v>170</v>
      </c>
      <c r="C154" s="101" t="s">
        <v>171</v>
      </c>
      <c r="D154" s="101"/>
      <c r="E154" s="101"/>
      <c r="F154" s="115" t="s">
        <v>172</v>
      </c>
    </row>
    <row r="155" spans="1:8" ht="18" customHeight="1">
      <c r="A155" s="97"/>
      <c r="B155" s="105"/>
      <c r="C155" s="101" t="s">
        <v>173</v>
      </c>
      <c r="D155" s="101"/>
      <c r="E155" s="101"/>
      <c r="F155" s="116"/>
    </row>
    <row r="156" spans="1:8" ht="18" customHeight="1">
      <c r="A156" s="97"/>
      <c r="B156" s="105"/>
      <c r="C156" s="101" t="s">
        <v>174</v>
      </c>
      <c r="D156" s="101"/>
      <c r="E156" s="101"/>
      <c r="F156" s="116"/>
    </row>
    <row r="157" spans="1:8" ht="18" customHeight="1">
      <c r="A157" s="97"/>
      <c r="B157" s="105"/>
      <c r="C157" s="101" t="s">
        <v>175</v>
      </c>
      <c r="D157" s="101"/>
      <c r="E157" s="101"/>
      <c r="F157" s="116"/>
    </row>
    <row r="158" spans="1:8" ht="18" customHeight="1">
      <c r="A158" s="97"/>
      <c r="B158" s="105"/>
      <c r="C158" s="101" t="s">
        <v>176</v>
      </c>
      <c r="D158" s="101"/>
      <c r="E158" s="101"/>
      <c r="F158" s="117"/>
    </row>
    <row r="159" spans="1:8" ht="24" customHeight="1"/>
    <row r="160" spans="1:8" ht="30" customHeight="1">
      <c r="A160" s="55" t="s">
        <v>177</v>
      </c>
      <c r="B160" s="37"/>
    </row>
    <row r="161" spans="1:45" ht="24" customHeight="1">
      <c r="A161" s="96" t="s">
        <v>178</v>
      </c>
      <c r="B161" s="96"/>
      <c r="C161" s="96"/>
      <c r="D161" s="96"/>
      <c r="E161" s="96"/>
    </row>
    <row r="162" spans="1:45" ht="24" customHeight="1">
      <c r="A162" s="101" t="s">
        <v>179</v>
      </c>
      <c r="B162" s="101"/>
      <c r="C162" s="101"/>
      <c r="D162" s="101"/>
      <c r="E162" s="101"/>
    </row>
    <row r="163" spans="1:45" ht="24" customHeight="1">
      <c r="A163" s="101" t="s">
        <v>180</v>
      </c>
      <c r="B163" s="101"/>
      <c r="C163" s="101"/>
      <c r="D163" s="101"/>
      <c r="E163" s="101"/>
    </row>
    <row r="164" spans="1:45" ht="24" customHeight="1">
      <c r="A164" s="37"/>
      <c r="B164" s="37"/>
    </row>
    <row r="165" spans="1:45" ht="18.95" customHeight="1">
      <c r="A165" s="56" t="s">
        <v>181</v>
      </c>
      <c r="B165" s="37"/>
    </row>
    <row r="166" spans="1:45" ht="24" customHeight="1">
      <c r="A166" s="101" t="s">
        <v>182</v>
      </c>
      <c r="B166" s="101"/>
      <c r="C166" s="101"/>
      <c r="D166" s="101"/>
      <c r="E166" s="101"/>
    </row>
    <row r="167" spans="1:45" ht="24" customHeight="1">
      <c r="A167" s="101" t="s">
        <v>183</v>
      </c>
      <c r="B167" s="101"/>
      <c r="C167" s="101"/>
      <c r="D167" s="101"/>
      <c r="E167" s="101"/>
    </row>
    <row r="168" spans="1:45" ht="36" customHeight="1">
      <c r="A168" s="96" t="s">
        <v>184</v>
      </c>
      <c r="B168" s="96"/>
      <c r="C168" s="96"/>
      <c r="D168" s="96"/>
      <c r="E168" s="96"/>
    </row>
    <row r="171" spans="1:45" s="33" customFormat="1" ht="24" customHeight="1">
      <c r="A171" s="106" t="s">
        <v>185</v>
      </c>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row>
    <row r="172" spans="1:45" s="33" customFormat="1" ht="27.95" customHeight="1">
      <c r="A172" s="112" t="s">
        <v>186</v>
      </c>
      <c r="B172" s="112" t="s">
        <v>187</v>
      </c>
      <c r="C172" s="112" t="s">
        <v>188</v>
      </c>
      <c r="D172" s="113" t="s">
        <v>189</v>
      </c>
      <c r="E172" s="114" t="s">
        <v>190</v>
      </c>
      <c r="F172" s="114" t="s">
        <v>191</v>
      </c>
      <c r="G172" s="118" t="s">
        <v>192</v>
      </c>
      <c r="H172" s="122" t="s">
        <v>193</v>
      </c>
      <c r="I172" s="126" t="s">
        <v>194</v>
      </c>
      <c r="J172" s="127" t="s">
        <v>195</v>
      </c>
      <c r="K172" s="127" t="s">
        <v>196</v>
      </c>
      <c r="L172" s="107" t="s">
        <v>197</v>
      </c>
      <c r="M172" s="107"/>
      <c r="N172" s="107"/>
      <c r="O172" s="107"/>
      <c r="P172" s="107"/>
      <c r="Q172" s="108"/>
      <c r="R172" s="72"/>
      <c r="S172" s="72"/>
      <c r="T172" s="72"/>
      <c r="U172" s="72"/>
      <c r="V172" s="72"/>
      <c r="W172" s="72"/>
      <c r="X172" s="72"/>
    </row>
    <row r="173" spans="1:45" s="34" customFormat="1" ht="31.5" customHeight="1">
      <c r="A173" s="112"/>
      <c r="B173" s="112"/>
      <c r="C173" s="112"/>
      <c r="D173" s="113"/>
      <c r="E173" s="114"/>
      <c r="F173" s="114"/>
      <c r="G173" s="118"/>
      <c r="H173" s="122"/>
      <c r="I173" s="126"/>
      <c r="J173" s="127"/>
      <c r="K173" s="127"/>
      <c r="L173" s="65" t="s">
        <v>198</v>
      </c>
      <c r="M173" s="65" t="s">
        <v>199</v>
      </c>
      <c r="N173" s="65" t="s">
        <v>200</v>
      </c>
      <c r="O173" s="65" t="s">
        <v>201</v>
      </c>
      <c r="P173" s="65" t="s">
        <v>202</v>
      </c>
      <c r="Q173" s="73" t="s">
        <v>203</v>
      </c>
      <c r="R173" s="74" t="s">
        <v>204</v>
      </c>
      <c r="S173" s="74" t="s">
        <v>205</v>
      </c>
      <c r="T173" s="74" t="s">
        <v>206</v>
      </c>
      <c r="U173" s="74" t="s">
        <v>207</v>
      </c>
      <c r="V173" s="75" t="s">
        <v>208</v>
      </c>
      <c r="W173" s="76" t="s">
        <v>209</v>
      </c>
      <c r="X173" s="76" t="s">
        <v>210</v>
      </c>
      <c r="Y173" s="81"/>
      <c r="Z173" s="81"/>
      <c r="AA173" s="81"/>
      <c r="AB173" s="81"/>
      <c r="AC173" s="81"/>
      <c r="AD173" s="82"/>
      <c r="AE173" s="82"/>
      <c r="AF173" s="81"/>
      <c r="AG173" s="81"/>
      <c r="AH173" s="81"/>
      <c r="AI173" s="81"/>
      <c r="AJ173" s="81"/>
      <c r="AK173" s="81"/>
      <c r="AL173" s="81"/>
      <c r="AM173" s="81"/>
      <c r="AN173" s="81"/>
      <c r="AO173" s="81"/>
      <c r="AP173" s="81"/>
      <c r="AQ173" s="81"/>
      <c r="AR173" s="81"/>
      <c r="AS173" s="81"/>
    </row>
    <row r="174" spans="1:45" s="35" customFormat="1" ht="83.1" customHeight="1">
      <c r="A174" s="43"/>
      <c r="B174" s="57"/>
      <c r="C174" s="58"/>
      <c r="D174" s="43" t="s">
        <v>211</v>
      </c>
      <c r="E174" s="59" t="s">
        <v>212</v>
      </c>
      <c r="F174" s="60">
        <v>45</v>
      </c>
      <c r="G174" s="61">
        <f>F174/W174</f>
        <v>6.6176470588235299</v>
      </c>
      <c r="H174" s="43"/>
      <c r="I174" s="66">
        <v>1300</v>
      </c>
      <c r="J174" s="67">
        <v>36.99</v>
      </c>
      <c r="K174" s="68">
        <f>J174*0.15</f>
        <v>5.5484999999999998</v>
      </c>
      <c r="L174" s="69">
        <v>6.8</v>
      </c>
      <c r="M174" s="70">
        <f>K174+L174</f>
        <v>12.3485</v>
      </c>
      <c r="N174" s="70">
        <f>(I174*0.001*40)/X174</f>
        <v>7.6470588235294121</v>
      </c>
      <c r="O174" s="70">
        <f>M174+N174+G174</f>
        <v>26.61320588235294</v>
      </c>
      <c r="P174" s="70">
        <f>J174-O174</f>
        <v>10.376794117647062</v>
      </c>
      <c r="Q174" s="77">
        <f>P174/J174</f>
        <v>0.28052971391314035</v>
      </c>
      <c r="R174" s="78">
        <f>(I174*0.001*5)/X174</f>
        <v>0.95588235294117652</v>
      </c>
      <c r="S174" s="78" t="e">
        <f>F174+M174+R174+#REF!</f>
        <v>#REF!</v>
      </c>
      <c r="T174" s="78" t="e">
        <f>J174-S174</f>
        <v>#REF!</v>
      </c>
      <c r="U174" s="78" t="e">
        <f>T174*X174</f>
        <v>#REF!</v>
      </c>
      <c r="V174" s="79" t="e">
        <f>T174/J174</f>
        <v>#REF!</v>
      </c>
      <c r="W174" s="80">
        <v>6.8</v>
      </c>
      <c r="X174" s="80">
        <v>6.8</v>
      </c>
      <c r="Z174" s="83"/>
      <c r="AA174" s="84"/>
      <c r="AD174" s="85"/>
      <c r="AE174" s="85"/>
      <c r="AG174" s="86"/>
    </row>
    <row r="176" spans="1:45" ht="27" customHeight="1">
      <c r="A176" s="31" t="s">
        <v>213</v>
      </c>
      <c r="B176" s="31" t="s">
        <v>214</v>
      </c>
      <c r="C176" s="31" t="s">
        <v>215</v>
      </c>
      <c r="D176" s="31" t="s">
        <v>216</v>
      </c>
      <c r="E176" s="62" t="s">
        <v>217</v>
      </c>
      <c r="G176" s="36"/>
    </row>
    <row r="177" spans="1:10" ht="32.1" customHeight="1">
      <c r="A177" s="31" t="s">
        <v>218</v>
      </c>
      <c r="B177" s="36" t="s">
        <v>219</v>
      </c>
      <c r="C177" s="36" t="s">
        <v>220</v>
      </c>
      <c r="D177" s="36" t="s">
        <v>221</v>
      </c>
      <c r="E177" s="36" t="s">
        <v>222</v>
      </c>
      <c r="F177" s="36" t="s">
        <v>223</v>
      </c>
      <c r="G177" s="62" t="s">
        <v>224</v>
      </c>
    </row>
    <row r="178" spans="1:10" ht="21" customHeight="1">
      <c r="A178" s="31" t="s">
        <v>225</v>
      </c>
      <c r="B178" s="37">
        <v>2.5</v>
      </c>
      <c r="D178" s="37"/>
      <c r="E178" s="37"/>
      <c r="F178" s="37"/>
      <c r="G178" s="63" t="s">
        <v>226</v>
      </c>
      <c r="J178" s="71"/>
    </row>
    <row r="179" spans="1:10" ht="27" customHeight="1">
      <c r="A179" s="31" t="s">
        <v>227</v>
      </c>
      <c r="B179" s="37">
        <v>17</v>
      </c>
      <c r="C179" s="63" t="s">
        <v>228</v>
      </c>
      <c r="D179" s="44">
        <v>10</v>
      </c>
      <c r="E179" s="64" t="s">
        <v>229</v>
      </c>
    </row>
    <row r="180" spans="1:10" ht="21" customHeight="1">
      <c r="A180" s="31" t="s">
        <v>230</v>
      </c>
      <c r="C180" s="31"/>
      <c r="G180" s="36"/>
    </row>
    <row r="181" spans="1:10" ht="45.95" customHeight="1">
      <c r="A181" s="31" t="s">
        <v>231</v>
      </c>
      <c r="B181" s="44" t="s">
        <v>232</v>
      </c>
      <c r="C181" s="44" t="s">
        <v>233</v>
      </c>
      <c r="D181" s="44" t="s">
        <v>234</v>
      </c>
      <c r="E181" s="44" t="s">
        <v>235</v>
      </c>
      <c r="F181" s="37"/>
      <c r="G181" s="62" t="s">
        <v>236</v>
      </c>
    </row>
    <row r="182" spans="1:10" ht="21.95" customHeight="1">
      <c r="A182" s="32" t="s">
        <v>237</v>
      </c>
      <c r="B182" s="37" t="s">
        <v>238</v>
      </c>
      <c r="C182" s="37" t="s">
        <v>239</v>
      </c>
      <c r="D182" s="37" t="s">
        <v>240</v>
      </c>
      <c r="E182" s="37" t="s">
        <v>241</v>
      </c>
      <c r="F182" s="37" t="s">
        <v>242</v>
      </c>
      <c r="G182" s="62" t="s">
        <v>243</v>
      </c>
    </row>
    <row r="183" spans="1:10" ht="27.95" customHeight="1">
      <c r="A183" s="32" t="s">
        <v>244</v>
      </c>
      <c r="B183" s="37">
        <v>1.5</v>
      </c>
      <c r="D183" s="37"/>
      <c r="E183" s="37"/>
      <c r="F183" s="37"/>
      <c r="G183" s="62" t="s">
        <v>245</v>
      </c>
    </row>
    <row r="184" spans="1:10" ht="27.95" customHeight="1">
      <c r="A184" s="32" t="s">
        <v>246</v>
      </c>
      <c r="B184" s="37">
        <v>1.8</v>
      </c>
      <c r="D184" s="37"/>
      <c r="E184" s="37"/>
      <c r="F184" s="37"/>
      <c r="G184" s="62" t="s">
        <v>247</v>
      </c>
      <c r="I184" s="31" t="s">
        <v>248</v>
      </c>
    </row>
    <row r="185" spans="1:10" ht="27.95" customHeight="1">
      <c r="A185" s="32" t="s">
        <v>249</v>
      </c>
      <c r="B185" s="44" t="s">
        <v>250</v>
      </c>
      <c r="C185" s="44" t="s">
        <v>251</v>
      </c>
      <c r="D185" s="44" t="s">
        <v>252</v>
      </c>
      <c r="E185" s="44" t="s">
        <v>253</v>
      </c>
      <c r="F185" s="37"/>
      <c r="G185" s="62" t="s">
        <v>254</v>
      </c>
    </row>
    <row r="186" spans="1:10" ht="27.95" customHeight="1">
      <c r="A186" s="32" t="s">
        <v>255</v>
      </c>
      <c r="B186" s="37">
        <v>8.25</v>
      </c>
      <c r="C186" s="37" t="s">
        <v>256</v>
      </c>
      <c r="D186" s="37"/>
      <c r="E186" s="37"/>
      <c r="F186" s="37"/>
      <c r="G186" s="62" t="s">
        <v>257</v>
      </c>
    </row>
    <row r="187" spans="1:10" ht="26.1" customHeight="1">
      <c r="A187" s="32" t="s">
        <v>258</v>
      </c>
      <c r="B187" s="37">
        <v>30</v>
      </c>
      <c r="D187" s="37"/>
      <c r="E187" s="37"/>
      <c r="F187" s="37"/>
      <c r="G187" s="63" t="s">
        <v>259</v>
      </c>
    </row>
    <row r="188" spans="1:10" ht="35.1" customHeight="1">
      <c r="A188" s="32" t="s">
        <v>260</v>
      </c>
      <c r="B188" s="44" t="s">
        <v>261</v>
      </c>
      <c r="C188" s="44" t="s">
        <v>262</v>
      </c>
      <c r="D188" s="44" t="s">
        <v>263</v>
      </c>
      <c r="E188" s="37"/>
      <c r="F188" s="37"/>
      <c r="G188" s="62" t="s">
        <v>264</v>
      </c>
    </row>
    <row r="189" spans="1:10" s="36" customFormat="1" ht="24.95" customHeight="1">
      <c r="A189" s="36" t="s">
        <v>265</v>
      </c>
      <c r="B189" s="44">
        <v>4.5</v>
      </c>
      <c r="C189" s="44"/>
      <c r="G189" s="62" t="s">
        <v>266</v>
      </c>
    </row>
  </sheetData>
  <mergeCells count="70">
    <mergeCell ref="I172:I173"/>
    <mergeCell ref="J172:J173"/>
    <mergeCell ref="K172:K173"/>
    <mergeCell ref="A47:I48"/>
    <mergeCell ref="E54:G56"/>
    <mergeCell ref="D83:H86"/>
    <mergeCell ref="F126:H131"/>
    <mergeCell ref="F138:H139"/>
    <mergeCell ref="F140:H141"/>
    <mergeCell ref="E147:F149"/>
    <mergeCell ref="F154:F158"/>
    <mergeCell ref="F172:F173"/>
    <mergeCell ref="G172:G173"/>
    <mergeCell ref="H23:H25"/>
    <mergeCell ref="H28:H30"/>
    <mergeCell ref="H33:H35"/>
    <mergeCell ref="H38:H40"/>
    <mergeCell ref="H172:H173"/>
    <mergeCell ref="A168:E168"/>
    <mergeCell ref="A171:X171"/>
    <mergeCell ref="L172:Q172"/>
    <mergeCell ref="A3:A6"/>
    <mergeCell ref="A23:A25"/>
    <mergeCell ref="A28:A30"/>
    <mergeCell ref="A33:A35"/>
    <mergeCell ref="A38:A40"/>
    <mergeCell ref="A154:A158"/>
    <mergeCell ref="A172:A173"/>
    <mergeCell ref="B3:B6"/>
    <mergeCell ref="B154:B158"/>
    <mergeCell ref="B172:B173"/>
    <mergeCell ref="C172:C173"/>
    <mergeCell ref="D172:D173"/>
    <mergeCell ref="E172:E173"/>
    <mergeCell ref="A161:E161"/>
    <mergeCell ref="A162:E162"/>
    <mergeCell ref="A163:E163"/>
    <mergeCell ref="A166:E166"/>
    <mergeCell ref="A167:E167"/>
    <mergeCell ref="C154:E154"/>
    <mergeCell ref="C155:E155"/>
    <mergeCell ref="C156:E156"/>
    <mergeCell ref="C157:E157"/>
    <mergeCell ref="C158:E158"/>
    <mergeCell ref="A50:C50"/>
    <mergeCell ref="F137:H137"/>
    <mergeCell ref="A145:B145"/>
    <mergeCell ref="A152:B152"/>
    <mergeCell ref="C153:E153"/>
    <mergeCell ref="A44:B44"/>
    <mergeCell ref="C44:I44"/>
    <mergeCell ref="A45:B45"/>
    <mergeCell ref="C45:I45"/>
    <mergeCell ref="A46:B46"/>
    <mergeCell ref="C46:I46"/>
    <mergeCell ref="A20:B20"/>
    <mergeCell ref="A21:I21"/>
    <mergeCell ref="B41:I41"/>
    <mergeCell ref="A42:I42"/>
    <mergeCell ref="A43:B43"/>
    <mergeCell ref="C43:I43"/>
    <mergeCell ref="I23:I25"/>
    <mergeCell ref="I28:I30"/>
    <mergeCell ref="I33:I35"/>
    <mergeCell ref="I38:I40"/>
    <mergeCell ref="A1:B1"/>
    <mergeCell ref="A7:G7"/>
    <mergeCell ref="B8:G8"/>
    <mergeCell ref="A10:B10"/>
    <mergeCell ref="A18:G18"/>
  </mergeCells>
  <phoneticPr fontId="31" type="noConversion"/>
  <hyperlinks>
    <hyperlink ref="E176" r:id="rId1" xr:uid="{00000000-0004-0000-0100-000000000000}"/>
    <hyperlink ref="G177" r:id="rId2" xr:uid="{00000000-0004-0000-0100-000001000000}"/>
    <hyperlink ref="G178" r:id="rId3" xr:uid="{00000000-0004-0000-0100-000002000000}"/>
    <hyperlink ref="G187" r:id="rId4" xr:uid="{00000000-0004-0000-0100-000003000000}"/>
    <hyperlink ref="C179" r:id="rId5" xr:uid="{00000000-0004-0000-0100-000004000000}"/>
    <hyperlink ref="E179" r:id="rId6" xr:uid="{00000000-0004-0000-0100-000005000000}"/>
    <hyperlink ref="G181" r:id="rId7" xr:uid="{00000000-0004-0000-0100-000006000000}"/>
    <hyperlink ref="G182" r:id="rId8" xr:uid="{00000000-0004-0000-0100-000007000000}"/>
    <hyperlink ref="G183" r:id="rId9" xr:uid="{00000000-0004-0000-0100-000008000000}"/>
    <hyperlink ref="G184" r:id="rId10" xr:uid="{00000000-0004-0000-0100-000009000000}"/>
    <hyperlink ref="G185" r:id="rId11" xr:uid="{00000000-0004-0000-0100-00000A000000}"/>
    <hyperlink ref="G186" r:id="rId12" xr:uid="{00000000-0004-0000-0100-00000B000000}"/>
    <hyperlink ref="G188" r:id="rId13" xr:uid="{00000000-0004-0000-0100-00000C000000}"/>
    <hyperlink ref="E174" r:id="rId14" xr:uid="{00000000-0004-0000-0100-00000D000000}"/>
    <hyperlink ref="G189" r:id="rId15" xr:uid="{00000000-0004-0000-0100-00000E000000}"/>
  </hyperlinks>
  <pageMargins left="0.75" right="0.75" top="1" bottom="1" header="0.5" footer="0.5"/>
  <drawing r:id="rId16"/>
  <legacy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77"/>
  <sheetViews>
    <sheetView topLeftCell="D1" workbookViewId="0">
      <selection activeCell="A4" sqref="A4:F7"/>
    </sheetView>
  </sheetViews>
  <sheetFormatPr defaultColWidth="9" defaultRowHeight="14.25"/>
  <cols>
    <col min="1" max="6" width="38.5" customWidth="1"/>
    <col min="7" max="24" width="9" style="142"/>
  </cols>
  <sheetData>
    <row r="1" spans="1:6" ht="42" customHeight="1">
      <c r="A1" s="131" t="s">
        <v>267</v>
      </c>
      <c r="B1" s="131"/>
      <c r="C1" s="131"/>
      <c r="D1" s="131"/>
      <c r="E1" s="131"/>
      <c r="F1" s="131"/>
    </row>
    <row r="2" spans="1:6" ht="30.95" customHeight="1">
      <c r="A2" s="132"/>
      <c r="B2" s="132"/>
      <c r="C2" s="132"/>
      <c r="D2" s="132"/>
      <c r="E2" s="132"/>
      <c r="F2" s="132"/>
    </row>
    <row r="3" spans="1:6" ht="42" customHeight="1">
      <c r="A3" s="133" t="s">
        <v>268</v>
      </c>
      <c r="B3" s="133"/>
      <c r="C3" s="133"/>
      <c r="D3" s="133"/>
      <c r="E3" s="133"/>
      <c r="F3" s="133"/>
    </row>
    <row r="4" spans="1:6" ht="42" customHeight="1">
      <c r="A4" s="143" t="s">
        <v>269</v>
      </c>
      <c r="B4" s="143"/>
      <c r="C4" s="143"/>
      <c r="D4" s="143"/>
      <c r="E4" s="143"/>
      <c r="F4" s="143"/>
    </row>
    <row r="5" spans="1:6" ht="42" customHeight="1">
      <c r="A5" s="143"/>
      <c r="B5" s="143"/>
      <c r="C5" s="143"/>
      <c r="D5" s="143"/>
      <c r="E5" s="143"/>
      <c r="F5" s="143"/>
    </row>
    <row r="6" spans="1:6" ht="42" customHeight="1">
      <c r="A6" s="143"/>
      <c r="B6" s="143"/>
      <c r="C6" s="143"/>
      <c r="D6" s="143"/>
      <c r="E6" s="143"/>
      <c r="F6" s="143"/>
    </row>
    <row r="7" spans="1:6" ht="42" customHeight="1">
      <c r="A7" s="143"/>
      <c r="B7" s="143"/>
      <c r="C7" s="143"/>
      <c r="D7" s="143"/>
      <c r="E7" s="143"/>
      <c r="F7" s="143"/>
    </row>
    <row r="8" spans="1:6" ht="42" customHeight="1">
      <c r="A8" s="132"/>
      <c r="B8" s="132"/>
      <c r="C8" s="132"/>
      <c r="D8" s="132"/>
      <c r="E8" s="132"/>
      <c r="F8" s="132"/>
    </row>
    <row r="9" spans="1:6">
      <c r="A9" s="133" t="s">
        <v>270</v>
      </c>
      <c r="B9" s="133"/>
      <c r="C9" s="133"/>
      <c r="D9" s="133"/>
      <c r="E9" s="133"/>
      <c r="F9" s="133"/>
    </row>
    <row r="10" spans="1:6" ht="18" customHeight="1">
      <c r="A10" s="5" t="s">
        <v>28</v>
      </c>
      <c r="B10" s="5" t="s">
        <v>271</v>
      </c>
      <c r="C10" s="5" t="s">
        <v>272</v>
      </c>
      <c r="D10" s="5" t="s">
        <v>29</v>
      </c>
      <c r="E10" s="5" t="s">
        <v>188</v>
      </c>
      <c r="F10" s="5" t="s">
        <v>273</v>
      </c>
    </row>
    <row r="11" spans="1:6" ht="108" customHeight="1">
      <c r="A11" s="22"/>
      <c r="B11" s="22"/>
      <c r="C11" s="22"/>
      <c r="D11" s="22"/>
      <c r="E11" s="22"/>
      <c r="F11" s="22"/>
    </row>
    <row r="12" spans="1:6" ht="108" customHeight="1">
      <c r="A12" s="22"/>
      <c r="B12" s="22"/>
      <c r="C12" s="22"/>
      <c r="D12" s="22"/>
      <c r="E12" s="22"/>
      <c r="F12" s="22"/>
    </row>
    <row r="13" spans="1:6" ht="108" customHeight="1">
      <c r="A13" s="22"/>
      <c r="B13" s="22"/>
      <c r="C13" s="22"/>
      <c r="D13" s="22"/>
      <c r="E13" s="22"/>
      <c r="F13" s="22"/>
    </row>
    <row r="14" spans="1:6" ht="108" customHeight="1">
      <c r="A14" s="22"/>
      <c r="B14" s="22"/>
      <c r="C14" s="22"/>
      <c r="D14" s="22"/>
      <c r="E14" s="22"/>
      <c r="F14" s="22"/>
    </row>
    <row r="16" spans="1:6" ht="21.95" customHeight="1">
      <c r="A16" s="133" t="s">
        <v>274</v>
      </c>
      <c r="B16" s="133"/>
      <c r="C16" s="133"/>
      <c r="D16" s="133"/>
      <c r="E16" s="133"/>
      <c r="F16" s="133"/>
    </row>
    <row r="17" spans="1:6" ht="18.95" customHeight="1">
      <c r="A17" s="5" t="s">
        <v>275</v>
      </c>
      <c r="B17" s="5" t="s">
        <v>276</v>
      </c>
      <c r="C17" s="5" t="s">
        <v>277</v>
      </c>
      <c r="D17" s="5" t="s">
        <v>278</v>
      </c>
      <c r="E17" s="5" t="s">
        <v>279</v>
      </c>
      <c r="F17" s="5"/>
    </row>
    <row r="18" spans="1:6">
      <c r="A18" s="23"/>
      <c r="B18" s="23"/>
      <c r="C18" s="23"/>
      <c r="D18" s="23"/>
      <c r="E18" s="23"/>
      <c r="F18" s="23"/>
    </row>
    <row r="19" spans="1:6">
      <c r="A19" s="23"/>
      <c r="B19" s="23"/>
      <c r="C19" s="23"/>
      <c r="D19" s="23"/>
      <c r="E19" s="23"/>
      <c r="F19" s="23"/>
    </row>
    <row r="20" spans="1:6">
      <c r="A20" s="23"/>
      <c r="B20" s="23"/>
      <c r="C20" s="23"/>
      <c r="D20" s="23"/>
      <c r="E20" s="23"/>
      <c r="F20" s="23"/>
    </row>
    <row r="21" spans="1:6">
      <c r="A21" s="23"/>
      <c r="B21" s="23"/>
      <c r="C21" s="23"/>
      <c r="D21" s="23"/>
      <c r="E21" s="23"/>
      <c r="F21" s="23"/>
    </row>
    <row r="22" spans="1:6">
      <c r="A22" s="23"/>
      <c r="B22" s="23"/>
      <c r="C22" s="23"/>
      <c r="D22" s="23"/>
      <c r="E22" s="23"/>
      <c r="F22" s="23"/>
    </row>
    <row r="23" spans="1:6">
      <c r="A23" s="23"/>
      <c r="B23" s="23"/>
      <c r="C23" s="23"/>
      <c r="D23" s="23"/>
      <c r="E23" s="23"/>
      <c r="F23" s="23"/>
    </row>
    <row r="24" spans="1:6">
      <c r="A24" s="23"/>
      <c r="B24" s="23"/>
      <c r="C24" s="23"/>
      <c r="D24" s="23"/>
      <c r="E24" s="23"/>
      <c r="F24" s="23"/>
    </row>
    <row r="26" spans="1:6">
      <c r="A26" s="134" t="s">
        <v>280</v>
      </c>
      <c r="B26" s="135"/>
      <c r="C26" s="135"/>
      <c r="D26" s="135"/>
      <c r="E26" s="135"/>
      <c r="F26" s="136"/>
    </row>
    <row r="27" spans="1:6">
      <c r="A27" s="5" t="s">
        <v>281</v>
      </c>
      <c r="B27" s="5" t="s">
        <v>282</v>
      </c>
      <c r="C27" s="5" t="s">
        <v>283</v>
      </c>
      <c r="D27" s="5" t="s">
        <v>284</v>
      </c>
      <c r="E27" s="5" t="s">
        <v>285</v>
      </c>
      <c r="F27" s="5" t="s">
        <v>286</v>
      </c>
    </row>
    <row r="28" spans="1:6">
      <c r="A28" s="24"/>
      <c r="B28" s="24"/>
      <c r="C28" s="24"/>
      <c r="D28" s="24"/>
      <c r="E28" s="24"/>
      <c r="F28" s="24"/>
    </row>
    <row r="29" spans="1:6">
      <c r="A29" s="24"/>
      <c r="B29" s="24"/>
      <c r="C29" s="24"/>
      <c r="D29" s="24"/>
      <c r="E29" s="24"/>
      <c r="F29" s="24"/>
    </row>
    <row r="30" spans="1:6">
      <c r="A30" s="24"/>
      <c r="B30" s="24"/>
      <c r="C30" s="24"/>
      <c r="D30" s="24"/>
      <c r="E30" s="24"/>
      <c r="F30" s="24"/>
    </row>
    <row r="31" spans="1:6">
      <c r="A31" s="24"/>
      <c r="B31" s="24"/>
      <c r="C31" s="24"/>
      <c r="D31" s="24"/>
      <c r="E31" s="24"/>
      <c r="F31" s="24"/>
    </row>
    <row r="32" spans="1:6">
      <c r="A32" s="24"/>
      <c r="B32" s="24"/>
      <c r="C32" s="24"/>
      <c r="D32" s="24"/>
      <c r="E32" s="24"/>
      <c r="F32" s="24"/>
    </row>
    <row r="34" spans="1:6" ht="21" customHeight="1">
      <c r="A34" s="137" t="s">
        <v>287</v>
      </c>
      <c r="B34" s="138"/>
      <c r="C34" s="138"/>
      <c r="D34" s="138"/>
      <c r="E34" s="138"/>
      <c r="F34" s="139"/>
    </row>
    <row r="35" spans="1:6" ht="21" customHeight="1">
      <c r="A35" s="5" t="s">
        <v>288</v>
      </c>
      <c r="B35" s="5" t="s">
        <v>289</v>
      </c>
      <c r="C35" s="5" t="s">
        <v>290</v>
      </c>
      <c r="D35" s="5" t="s">
        <v>291</v>
      </c>
      <c r="E35" s="5" t="s">
        <v>292</v>
      </c>
      <c r="F35" s="5" t="s">
        <v>293</v>
      </c>
    </row>
    <row r="36" spans="1:6" ht="24" customHeight="1">
      <c r="A36" s="25" t="s">
        <v>294</v>
      </c>
      <c r="B36" s="26"/>
      <c r="C36" s="26"/>
      <c r="D36" s="26"/>
      <c r="E36" s="26"/>
      <c r="F36" s="26"/>
    </row>
    <row r="37" spans="1:6" ht="24" customHeight="1">
      <c r="A37" s="25"/>
      <c r="B37" s="26"/>
      <c r="C37" s="26"/>
      <c r="D37" s="26"/>
      <c r="E37" s="26"/>
      <c r="F37" s="26"/>
    </row>
    <row r="38" spans="1:6" ht="24" customHeight="1">
      <c r="A38" s="25"/>
      <c r="B38" s="26"/>
      <c r="C38" s="26"/>
      <c r="D38" s="26"/>
      <c r="E38" s="26"/>
      <c r="F38" s="26"/>
    </row>
    <row r="39" spans="1:6" ht="24" customHeight="1">
      <c r="A39" s="25"/>
      <c r="B39" s="26"/>
      <c r="C39" s="26"/>
      <c r="D39" s="26"/>
      <c r="E39" s="26"/>
      <c r="F39" s="26"/>
    </row>
    <row r="40" spans="1:6" ht="24" customHeight="1">
      <c r="A40" s="25"/>
      <c r="B40" s="26"/>
      <c r="C40" s="26"/>
      <c r="D40" s="26"/>
      <c r="E40" s="26"/>
      <c r="F40" s="26"/>
    </row>
    <row r="41" spans="1:6" ht="24" customHeight="1">
      <c r="A41" s="25"/>
      <c r="B41" s="26"/>
      <c r="C41" s="26"/>
      <c r="D41" s="26"/>
      <c r="E41" s="26"/>
      <c r="F41" s="26"/>
    </row>
    <row r="42" spans="1:6" ht="24" customHeight="1">
      <c r="A42" s="25" t="s">
        <v>295</v>
      </c>
      <c r="B42" s="26"/>
      <c r="C42" s="26"/>
      <c r="D42" s="26"/>
      <c r="E42" s="26"/>
      <c r="F42" s="26"/>
    </row>
    <row r="43" spans="1:6" ht="24" customHeight="1">
      <c r="A43" s="25"/>
      <c r="B43" s="26"/>
      <c r="C43" s="26"/>
      <c r="D43" s="26"/>
      <c r="E43" s="26"/>
      <c r="F43" s="26"/>
    </row>
    <row r="44" spans="1:6" ht="24" customHeight="1">
      <c r="A44" s="25"/>
      <c r="B44" s="26"/>
      <c r="C44" s="26"/>
      <c r="D44" s="26"/>
      <c r="E44" s="26"/>
      <c r="F44" s="26"/>
    </row>
    <row r="45" spans="1:6" ht="24" customHeight="1">
      <c r="A45" s="25"/>
      <c r="B45" s="26"/>
      <c r="C45" s="26"/>
      <c r="D45" s="26"/>
      <c r="E45" s="26"/>
      <c r="F45" s="26"/>
    </row>
    <row r="46" spans="1:6" ht="24" customHeight="1">
      <c r="A46" s="25"/>
      <c r="B46" s="26"/>
      <c r="C46" s="26"/>
      <c r="D46" s="26"/>
      <c r="E46" s="26"/>
      <c r="F46" s="26"/>
    </row>
    <row r="47" spans="1:6" ht="23.1" customHeight="1">
      <c r="A47" s="25" t="s">
        <v>296</v>
      </c>
      <c r="B47" s="26"/>
      <c r="C47" s="26"/>
      <c r="D47" s="26"/>
      <c r="E47" s="26"/>
      <c r="F47" s="26"/>
    </row>
    <row r="48" spans="1:6" ht="23.1" customHeight="1">
      <c r="A48" s="27"/>
      <c r="B48" s="28"/>
      <c r="C48" s="28"/>
      <c r="D48" s="28"/>
      <c r="E48" s="28"/>
      <c r="F48" s="28"/>
    </row>
    <row r="49" spans="1:6" ht="23.1" customHeight="1">
      <c r="A49" s="27"/>
      <c r="B49" s="28"/>
      <c r="C49" s="28"/>
      <c r="D49" s="28"/>
      <c r="E49" s="28"/>
      <c r="F49" s="28"/>
    </row>
    <row r="50" spans="1:6" ht="23.1" customHeight="1">
      <c r="A50" s="27"/>
      <c r="B50" s="28"/>
      <c r="C50" s="28"/>
      <c r="D50" s="28"/>
      <c r="E50" s="28"/>
      <c r="F50" s="28"/>
    </row>
    <row r="51" spans="1:6" ht="23.1" customHeight="1">
      <c r="A51" s="27"/>
      <c r="B51" s="28"/>
      <c r="C51" s="28"/>
      <c r="D51" s="28"/>
      <c r="E51" s="28"/>
      <c r="F51" s="28"/>
    </row>
    <row r="52" spans="1:6" ht="23.1" customHeight="1">
      <c r="A52" s="27"/>
      <c r="B52" s="28"/>
      <c r="C52" s="28"/>
      <c r="D52" s="28"/>
      <c r="E52" s="28"/>
      <c r="F52" s="28"/>
    </row>
    <row r="54" spans="1:6" ht="21" customHeight="1">
      <c r="A54" s="133" t="s">
        <v>297</v>
      </c>
      <c r="B54" s="133"/>
      <c r="C54" s="133"/>
      <c r="D54" s="133"/>
      <c r="E54" s="133"/>
      <c r="F54" s="133"/>
    </row>
    <row r="55" spans="1:6" ht="24" customHeight="1">
      <c r="A55" s="29"/>
      <c r="B55" s="29"/>
      <c r="C55" s="29"/>
      <c r="D55" s="29"/>
      <c r="E55" s="29"/>
      <c r="F55" s="29"/>
    </row>
    <row r="56" spans="1:6" ht="24" customHeight="1">
      <c r="A56" s="29"/>
      <c r="B56" s="29"/>
      <c r="C56" s="29"/>
      <c r="D56" s="29"/>
      <c r="E56" s="29"/>
      <c r="F56" s="29"/>
    </row>
    <row r="57" spans="1:6" ht="24" customHeight="1">
      <c r="A57" s="29"/>
      <c r="B57" s="29"/>
      <c r="C57" s="29"/>
      <c r="D57" s="29"/>
      <c r="E57" s="29"/>
      <c r="F57" s="29"/>
    </row>
    <row r="59" spans="1:6" ht="21" customHeight="1">
      <c r="A59" s="140" t="s">
        <v>298</v>
      </c>
      <c r="B59" s="140"/>
      <c r="C59" s="140"/>
      <c r="D59" s="140"/>
      <c r="E59" s="140"/>
      <c r="F59" s="140"/>
    </row>
    <row r="60" spans="1:6" ht="27" customHeight="1">
      <c r="A60" s="29" t="s">
        <v>299</v>
      </c>
      <c r="B60" s="29" t="s">
        <v>300</v>
      </c>
      <c r="C60" s="29" t="s">
        <v>301</v>
      </c>
      <c r="D60" s="29" t="s">
        <v>302</v>
      </c>
      <c r="E60" s="29" t="s">
        <v>303</v>
      </c>
      <c r="F60" s="29" t="s">
        <v>304</v>
      </c>
    </row>
    <row r="61" spans="1:6" ht="27" customHeight="1">
      <c r="A61" s="29"/>
      <c r="B61" s="29"/>
      <c r="C61" s="29"/>
      <c r="D61" s="29"/>
      <c r="E61" s="29"/>
      <c r="F61" s="29"/>
    </row>
    <row r="62" spans="1:6" ht="27" customHeight="1">
      <c r="A62" s="29"/>
      <c r="B62" s="29"/>
      <c r="C62" s="29"/>
      <c r="D62" s="29"/>
      <c r="E62" s="29"/>
      <c r="F62" s="29"/>
    </row>
    <row r="63" spans="1:6" ht="27" customHeight="1">
      <c r="A63" s="29"/>
      <c r="B63" s="29"/>
      <c r="C63" s="29"/>
      <c r="D63" s="29"/>
      <c r="E63" s="29"/>
      <c r="F63" s="29"/>
    </row>
    <row r="64" spans="1:6" ht="27" customHeight="1">
      <c r="A64" s="29"/>
      <c r="B64" s="29"/>
      <c r="C64" s="29"/>
      <c r="D64" s="29"/>
      <c r="E64" s="29"/>
      <c r="F64" s="29"/>
    </row>
    <row r="66" spans="1:6">
      <c r="A66" s="141" t="s">
        <v>305</v>
      </c>
      <c r="B66" s="141"/>
      <c r="C66" s="141"/>
      <c r="D66" s="141"/>
      <c r="E66" s="141"/>
      <c r="F66" s="141"/>
    </row>
    <row r="67" spans="1:6" ht="32.1" customHeight="1">
      <c r="A67" s="5" t="s">
        <v>306</v>
      </c>
      <c r="B67" s="5" t="s">
        <v>307</v>
      </c>
      <c r="C67" s="5" t="s">
        <v>308</v>
      </c>
      <c r="D67" s="5" t="s">
        <v>304</v>
      </c>
      <c r="E67" s="5" t="s">
        <v>309</v>
      </c>
      <c r="F67" s="5" t="s">
        <v>310</v>
      </c>
    </row>
    <row r="68" spans="1:6" ht="32.1" customHeight="1">
      <c r="A68" s="22" t="s">
        <v>311</v>
      </c>
      <c r="B68" s="22"/>
      <c r="C68" s="22"/>
      <c r="D68" s="22"/>
      <c r="E68" s="22"/>
      <c r="F68" s="22" t="s">
        <v>312</v>
      </c>
    </row>
    <row r="69" spans="1:6" ht="32.1" customHeight="1">
      <c r="A69" s="22" t="s">
        <v>313</v>
      </c>
      <c r="B69" s="22"/>
      <c r="C69" s="22"/>
      <c r="D69" s="22"/>
      <c r="E69" s="22"/>
      <c r="F69" s="22" t="s">
        <v>314</v>
      </c>
    </row>
    <row r="77" spans="1:6">
      <c r="D77" t="s">
        <v>248</v>
      </c>
    </row>
  </sheetData>
  <mergeCells count="13">
    <mergeCell ref="A66:F66"/>
    <mergeCell ref="G1:X1048576"/>
    <mergeCell ref="A4:F7"/>
    <mergeCell ref="A16:F16"/>
    <mergeCell ref="A26:F26"/>
    <mergeCell ref="A34:F34"/>
    <mergeCell ref="A54:F54"/>
    <mergeCell ref="A59:F59"/>
    <mergeCell ref="A1:F1"/>
    <mergeCell ref="A2:F2"/>
    <mergeCell ref="A3:F3"/>
    <mergeCell ref="A8:F8"/>
    <mergeCell ref="A9:F9"/>
  </mergeCells>
  <phoneticPr fontId="3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9"/>
  <sheetViews>
    <sheetView topLeftCell="E1" workbookViewId="0">
      <selection activeCell="O29" sqref="O29"/>
    </sheetView>
  </sheetViews>
  <sheetFormatPr defaultColWidth="9" defaultRowHeight="14.25"/>
  <cols>
    <col min="3" max="3" width="19.375" customWidth="1"/>
    <col min="4" max="4" width="31.125" customWidth="1"/>
    <col min="9" max="10" width="19" customWidth="1"/>
  </cols>
  <sheetData>
    <row r="1" spans="1:15" ht="24" customHeight="1">
      <c r="A1" s="8" t="s">
        <v>315</v>
      </c>
      <c r="B1" s="9" t="s">
        <v>316</v>
      </c>
      <c r="C1" s="9" t="s">
        <v>317</v>
      </c>
      <c r="D1" s="10" t="s">
        <v>318</v>
      </c>
      <c r="E1" s="9" t="s">
        <v>319</v>
      </c>
      <c r="F1" s="11" t="s">
        <v>320</v>
      </c>
      <c r="G1" s="11" t="s">
        <v>188</v>
      </c>
      <c r="H1" s="11" t="s">
        <v>321</v>
      </c>
      <c r="I1" s="9" t="s">
        <v>322</v>
      </c>
      <c r="J1" s="15" t="s">
        <v>323</v>
      </c>
      <c r="K1" s="11" t="s">
        <v>324</v>
      </c>
      <c r="L1" s="16" t="s">
        <v>325</v>
      </c>
      <c r="M1" s="17" t="s">
        <v>326</v>
      </c>
      <c r="N1" s="18" t="s">
        <v>327</v>
      </c>
      <c r="O1" s="17" t="s">
        <v>328</v>
      </c>
    </row>
    <row r="2" spans="1:15" ht="17.100000000000001" customHeight="1">
      <c r="A2" s="12" t="s">
        <v>329</v>
      </c>
      <c r="B2" s="13" t="s">
        <v>330</v>
      </c>
      <c r="C2" s="13" t="s">
        <v>331</v>
      </c>
      <c r="D2" s="14"/>
      <c r="E2" s="13" t="s">
        <v>332</v>
      </c>
      <c r="F2" s="12"/>
      <c r="G2" s="12"/>
      <c r="H2" s="12" t="s">
        <v>329</v>
      </c>
      <c r="I2" s="13"/>
      <c r="J2" s="19"/>
      <c r="K2" s="12"/>
      <c r="L2" s="12"/>
      <c r="M2" s="20"/>
      <c r="N2" s="21"/>
      <c r="O2" s="20"/>
    </row>
    <row r="3" spans="1:15">
      <c r="A3" s="12" t="s">
        <v>329</v>
      </c>
      <c r="B3" s="13" t="s">
        <v>330</v>
      </c>
      <c r="C3" s="13" t="s">
        <v>331</v>
      </c>
      <c r="D3" s="14"/>
      <c r="E3" s="13" t="s">
        <v>332</v>
      </c>
      <c r="F3" s="12"/>
      <c r="G3" s="12"/>
      <c r="H3" s="12" t="s">
        <v>329</v>
      </c>
      <c r="I3" s="13"/>
      <c r="J3" s="19"/>
      <c r="K3" s="12"/>
      <c r="L3" s="12"/>
      <c r="M3" s="20"/>
      <c r="N3" s="21"/>
      <c r="O3" s="20"/>
    </row>
    <row r="4" spans="1:15">
      <c r="A4" s="12" t="s">
        <v>329</v>
      </c>
      <c r="B4" s="13" t="s">
        <v>330</v>
      </c>
      <c r="C4" s="13" t="s">
        <v>331</v>
      </c>
      <c r="D4" s="14"/>
      <c r="E4" s="13" t="s">
        <v>332</v>
      </c>
      <c r="F4" s="12"/>
      <c r="G4" s="12"/>
      <c r="H4" s="12" t="s">
        <v>329</v>
      </c>
      <c r="I4" s="13"/>
      <c r="J4" s="19"/>
      <c r="K4" s="12"/>
      <c r="L4" s="12"/>
      <c r="M4" s="20"/>
      <c r="N4" s="21"/>
      <c r="O4" s="20"/>
    </row>
    <row r="5" spans="1:15">
      <c r="A5" s="12" t="s">
        <v>329</v>
      </c>
      <c r="B5" s="13" t="s">
        <v>330</v>
      </c>
      <c r="C5" s="13" t="s">
        <v>331</v>
      </c>
      <c r="D5" s="14"/>
      <c r="E5" s="13" t="s">
        <v>332</v>
      </c>
      <c r="F5" s="12"/>
      <c r="G5" s="12"/>
      <c r="H5" s="12" t="s">
        <v>329</v>
      </c>
      <c r="I5" s="13"/>
      <c r="J5" s="19"/>
      <c r="K5" s="12"/>
      <c r="L5" s="12"/>
      <c r="M5" s="20"/>
      <c r="N5" s="21"/>
      <c r="O5" s="20"/>
    </row>
    <row r="6" spans="1:15">
      <c r="A6" s="12" t="s">
        <v>329</v>
      </c>
      <c r="B6" s="13" t="s">
        <v>330</v>
      </c>
      <c r="C6" s="13" t="s">
        <v>331</v>
      </c>
      <c r="D6" s="14"/>
      <c r="E6" s="13" t="s">
        <v>332</v>
      </c>
      <c r="F6" s="12"/>
      <c r="G6" s="12"/>
      <c r="H6" s="12" t="s">
        <v>329</v>
      </c>
      <c r="I6" s="13"/>
      <c r="J6" s="19"/>
      <c r="K6" s="12"/>
      <c r="L6" s="12"/>
      <c r="M6" s="20"/>
      <c r="N6" s="21"/>
      <c r="O6" s="20"/>
    </row>
    <row r="7" spans="1:15">
      <c r="A7" s="12" t="s">
        <v>329</v>
      </c>
      <c r="B7" s="13" t="s">
        <v>330</v>
      </c>
      <c r="C7" s="13" t="s">
        <v>331</v>
      </c>
      <c r="D7" s="14"/>
      <c r="E7" s="13" t="s">
        <v>332</v>
      </c>
      <c r="F7" s="12"/>
      <c r="G7" s="12"/>
      <c r="H7" s="12" t="s">
        <v>329</v>
      </c>
      <c r="I7" s="13"/>
      <c r="J7" s="19"/>
      <c r="K7" s="12"/>
      <c r="L7" s="12"/>
      <c r="M7" s="20"/>
      <c r="N7" s="21"/>
      <c r="O7" s="20"/>
    </row>
    <row r="8" spans="1:15">
      <c r="A8" s="12" t="s">
        <v>329</v>
      </c>
      <c r="B8" s="13" t="s">
        <v>330</v>
      </c>
      <c r="C8" s="13" t="s">
        <v>331</v>
      </c>
      <c r="D8" s="14"/>
      <c r="E8" s="13" t="s">
        <v>332</v>
      </c>
      <c r="F8" s="12"/>
      <c r="G8" s="12"/>
      <c r="H8" s="12" t="s">
        <v>329</v>
      </c>
      <c r="I8" s="13"/>
      <c r="J8" s="19"/>
      <c r="K8" s="12"/>
      <c r="L8" s="12"/>
      <c r="M8" s="20"/>
      <c r="N8" s="21"/>
      <c r="O8" s="20"/>
    </row>
    <row r="9" spans="1:15">
      <c r="A9" s="12" t="s">
        <v>329</v>
      </c>
      <c r="B9" s="13" t="s">
        <v>330</v>
      </c>
      <c r="C9" s="13" t="s">
        <v>331</v>
      </c>
      <c r="D9" s="14"/>
      <c r="E9" s="13" t="s">
        <v>332</v>
      </c>
      <c r="F9" s="12"/>
      <c r="G9" s="12"/>
      <c r="H9" s="12" t="s">
        <v>329</v>
      </c>
      <c r="I9" s="13"/>
      <c r="J9" s="19"/>
      <c r="K9" s="12"/>
      <c r="L9" s="12"/>
      <c r="M9" s="20"/>
      <c r="N9" s="21"/>
      <c r="O9" s="20"/>
    </row>
    <row r="10" spans="1:15">
      <c r="A10" s="12" t="s">
        <v>329</v>
      </c>
      <c r="B10" s="13" t="s">
        <v>330</v>
      </c>
      <c r="C10" s="13" t="s">
        <v>331</v>
      </c>
      <c r="D10" s="14"/>
      <c r="E10" s="13" t="s">
        <v>332</v>
      </c>
      <c r="F10" s="12"/>
      <c r="G10" s="12"/>
      <c r="H10" s="12" t="s">
        <v>329</v>
      </c>
      <c r="I10" s="13"/>
      <c r="J10" s="19"/>
      <c r="K10" s="12"/>
      <c r="L10" s="12"/>
      <c r="M10" s="20"/>
      <c r="N10" s="21"/>
      <c r="O10" s="20"/>
    </row>
    <row r="11" spans="1:15">
      <c r="A11" s="12" t="s">
        <v>329</v>
      </c>
      <c r="B11" s="13" t="s">
        <v>330</v>
      </c>
      <c r="C11" s="13" t="s">
        <v>331</v>
      </c>
      <c r="D11" s="14"/>
      <c r="E11" s="13" t="s">
        <v>332</v>
      </c>
      <c r="F11" s="12"/>
      <c r="G11" s="12"/>
      <c r="H11" s="12" t="s">
        <v>329</v>
      </c>
      <c r="I11" s="13"/>
      <c r="J11" s="19"/>
      <c r="K11" s="12"/>
      <c r="L11" s="12"/>
      <c r="M11" s="20"/>
      <c r="N11" s="21"/>
      <c r="O11" s="20"/>
    </row>
    <row r="12" spans="1:15">
      <c r="A12" s="12" t="s">
        <v>329</v>
      </c>
      <c r="B12" s="13" t="s">
        <v>330</v>
      </c>
      <c r="C12" s="13" t="s">
        <v>331</v>
      </c>
      <c r="D12" s="14"/>
      <c r="E12" s="13" t="s">
        <v>332</v>
      </c>
      <c r="F12" s="12"/>
      <c r="G12" s="12"/>
      <c r="H12" s="12" t="s">
        <v>329</v>
      </c>
      <c r="I12" s="13"/>
      <c r="J12" s="19"/>
      <c r="K12" s="12"/>
      <c r="L12" s="12"/>
      <c r="M12" s="20"/>
      <c r="N12" s="21"/>
      <c r="O12" s="20"/>
    </row>
    <row r="13" spans="1:15">
      <c r="A13" s="12" t="s">
        <v>329</v>
      </c>
      <c r="B13" s="13" t="s">
        <v>330</v>
      </c>
      <c r="C13" s="13" t="s">
        <v>331</v>
      </c>
      <c r="D13" s="14"/>
      <c r="E13" s="13" t="s">
        <v>332</v>
      </c>
      <c r="F13" s="12"/>
      <c r="G13" s="12"/>
      <c r="H13" s="12" t="s">
        <v>329</v>
      </c>
      <c r="I13" s="13"/>
      <c r="J13" s="19"/>
      <c r="K13" s="12"/>
      <c r="L13" s="12"/>
      <c r="M13" s="20"/>
      <c r="N13" s="21"/>
      <c r="O13" s="20"/>
    </row>
    <row r="14" spans="1:15">
      <c r="A14" s="12" t="s">
        <v>329</v>
      </c>
      <c r="B14" s="13" t="s">
        <v>330</v>
      </c>
      <c r="C14" s="13" t="s">
        <v>331</v>
      </c>
      <c r="D14" s="14"/>
      <c r="E14" s="13" t="s">
        <v>332</v>
      </c>
      <c r="F14" s="12"/>
      <c r="G14" s="12"/>
      <c r="H14" s="12" t="s">
        <v>329</v>
      </c>
      <c r="I14" s="13"/>
      <c r="J14" s="19"/>
      <c r="K14" s="12"/>
      <c r="L14" s="12"/>
      <c r="M14" s="20"/>
      <c r="N14" s="21"/>
      <c r="O14" s="20"/>
    </row>
    <row r="15" spans="1:15">
      <c r="A15" s="12" t="s">
        <v>329</v>
      </c>
      <c r="B15" s="13" t="s">
        <v>330</v>
      </c>
      <c r="C15" s="13" t="s">
        <v>331</v>
      </c>
      <c r="D15" s="14"/>
      <c r="E15" s="13" t="s">
        <v>332</v>
      </c>
      <c r="F15" s="12"/>
      <c r="G15" s="12"/>
      <c r="H15" s="12" t="s">
        <v>329</v>
      </c>
      <c r="I15" s="13"/>
      <c r="J15" s="19"/>
      <c r="K15" s="12"/>
      <c r="L15" s="12"/>
      <c r="M15" s="20"/>
      <c r="N15" s="21"/>
      <c r="O15" s="20"/>
    </row>
    <row r="16" spans="1:15">
      <c r="A16" s="12" t="s">
        <v>329</v>
      </c>
      <c r="B16" s="13" t="s">
        <v>330</v>
      </c>
      <c r="C16" s="13" t="s">
        <v>331</v>
      </c>
      <c r="D16" s="14"/>
      <c r="E16" s="13" t="s">
        <v>332</v>
      </c>
      <c r="F16" s="12"/>
      <c r="G16" s="12"/>
      <c r="H16" s="12" t="s">
        <v>329</v>
      </c>
      <c r="I16" s="13"/>
      <c r="J16" s="19"/>
      <c r="K16" s="12"/>
      <c r="L16" s="12"/>
      <c r="M16" s="20"/>
      <c r="N16" s="21"/>
      <c r="O16" s="20"/>
    </row>
    <row r="17" spans="1:15">
      <c r="A17" s="12" t="s">
        <v>329</v>
      </c>
      <c r="B17" s="13" t="s">
        <v>330</v>
      </c>
      <c r="C17" s="13" t="s">
        <v>331</v>
      </c>
      <c r="D17" s="14"/>
      <c r="E17" s="13" t="s">
        <v>332</v>
      </c>
      <c r="F17" s="12"/>
      <c r="G17" s="12"/>
      <c r="H17" s="12" t="s">
        <v>329</v>
      </c>
      <c r="I17" s="13"/>
      <c r="J17" s="19"/>
      <c r="K17" s="12"/>
      <c r="L17" s="12"/>
      <c r="M17" s="20"/>
      <c r="N17" s="21"/>
      <c r="O17" s="20"/>
    </row>
    <row r="18" spans="1:15">
      <c r="A18" s="12" t="s">
        <v>329</v>
      </c>
      <c r="B18" s="13" t="s">
        <v>330</v>
      </c>
      <c r="C18" s="13" t="s">
        <v>331</v>
      </c>
      <c r="D18" s="14"/>
      <c r="E18" s="13" t="s">
        <v>332</v>
      </c>
      <c r="F18" s="12"/>
      <c r="G18" s="12"/>
      <c r="H18" s="12" t="s">
        <v>329</v>
      </c>
      <c r="I18" s="13"/>
      <c r="J18" s="19"/>
      <c r="K18" s="12"/>
      <c r="L18" s="12"/>
      <c r="M18" s="20"/>
      <c r="N18" s="21"/>
      <c r="O18" s="20"/>
    </row>
    <row r="19" spans="1:15">
      <c r="A19" s="12" t="s">
        <v>329</v>
      </c>
      <c r="B19" s="13" t="s">
        <v>330</v>
      </c>
      <c r="C19" s="13" t="s">
        <v>331</v>
      </c>
      <c r="D19" s="14"/>
      <c r="E19" s="13" t="s">
        <v>332</v>
      </c>
      <c r="F19" s="12"/>
      <c r="G19" s="12"/>
      <c r="H19" s="12" t="s">
        <v>329</v>
      </c>
      <c r="I19" s="13"/>
      <c r="J19" s="19"/>
      <c r="K19" s="12"/>
      <c r="L19" s="12"/>
      <c r="M19" s="20"/>
      <c r="N19" s="21"/>
      <c r="O19" s="20"/>
    </row>
  </sheetData>
  <phoneticPr fontId="3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2"/>
  <sheetViews>
    <sheetView topLeftCell="C1" workbookViewId="0">
      <selection activeCell="L47" sqref="L47"/>
    </sheetView>
  </sheetViews>
  <sheetFormatPr defaultColWidth="9" defaultRowHeight="14.25"/>
  <cols>
    <col min="1" max="1" width="27" customWidth="1"/>
    <col min="2" max="2" width="15.875" customWidth="1"/>
    <col min="3" max="3" width="11.375" customWidth="1"/>
    <col min="4" max="4" width="10.375" customWidth="1"/>
    <col min="5" max="5" width="5.625" customWidth="1"/>
    <col min="6" max="6" width="7.875" customWidth="1"/>
    <col min="7" max="7" width="6.125" customWidth="1"/>
    <col min="8" max="8" width="13.875" customWidth="1"/>
    <col min="9" max="11" width="5.75" customWidth="1"/>
    <col min="12" max="12" width="13.25" customWidth="1"/>
    <col min="13" max="13" width="13.5" customWidth="1"/>
    <col min="14" max="14" width="11.5" customWidth="1"/>
    <col min="15" max="17" width="16.375" customWidth="1"/>
    <col min="18" max="18" width="12.5" customWidth="1"/>
    <col min="19" max="19" width="7.875" customWidth="1"/>
    <col min="20" max="20" width="11" customWidth="1"/>
  </cols>
  <sheetData>
    <row r="1" spans="1:20" ht="36" customHeight="1">
      <c r="A1" s="1"/>
      <c r="B1" s="2" t="s">
        <v>333</v>
      </c>
      <c r="C1" s="2" t="s">
        <v>334</v>
      </c>
      <c r="D1" s="2" t="s">
        <v>335</v>
      </c>
      <c r="E1" s="2" t="s">
        <v>336</v>
      </c>
      <c r="F1" s="2" t="s">
        <v>337</v>
      </c>
      <c r="G1" s="2" t="s">
        <v>336</v>
      </c>
      <c r="H1" s="2" t="s">
        <v>338</v>
      </c>
      <c r="I1" s="2" t="s">
        <v>336</v>
      </c>
      <c r="J1" s="2" t="s">
        <v>339</v>
      </c>
      <c r="K1" s="2" t="s">
        <v>336</v>
      </c>
      <c r="L1" s="2" t="s">
        <v>340</v>
      </c>
      <c r="M1" s="2" t="s">
        <v>341</v>
      </c>
      <c r="N1" s="5" t="s">
        <v>273</v>
      </c>
      <c r="O1" s="5" t="s">
        <v>342</v>
      </c>
      <c r="P1" s="5" t="s">
        <v>343</v>
      </c>
      <c r="Q1" s="5" t="s">
        <v>344</v>
      </c>
      <c r="R1" s="5" t="s">
        <v>345</v>
      </c>
      <c r="S1" s="5" t="s">
        <v>346</v>
      </c>
      <c r="T1" s="5" t="s">
        <v>347</v>
      </c>
    </row>
    <row r="2" spans="1:20">
      <c r="A2" s="3" t="s">
        <v>348</v>
      </c>
      <c r="B2" s="4"/>
      <c r="C2" s="4"/>
      <c r="D2" s="4"/>
      <c r="E2" s="4"/>
      <c r="F2" s="4"/>
      <c r="G2" s="4"/>
      <c r="H2" s="4"/>
      <c r="I2" s="4"/>
      <c r="J2" s="4"/>
      <c r="K2" s="4"/>
      <c r="L2" s="4"/>
      <c r="M2" s="4"/>
      <c r="N2" s="6"/>
      <c r="O2" s="6"/>
      <c r="P2" s="6"/>
      <c r="Q2" s="6"/>
      <c r="R2" s="6"/>
      <c r="S2" s="6"/>
      <c r="T2" s="6"/>
    </row>
    <row r="3" spans="1:20">
      <c r="A3" s="3" t="s">
        <v>349</v>
      </c>
      <c r="B3" s="4"/>
      <c r="C3" s="4"/>
      <c r="D3" s="4"/>
      <c r="E3" s="4"/>
      <c r="F3" s="4"/>
      <c r="G3" s="4"/>
      <c r="H3" s="4"/>
      <c r="I3" s="4"/>
      <c r="J3" s="4"/>
      <c r="K3" s="4"/>
      <c r="L3" s="4"/>
      <c r="M3" s="4"/>
      <c r="N3" s="6"/>
      <c r="O3" s="6"/>
      <c r="P3" s="6"/>
      <c r="Q3" s="6"/>
      <c r="R3" s="6"/>
      <c r="S3" s="6"/>
      <c r="T3" s="6"/>
    </row>
    <row r="4" spans="1:20">
      <c r="A4" s="3" t="s">
        <v>350</v>
      </c>
      <c r="B4" s="4"/>
      <c r="C4" s="4"/>
      <c r="D4" s="4"/>
      <c r="E4" s="4"/>
      <c r="F4" s="4"/>
      <c r="G4" s="4"/>
      <c r="H4" s="4"/>
      <c r="I4" s="4"/>
      <c r="J4" s="4"/>
      <c r="K4" s="4"/>
      <c r="L4" s="4"/>
      <c r="M4" s="4"/>
      <c r="N4" s="6"/>
      <c r="O4" s="6"/>
      <c r="P4" s="6"/>
      <c r="Q4" s="6"/>
      <c r="R4" s="6"/>
      <c r="S4" s="6"/>
      <c r="T4" s="6"/>
    </row>
    <row r="5" spans="1:20">
      <c r="A5" s="3" t="s">
        <v>351</v>
      </c>
      <c r="B5" s="4"/>
      <c r="C5" s="4"/>
      <c r="D5" s="4"/>
      <c r="E5" s="4"/>
      <c r="F5" s="4"/>
      <c r="G5" s="4"/>
      <c r="H5" s="4"/>
      <c r="I5" s="4"/>
      <c r="J5" s="4"/>
      <c r="K5" s="4"/>
      <c r="L5" s="4"/>
      <c r="M5" s="4"/>
      <c r="N5" s="6"/>
      <c r="O5" s="6"/>
      <c r="P5" s="6"/>
      <c r="Q5" s="6"/>
      <c r="R5" s="6"/>
      <c r="S5" s="6"/>
      <c r="T5" s="6"/>
    </row>
    <row r="6" spans="1:20">
      <c r="A6" s="3" t="s">
        <v>352</v>
      </c>
      <c r="B6" s="4"/>
      <c r="C6" s="4"/>
      <c r="D6" s="4"/>
      <c r="E6" s="4"/>
      <c r="F6" s="4"/>
      <c r="G6" s="4"/>
      <c r="H6" s="4"/>
      <c r="I6" s="4"/>
      <c r="J6" s="4"/>
      <c r="K6" s="4"/>
      <c r="L6" s="4"/>
      <c r="M6" s="4"/>
      <c r="N6" s="6"/>
      <c r="O6" s="6"/>
      <c r="P6" s="6"/>
      <c r="Q6" s="6"/>
      <c r="R6" s="6"/>
      <c r="S6" s="6"/>
      <c r="T6" s="6"/>
    </row>
    <row r="7" spans="1:20">
      <c r="A7" s="3" t="s">
        <v>353</v>
      </c>
      <c r="B7" s="4"/>
      <c r="C7" s="4"/>
      <c r="D7" s="4"/>
      <c r="E7" s="4"/>
      <c r="F7" s="4"/>
      <c r="G7" s="4"/>
      <c r="H7" s="4"/>
      <c r="I7" s="4"/>
      <c r="J7" s="4"/>
      <c r="K7" s="4"/>
      <c r="L7" s="4"/>
      <c r="M7" s="4"/>
      <c r="N7" s="6"/>
      <c r="O7" s="6"/>
      <c r="P7" s="6"/>
      <c r="Q7" s="6"/>
      <c r="R7" s="6"/>
      <c r="S7" s="6"/>
      <c r="T7" s="6"/>
    </row>
    <row r="8" spans="1:20">
      <c r="A8" s="3" t="s">
        <v>354</v>
      </c>
      <c r="B8" s="4"/>
      <c r="C8" s="4"/>
      <c r="D8" s="4"/>
      <c r="E8" s="4"/>
      <c r="F8" s="4"/>
      <c r="G8" s="4"/>
      <c r="H8" s="4"/>
      <c r="I8" s="4"/>
      <c r="J8" s="4"/>
      <c r="K8" s="4"/>
      <c r="L8" s="4"/>
      <c r="M8" s="4"/>
      <c r="N8" s="6"/>
      <c r="O8" s="6"/>
      <c r="P8" s="6"/>
      <c r="Q8" s="6"/>
      <c r="R8" s="6"/>
      <c r="S8" s="6"/>
      <c r="T8" s="6"/>
    </row>
    <row r="9" spans="1:20">
      <c r="A9" s="3" t="s">
        <v>355</v>
      </c>
      <c r="B9" s="4"/>
      <c r="C9" s="4"/>
      <c r="D9" s="4"/>
      <c r="E9" s="4"/>
      <c r="F9" s="4"/>
      <c r="G9" s="4"/>
      <c r="H9" s="4"/>
      <c r="I9" s="4"/>
      <c r="J9" s="4"/>
      <c r="K9" s="4"/>
      <c r="L9" s="4"/>
      <c r="M9" s="4"/>
      <c r="N9" s="6"/>
      <c r="O9" s="6"/>
      <c r="P9" s="6"/>
      <c r="Q9" s="6"/>
      <c r="R9" s="6"/>
      <c r="S9" s="6"/>
      <c r="T9" s="6"/>
    </row>
    <row r="10" spans="1:20">
      <c r="A10" s="3" t="s">
        <v>356</v>
      </c>
      <c r="B10" s="4"/>
      <c r="C10" s="4"/>
      <c r="D10" s="4"/>
      <c r="E10" s="4"/>
      <c r="F10" s="4"/>
      <c r="G10" s="4"/>
      <c r="H10" s="4"/>
      <c r="I10" s="4"/>
      <c r="J10" s="4"/>
      <c r="K10" s="4"/>
      <c r="L10" s="4"/>
      <c r="M10" s="4"/>
      <c r="N10" s="6"/>
      <c r="O10" s="6"/>
      <c r="P10" s="6"/>
      <c r="Q10" s="6"/>
      <c r="R10" s="6"/>
      <c r="S10" s="6"/>
      <c r="T10" s="6"/>
    </row>
    <row r="11" spans="1:20">
      <c r="A11" s="3" t="s">
        <v>357</v>
      </c>
      <c r="B11" s="4"/>
      <c r="C11" s="4"/>
      <c r="D11" s="4"/>
      <c r="E11" s="4"/>
      <c r="F11" s="4"/>
      <c r="G11" s="4"/>
      <c r="H11" s="4"/>
      <c r="I11" s="4"/>
      <c r="J11" s="4"/>
      <c r="K11" s="4"/>
      <c r="L11" s="4"/>
      <c r="M11" s="4"/>
      <c r="N11" s="6"/>
      <c r="O11" s="6"/>
      <c r="P11" s="6"/>
      <c r="Q11" s="6"/>
      <c r="R11" s="6"/>
      <c r="S11" s="6"/>
      <c r="T11" s="6"/>
    </row>
    <row r="12" spans="1:20">
      <c r="A12" s="3" t="s">
        <v>358</v>
      </c>
      <c r="B12" s="4"/>
      <c r="C12" s="4"/>
      <c r="D12" s="4"/>
      <c r="E12" s="4"/>
      <c r="F12" s="4"/>
      <c r="G12" s="4"/>
      <c r="H12" s="4"/>
      <c r="I12" s="4"/>
      <c r="J12" s="4"/>
      <c r="K12" s="4"/>
      <c r="L12" s="4"/>
      <c r="M12" s="4"/>
      <c r="N12" s="6"/>
      <c r="O12" s="6"/>
      <c r="P12" s="6"/>
      <c r="Q12" s="6"/>
      <c r="R12" s="6"/>
      <c r="S12" s="6"/>
      <c r="T12" s="6"/>
    </row>
    <row r="13" spans="1:20">
      <c r="A13" s="3" t="s">
        <v>359</v>
      </c>
      <c r="B13" s="4"/>
      <c r="C13" s="4"/>
      <c r="D13" s="4"/>
      <c r="E13" s="4"/>
      <c r="F13" s="4"/>
      <c r="G13" s="4"/>
      <c r="H13" s="4"/>
      <c r="I13" s="4"/>
      <c r="J13" s="4"/>
      <c r="K13" s="4"/>
      <c r="L13" s="4"/>
      <c r="M13" s="4"/>
      <c r="N13" s="6"/>
      <c r="O13" s="6"/>
      <c r="P13" s="6"/>
      <c r="Q13" s="6"/>
      <c r="R13" s="6"/>
      <c r="S13" s="6"/>
      <c r="T13" s="6"/>
    </row>
    <row r="14" spans="1:20">
      <c r="A14" s="3" t="s">
        <v>360</v>
      </c>
      <c r="B14" s="4"/>
      <c r="C14" s="4"/>
      <c r="D14" s="4"/>
      <c r="E14" s="4"/>
      <c r="F14" s="4"/>
      <c r="G14" s="4"/>
      <c r="H14" s="4"/>
      <c r="I14" s="4"/>
      <c r="J14" s="4"/>
      <c r="K14" s="4"/>
      <c r="L14" s="4"/>
      <c r="M14" s="4"/>
      <c r="N14" s="6"/>
      <c r="O14" s="6"/>
      <c r="P14" s="6"/>
      <c r="Q14" s="6"/>
      <c r="R14" s="6"/>
      <c r="S14" s="6"/>
      <c r="T14" s="6"/>
    </row>
    <row r="15" spans="1:20">
      <c r="A15" s="3" t="s">
        <v>361</v>
      </c>
      <c r="B15" s="4"/>
      <c r="C15" s="4"/>
      <c r="D15" s="4"/>
      <c r="E15" s="4"/>
      <c r="F15" s="4"/>
      <c r="G15" s="4"/>
      <c r="H15" s="4"/>
      <c r="I15" s="4"/>
      <c r="J15" s="4"/>
      <c r="K15" s="4"/>
      <c r="L15" s="4"/>
      <c r="M15" s="4"/>
      <c r="N15" s="6"/>
      <c r="O15" s="6"/>
      <c r="P15" s="6"/>
      <c r="Q15" s="6"/>
      <c r="R15" s="6"/>
      <c r="S15" s="6"/>
      <c r="T15" s="6"/>
    </row>
    <row r="16" spans="1:20">
      <c r="A16" s="3" t="s">
        <v>362</v>
      </c>
      <c r="B16" s="4"/>
      <c r="C16" s="4"/>
      <c r="D16" s="4"/>
      <c r="E16" s="4"/>
      <c r="F16" s="4"/>
      <c r="G16" s="4"/>
      <c r="H16" s="4"/>
      <c r="I16" s="4"/>
      <c r="J16" s="4"/>
      <c r="K16" s="4"/>
      <c r="L16" s="4"/>
      <c r="M16" s="4"/>
      <c r="N16" s="6"/>
      <c r="O16" s="6"/>
      <c r="P16" s="6"/>
      <c r="Q16" s="6"/>
      <c r="R16" s="6"/>
      <c r="S16" s="6"/>
      <c r="T16" s="6"/>
    </row>
    <row r="17" spans="1:20">
      <c r="A17" s="3" t="s">
        <v>363</v>
      </c>
      <c r="B17" s="4"/>
      <c r="C17" s="4"/>
      <c r="D17" s="4"/>
      <c r="E17" s="4"/>
      <c r="F17" s="4"/>
      <c r="G17" s="4"/>
      <c r="H17" s="4"/>
      <c r="I17" s="4"/>
      <c r="J17" s="4"/>
      <c r="K17" s="4"/>
      <c r="L17" s="4"/>
      <c r="M17" s="4"/>
      <c r="N17" s="6"/>
      <c r="O17" s="6"/>
      <c r="P17" s="6"/>
      <c r="Q17" s="6"/>
      <c r="R17" s="6"/>
      <c r="S17" s="6"/>
      <c r="T17" s="6"/>
    </row>
    <row r="18" spans="1:20">
      <c r="A18" s="3" t="s">
        <v>364</v>
      </c>
      <c r="B18" s="4"/>
      <c r="C18" s="4"/>
      <c r="D18" s="4"/>
      <c r="E18" s="4"/>
      <c r="F18" s="4"/>
      <c r="G18" s="4"/>
      <c r="H18" s="4"/>
      <c r="I18" s="4"/>
      <c r="J18" s="4"/>
      <c r="K18" s="4"/>
      <c r="L18" s="4"/>
      <c r="M18" s="4"/>
      <c r="N18" s="6"/>
      <c r="O18" s="6"/>
      <c r="P18" s="6"/>
      <c r="Q18" s="6"/>
      <c r="R18" s="6"/>
      <c r="S18" s="6"/>
      <c r="T18" s="6"/>
    </row>
    <row r="19" spans="1:20">
      <c r="A19" s="3" t="s">
        <v>365</v>
      </c>
      <c r="B19" s="4"/>
      <c r="C19" s="4"/>
      <c r="D19" s="4"/>
      <c r="E19" s="4"/>
      <c r="F19" s="4"/>
      <c r="G19" s="4"/>
      <c r="H19" s="4"/>
      <c r="I19" s="4"/>
      <c r="J19" s="4"/>
      <c r="K19" s="4"/>
      <c r="L19" s="4"/>
      <c r="M19" s="4"/>
      <c r="N19" s="6"/>
      <c r="O19" s="6"/>
      <c r="P19" s="6"/>
      <c r="Q19" s="6"/>
      <c r="R19" s="6"/>
      <c r="S19" s="6"/>
      <c r="T19" s="6"/>
    </row>
    <row r="20" spans="1:20">
      <c r="A20" s="3" t="s">
        <v>366</v>
      </c>
      <c r="B20" s="4"/>
      <c r="C20" s="4"/>
      <c r="D20" s="4"/>
      <c r="E20" s="4"/>
      <c r="F20" s="4"/>
      <c r="G20" s="4"/>
      <c r="H20" s="4"/>
      <c r="I20" s="4"/>
      <c r="J20" s="4"/>
      <c r="K20" s="4"/>
      <c r="L20" s="4"/>
      <c r="M20" s="4"/>
      <c r="N20" s="6"/>
      <c r="O20" s="6"/>
      <c r="P20" s="6"/>
      <c r="Q20" s="6"/>
      <c r="R20" s="6"/>
      <c r="S20" s="6"/>
      <c r="T20" s="6"/>
    </row>
    <row r="21" spans="1:20">
      <c r="A21" s="3" t="s">
        <v>367</v>
      </c>
      <c r="B21" s="4"/>
      <c r="C21" s="4"/>
      <c r="D21" s="4"/>
      <c r="E21" s="4"/>
      <c r="F21" s="4"/>
      <c r="G21" s="4"/>
      <c r="H21" s="4"/>
      <c r="I21" s="4"/>
      <c r="J21" s="4"/>
      <c r="K21" s="4"/>
      <c r="L21" s="4"/>
      <c r="M21" s="4"/>
      <c r="N21" s="6"/>
      <c r="O21" s="6"/>
      <c r="P21" s="6"/>
      <c r="Q21" s="6"/>
      <c r="R21" s="6"/>
      <c r="S21" s="6"/>
      <c r="T21" s="6"/>
    </row>
    <row r="22" spans="1:20">
      <c r="A22" s="3" t="s">
        <v>368</v>
      </c>
      <c r="B22" s="4"/>
      <c r="C22" s="4"/>
      <c r="D22" s="4"/>
      <c r="E22" s="4"/>
      <c r="F22" s="4"/>
      <c r="G22" s="4"/>
      <c r="H22" s="4"/>
      <c r="I22" s="4"/>
      <c r="J22" s="4"/>
      <c r="K22" s="4"/>
      <c r="L22" s="4"/>
      <c r="M22" s="4"/>
      <c r="N22" s="6"/>
      <c r="O22" s="6"/>
      <c r="P22" s="6"/>
      <c r="Q22" s="6"/>
      <c r="R22" s="6"/>
      <c r="S22" s="6"/>
      <c r="T22" s="6"/>
    </row>
    <row r="23" spans="1:20">
      <c r="A23" s="3" t="s">
        <v>369</v>
      </c>
      <c r="B23" s="4"/>
      <c r="C23" s="4"/>
      <c r="D23" s="4"/>
      <c r="E23" s="4"/>
      <c r="F23" s="4"/>
      <c r="G23" s="4"/>
      <c r="H23" s="4"/>
      <c r="I23" s="4"/>
      <c r="J23" s="4"/>
      <c r="K23" s="4"/>
      <c r="L23" s="4"/>
      <c r="M23" s="4"/>
      <c r="N23" s="6"/>
      <c r="O23" s="6"/>
      <c r="P23" s="6"/>
      <c r="Q23" s="6"/>
      <c r="R23" s="6"/>
      <c r="S23" s="6"/>
      <c r="T23" s="6"/>
    </row>
    <row r="24" spans="1:20">
      <c r="A24" s="3" t="s">
        <v>370</v>
      </c>
      <c r="B24" s="4"/>
      <c r="C24" s="4"/>
      <c r="D24" s="4"/>
      <c r="E24" s="4"/>
      <c r="F24" s="4"/>
      <c r="G24" s="4"/>
      <c r="H24" s="4"/>
      <c r="I24" s="4"/>
      <c r="J24" s="4"/>
      <c r="K24" s="4"/>
      <c r="L24" s="4"/>
      <c r="M24" s="4"/>
      <c r="N24" s="6"/>
      <c r="O24" s="6"/>
      <c r="P24" s="6"/>
      <c r="Q24" s="6"/>
      <c r="R24" s="6"/>
      <c r="S24" s="6"/>
      <c r="T24" s="6"/>
    </row>
    <row r="25" spans="1:20">
      <c r="A25" s="3" t="s">
        <v>371</v>
      </c>
      <c r="B25" s="4"/>
      <c r="C25" s="4"/>
      <c r="D25" s="4"/>
      <c r="E25" s="4"/>
      <c r="F25" s="4"/>
      <c r="G25" s="4"/>
      <c r="H25" s="4"/>
      <c r="I25" s="4"/>
      <c r="J25" s="4"/>
      <c r="K25" s="4"/>
      <c r="L25" s="4"/>
      <c r="M25" s="4"/>
      <c r="N25" s="6"/>
      <c r="O25" s="6"/>
      <c r="P25" s="6"/>
      <c r="Q25" s="6"/>
      <c r="R25" s="6"/>
      <c r="S25" s="6"/>
      <c r="T25" s="6"/>
    </row>
    <row r="26" spans="1:20">
      <c r="A26" s="3" t="s">
        <v>372</v>
      </c>
      <c r="B26" s="4"/>
      <c r="C26" s="4"/>
      <c r="D26" s="4"/>
      <c r="E26" s="4"/>
      <c r="F26" s="4"/>
      <c r="G26" s="4"/>
      <c r="H26" s="4"/>
      <c r="I26" s="4"/>
      <c r="J26" s="4"/>
      <c r="K26" s="4"/>
      <c r="L26" s="4"/>
      <c r="M26" s="4"/>
      <c r="N26" s="6"/>
      <c r="O26" s="6"/>
      <c r="P26" s="6"/>
      <c r="Q26" s="6"/>
      <c r="R26" s="6"/>
      <c r="S26" s="6"/>
      <c r="T26" s="6"/>
    </row>
    <row r="27" spans="1:20">
      <c r="A27" s="3" t="s">
        <v>373</v>
      </c>
      <c r="B27" s="4"/>
      <c r="C27" s="4"/>
      <c r="D27" s="4"/>
      <c r="E27" s="4"/>
      <c r="F27" s="4"/>
      <c r="G27" s="4"/>
      <c r="H27" s="4"/>
      <c r="I27" s="4"/>
      <c r="J27" s="4"/>
      <c r="K27" s="4"/>
      <c r="L27" s="4"/>
      <c r="M27" s="4"/>
      <c r="N27" s="6"/>
      <c r="O27" s="6"/>
      <c r="P27" s="6"/>
      <c r="Q27" s="6"/>
      <c r="R27" s="6"/>
      <c r="S27" s="6"/>
      <c r="T27" s="6"/>
    </row>
    <row r="28" spans="1:20">
      <c r="A28" s="3" t="s">
        <v>374</v>
      </c>
      <c r="B28" s="4"/>
      <c r="C28" s="4"/>
      <c r="D28" s="4"/>
      <c r="E28" s="4"/>
      <c r="F28" s="4"/>
      <c r="G28" s="4"/>
      <c r="H28" s="4"/>
      <c r="I28" s="4"/>
      <c r="J28" s="4"/>
      <c r="K28" s="4"/>
      <c r="L28" s="4"/>
      <c r="M28" s="4"/>
      <c r="N28" s="6"/>
      <c r="O28" s="6"/>
      <c r="P28" s="6"/>
      <c r="Q28" s="6"/>
      <c r="R28" s="6"/>
      <c r="S28" s="6"/>
      <c r="T28" s="6"/>
    </row>
    <row r="29" spans="1:20">
      <c r="A29" s="3" t="s">
        <v>375</v>
      </c>
      <c r="B29" s="4"/>
      <c r="C29" s="4"/>
      <c r="D29" s="4"/>
      <c r="E29" s="4"/>
      <c r="F29" s="4"/>
      <c r="G29" s="4"/>
      <c r="H29" s="4"/>
      <c r="I29" s="4"/>
      <c r="J29" s="4"/>
      <c r="K29" s="4"/>
      <c r="L29" s="4"/>
      <c r="M29" s="4"/>
      <c r="N29" s="6"/>
      <c r="O29" s="6"/>
      <c r="P29" s="6"/>
      <c r="Q29" s="6"/>
      <c r="R29" s="6"/>
      <c r="S29" s="6"/>
      <c r="T29" s="6"/>
    </row>
    <row r="30" spans="1:20">
      <c r="A30" s="3" t="s">
        <v>376</v>
      </c>
      <c r="B30" s="4"/>
      <c r="C30" s="4"/>
      <c r="D30" s="4"/>
      <c r="E30" s="4"/>
      <c r="F30" s="4"/>
      <c r="G30" s="4"/>
      <c r="H30" s="4"/>
      <c r="I30" s="4"/>
      <c r="J30" s="4"/>
      <c r="K30" s="4"/>
      <c r="L30" s="4"/>
      <c r="M30" s="4"/>
      <c r="N30" s="6"/>
      <c r="O30" s="6"/>
      <c r="P30" s="6"/>
      <c r="Q30" s="6"/>
      <c r="R30" s="6"/>
      <c r="S30" s="6"/>
      <c r="T30" s="6"/>
    </row>
    <row r="31" spans="1:20">
      <c r="A31" s="3" t="s">
        <v>377</v>
      </c>
      <c r="B31" s="4"/>
      <c r="C31" s="4"/>
      <c r="D31" s="4"/>
      <c r="E31" s="4"/>
      <c r="F31" s="4"/>
      <c r="G31" s="4"/>
      <c r="H31" s="4"/>
      <c r="I31" s="4"/>
      <c r="J31" s="4"/>
      <c r="K31" s="4"/>
      <c r="L31" s="4"/>
      <c r="M31" s="4"/>
      <c r="N31" s="6"/>
      <c r="O31" s="6"/>
      <c r="P31" s="6"/>
      <c r="Q31" s="6"/>
      <c r="R31" s="6"/>
      <c r="S31" s="6"/>
      <c r="T31" s="6"/>
    </row>
    <row r="32" spans="1:20">
      <c r="A32" s="3" t="s">
        <v>378</v>
      </c>
      <c r="B32" s="4"/>
      <c r="C32" s="4"/>
      <c r="D32" s="4"/>
      <c r="E32" s="4"/>
      <c r="F32" s="4"/>
      <c r="G32" s="4"/>
      <c r="H32" s="4"/>
      <c r="I32" s="4"/>
      <c r="J32" s="4"/>
      <c r="K32" s="4"/>
      <c r="L32" s="4"/>
      <c r="M32" s="4"/>
      <c r="N32" s="6"/>
      <c r="O32" s="6"/>
      <c r="P32" s="6"/>
      <c r="Q32" s="6"/>
      <c r="R32" s="6"/>
      <c r="S32" s="6"/>
      <c r="T32" s="6"/>
    </row>
    <row r="33" spans="1:20">
      <c r="S33" s="7"/>
      <c r="T33" s="7"/>
    </row>
    <row r="34" spans="1:20">
      <c r="A34" s="144" t="s">
        <v>379</v>
      </c>
      <c r="B34" s="90"/>
      <c r="C34" s="90"/>
      <c r="D34" s="90"/>
      <c r="E34" s="90"/>
      <c r="F34" s="90"/>
      <c r="G34" s="90"/>
      <c r="H34" s="90"/>
      <c r="I34" s="90"/>
      <c r="J34" s="90"/>
      <c r="K34" s="90"/>
      <c r="L34" s="90"/>
      <c r="M34" s="90"/>
      <c r="N34" s="90"/>
      <c r="O34" s="90"/>
      <c r="P34" s="90"/>
      <c r="Q34" s="90"/>
      <c r="R34" s="90"/>
      <c r="S34" s="90"/>
      <c r="T34" s="90"/>
    </row>
    <row r="35" spans="1:20">
      <c r="A35" s="144"/>
      <c r="B35" s="90"/>
      <c r="C35" s="90"/>
      <c r="D35" s="90"/>
      <c r="E35" s="90"/>
      <c r="F35" s="90"/>
      <c r="G35" s="90"/>
      <c r="H35" s="90"/>
      <c r="I35" s="90"/>
      <c r="J35" s="90"/>
      <c r="K35" s="90"/>
      <c r="L35" s="90"/>
      <c r="M35" s="90"/>
      <c r="N35" s="90"/>
      <c r="O35" s="90"/>
      <c r="P35" s="90"/>
      <c r="Q35" s="90"/>
      <c r="R35" s="90"/>
      <c r="S35" s="90"/>
      <c r="T35" s="90"/>
    </row>
    <row r="36" spans="1:20">
      <c r="A36" s="144"/>
      <c r="B36" s="90"/>
      <c r="C36" s="90"/>
      <c r="D36" s="90"/>
      <c r="E36" s="90"/>
      <c r="F36" s="90"/>
      <c r="G36" s="90"/>
      <c r="H36" s="90"/>
      <c r="I36" s="90"/>
      <c r="J36" s="90"/>
      <c r="K36" s="90"/>
      <c r="L36" s="90"/>
      <c r="M36" s="90"/>
      <c r="N36" s="90"/>
      <c r="O36" s="90"/>
      <c r="P36" s="90"/>
      <c r="Q36" s="90"/>
      <c r="R36" s="90"/>
      <c r="S36" s="90"/>
      <c r="T36" s="90"/>
    </row>
    <row r="42" spans="1:20">
      <c r="M42" t="s">
        <v>248</v>
      </c>
    </row>
  </sheetData>
  <mergeCells count="2">
    <mergeCell ref="A34:A36"/>
    <mergeCell ref="B34:T36"/>
  </mergeCells>
  <phoneticPr fontId="3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责任比</vt:lpstr>
      <vt:lpstr>数据分析表</vt:lpstr>
      <vt:lpstr>运营规划</vt:lpstr>
      <vt:lpstr>评价追踪表</vt:lpstr>
      <vt:lpstr>日常跟进 月结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WLC-Tom</dc:creator>
  <cp:lastModifiedBy>123</cp:lastModifiedBy>
  <dcterms:created xsi:type="dcterms:W3CDTF">2015-06-05T18:17:00Z</dcterms:created>
  <dcterms:modified xsi:type="dcterms:W3CDTF">2021-10-21T02:56:48Z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6D06F41564844C9C903975B354B84BF9</vt:lpwstr>
  </property>
</Properties>
</file>